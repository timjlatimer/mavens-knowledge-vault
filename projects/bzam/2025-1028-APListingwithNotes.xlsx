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ashcoloans.sharepoint.com/sites/Accounts/Shared Documents/General/U-Drive/Anya/"/>
    </mc:Choice>
  </mc:AlternateContent>
  <xr:revisionPtr revIDLastSave="648" documentId="8_{017C4DF7-7D65-4F0D-9648-F23DAA6A8662}" xr6:coauthVersionLast="47" xr6:coauthVersionMax="47" xr10:uidLastSave="{C2D08456-3C27-4098-9E6D-25B9AB9F30CF}"/>
  <bookViews>
    <workbookView xWindow="28680" yWindow="-120" windowWidth="29040" windowHeight="15840" activeTab="1" xr2:uid="{1B36AA50-0091-447D-9964-8C939DF31812}"/>
  </bookViews>
  <sheets>
    <sheet name="1028 AP" sheetId="1" r:id="rId1"/>
    <sheet name="Sheet1" sheetId="2" r:id="rId2"/>
  </sheets>
  <definedNames>
    <definedName name="_xlnm._FilterDatabase" localSheetId="0" hidden="1">'1028 AP'!$A$1:$J$398</definedName>
    <definedName name="_xlnm._FilterDatabase" localSheetId="1" hidden="1">Sheet1!$A$2:$M$132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2" l="1"/>
  <c r="E1" i="2"/>
  <c r="F1" i="2"/>
  <c r="C1" i="2"/>
  <c r="G47" i="2"/>
  <c r="G36" i="2"/>
  <c r="G30" i="2"/>
  <c r="G22" i="2"/>
  <c r="G49" i="2"/>
  <c r="G114" i="2"/>
  <c r="G35" i="2"/>
  <c r="G86" i="2"/>
  <c r="G123" i="2"/>
  <c r="G46" i="2"/>
  <c r="G120" i="2"/>
  <c r="G58" i="2"/>
  <c r="G23" i="2"/>
  <c r="G77" i="2"/>
  <c r="G129" i="2"/>
  <c r="G101" i="2"/>
  <c r="G87" i="2"/>
  <c r="G105" i="2"/>
  <c r="G121" i="2"/>
  <c r="G102" i="2"/>
  <c r="G48" i="2"/>
  <c r="G117" i="2"/>
  <c r="G118" i="2"/>
  <c r="G116" i="2"/>
  <c r="G64" i="2"/>
  <c r="G90" i="2"/>
  <c r="G13" i="2"/>
  <c r="G43" i="2"/>
  <c r="G99" i="2"/>
  <c r="G31" i="2"/>
  <c r="G131" i="2"/>
  <c r="G5" i="2"/>
  <c r="G125" i="2"/>
  <c r="G95" i="2"/>
  <c r="G110" i="2"/>
  <c r="G81" i="2"/>
  <c r="G128" i="2"/>
  <c r="G127" i="2"/>
  <c r="G96" i="2"/>
  <c r="G85" i="2"/>
  <c r="G79" i="2"/>
  <c r="G16" i="2"/>
  <c r="G51" i="2"/>
  <c r="G70" i="2"/>
  <c r="G8" i="2"/>
  <c r="G24" i="2"/>
  <c r="G14" i="2"/>
  <c r="G107" i="2"/>
  <c r="G94" i="2"/>
  <c r="G28" i="2"/>
  <c r="G20" i="2"/>
  <c r="G130" i="2"/>
  <c r="G17" i="2"/>
  <c r="G4" i="2"/>
  <c r="G57" i="2"/>
  <c r="G84" i="2"/>
  <c r="G69" i="2"/>
  <c r="G106" i="2"/>
  <c r="G88" i="2"/>
  <c r="G26" i="2"/>
  <c r="G9" i="2"/>
  <c r="G113" i="2"/>
  <c r="G15" i="2"/>
  <c r="G3" i="2"/>
  <c r="G93" i="2"/>
  <c r="G27" i="2"/>
  <c r="G42" i="2"/>
  <c r="G11" i="2"/>
  <c r="G91" i="2"/>
  <c r="G33" i="2"/>
  <c r="G89" i="2"/>
  <c r="G7" i="2"/>
  <c r="G112" i="2"/>
  <c r="G126" i="2"/>
  <c r="G10" i="2"/>
  <c r="G115" i="2"/>
  <c r="G97" i="2"/>
  <c r="G37" i="2"/>
  <c r="G74" i="2"/>
  <c r="G62" i="2"/>
  <c r="G60" i="2"/>
  <c r="G29" i="2"/>
  <c r="G50" i="2"/>
  <c r="G32" i="2"/>
  <c r="G6" i="2"/>
  <c r="G34" i="2"/>
  <c r="G41" i="2"/>
  <c r="G40" i="2"/>
  <c r="G73" i="2"/>
  <c r="G111" i="2"/>
  <c r="G124" i="2"/>
  <c r="G83" i="2"/>
  <c r="G75" i="2"/>
  <c r="G122" i="2"/>
  <c r="G76" i="2"/>
  <c r="G82" i="2"/>
  <c r="G61" i="2"/>
  <c r="G67" i="2"/>
  <c r="G103" i="2"/>
  <c r="G54" i="2"/>
  <c r="G19" i="2"/>
  <c r="G59" i="2"/>
  <c r="G66" i="2"/>
  <c r="G71" i="2"/>
  <c r="G56" i="2"/>
  <c r="G25" i="2"/>
  <c r="G39" i="2"/>
  <c r="G53" i="2"/>
  <c r="G80" i="2"/>
  <c r="G21" i="2"/>
  <c r="G104" i="2"/>
  <c r="G119" i="2"/>
  <c r="G100" i="2"/>
  <c r="G92" i="2"/>
  <c r="G18" i="2"/>
  <c r="G52" i="2"/>
  <c r="G72" i="2"/>
  <c r="G98" i="2"/>
  <c r="G109" i="2"/>
  <c r="G12" i="2"/>
  <c r="G55" i="2"/>
  <c r="G78" i="2"/>
  <c r="G65" i="2"/>
  <c r="G63" i="2"/>
  <c r="G44" i="2"/>
  <c r="G108" i="2"/>
  <c r="G68" i="2"/>
  <c r="G45" i="2"/>
  <c r="G38" i="2"/>
  <c r="J398" i="1"/>
  <c r="I398" i="1"/>
  <c r="J397" i="1"/>
  <c r="I397" i="1"/>
  <c r="J396" i="1"/>
  <c r="I396" i="1"/>
  <c r="J395" i="1"/>
  <c r="I395" i="1"/>
  <c r="J394" i="1"/>
  <c r="I394" i="1"/>
  <c r="J393" i="1"/>
  <c r="I393" i="1"/>
  <c r="J392" i="1"/>
  <c r="I392" i="1"/>
  <c r="J391" i="1"/>
  <c r="I391" i="1"/>
  <c r="J390" i="1"/>
  <c r="I390" i="1"/>
  <c r="J389" i="1"/>
  <c r="I389" i="1"/>
  <c r="J388" i="1"/>
  <c r="I388" i="1"/>
  <c r="J387" i="1"/>
  <c r="I387" i="1"/>
  <c r="J386" i="1"/>
  <c r="I386" i="1"/>
  <c r="J385" i="1"/>
  <c r="I385" i="1"/>
  <c r="J384" i="1"/>
  <c r="I384" i="1"/>
  <c r="J383" i="1"/>
  <c r="I383" i="1"/>
  <c r="J382" i="1"/>
  <c r="I382" i="1"/>
  <c r="J381" i="1"/>
  <c r="I381" i="1"/>
  <c r="J380" i="1"/>
  <c r="I380" i="1"/>
  <c r="J379" i="1"/>
  <c r="I379" i="1"/>
  <c r="J378" i="1"/>
  <c r="I378" i="1"/>
  <c r="J377" i="1"/>
  <c r="I377" i="1"/>
  <c r="J376" i="1"/>
  <c r="I376" i="1"/>
  <c r="J375" i="1"/>
  <c r="I375" i="1"/>
  <c r="J374" i="1"/>
  <c r="I374" i="1"/>
  <c r="J373" i="1"/>
  <c r="I373" i="1"/>
  <c r="J372" i="1"/>
  <c r="I372" i="1"/>
  <c r="J371" i="1"/>
  <c r="I371" i="1"/>
  <c r="J370" i="1"/>
  <c r="I370" i="1"/>
  <c r="J369" i="1"/>
  <c r="I369" i="1"/>
  <c r="J368" i="1"/>
  <c r="I368" i="1"/>
  <c r="J367" i="1"/>
  <c r="I367" i="1"/>
  <c r="J366" i="1"/>
  <c r="I366" i="1"/>
  <c r="J365" i="1"/>
  <c r="I365" i="1"/>
  <c r="J364" i="1"/>
  <c r="I364" i="1"/>
  <c r="J363" i="1"/>
  <c r="I363" i="1"/>
  <c r="J362" i="1"/>
  <c r="I362" i="1"/>
  <c r="J361" i="1"/>
  <c r="I361" i="1"/>
  <c r="J360" i="1"/>
  <c r="I360" i="1"/>
  <c r="J359" i="1"/>
  <c r="I359" i="1"/>
  <c r="J358" i="1"/>
  <c r="I358" i="1"/>
  <c r="J357" i="1"/>
  <c r="I357" i="1"/>
  <c r="J356" i="1"/>
  <c r="I356" i="1"/>
  <c r="J355" i="1"/>
  <c r="I355" i="1"/>
  <c r="J354" i="1"/>
  <c r="I354" i="1"/>
  <c r="J353" i="1"/>
  <c r="I353" i="1"/>
  <c r="J352" i="1"/>
  <c r="I352" i="1"/>
  <c r="J351" i="1"/>
  <c r="I351" i="1"/>
  <c r="J350" i="1"/>
  <c r="I350" i="1"/>
  <c r="J349" i="1"/>
  <c r="I349" i="1"/>
  <c r="J348" i="1"/>
  <c r="I348" i="1"/>
  <c r="J347" i="1"/>
  <c r="I347" i="1"/>
  <c r="J346" i="1"/>
  <c r="I346" i="1"/>
  <c r="J345" i="1"/>
  <c r="I345" i="1"/>
  <c r="J344" i="1"/>
  <c r="I344" i="1"/>
  <c r="J343" i="1"/>
  <c r="I343" i="1"/>
  <c r="J342" i="1"/>
  <c r="I342" i="1"/>
  <c r="J341" i="1"/>
  <c r="I341" i="1"/>
  <c r="J340" i="1"/>
  <c r="I340" i="1"/>
  <c r="J339" i="1"/>
  <c r="I339" i="1"/>
  <c r="J338" i="1"/>
  <c r="I338" i="1"/>
  <c r="J337" i="1"/>
  <c r="I337" i="1"/>
  <c r="J336" i="1"/>
  <c r="I336" i="1"/>
  <c r="J335" i="1"/>
  <c r="I335" i="1"/>
  <c r="J334" i="1"/>
  <c r="I334" i="1"/>
  <c r="J333" i="1"/>
  <c r="I333" i="1"/>
  <c r="J332" i="1"/>
  <c r="I332" i="1"/>
  <c r="J331" i="1"/>
  <c r="I331" i="1"/>
  <c r="J330" i="1"/>
  <c r="I330" i="1"/>
  <c r="J329" i="1"/>
  <c r="I329" i="1"/>
  <c r="J328" i="1"/>
  <c r="I328" i="1"/>
  <c r="J327" i="1"/>
  <c r="I327" i="1"/>
  <c r="J326" i="1"/>
  <c r="I326" i="1"/>
  <c r="J325" i="1"/>
  <c r="I325" i="1"/>
  <c r="J324" i="1"/>
  <c r="I324" i="1"/>
  <c r="J323" i="1"/>
  <c r="I323" i="1"/>
  <c r="J322" i="1"/>
  <c r="I322" i="1"/>
  <c r="J321" i="1"/>
  <c r="I321" i="1"/>
  <c r="J320" i="1"/>
  <c r="I320" i="1"/>
  <c r="J319" i="1"/>
  <c r="I319" i="1"/>
  <c r="J318" i="1"/>
  <c r="I318" i="1"/>
  <c r="J317" i="1"/>
  <c r="I317" i="1"/>
  <c r="J316" i="1"/>
  <c r="I316" i="1"/>
  <c r="J315" i="1"/>
  <c r="I315" i="1"/>
  <c r="J314" i="1"/>
  <c r="I314" i="1"/>
  <c r="J313" i="1"/>
  <c r="I313" i="1"/>
  <c r="J312" i="1"/>
  <c r="I312" i="1"/>
  <c r="J311" i="1"/>
  <c r="I311" i="1"/>
  <c r="J310" i="1"/>
  <c r="I310" i="1"/>
  <c r="J309" i="1"/>
  <c r="I309" i="1"/>
  <c r="J308" i="1"/>
  <c r="I308" i="1"/>
  <c r="J307" i="1"/>
  <c r="I307" i="1"/>
  <c r="J306" i="1"/>
  <c r="I306" i="1"/>
  <c r="J305" i="1"/>
  <c r="I305" i="1"/>
  <c r="J304" i="1"/>
  <c r="I304" i="1"/>
  <c r="J303" i="1"/>
  <c r="I303" i="1"/>
  <c r="J302" i="1"/>
  <c r="I302" i="1"/>
  <c r="J301" i="1"/>
  <c r="I301" i="1"/>
  <c r="J300" i="1"/>
  <c r="I300" i="1"/>
  <c r="J299" i="1"/>
  <c r="I299" i="1"/>
  <c r="J298" i="1"/>
  <c r="I298" i="1"/>
  <c r="J297" i="1"/>
  <c r="I297" i="1"/>
  <c r="J296" i="1"/>
  <c r="I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69" i="1"/>
  <c r="I269" i="1"/>
  <c r="J268" i="1"/>
  <c r="I268" i="1"/>
  <c r="J267" i="1"/>
  <c r="I267" i="1"/>
  <c r="J266" i="1"/>
  <c r="I266" i="1"/>
  <c r="J265" i="1"/>
  <c r="I265" i="1"/>
  <c r="J264" i="1"/>
  <c r="I264" i="1"/>
  <c r="J263" i="1"/>
  <c r="I263" i="1"/>
  <c r="J262" i="1"/>
  <c r="I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6" i="1"/>
  <c r="I126" i="1"/>
  <c r="J125" i="1"/>
  <c r="I125" i="1"/>
  <c r="J124" i="1"/>
  <c r="I124" i="1"/>
  <c r="J123" i="1"/>
  <c r="I123" i="1"/>
  <c r="J122" i="1"/>
  <c r="I122" i="1"/>
  <c r="J121" i="1"/>
  <c r="I121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J111" i="1"/>
  <c r="I111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J91" i="1"/>
  <c r="I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G1" i="2" l="1"/>
</calcChain>
</file>

<file path=xl/sharedStrings.xml><?xml version="1.0" encoding="utf-8"?>
<sst xmlns="http://schemas.openxmlformats.org/spreadsheetml/2006/main" count="2627" uniqueCount="457">
  <si>
    <t>System:</t>
  </si>
  <si>
    <t>HISTORICAL AGED TRIAL BALANCE</t>
  </si>
  <si>
    <t>Page:</t>
  </si>
  <si>
    <t>User Date:</t>
  </si>
  <si>
    <t>User ID:</t>
  </si>
  <si>
    <t>amoore</t>
  </si>
  <si>
    <t>Cashco PDL</t>
  </si>
  <si>
    <t>Payables Management</t>
  </si>
  <si>
    <t>Ranges:</t>
  </si>
  <si>
    <t>Vendor ID:</t>
  </si>
  <si>
    <t>First - Last</t>
  </si>
  <si>
    <t>User-Defined 1:</t>
  </si>
  <si>
    <t>Class ID:</t>
  </si>
  <si>
    <t>Posting Date:</t>
  </si>
  <si>
    <t>First - 2025-10-28</t>
  </si>
  <si>
    <t>Payment Priority:</t>
  </si>
  <si>
    <t>Document Number:</t>
  </si>
  <si>
    <t>Vendor Name:</t>
  </si>
  <si>
    <t>Exclude:</t>
  </si>
  <si>
    <t>Zero Balance, No Activity, Fully Paid Documents, Unposted Applied Credit Documents, Multicurrency Info</t>
  </si>
  <si>
    <t>Print Option:</t>
  </si>
  <si>
    <t>SUMMARY</t>
  </si>
  <si>
    <t>Sorted By:</t>
  </si>
  <si>
    <t>Vendor Name</t>
  </si>
  <si>
    <t>Aged By:</t>
  </si>
  <si>
    <t>Document Date</t>
  </si>
  <si>
    <t>Aging Date:</t>
  </si>
  <si>
    <t>Print Currency In:  Functional (Z-C$)</t>
  </si>
  <si>
    <t>Name:</t>
  </si>
  <si>
    <t>1181057 Alberta Ltd.</t>
  </si>
  <si>
    <t>RENT</t>
  </si>
  <si>
    <t>Due</t>
  </si>
  <si>
    <t>Current Period</t>
  </si>
  <si>
    <t>31 - 60 Days</t>
  </si>
  <si>
    <t>61 - 90 Days</t>
  </si>
  <si>
    <t>91 and Over</t>
  </si>
  <si>
    <t>Voucher(s):</t>
  </si>
  <si>
    <t>Aged Totals:</t>
  </si>
  <si>
    <t>NIAHEALTH</t>
  </si>
  <si>
    <t>15459354 Canada (NiaHealth)</t>
  </si>
  <si>
    <t>EFT</t>
  </si>
  <si>
    <t>1870351 Alberta Ltd c/o Mc Cor Managemen</t>
  </si>
  <si>
    <t>6069321 CANADA INC</t>
  </si>
  <si>
    <t>DEFAULT</t>
  </si>
  <si>
    <t>951725 Alberta Ltd.</t>
  </si>
  <si>
    <t>TELUS(ADT)</t>
  </si>
  <si>
    <t>ADT SECURITY SERVICES  CANADA</t>
  </si>
  <si>
    <t>AQUATE</t>
  </si>
  <si>
    <t>Aquatera Utilities Inc.</t>
  </si>
  <si>
    <t>UTILITIES</t>
  </si>
  <si>
    <t>ARTADV</t>
  </si>
  <si>
    <t>ARTTEC SIGNS</t>
  </si>
  <si>
    <t>BCH9297</t>
  </si>
  <si>
    <t>BC Hydro Acc 9297</t>
  </si>
  <si>
    <t>BCH9441</t>
  </si>
  <si>
    <t>BC Hydro ACC9441</t>
  </si>
  <si>
    <t>BLATOW</t>
  </si>
  <si>
    <t>Black Tower Investments Corp.</t>
  </si>
  <si>
    <t>BLUPLA</t>
  </si>
  <si>
    <t>BLU PLANET RECYCLING INC</t>
  </si>
  <si>
    <t>CALLASS</t>
  </si>
  <si>
    <t>CALLOW &amp; ASSOCIATES MANAGEMENT CONSULTAN</t>
  </si>
  <si>
    <t>CARSOL</t>
  </si>
  <si>
    <t>Carmel Solutions LLC</t>
  </si>
  <si>
    <t>WIRE</t>
  </si>
  <si>
    <t>CHAELE</t>
  </si>
  <si>
    <t>Chalk Electrical Ltd.</t>
  </si>
  <si>
    <t>CIRCOMM001</t>
  </si>
  <si>
    <t>CIR Commercial Realty</t>
  </si>
  <si>
    <t>CITAIR</t>
  </si>
  <si>
    <t>CITY OF AIRDRIE</t>
  </si>
  <si>
    <t>CITYCAL</t>
  </si>
  <si>
    <t>CITY OF CALGARY - BIATax</t>
  </si>
  <si>
    <t>PAD PULL</t>
  </si>
  <si>
    <t>ENMAX</t>
  </si>
  <si>
    <t>CIty of Calgary - ENMAX</t>
  </si>
  <si>
    <t>CITCAM</t>
  </si>
  <si>
    <t>City of Camrose</t>
  </si>
  <si>
    <t>CITNOR</t>
  </si>
  <si>
    <t>CITY OF NORTH BATTLEFORD</t>
  </si>
  <si>
    <t>CITSAS</t>
  </si>
  <si>
    <t>CITY OF SASKATOON</t>
  </si>
  <si>
    <t>VISA MC</t>
  </si>
  <si>
    <t>CIT1985</t>
  </si>
  <si>
    <t>City of Saskatoon ACC1985</t>
  </si>
  <si>
    <t>CIT6514</t>
  </si>
  <si>
    <t>City of Saskatoon ACC6514</t>
  </si>
  <si>
    <t>CIT9711</t>
  </si>
  <si>
    <t>City of Saskatoon ACC9711</t>
  </si>
  <si>
    <t>CONELE</t>
  </si>
  <si>
    <t>Conway Electric Inc.</t>
  </si>
  <si>
    <t>CULLIGAN</t>
  </si>
  <si>
    <t>CULLIGAN WATER</t>
  </si>
  <si>
    <t>DENCAN</t>
  </si>
  <si>
    <t>DENTONS CANADA LLP</t>
  </si>
  <si>
    <t>DIR0737</t>
  </si>
  <si>
    <t>Direct Energy ACC0737</t>
  </si>
  <si>
    <t>DIR7298</t>
  </si>
  <si>
    <t>Direct Energy ACC7298</t>
  </si>
  <si>
    <t>DIR9596</t>
  </si>
  <si>
    <t>Direct Energy ACC9596</t>
  </si>
  <si>
    <t>DIR5659</t>
  </si>
  <si>
    <t>DIRECTENERGY 5659</t>
  </si>
  <si>
    <t>DOCUSIGN</t>
  </si>
  <si>
    <t>Docu-Sign Inc</t>
  </si>
  <si>
    <t>ENB4311</t>
  </si>
  <si>
    <t>Enbridge ACC4311</t>
  </si>
  <si>
    <t>ENB4324</t>
  </si>
  <si>
    <t>Enbridge ACC4324</t>
  </si>
  <si>
    <t>ENB6695</t>
  </si>
  <si>
    <t>Enbridge ACC6695</t>
  </si>
  <si>
    <t>ENOVA</t>
  </si>
  <si>
    <t>Enova Power Corp.</t>
  </si>
  <si>
    <t>EPC1230</t>
  </si>
  <si>
    <t>EPCOR ACC1230</t>
  </si>
  <si>
    <t>EPC1231</t>
  </si>
  <si>
    <t>EPCOR ACC1231</t>
  </si>
  <si>
    <t>EPC4003</t>
  </si>
  <si>
    <t>EPCOR ACC4003</t>
  </si>
  <si>
    <t>EPC5138</t>
  </si>
  <si>
    <t>EPCOR ACC5138</t>
  </si>
  <si>
    <t>EPC5226</t>
  </si>
  <si>
    <t>EPCOR ACC5226</t>
  </si>
  <si>
    <t>EXPEMP001</t>
  </si>
  <si>
    <t>Express Employment Professionals</t>
  </si>
  <si>
    <t>FEATHE</t>
  </si>
  <si>
    <t>Feathery Inc</t>
  </si>
  <si>
    <t>FERELE</t>
  </si>
  <si>
    <t>Ferguson Electrical Solutions Inc</t>
  </si>
  <si>
    <t>FINSOL</t>
  </si>
  <si>
    <t>Find Solace Inc.</t>
  </si>
  <si>
    <t>FINDER</t>
  </si>
  <si>
    <t>Finder.com Comparison Services Canada In</t>
  </si>
  <si>
    <t>FLINKS</t>
  </si>
  <si>
    <t>Flinks Technology Inc.</t>
  </si>
  <si>
    <t>FOR8427</t>
  </si>
  <si>
    <t>Fortis BC ACC8427</t>
  </si>
  <si>
    <t>FOR8429</t>
  </si>
  <si>
    <t>Fortis BC ACC8429</t>
  </si>
  <si>
    <t>FORPRO</t>
  </si>
  <si>
    <t>Fortress Properties</t>
  </si>
  <si>
    <t>FUSFOR001</t>
  </si>
  <si>
    <t>Fuseforward Canada Ltd</t>
  </si>
  <si>
    <t>GEAENG</t>
  </si>
  <si>
    <t>GEAN ENGLISH</t>
  </si>
  <si>
    <t>GERMCIPRO</t>
  </si>
  <si>
    <t>Gerard McInnis Professional Corporation</t>
  </si>
  <si>
    <t>GOOGLE LLC</t>
  </si>
  <si>
    <t>Google LLC</t>
  </si>
  <si>
    <t>GOVALB</t>
  </si>
  <si>
    <t>Government of Alberta</t>
  </si>
  <si>
    <t>GREWAS</t>
  </si>
  <si>
    <t>GREENLAND WASTE DISPOSAL</t>
  </si>
  <si>
    <t>GUEHYD</t>
  </si>
  <si>
    <t>Guelph Hydro Electric Systems Inc.</t>
  </si>
  <si>
    <t>GUNCAN</t>
  </si>
  <si>
    <t>Gunnebo Canada Inc.</t>
  </si>
  <si>
    <t>HOMTEC</t>
  </si>
  <si>
    <t>Hometech Security Inc.</t>
  </si>
  <si>
    <t>HUDENG</t>
  </si>
  <si>
    <t>HUDSON ENERGY CANADA CORP.</t>
  </si>
  <si>
    <t>INSIGHT</t>
  </si>
  <si>
    <t>Insight Canada Inc.</t>
  </si>
  <si>
    <t>INTR&amp;D</t>
  </si>
  <si>
    <t>Intercom R&amp;D Unlimited Company</t>
  </si>
  <si>
    <t>INVVER</t>
  </si>
  <si>
    <t>INVERITE VERIFICATION INC</t>
  </si>
  <si>
    <t>LOAPRO</t>
  </si>
  <si>
    <t>LoanPro Software, LLC</t>
  </si>
  <si>
    <t>LORENV</t>
  </si>
  <si>
    <t>LORAAS ENVIRONMENTAL SERVICES LTD</t>
  </si>
  <si>
    <t>MAPCOR</t>
  </si>
  <si>
    <t>Maple Corporation</t>
  </si>
  <si>
    <t>MARMA</t>
  </si>
  <si>
    <t>Martin, Anthony, Lisa Ma, Eva Kwan Wai L</t>
  </si>
  <si>
    <t>MIDLAB</t>
  </si>
  <si>
    <t>Midas Labs</t>
  </si>
  <si>
    <t>NATNEO</t>
  </si>
  <si>
    <t>NATIONAL NEON DISPLAYS LTD.</t>
  </si>
  <si>
    <t>NEXGEN001</t>
  </si>
  <si>
    <t>NextGen Automation</t>
  </si>
  <si>
    <t>O &amp; M TIEMER</t>
  </si>
  <si>
    <t>O &amp; M TIEMER HOLDINGS LTD.</t>
  </si>
  <si>
    <t>OSCILA</t>
  </si>
  <si>
    <t>Oscilar, Inc</t>
  </si>
  <si>
    <t>PAC NOR</t>
  </si>
  <si>
    <t>Pacific Northern Gas (N.E.) LTD</t>
  </si>
  <si>
    <t>PEAUTI</t>
  </si>
  <si>
    <t>Peace Hills Utilities Inc.</t>
  </si>
  <si>
    <t>PERIDE</t>
  </si>
  <si>
    <t>Persona Identities, Inc.</t>
  </si>
  <si>
    <t>USD</t>
  </si>
  <si>
    <t>PETALSFORLESS</t>
  </si>
  <si>
    <t>Petals For Less</t>
  </si>
  <si>
    <t>PFPCAN</t>
  </si>
  <si>
    <t>PFP Canada</t>
  </si>
  <si>
    <t>PHOHOU</t>
  </si>
  <si>
    <t>Phoenix Housing Inc.</t>
  </si>
  <si>
    <t>PITBLA</t>
  </si>
  <si>
    <t>Pitblado LLP</t>
  </si>
  <si>
    <t>PITLEAS</t>
  </si>
  <si>
    <t>PITNEY BOWES LEASING</t>
  </si>
  <si>
    <t>PRADIS</t>
  </si>
  <si>
    <t>Prairie Disposal Ltd.</t>
  </si>
  <si>
    <t>PRIDAT</t>
  </si>
  <si>
    <t>Prism Data Technologies, Inc.</t>
  </si>
  <si>
    <t>PUROLA</t>
  </si>
  <si>
    <t>Purolator Courier Ltd.</t>
  </si>
  <si>
    <t>QUIFIN</t>
  </si>
  <si>
    <t>QUINCO FINANCIAL INC.</t>
  </si>
  <si>
    <t>RAPCAS</t>
  </si>
  <si>
    <t>RAPID CASH ATM LTD.</t>
  </si>
  <si>
    <t>RAWLRAD</t>
  </si>
  <si>
    <t>Rawlco Radiol Ltd.-715 SK</t>
  </si>
  <si>
    <t>REALOC</t>
  </si>
  <si>
    <t>REACHLOCAL CANADA, INC.</t>
  </si>
  <si>
    <t>RECXPR</t>
  </si>
  <si>
    <t>RecordXpress</t>
  </si>
  <si>
    <t>REPSER</t>
  </si>
  <si>
    <t>Republic Services</t>
  </si>
  <si>
    <t>SASFIR</t>
  </si>
  <si>
    <t>SASKATOON FIRE PROTECTION (1983) LTD.</t>
  </si>
  <si>
    <t>SASPOW</t>
  </si>
  <si>
    <t>SaskPower</t>
  </si>
  <si>
    <t>SAS3284</t>
  </si>
  <si>
    <t>SaskPower ACC3284</t>
  </si>
  <si>
    <t>SAS7340</t>
  </si>
  <si>
    <t>SaskPower ACC7340</t>
  </si>
  <si>
    <t>SAS9039</t>
  </si>
  <si>
    <t>SaskPower ACC9039</t>
  </si>
  <si>
    <t>SASTEL</t>
  </si>
  <si>
    <t>SASKTEL</t>
  </si>
  <si>
    <t>SEVMEC</t>
  </si>
  <si>
    <t>Seven Mechanical Services</t>
  </si>
  <si>
    <t>SHABUS</t>
  </si>
  <si>
    <t>Shaw Cable</t>
  </si>
  <si>
    <t>SIGNSO</t>
  </si>
  <si>
    <t>Sign Solutions</t>
  </si>
  <si>
    <t>SKIPTHEDISHES</t>
  </si>
  <si>
    <t>Skip the Dishes</t>
  </si>
  <si>
    <t>SMACLA</t>
  </si>
  <si>
    <t>Small Claims Court</t>
  </si>
  <si>
    <t>SMALOA</t>
  </si>
  <si>
    <t>SMARTER LOANS INC.</t>
  </si>
  <si>
    <t>STAADV</t>
  </si>
  <si>
    <t>STAPLES ADVANTAGE</t>
  </si>
  <si>
    <t>STACONSOL</t>
  </si>
  <si>
    <t>Stat Climate Control Solutions</t>
  </si>
  <si>
    <t>STERIC</t>
  </si>
  <si>
    <t>Stericycle</t>
  </si>
  <si>
    <t>STEBAC</t>
  </si>
  <si>
    <t>Sterling Backcheck Canada Corp.</t>
  </si>
  <si>
    <t>STSCAP</t>
  </si>
  <si>
    <t>STS CAPITAL PARTNERS</t>
  </si>
  <si>
    <t>SUNPRO</t>
  </si>
  <si>
    <t>SUNREAL PROPERTY MANAGEMENT LTD</t>
  </si>
  <si>
    <t>SUPSAV</t>
  </si>
  <si>
    <t>Super Save Disposal (Alberta Ltd)</t>
  </si>
  <si>
    <t>SYSAID</t>
  </si>
  <si>
    <t>SYSAID TECHNOLOGIES LTD</t>
  </si>
  <si>
    <t>ACQUIR001</t>
  </si>
  <si>
    <t>Tagove Limited d/b/a Acquire</t>
  </si>
  <si>
    <t>TELUS7529(MS)</t>
  </si>
  <si>
    <t>Telus 43387529 Businessapps  Microsfot</t>
  </si>
  <si>
    <t>TELUS 3707</t>
  </si>
  <si>
    <t>Telus Acc 3707</t>
  </si>
  <si>
    <t>TELUS 9011</t>
  </si>
  <si>
    <t>Telus Acc 9011</t>
  </si>
  <si>
    <t>TELUS 3647</t>
  </si>
  <si>
    <t>Telus Account 3647</t>
  </si>
  <si>
    <t>TELMOB</t>
  </si>
  <si>
    <t>TELUS MOBILITY</t>
  </si>
  <si>
    <t>TERAGO</t>
  </si>
  <si>
    <t>TERAGO NETWORK</t>
  </si>
  <si>
    <t>CITEDM</t>
  </si>
  <si>
    <t>The City of Edmonton</t>
  </si>
  <si>
    <t>TOWEDS</t>
  </si>
  <si>
    <t>TOWN OF EDSON</t>
  </si>
  <si>
    <t>TOWSTP</t>
  </si>
  <si>
    <t>Town of St. Paul</t>
  </si>
  <si>
    <t>TRAUNI</t>
  </si>
  <si>
    <t>TRANS UNION</t>
  </si>
  <si>
    <t>WASCON</t>
  </si>
  <si>
    <t>Waste Connections ACC7420</t>
  </si>
  <si>
    <t>WASTECON</t>
  </si>
  <si>
    <t>Waste Connections of Canda Inc. -7322</t>
  </si>
  <si>
    <t>WASMANH</t>
  </si>
  <si>
    <t>WASTE MANAGEMENT Acc73004</t>
  </si>
  <si>
    <t>WASMAN83001</t>
  </si>
  <si>
    <t>Waste Managemnt</t>
  </si>
  <si>
    <t>WHISEC</t>
  </si>
  <si>
    <t>WhistleBlower Security Inc.</t>
  </si>
  <si>
    <t>WILDIS</t>
  </si>
  <si>
    <t>Wildrose Disposal Inc.</t>
  </si>
  <si>
    <t>WILPUR</t>
  </si>
  <si>
    <t>William Purvis</t>
  </si>
  <si>
    <t>WILVUK</t>
  </si>
  <si>
    <t>Wilson Vukelich LLP</t>
  </si>
  <si>
    <t>Vendors</t>
  </si>
  <si>
    <t>Vendor Totals:</t>
  </si>
  <si>
    <t>Vendor Code</t>
  </si>
  <si>
    <t>Current</t>
  </si>
  <si>
    <t>Total</t>
  </si>
  <si>
    <t>Threaten to cut off?</t>
  </si>
  <si>
    <t>Operational?</t>
  </si>
  <si>
    <t>Vendor Purpose</t>
  </si>
  <si>
    <t>Date Last Contacted by Vendor</t>
  </si>
  <si>
    <t>Other Notes</t>
  </si>
  <si>
    <t>Branch #</t>
  </si>
  <si>
    <t>Lending Platform</t>
  </si>
  <si>
    <t>yes</t>
  </si>
  <si>
    <t>All &amp; Venue</t>
  </si>
  <si>
    <t>meeting was to happen with Tim</t>
  </si>
  <si>
    <t>Ad's &amp; Promotion</t>
  </si>
  <si>
    <t>no</t>
  </si>
  <si>
    <t>Electronic Signature Provider</t>
  </si>
  <si>
    <t>was due Sept 21</t>
  </si>
  <si>
    <t>provided ATM's in branch for cash option loans</t>
  </si>
  <si>
    <t>N/A</t>
  </si>
  <si>
    <t>Cashco</t>
  </si>
  <si>
    <t xml:space="preserve">service/ cancellation fees owing </t>
  </si>
  <si>
    <t>Credit Risk Platform</t>
  </si>
  <si>
    <t>Data Analytics</t>
  </si>
  <si>
    <t>3rd payment request received</t>
  </si>
  <si>
    <t>IT Solutions Integrator</t>
  </si>
  <si>
    <t>Platform to help verify customer identities</t>
  </si>
  <si>
    <t>Software Development</t>
  </si>
  <si>
    <t>Credit Reporting Service</t>
  </si>
  <si>
    <t>Lawyers</t>
  </si>
  <si>
    <t>Data Iinfrastructure</t>
  </si>
  <si>
    <t>Bank Verfication for clients lending</t>
  </si>
  <si>
    <t>n/a</t>
  </si>
  <si>
    <t>EFT was sent on Sept 19th, "Open" invoices I believe are CC cleanup items</t>
  </si>
  <si>
    <t>hiring agency for temp employees</t>
  </si>
  <si>
    <t>Board Member - Advisory Fees</t>
  </si>
  <si>
    <t>Internet/Phone service</t>
  </si>
  <si>
    <t>This is a vendor cleanup to be done as CC reconciliation process has changed</t>
  </si>
  <si>
    <t>Referral Fees "Pay Per Click"</t>
  </si>
  <si>
    <t>Cashco &amp; MoneyUp</t>
  </si>
  <si>
    <t>Cloud Suite and Disaster Recovery</t>
  </si>
  <si>
    <t>User Fee Subscription Service</t>
  </si>
  <si>
    <t>209 Landlord</t>
  </si>
  <si>
    <t>branch has been closed for some time, vendor cleanup needed</t>
  </si>
  <si>
    <t>Infrastructure</t>
  </si>
  <si>
    <t>Marketing</t>
  </si>
  <si>
    <t>Consulting Fees</t>
  </si>
  <si>
    <t>Utilities - Gas</t>
  </si>
  <si>
    <t>29 Locations - Services cancelled but still receiving bills</t>
  </si>
  <si>
    <t>Telemedicine - MoneyUp</t>
  </si>
  <si>
    <t xml:space="preserve"> Landlord</t>
  </si>
  <si>
    <t>Location Closed</t>
  </si>
  <si>
    <t>Underwriting  Infrastructure</t>
  </si>
  <si>
    <t>Marketing - Campaign</t>
  </si>
  <si>
    <t>Utilities - Electricity</t>
  </si>
  <si>
    <t>Cancelled account but still receiving bills</t>
  </si>
  <si>
    <t>Landlord</t>
  </si>
  <si>
    <t>Location Closed - Stop Payment on Pad Pulls</t>
  </si>
  <si>
    <t>Printer Provider</t>
  </si>
  <si>
    <t>operational branches and head office</t>
  </si>
  <si>
    <t>Marketing - Radio Ad's</t>
  </si>
  <si>
    <t>Branch Window Decal Installors</t>
  </si>
  <si>
    <t>Services will be paused if Inv 5,6,7 not paid by Oct 31st</t>
  </si>
  <si>
    <t>Will not impact operations but will have an affect on relationship if we need them again</t>
  </si>
  <si>
    <t>At risk for being Blacklisted by google if payment is not made</t>
  </si>
  <si>
    <t>Location Closed - notice found on door from Lawyer</t>
  </si>
  <si>
    <t>File Storage Provider</t>
  </si>
  <si>
    <t>Marketing - Ads</t>
  </si>
  <si>
    <t>Utilties</t>
  </si>
  <si>
    <t>Services cancelled but still getting billed</t>
  </si>
  <si>
    <t>Security</t>
  </si>
  <si>
    <t>Team One Blood Drawn</t>
  </si>
  <si>
    <t>Electricity Service</t>
  </si>
  <si>
    <t>Acc6514 - Location Closed</t>
  </si>
  <si>
    <t>Operational Branch - need to keep current</t>
  </si>
  <si>
    <t>Delivery Service</t>
  </si>
  <si>
    <t>Cashco/Venue</t>
  </si>
  <si>
    <t>Implemtaton Service</t>
  </si>
  <si>
    <t>Operational</t>
  </si>
  <si>
    <t>Internet Provider</t>
  </si>
  <si>
    <t>Head Office/SL Branches</t>
  </si>
  <si>
    <t>Waste Removal</t>
  </si>
  <si>
    <t>Legal Chq Requests</t>
  </si>
  <si>
    <t>2023 - chqs need to be voided in GP</t>
  </si>
  <si>
    <t>Garbage Removal</t>
  </si>
  <si>
    <t>Criminal Record Checks</t>
  </si>
  <si>
    <t>Head office</t>
  </si>
  <si>
    <t>chqs need to be voided in GP</t>
  </si>
  <si>
    <t>GP Support - Finance</t>
  </si>
  <si>
    <t>Accounting</t>
  </si>
  <si>
    <t>Office Supplies</t>
  </si>
  <si>
    <t>Operational - office supply provider</t>
  </si>
  <si>
    <t>Internet</t>
  </si>
  <si>
    <t>Postage Lease</t>
  </si>
  <si>
    <t>Head Office</t>
  </si>
  <si>
    <t>Contractor Service</t>
  </si>
  <si>
    <t>Heater Repair</t>
  </si>
  <si>
    <t>oc29</t>
  </si>
  <si>
    <t>Account Closed - owe termination fee and outstanding invoices - last communication is sending to legal Nov 3</t>
  </si>
  <si>
    <t>Collector</t>
  </si>
  <si>
    <t>N</t>
  </si>
  <si>
    <t>No longer with Cashco - GP Cleanup to be done</t>
  </si>
  <si>
    <t>Sign Decal Add/Removal</t>
  </si>
  <si>
    <t>invoice need to be voided in GP</t>
  </si>
  <si>
    <t>operational</t>
  </si>
  <si>
    <t>network removal</t>
  </si>
  <si>
    <t>Shreddiing Services</t>
  </si>
  <si>
    <t>Edmonton Business Tax</t>
  </si>
  <si>
    <t>Professional Services Rendered</t>
  </si>
  <si>
    <t>Operational - 306 Power Service</t>
  </si>
  <si>
    <t>Phone Provider</t>
  </si>
  <si>
    <t>Operatonal - need to keep current for Sask stores</t>
  </si>
  <si>
    <t>Electrical Contractor</t>
  </si>
  <si>
    <t>Removal of network and security</t>
  </si>
  <si>
    <t>Location Closed - waste removal</t>
  </si>
  <si>
    <t>IT Ticket Provider</t>
  </si>
  <si>
    <t>Final Bill owing for</t>
  </si>
  <si>
    <t>Plumbing Services</t>
  </si>
  <si>
    <t>Electrical Services</t>
  </si>
  <si>
    <t>Operational - Waste Removal</t>
  </si>
  <si>
    <t>Gas Provider</t>
  </si>
  <si>
    <t>Operational - collections threatened</t>
  </si>
  <si>
    <t>service has been placed on hold</t>
  </si>
  <si>
    <t>Dan reached out and advised to use the clause to suspend service (Oct29 Service suspension notice)</t>
  </si>
  <si>
    <t>S.L.R Development</t>
  </si>
  <si>
    <t>SLRDEV</t>
  </si>
  <si>
    <t>Lease Termination for 105 due Oct 31</t>
  </si>
  <si>
    <t>Collection action threatened</t>
  </si>
  <si>
    <t>operational - payment reminder sent</t>
  </si>
  <si>
    <t>Operational - need to be able to send - letter states $2,084.04</t>
  </si>
  <si>
    <t>Calgary Business Tax</t>
  </si>
  <si>
    <t>Monitoring Fees for PDL</t>
  </si>
  <si>
    <t>Water Cooler Rental</t>
  </si>
  <si>
    <t>DRA Rental</t>
  </si>
  <si>
    <t>?</t>
  </si>
  <si>
    <t>Operatonal</t>
  </si>
  <si>
    <t>Location Closed - final bill sent</t>
  </si>
  <si>
    <t>Natural Gas Provider</t>
  </si>
  <si>
    <t>Fire Inspection Company</t>
  </si>
  <si>
    <t>Business License</t>
  </si>
  <si>
    <t>Locaton Closed - may have been paid via CC and GP vendor cleanup to be done</t>
  </si>
  <si>
    <t>Utilities</t>
  </si>
  <si>
    <t>Locaton Closed</t>
  </si>
  <si>
    <t>Operational - must keep current</t>
  </si>
  <si>
    <t>Food</t>
  </si>
  <si>
    <t>Mobility</t>
  </si>
  <si>
    <t>Microsoft Business Ap</t>
  </si>
  <si>
    <t>Operational - Head Office</t>
  </si>
  <si>
    <t>Key Provider</t>
  </si>
  <si>
    <t>Operational Service Provider</t>
  </si>
  <si>
    <t>Fire Extinguisher Service</t>
  </si>
  <si>
    <t>SMS Subscription</t>
  </si>
  <si>
    <t>vendor cleanup to be done</t>
  </si>
  <si>
    <t>open payment to be applied</t>
  </si>
  <si>
    <t>Credit Memo Unapplied</t>
  </si>
  <si>
    <t>3.16 left of open payment</t>
  </si>
  <si>
    <t>open payment cleaned up</t>
  </si>
  <si>
    <t>open payment to be cleaned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</si>
</sst>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43" formatCode="_(* #,##0.00_);_(* \(#,##0.00\);_(* &quot;-&quot;??_);_(@_)"/>
    <numFmt numFmtId="164" formatCode="_(* #,##0_);_(* \(#,##0\);_(* &quot;-&quot;??_);_(@_)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7030A0"/>
      <name val="Aptos Narrow"/>
      <family val="2"/>
      <scheme val="minor"/>
    </font>
    <font>
      <i/>
      <sz val="11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sz val="11"/>
      <color theme="3" tint="9.9978637043366805E-2"/>
      <name val="Aptos Narrow"/>
      <family val="2"/>
      <scheme val="minor"/>
    </font>
    <font>
      <sz val="11"/>
      <color theme="4" tint="-0.249977111117893"/>
      <name val="Aptos Narrow"/>
      <family val="2"/>
      <scheme val="minor"/>
    </font>
    <font>
      <sz val="11"/>
      <color theme="7" tint="-0.499984740745262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0">
    <xf numFmtId="0" fontId="0" fillId="0" borderId="0" xfId="0"/>
    <xf numFmtId="14" fontId="0" fillId="0" borderId="0" xfId="0" applyNumberFormat="1"/>
    <xf numFmtId="19" fontId="0" fillId="0" borderId="0" xfId="0" applyNumberFormat="1"/>
    <xf numFmtId="8" fontId="0" fillId="0" borderId="0" xfId="0" applyNumberFormat="1"/>
    <xf numFmtId="0" fontId="18" fillId="0" borderId="0" xfId="0" applyFont="1"/>
    <xf numFmtId="0" fontId="18" fillId="0" borderId="10" xfId="0" applyFont="1" applyBorder="1"/>
    <xf numFmtId="164" fontId="0" fillId="0" borderId="10" xfId="1" applyNumberFormat="1" applyFont="1" applyBorder="1"/>
    <xf numFmtId="164" fontId="0" fillId="0" borderId="10" xfId="0" applyNumberFormat="1" applyBorder="1"/>
    <xf numFmtId="164" fontId="19" fillId="0" borderId="0" xfId="0" applyNumberFormat="1" applyFont="1"/>
    <xf numFmtId="0" fontId="18" fillId="0" borderId="10" xfId="0" applyFont="1" applyBorder="1" applyAlignment="1">
      <alignment horizontal="left"/>
    </xf>
    <xf numFmtId="0" fontId="0" fillId="0" borderId="0" xfId="0" applyAlignment="1">
      <alignment wrapText="1"/>
    </xf>
    <xf numFmtId="0" fontId="16" fillId="0" borderId="10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 wrapText="1"/>
    </xf>
    <xf numFmtId="164" fontId="18" fillId="0" borderId="10" xfId="0" applyNumberFormat="1" applyFont="1" applyBorder="1" applyAlignment="1">
      <alignment wrapText="1"/>
    </xf>
    <xf numFmtId="164" fontId="21" fillId="0" borderId="10" xfId="0" applyNumberFormat="1" applyFont="1" applyBorder="1" applyAlignment="1">
      <alignment wrapText="1"/>
    </xf>
    <xf numFmtId="15" fontId="21" fillId="0" borderId="10" xfId="0" applyNumberFormat="1" applyFont="1" applyBorder="1"/>
    <xf numFmtId="0" fontId="21" fillId="0" borderId="10" xfId="0" applyFont="1" applyBorder="1"/>
    <xf numFmtId="16" fontId="21" fillId="0" borderId="10" xfId="0" applyNumberFormat="1" applyFont="1" applyBorder="1"/>
    <xf numFmtId="3" fontId="21" fillId="0" borderId="10" xfId="0" applyNumberFormat="1" applyFont="1" applyBorder="1"/>
    <xf numFmtId="0" fontId="21" fillId="0" borderId="10" xfId="0" applyFont="1" applyBorder="1" applyAlignment="1">
      <alignment wrapText="1"/>
    </xf>
    <xf numFmtId="164" fontId="22" fillId="0" borderId="10" xfId="0" applyNumberFormat="1" applyFont="1" applyBorder="1" applyAlignment="1">
      <alignment wrapText="1"/>
    </xf>
    <xf numFmtId="0" fontId="22" fillId="0" borderId="10" xfId="0" applyFont="1" applyBorder="1"/>
    <xf numFmtId="16" fontId="22" fillId="0" borderId="10" xfId="0" applyNumberFormat="1" applyFont="1" applyBorder="1"/>
    <xf numFmtId="3" fontId="22" fillId="0" borderId="10" xfId="0" applyNumberFormat="1" applyFont="1" applyBorder="1"/>
    <xf numFmtId="0" fontId="0" fillId="0" borderId="10" xfId="0" applyBorder="1"/>
    <xf numFmtId="43" fontId="0" fillId="0" borderId="10" xfId="1" applyFont="1" applyBorder="1"/>
    <xf numFmtId="0" fontId="23" fillId="0" borderId="10" xfId="0" applyFont="1" applyBorder="1" applyAlignment="1">
      <alignment wrapText="1"/>
    </xf>
    <xf numFmtId="0" fontId="23" fillId="0" borderId="10" xfId="0" applyFont="1" applyBorder="1"/>
    <xf numFmtId="164" fontId="23" fillId="0" borderId="10" xfId="0" applyNumberFormat="1" applyFont="1" applyBorder="1" applyAlignment="1">
      <alignment wrapText="1"/>
    </xf>
    <xf numFmtId="16" fontId="23" fillId="0" borderId="10" xfId="0" applyNumberFormat="1" applyFont="1" applyBorder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1CFD7-119D-4D6B-AC18-F20D6D327461}">
  <dimension ref="A1:J398"/>
  <sheetViews>
    <sheetView topLeftCell="A357" zoomScale="85" zoomScaleNormal="85" workbookViewId="0">
      <selection activeCell="E12" sqref="E12:H396"/>
    </sheetView>
  </sheetViews>
  <sheetFormatPr defaultRowHeight="15" x14ac:dyDescent="0.25"/>
  <cols>
    <col min="1" max="1" width="32.7109375" bestFit="1" customWidth="1"/>
    <col min="2" max="2" width="94.85546875" bestFit="1" customWidth="1"/>
    <col min="3" max="3" width="14.5703125" bestFit="1" customWidth="1"/>
    <col min="4" max="4" width="46" bestFit="1" customWidth="1"/>
    <col min="5" max="5" width="16" bestFit="1" customWidth="1"/>
    <col min="6" max="6" width="13.140625" bestFit="1" customWidth="1"/>
    <col min="7" max="7" width="18.42578125" bestFit="1" customWidth="1"/>
    <col min="8" max="8" width="11.5703125" bestFit="1" customWidth="1"/>
    <col min="9" max="10" width="7.85546875" bestFit="1" customWidth="1"/>
  </cols>
  <sheetData>
    <row r="1" spans="1:10" x14ac:dyDescent="0.25">
      <c r="A1" t="s">
        <v>0</v>
      </c>
      <c r="B1" t="s">
        <v>1</v>
      </c>
      <c r="C1" s="1">
        <v>45958</v>
      </c>
      <c r="D1" s="2">
        <v>0.42810185185185184</v>
      </c>
      <c r="E1" t="s">
        <v>2</v>
      </c>
      <c r="F1">
        <v>1</v>
      </c>
      <c r="G1" t="s">
        <v>3</v>
      </c>
      <c r="H1" s="1">
        <v>45958</v>
      </c>
      <c r="I1" t="s">
        <v>4</v>
      </c>
      <c r="J1" t="s">
        <v>5</v>
      </c>
    </row>
    <row r="2" spans="1:10" x14ac:dyDescent="0.25">
      <c r="A2" t="s">
        <v>6</v>
      </c>
    </row>
    <row r="3" spans="1:10" x14ac:dyDescent="0.25">
      <c r="A3" t="s">
        <v>7</v>
      </c>
    </row>
    <row r="4" spans="1:10" x14ac:dyDescent="0.25">
      <c r="A4" t="s">
        <v>8</v>
      </c>
      <c r="B4" t="s">
        <v>9</v>
      </c>
      <c r="C4" t="s">
        <v>10</v>
      </c>
      <c r="D4" t="s">
        <v>11</v>
      </c>
      <c r="E4" t="s">
        <v>10</v>
      </c>
    </row>
    <row r="5" spans="1:10" x14ac:dyDescent="0.25">
      <c r="A5" t="s">
        <v>12</v>
      </c>
      <c r="B5" t="s">
        <v>10</v>
      </c>
      <c r="C5" t="s">
        <v>13</v>
      </c>
      <c r="D5" t="s">
        <v>14</v>
      </c>
      <c r="E5" t="s">
        <v>15</v>
      </c>
      <c r="F5" t="s">
        <v>10</v>
      </c>
      <c r="G5" t="s">
        <v>16</v>
      </c>
      <c r="H5" t="s">
        <v>10</v>
      </c>
    </row>
    <row r="6" spans="1:10" x14ac:dyDescent="0.25">
      <c r="A6" t="s">
        <v>17</v>
      </c>
      <c r="B6" t="s">
        <v>10</v>
      </c>
    </row>
    <row r="7" spans="1:10" x14ac:dyDescent="0.25">
      <c r="A7" t="s">
        <v>18</v>
      </c>
      <c r="B7" t="s">
        <v>19</v>
      </c>
      <c r="C7" t="s">
        <v>20</v>
      </c>
      <c r="D7" t="s">
        <v>21</v>
      </c>
      <c r="E7" t="s">
        <v>22</v>
      </c>
      <c r="F7" t="s">
        <v>23</v>
      </c>
    </row>
    <row r="8" spans="1:10" x14ac:dyDescent="0.25">
      <c r="A8" t="s">
        <v>24</v>
      </c>
      <c r="B8" t="s">
        <v>25</v>
      </c>
      <c r="C8" t="s">
        <v>25</v>
      </c>
      <c r="D8" t="s">
        <v>26</v>
      </c>
      <c r="E8" s="1">
        <v>45958</v>
      </c>
    </row>
    <row r="9" spans="1:10" x14ac:dyDescent="0.25">
      <c r="A9" t="s">
        <v>27</v>
      </c>
    </row>
    <row r="10" spans="1:10" x14ac:dyDescent="0.25">
      <c r="A10" t="s">
        <v>9</v>
      </c>
      <c r="B10">
        <v>1181057</v>
      </c>
      <c r="C10" t="s">
        <v>28</v>
      </c>
      <c r="D10" t="s">
        <v>29</v>
      </c>
      <c r="E10" t="s">
        <v>12</v>
      </c>
      <c r="F10" t="s">
        <v>30</v>
      </c>
      <c r="G10" t="s">
        <v>11</v>
      </c>
    </row>
    <row r="11" spans="1:10" x14ac:dyDescent="0.25">
      <c r="A11" t="s">
        <v>31</v>
      </c>
      <c r="B11" t="s">
        <v>32</v>
      </c>
      <c r="C11" t="s">
        <v>33</v>
      </c>
      <c r="D11" t="s">
        <v>34</v>
      </c>
      <c r="E11" t="s">
        <v>35</v>
      </c>
    </row>
    <row r="12" spans="1:10" x14ac:dyDescent="0.25">
      <c r="A12" t="s">
        <v>36</v>
      </c>
      <c r="B12">
        <v>2</v>
      </c>
      <c r="C12" t="s">
        <v>37</v>
      </c>
      <c r="D12" s="3">
        <v>5070.33</v>
      </c>
      <c r="E12" s="3">
        <v>0</v>
      </c>
      <c r="F12" s="3">
        <v>2581.83</v>
      </c>
      <c r="G12" s="3">
        <v>2488.5</v>
      </c>
      <c r="H12" s="3">
        <v>0</v>
      </c>
      <c r="I12" s="4" t="str">
        <f>IF(C10="Name:",D10,"")</f>
        <v>1181057 Alberta Ltd.</v>
      </c>
      <c r="J12" s="4">
        <f>IF(C10="Name:",B10,"")</f>
        <v>1181057</v>
      </c>
    </row>
    <row r="13" spans="1:10" x14ac:dyDescent="0.25">
      <c r="A13" t="s">
        <v>9</v>
      </c>
      <c r="B13" t="s">
        <v>38</v>
      </c>
      <c r="C13" t="s">
        <v>28</v>
      </c>
      <c r="D13" t="s">
        <v>39</v>
      </c>
      <c r="E13" t="s">
        <v>12</v>
      </c>
      <c r="F13" t="s">
        <v>40</v>
      </c>
      <c r="G13" t="s">
        <v>11</v>
      </c>
      <c r="I13" s="4" t="str">
        <f t="shared" ref="I13:I76" si="0">IF(C11="Name:",D11,"")</f>
        <v/>
      </c>
      <c r="J13" s="4" t="str">
        <f t="shared" ref="J13:J76" si="1">IF(C11="Name:",B11,"")</f>
        <v/>
      </c>
    </row>
    <row r="14" spans="1:10" x14ac:dyDescent="0.25">
      <c r="A14" t="s">
        <v>31</v>
      </c>
      <c r="B14" t="s">
        <v>32</v>
      </c>
      <c r="C14" t="s">
        <v>33</v>
      </c>
      <c r="D14" t="s">
        <v>34</v>
      </c>
      <c r="E14" t="s">
        <v>35</v>
      </c>
      <c r="I14" s="4" t="str">
        <f t="shared" si="0"/>
        <v/>
      </c>
      <c r="J14" s="4" t="str">
        <f t="shared" si="1"/>
        <v/>
      </c>
    </row>
    <row r="15" spans="1:10" x14ac:dyDescent="0.25">
      <c r="A15" t="s">
        <v>36</v>
      </c>
      <c r="B15">
        <v>1</v>
      </c>
      <c r="C15" t="s">
        <v>37</v>
      </c>
      <c r="D15" s="3">
        <v>2897</v>
      </c>
      <c r="E15" s="3">
        <v>0</v>
      </c>
      <c r="F15" s="3">
        <v>2897</v>
      </c>
      <c r="G15" s="3">
        <v>0</v>
      </c>
      <c r="H15" s="3">
        <v>0</v>
      </c>
      <c r="I15" s="4" t="str">
        <f t="shared" si="0"/>
        <v>15459354 Canada (NiaHealth)</v>
      </c>
      <c r="J15" s="4" t="str">
        <f t="shared" si="1"/>
        <v>NIAHEALTH</v>
      </c>
    </row>
    <row r="16" spans="1:10" x14ac:dyDescent="0.25">
      <c r="A16" t="s">
        <v>9</v>
      </c>
      <c r="B16">
        <v>1870351</v>
      </c>
      <c r="C16" t="s">
        <v>28</v>
      </c>
      <c r="D16" t="s">
        <v>41</v>
      </c>
      <c r="E16" t="s">
        <v>12</v>
      </c>
      <c r="F16" t="s">
        <v>30</v>
      </c>
      <c r="G16" t="s">
        <v>11</v>
      </c>
      <c r="I16" s="4" t="str">
        <f t="shared" si="0"/>
        <v/>
      </c>
      <c r="J16" s="4" t="str">
        <f t="shared" si="1"/>
        <v/>
      </c>
    </row>
    <row r="17" spans="1:10" x14ac:dyDescent="0.25">
      <c r="A17" t="s">
        <v>31</v>
      </c>
      <c r="B17" t="s">
        <v>32</v>
      </c>
      <c r="C17" t="s">
        <v>33</v>
      </c>
      <c r="D17" t="s">
        <v>34</v>
      </c>
      <c r="E17" t="s">
        <v>35</v>
      </c>
      <c r="I17" s="4" t="str">
        <f t="shared" si="0"/>
        <v/>
      </c>
      <c r="J17" s="4" t="str">
        <f t="shared" si="1"/>
        <v/>
      </c>
    </row>
    <row r="18" spans="1:10" x14ac:dyDescent="0.25">
      <c r="A18" t="s">
        <v>36</v>
      </c>
      <c r="B18">
        <v>1</v>
      </c>
      <c r="C18" t="s">
        <v>37</v>
      </c>
      <c r="D18" s="3">
        <v>5528.53</v>
      </c>
      <c r="E18" s="3">
        <v>0</v>
      </c>
      <c r="F18" s="3">
        <v>0</v>
      </c>
      <c r="G18" s="3">
        <v>5528.53</v>
      </c>
      <c r="H18" s="3">
        <v>0</v>
      </c>
      <c r="I18" s="4" t="str">
        <f t="shared" si="0"/>
        <v>1870351 Alberta Ltd c/o Mc Cor Managemen</v>
      </c>
      <c r="J18" s="4">
        <f t="shared" si="1"/>
        <v>1870351</v>
      </c>
    </row>
    <row r="19" spans="1:10" x14ac:dyDescent="0.25">
      <c r="A19" t="s">
        <v>9</v>
      </c>
      <c r="B19">
        <v>6069321</v>
      </c>
      <c r="C19" t="s">
        <v>28</v>
      </c>
      <c r="D19" t="s">
        <v>42</v>
      </c>
      <c r="E19" t="s">
        <v>12</v>
      </c>
      <c r="F19" t="s">
        <v>43</v>
      </c>
      <c r="G19" t="s">
        <v>11</v>
      </c>
      <c r="I19" s="4" t="str">
        <f t="shared" si="0"/>
        <v/>
      </c>
      <c r="J19" s="4" t="str">
        <f t="shared" si="1"/>
        <v/>
      </c>
    </row>
    <row r="20" spans="1:10" x14ac:dyDescent="0.25">
      <c r="A20" t="s">
        <v>31</v>
      </c>
      <c r="B20" t="s">
        <v>32</v>
      </c>
      <c r="C20" t="s">
        <v>33</v>
      </c>
      <c r="D20" t="s">
        <v>34</v>
      </c>
      <c r="E20" t="s">
        <v>35</v>
      </c>
      <c r="I20" s="4" t="str">
        <f t="shared" si="0"/>
        <v/>
      </c>
      <c r="J20" s="4" t="str">
        <f t="shared" si="1"/>
        <v/>
      </c>
    </row>
    <row r="21" spans="1:10" x14ac:dyDescent="0.25">
      <c r="A21" t="s">
        <v>36</v>
      </c>
      <c r="B21">
        <v>1</v>
      </c>
      <c r="C21" t="s">
        <v>37</v>
      </c>
      <c r="D21" s="3">
        <v>8400</v>
      </c>
      <c r="E21" s="3">
        <v>0</v>
      </c>
      <c r="F21" s="3">
        <v>0</v>
      </c>
      <c r="G21" s="3">
        <v>8400</v>
      </c>
      <c r="H21" s="3">
        <v>0</v>
      </c>
      <c r="I21" s="4" t="str">
        <f t="shared" si="0"/>
        <v>6069321 CANADA INC</v>
      </c>
      <c r="J21" s="4">
        <f t="shared" si="1"/>
        <v>6069321</v>
      </c>
    </row>
    <row r="22" spans="1:10" x14ac:dyDescent="0.25">
      <c r="A22" t="s">
        <v>9</v>
      </c>
      <c r="B22">
        <v>951725</v>
      </c>
      <c r="C22" t="s">
        <v>28</v>
      </c>
      <c r="D22" t="s">
        <v>44</v>
      </c>
      <c r="E22" t="s">
        <v>12</v>
      </c>
      <c r="F22" t="s">
        <v>30</v>
      </c>
      <c r="G22" t="s">
        <v>11</v>
      </c>
      <c r="I22" s="4" t="str">
        <f t="shared" si="0"/>
        <v/>
      </c>
      <c r="J22" s="4" t="str">
        <f t="shared" si="1"/>
        <v/>
      </c>
    </row>
    <row r="23" spans="1:10" x14ac:dyDescent="0.25">
      <c r="A23" t="s">
        <v>31</v>
      </c>
      <c r="B23" t="s">
        <v>32</v>
      </c>
      <c r="C23" t="s">
        <v>33</v>
      </c>
      <c r="D23" t="s">
        <v>34</v>
      </c>
      <c r="E23" t="s">
        <v>35</v>
      </c>
      <c r="I23" s="4" t="str">
        <f t="shared" si="0"/>
        <v/>
      </c>
      <c r="J23" s="4" t="str">
        <f t="shared" si="1"/>
        <v/>
      </c>
    </row>
    <row r="24" spans="1:10" x14ac:dyDescent="0.25">
      <c r="A24" t="s">
        <v>36</v>
      </c>
      <c r="B24">
        <v>1</v>
      </c>
      <c r="C24" t="s">
        <v>37</v>
      </c>
      <c r="D24" s="3">
        <v>11090.1</v>
      </c>
      <c r="E24" s="3">
        <v>0</v>
      </c>
      <c r="F24" s="3">
        <v>0</v>
      </c>
      <c r="G24" s="3">
        <v>0</v>
      </c>
      <c r="H24" s="3">
        <v>11090.1</v>
      </c>
      <c r="I24" s="4" t="str">
        <f t="shared" si="0"/>
        <v>951725 Alberta Ltd.</v>
      </c>
      <c r="J24" s="4">
        <f t="shared" si="1"/>
        <v>951725</v>
      </c>
    </row>
    <row r="25" spans="1:10" x14ac:dyDescent="0.25">
      <c r="A25" t="s">
        <v>9</v>
      </c>
      <c r="B25" t="s">
        <v>45</v>
      </c>
      <c r="C25" t="s">
        <v>28</v>
      </c>
      <c r="D25" t="s">
        <v>46</v>
      </c>
      <c r="E25" t="s">
        <v>12</v>
      </c>
      <c r="F25" t="s">
        <v>40</v>
      </c>
      <c r="G25" t="s">
        <v>11</v>
      </c>
      <c r="I25" s="4" t="str">
        <f t="shared" si="0"/>
        <v/>
      </c>
      <c r="J25" s="4" t="str">
        <f t="shared" si="1"/>
        <v/>
      </c>
    </row>
    <row r="26" spans="1:10" x14ac:dyDescent="0.25">
      <c r="A26" t="s">
        <v>31</v>
      </c>
      <c r="B26" t="s">
        <v>32</v>
      </c>
      <c r="C26" t="s">
        <v>33</v>
      </c>
      <c r="D26" t="s">
        <v>34</v>
      </c>
      <c r="E26" t="s">
        <v>35</v>
      </c>
      <c r="I26" s="4" t="str">
        <f t="shared" si="0"/>
        <v/>
      </c>
      <c r="J26" s="4" t="str">
        <f t="shared" si="1"/>
        <v/>
      </c>
    </row>
    <row r="27" spans="1:10" x14ac:dyDescent="0.25">
      <c r="A27" t="s">
        <v>36</v>
      </c>
      <c r="B27">
        <v>4</v>
      </c>
      <c r="C27" t="s">
        <v>37</v>
      </c>
      <c r="D27" s="3">
        <v>2125.6</v>
      </c>
      <c r="E27" s="3">
        <v>0</v>
      </c>
      <c r="F27" s="3">
        <v>0</v>
      </c>
      <c r="G27" s="3">
        <v>1901.95</v>
      </c>
      <c r="H27" s="3">
        <v>223.65</v>
      </c>
      <c r="I27" s="4" t="str">
        <f t="shared" si="0"/>
        <v>ADT SECURITY SERVICES  CANADA</v>
      </c>
      <c r="J27" s="4" t="str">
        <f t="shared" si="1"/>
        <v>TELUS(ADT)</v>
      </c>
    </row>
    <row r="28" spans="1:10" x14ac:dyDescent="0.25">
      <c r="A28" t="s">
        <v>9</v>
      </c>
      <c r="B28" t="s">
        <v>47</v>
      </c>
      <c r="C28" t="s">
        <v>28</v>
      </c>
      <c r="D28" t="s">
        <v>48</v>
      </c>
      <c r="E28" t="s">
        <v>12</v>
      </c>
      <c r="F28" t="s">
        <v>49</v>
      </c>
      <c r="G28" t="s">
        <v>11</v>
      </c>
      <c r="I28" s="4" t="str">
        <f t="shared" si="0"/>
        <v/>
      </c>
      <c r="J28" s="4" t="str">
        <f t="shared" si="1"/>
        <v/>
      </c>
    </row>
    <row r="29" spans="1:10" x14ac:dyDescent="0.25">
      <c r="A29" t="s">
        <v>31</v>
      </c>
      <c r="B29" t="s">
        <v>32</v>
      </c>
      <c r="C29" t="s">
        <v>33</v>
      </c>
      <c r="D29" t="s">
        <v>34</v>
      </c>
      <c r="E29" t="s">
        <v>35</v>
      </c>
      <c r="I29" s="4" t="str">
        <f t="shared" si="0"/>
        <v/>
      </c>
      <c r="J29" s="4" t="str">
        <f t="shared" si="1"/>
        <v/>
      </c>
    </row>
    <row r="30" spans="1:10" x14ac:dyDescent="0.25">
      <c r="A30" t="s">
        <v>36</v>
      </c>
      <c r="B30">
        <v>1</v>
      </c>
      <c r="C30" t="s">
        <v>37</v>
      </c>
      <c r="D30" s="3">
        <v>1.71</v>
      </c>
      <c r="E30" s="3">
        <v>0</v>
      </c>
      <c r="F30" s="3">
        <v>0</v>
      </c>
      <c r="G30" s="3">
        <v>0</v>
      </c>
      <c r="H30" s="3">
        <v>1.71</v>
      </c>
      <c r="I30" s="4" t="str">
        <f t="shared" si="0"/>
        <v>Aquatera Utilities Inc.</v>
      </c>
      <c r="J30" s="4" t="str">
        <f t="shared" si="1"/>
        <v>AQUATE</v>
      </c>
    </row>
    <row r="31" spans="1:10" x14ac:dyDescent="0.25">
      <c r="A31" t="s">
        <v>9</v>
      </c>
      <c r="B31" t="s">
        <v>50</v>
      </c>
      <c r="C31" t="s">
        <v>28</v>
      </c>
      <c r="D31" t="s">
        <v>51</v>
      </c>
      <c r="E31" t="s">
        <v>12</v>
      </c>
      <c r="F31" t="s">
        <v>40</v>
      </c>
      <c r="G31" t="s">
        <v>11</v>
      </c>
      <c r="I31" s="4" t="str">
        <f t="shared" si="0"/>
        <v/>
      </c>
      <c r="J31" s="4" t="str">
        <f t="shared" si="1"/>
        <v/>
      </c>
    </row>
    <row r="32" spans="1:10" x14ac:dyDescent="0.25">
      <c r="A32" t="s">
        <v>31</v>
      </c>
      <c r="B32" t="s">
        <v>32</v>
      </c>
      <c r="C32" t="s">
        <v>33</v>
      </c>
      <c r="D32" t="s">
        <v>34</v>
      </c>
      <c r="E32" t="s">
        <v>35</v>
      </c>
      <c r="I32" s="4" t="str">
        <f t="shared" si="0"/>
        <v/>
      </c>
      <c r="J32" s="4" t="str">
        <f t="shared" si="1"/>
        <v/>
      </c>
    </row>
    <row r="33" spans="1:10" x14ac:dyDescent="0.25">
      <c r="A33" t="s">
        <v>36</v>
      </c>
      <c r="B33">
        <v>2</v>
      </c>
      <c r="C33" t="s">
        <v>37</v>
      </c>
      <c r="D33" s="3">
        <v>6250.65</v>
      </c>
      <c r="E33" s="3">
        <v>0</v>
      </c>
      <c r="F33" s="3">
        <v>0</v>
      </c>
      <c r="G33" s="3">
        <v>5830.65</v>
      </c>
      <c r="H33" s="3">
        <v>420</v>
      </c>
      <c r="I33" s="4" t="str">
        <f t="shared" si="0"/>
        <v>ARTTEC SIGNS</v>
      </c>
      <c r="J33" s="4" t="str">
        <f t="shared" si="1"/>
        <v>ARTADV</v>
      </c>
    </row>
    <row r="34" spans="1:10" x14ac:dyDescent="0.25">
      <c r="A34" t="s">
        <v>9</v>
      </c>
      <c r="B34" t="s">
        <v>52</v>
      </c>
      <c r="C34" t="s">
        <v>28</v>
      </c>
      <c r="D34" t="s">
        <v>53</v>
      </c>
      <c r="E34" t="s">
        <v>12</v>
      </c>
      <c r="F34" t="s">
        <v>49</v>
      </c>
      <c r="G34" t="s">
        <v>11</v>
      </c>
      <c r="I34" s="4" t="str">
        <f t="shared" si="0"/>
        <v/>
      </c>
      <c r="J34" s="4" t="str">
        <f t="shared" si="1"/>
        <v/>
      </c>
    </row>
    <row r="35" spans="1:10" x14ac:dyDescent="0.25">
      <c r="A35" t="s">
        <v>31</v>
      </c>
      <c r="B35" t="s">
        <v>32</v>
      </c>
      <c r="C35" t="s">
        <v>33</v>
      </c>
      <c r="D35" t="s">
        <v>34</v>
      </c>
      <c r="E35" t="s">
        <v>35</v>
      </c>
      <c r="I35" s="4" t="str">
        <f t="shared" si="0"/>
        <v/>
      </c>
      <c r="J35" s="4" t="str">
        <f t="shared" si="1"/>
        <v/>
      </c>
    </row>
    <row r="36" spans="1:10" x14ac:dyDescent="0.25">
      <c r="A36" t="s">
        <v>36</v>
      </c>
      <c r="B36">
        <v>4</v>
      </c>
      <c r="C36" t="s">
        <v>37</v>
      </c>
      <c r="D36" s="3">
        <v>175.96</v>
      </c>
      <c r="E36" s="3">
        <v>0</v>
      </c>
      <c r="F36" s="3">
        <v>0</v>
      </c>
      <c r="G36" s="3">
        <v>0</v>
      </c>
      <c r="H36" s="3">
        <v>175.96</v>
      </c>
      <c r="I36" s="4" t="str">
        <f t="shared" si="0"/>
        <v>BC Hydro Acc 9297</v>
      </c>
      <c r="J36" s="4" t="str">
        <f t="shared" si="1"/>
        <v>BCH9297</v>
      </c>
    </row>
    <row r="37" spans="1:10" x14ac:dyDescent="0.25">
      <c r="A37" t="s">
        <v>9</v>
      </c>
      <c r="B37" t="s">
        <v>54</v>
      </c>
      <c r="C37" t="s">
        <v>28</v>
      </c>
      <c r="D37" t="s">
        <v>55</v>
      </c>
      <c r="E37" t="s">
        <v>12</v>
      </c>
      <c r="F37" t="s">
        <v>49</v>
      </c>
      <c r="G37" t="s">
        <v>11</v>
      </c>
      <c r="I37" s="4" t="str">
        <f t="shared" si="0"/>
        <v/>
      </c>
      <c r="J37" s="4" t="str">
        <f t="shared" si="1"/>
        <v/>
      </c>
    </row>
    <row r="38" spans="1:10" x14ac:dyDescent="0.25">
      <c r="A38" t="s">
        <v>31</v>
      </c>
      <c r="B38" t="s">
        <v>32</v>
      </c>
      <c r="C38" t="s">
        <v>33</v>
      </c>
      <c r="D38" t="s">
        <v>34</v>
      </c>
      <c r="E38" t="s">
        <v>35</v>
      </c>
      <c r="I38" s="4" t="str">
        <f t="shared" si="0"/>
        <v/>
      </c>
      <c r="J38" s="4" t="str">
        <f t="shared" si="1"/>
        <v/>
      </c>
    </row>
    <row r="39" spans="1:10" x14ac:dyDescent="0.25">
      <c r="A39" t="s">
        <v>36</v>
      </c>
      <c r="B39">
        <v>1</v>
      </c>
      <c r="C39" t="s">
        <v>37</v>
      </c>
      <c r="D39" s="3">
        <v>-273.12</v>
      </c>
      <c r="E39" s="3">
        <v>0</v>
      </c>
      <c r="F39" s="3">
        <v>0</v>
      </c>
      <c r="G39" s="3">
        <v>0</v>
      </c>
      <c r="H39" s="3">
        <v>-273.12</v>
      </c>
      <c r="I39" s="4" t="str">
        <f t="shared" si="0"/>
        <v>BC Hydro ACC9441</v>
      </c>
      <c r="J39" s="4" t="str">
        <f t="shared" si="1"/>
        <v>BCH9441</v>
      </c>
    </row>
    <row r="40" spans="1:10" x14ac:dyDescent="0.25">
      <c r="A40" t="s">
        <v>9</v>
      </c>
      <c r="B40" t="s">
        <v>56</v>
      </c>
      <c r="C40" t="s">
        <v>28</v>
      </c>
      <c r="D40" t="s">
        <v>57</v>
      </c>
      <c r="E40" t="s">
        <v>12</v>
      </c>
      <c r="F40" t="s">
        <v>30</v>
      </c>
      <c r="G40" t="s">
        <v>11</v>
      </c>
      <c r="I40" s="4" t="str">
        <f t="shared" si="0"/>
        <v/>
      </c>
      <c r="J40" s="4" t="str">
        <f t="shared" si="1"/>
        <v/>
      </c>
    </row>
    <row r="41" spans="1:10" x14ac:dyDescent="0.25">
      <c r="A41" t="s">
        <v>31</v>
      </c>
      <c r="B41" t="s">
        <v>32</v>
      </c>
      <c r="C41" t="s">
        <v>33</v>
      </c>
      <c r="D41" t="s">
        <v>34</v>
      </c>
      <c r="E41" t="s">
        <v>35</v>
      </c>
      <c r="I41" s="4" t="str">
        <f t="shared" si="0"/>
        <v/>
      </c>
      <c r="J41" s="4" t="str">
        <f t="shared" si="1"/>
        <v/>
      </c>
    </row>
    <row r="42" spans="1:10" x14ac:dyDescent="0.25">
      <c r="A42" t="s">
        <v>36</v>
      </c>
      <c r="B42">
        <v>1</v>
      </c>
      <c r="C42" t="s">
        <v>37</v>
      </c>
      <c r="D42" s="3">
        <v>2930.61</v>
      </c>
      <c r="E42" s="3">
        <v>0</v>
      </c>
      <c r="F42" s="3">
        <v>0</v>
      </c>
      <c r="G42" s="3">
        <v>2930.61</v>
      </c>
      <c r="H42" s="3">
        <v>0</v>
      </c>
      <c r="I42" s="4" t="str">
        <f t="shared" si="0"/>
        <v>Black Tower Investments Corp.</v>
      </c>
      <c r="J42" s="4" t="str">
        <f t="shared" si="1"/>
        <v>BLATOW</v>
      </c>
    </row>
    <row r="43" spans="1:10" x14ac:dyDescent="0.25">
      <c r="A43" t="s">
        <v>9</v>
      </c>
      <c r="B43" t="s">
        <v>58</v>
      </c>
      <c r="C43" t="s">
        <v>28</v>
      </c>
      <c r="D43" t="s">
        <v>59</v>
      </c>
      <c r="E43" t="s">
        <v>12</v>
      </c>
      <c r="F43" t="s">
        <v>40</v>
      </c>
      <c r="G43" t="s">
        <v>11</v>
      </c>
      <c r="I43" s="4" t="str">
        <f t="shared" si="0"/>
        <v/>
      </c>
      <c r="J43" s="4" t="str">
        <f t="shared" si="1"/>
        <v/>
      </c>
    </row>
    <row r="44" spans="1:10" x14ac:dyDescent="0.25">
      <c r="A44" t="s">
        <v>31</v>
      </c>
      <c r="B44" t="s">
        <v>32</v>
      </c>
      <c r="C44" t="s">
        <v>33</v>
      </c>
      <c r="D44" t="s">
        <v>34</v>
      </c>
      <c r="E44" t="s">
        <v>35</v>
      </c>
      <c r="I44" s="4" t="str">
        <f t="shared" si="0"/>
        <v/>
      </c>
      <c r="J44" s="4" t="str">
        <f t="shared" si="1"/>
        <v/>
      </c>
    </row>
    <row r="45" spans="1:10" x14ac:dyDescent="0.25">
      <c r="A45" t="s">
        <v>36</v>
      </c>
      <c r="B45">
        <v>1</v>
      </c>
      <c r="C45" t="s">
        <v>37</v>
      </c>
      <c r="D45" s="3">
        <v>-57.75</v>
      </c>
      <c r="E45" s="3">
        <v>0</v>
      </c>
      <c r="F45" s="3">
        <v>0</v>
      </c>
      <c r="G45" s="3">
        <v>0</v>
      </c>
      <c r="H45" s="3">
        <v>-57.75</v>
      </c>
      <c r="I45" s="4" t="str">
        <f t="shared" si="0"/>
        <v>BLU PLANET RECYCLING INC</v>
      </c>
      <c r="J45" s="4" t="str">
        <f t="shared" si="1"/>
        <v>BLUPLA</v>
      </c>
    </row>
    <row r="46" spans="1:10" x14ac:dyDescent="0.25">
      <c r="A46" t="s">
        <v>9</v>
      </c>
      <c r="B46" t="s">
        <v>60</v>
      </c>
      <c r="C46" t="s">
        <v>28</v>
      </c>
      <c r="D46" t="s">
        <v>61</v>
      </c>
      <c r="E46" t="s">
        <v>12</v>
      </c>
      <c r="F46" t="s">
        <v>40</v>
      </c>
      <c r="G46" t="s">
        <v>11</v>
      </c>
      <c r="I46" s="4" t="str">
        <f t="shared" si="0"/>
        <v/>
      </c>
      <c r="J46" s="4" t="str">
        <f t="shared" si="1"/>
        <v/>
      </c>
    </row>
    <row r="47" spans="1:10" x14ac:dyDescent="0.25">
      <c r="A47" t="s">
        <v>31</v>
      </c>
      <c r="B47" t="s">
        <v>32</v>
      </c>
      <c r="C47" t="s">
        <v>33</v>
      </c>
      <c r="D47" t="s">
        <v>34</v>
      </c>
      <c r="E47" t="s">
        <v>35</v>
      </c>
      <c r="I47" s="4" t="str">
        <f t="shared" si="0"/>
        <v/>
      </c>
      <c r="J47" s="4" t="str">
        <f t="shared" si="1"/>
        <v/>
      </c>
    </row>
    <row r="48" spans="1:10" x14ac:dyDescent="0.25">
      <c r="A48" t="s">
        <v>36</v>
      </c>
      <c r="B48">
        <v>2</v>
      </c>
      <c r="C48" t="s">
        <v>37</v>
      </c>
      <c r="D48" s="3">
        <v>962.07</v>
      </c>
      <c r="E48" s="3">
        <v>56.44</v>
      </c>
      <c r="F48" s="3">
        <v>0</v>
      </c>
      <c r="G48" s="3">
        <v>905.63</v>
      </c>
      <c r="H48" s="3">
        <v>0</v>
      </c>
      <c r="I48" s="4" t="str">
        <f t="shared" si="0"/>
        <v>CALLOW &amp; ASSOCIATES MANAGEMENT CONSULTAN</v>
      </c>
      <c r="J48" s="4" t="str">
        <f t="shared" si="1"/>
        <v>CALLASS</v>
      </c>
    </row>
    <row r="49" spans="1:10" x14ac:dyDescent="0.25">
      <c r="A49" t="s">
        <v>9</v>
      </c>
      <c r="B49" t="s">
        <v>62</v>
      </c>
      <c r="C49" t="s">
        <v>28</v>
      </c>
      <c r="D49" t="s">
        <v>63</v>
      </c>
      <c r="E49" t="s">
        <v>12</v>
      </c>
      <c r="F49" t="s">
        <v>64</v>
      </c>
      <c r="G49" t="s">
        <v>11</v>
      </c>
      <c r="I49" s="4" t="str">
        <f t="shared" si="0"/>
        <v/>
      </c>
      <c r="J49" s="4" t="str">
        <f t="shared" si="1"/>
        <v/>
      </c>
    </row>
    <row r="50" spans="1:10" x14ac:dyDescent="0.25">
      <c r="A50" t="s">
        <v>31</v>
      </c>
      <c r="B50" t="s">
        <v>32</v>
      </c>
      <c r="C50" t="s">
        <v>33</v>
      </c>
      <c r="D50" t="s">
        <v>34</v>
      </c>
      <c r="E50" t="s">
        <v>35</v>
      </c>
      <c r="I50" s="4" t="str">
        <f t="shared" si="0"/>
        <v/>
      </c>
      <c r="J50" s="4" t="str">
        <f t="shared" si="1"/>
        <v/>
      </c>
    </row>
    <row r="51" spans="1:10" x14ac:dyDescent="0.25">
      <c r="A51" t="s">
        <v>36</v>
      </c>
      <c r="B51">
        <v>3</v>
      </c>
      <c r="C51" t="s">
        <v>37</v>
      </c>
      <c r="D51" s="3">
        <v>10435.94</v>
      </c>
      <c r="E51" s="3">
        <v>5227.5</v>
      </c>
      <c r="F51" s="3">
        <v>5153.25</v>
      </c>
      <c r="G51" s="3">
        <v>55.19</v>
      </c>
      <c r="H51" s="3">
        <v>0</v>
      </c>
      <c r="I51" s="4" t="str">
        <f t="shared" si="0"/>
        <v>Carmel Solutions LLC</v>
      </c>
      <c r="J51" s="4" t="str">
        <f t="shared" si="1"/>
        <v>CARSOL</v>
      </c>
    </row>
    <row r="52" spans="1:10" x14ac:dyDescent="0.25">
      <c r="A52" t="s">
        <v>9</v>
      </c>
      <c r="B52" t="s">
        <v>65</v>
      </c>
      <c r="C52" t="s">
        <v>28</v>
      </c>
      <c r="D52" t="s">
        <v>66</v>
      </c>
      <c r="E52" t="s">
        <v>12</v>
      </c>
      <c r="F52" t="s">
        <v>43</v>
      </c>
      <c r="G52" t="s">
        <v>11</v>
      </c>
      <c r="I52" s="4" t="str">
        <f t="shared" si="0"/>
        <v/>
      </c>
      <c r="J52" s="4" t="str">
        <f t="shared" si="1"/>
        <v/>
      </c>
    </row>
    <row r="53" spans="1:10" x14ac:dyDescent="0.25">
      <c r="A53" t="s">
        <v>31</v>
      </c>
      <c r="B53" t="s">
        <v>32</v>
      </c>
      <c r="C53" t="s">
        <v>33</v>
      </c>
      <c r="D53" t="s">
        <v>34</v>
      </c>
      <c r="E53" t="s">
        <v>35</v>
      </c>
      <c r="I53" s="4" t="str">
        <f t="shared" si="0"/>
        <v/>
      </c>
      <c r="J53" s="4" t="str">
        <f t="shared" si="1"/>
        <v/>
      </c>
    </row>
    <row r="54" spans="1:10" x14ac:dyDescent="0.25">
      <c r="A54" t="s">
        <v>36</v>
      </c>
      <c r="B54">
        <v>1</v>
      </c>
      <c r="C54" t="s">
        <v>37</v>
      </c>
      <c r="D54" s="3">
        <v>257.25</v>
      </c>
      <c r="E54" s="3">
        <v>0</v>
      </c>
      <c r="F54" s="3">
        <v>0</v>
      </c>
      <c r="G54" s="3">
        <v>257.25</v>
      </c>
      <c r="H54" s="3">
        <v>0</v>
      </c>
      <c r="I54" s="4" t="str">
        <f t="shared" si="0"/>
        <v>Chalk Electrical Ltd.</v>
      </c>
      <c r="J54" s="4" t="str">
        <f t="shared" si="1"/>
        <v>CHAELE</v>
      </c>
    </row>
    <row r="55" spans="1:10" x14ac:dyDescent="0.25">
      <c r="A55" t="s">
        <v>9</v>
      </c>
      <c r="B55" t="s">
        <v>67</v>
      </c>
      <c r="C55" t="s">
        <v>28</v>
      </c>
      <c r="D55" t="s">
        <v>68</v>
      </c>
      <c r="E55" t="s">
        <v>12</v>
      </c>
      <c r="F55" t="s">
        <v>30</v>
      </c>
      <c r="G55" t="s">
        <v>11</v>
      </c>
      <c r="I55" s="4" t="str">
        <f t="shared" si="0"/>
        <v/>
      </c>
      <c r="J55" s="4" t="str">
        <f t="shared" si="1"/>
        <v/>
      </c>
    </row>
    <row r="56" spans="1:10" x14ac:dyDescent="0.25">
      <c r="A56" t="s">
        <v>31</v>
      </c>
      <c r="B56" t="s">
        <v>32</v>
      </c>
      <c r="C56" t="s">
        <v>33</v>
      </c>
      <c r="D56" t="s">
        <v>34</v>
      </c>
      <c r="E56" t="s">
        <v>35</v>
      </c>
      <c r="I56" s="4" t="str">
        <f t="shared" si="0"/>
        <v/>
      </c>
      <c r="J56" s="4" t="str">
        <f t="shared" si="1"/>
        <v/>
      </c>
    </row>
    <row r="57" spans="1:10" x14ac:dyDescent="0.25">
      <c r="A57" t="s">
        <v>36</v>
      </c>
      <c r="B57">
        <v>1</v>
      </c>
      <c r="C57" t="s">
        <v>37</v>
      </c>
      <c r="D57" s="3">
        <v>-1257.3599999999999</v>
      </c>
      <c r="E57" s="3">
        <v>0</v>
      </c>
      <c r="F57" s="3">
        <v>0</v>
      </c>
      <c r="G57" s="3">
        <v>0</v>
      </c>
      <c r="H57" s="3">
        <v>-1257.3599999999999</v>
      </c>
      <c r="I57" s="4" t="str">
        <f t="shared" si="0"/>
        <v>CIR Commercial Realty</v>
      </c>
      <c r="J57" s="4" t="str">
        <f t="shared" si="1"/>
        <v>CIRCOMM001</v>
      </c>
    </row>
    <row r="58" spans="1:10" x14ac:dyDescent="0.25">
      <c r="A58" t="s">
        <v>9</v>
      </c>
      <c r="B58" t="s">
        <v>69</v>
      </c>
      <c r="C58" t="s">
        <v>28</v>
      </c>
      <c r="D58" t="s">
        <v>70</v>
      </c>
      <c r="E58" t="s">
        <v>12</v>
      </c>
      <c r="F58" t="s">
        <v>49</v>
      </c>
      <c r="G58" t="s">
        <v>11</v>
      </c>
      <c r="I58" s="4" t="str">
        <f t="shared" si="0"/>
        <v/>
      </c>
      <c r="J58" s="4" t="str">
        <f t="shared" si="1"/>
        <v/>
      </c>
    </row>
    <row r="59" spans="1:10" x14ac:dyDescent="0.25">
      <c r="A59" t="s">
        <v>31</v>
      </c>
      <c r="B59" t="s">
        <v>32</v>
      </c>
      <c r="C59" t="s">
        <v>33</v>
      </c>
      <c r="D59" t="s">
        <v>34</v>
      </c>
      <c r="E59" t="s">
        <v>35</v>
      </c>
      <c r="I59" s="4" t="str">
        <f t="shared" si="0"/>
        <v/>
      </c>
      <c r="J59" s="4" t="str">
        <f t="shared" si="1"/>
        <v/>
      </c>
    </row>
    <row r="60" spans="1:10" x14ac:dyDescent="0.25">
      <c r="A60" t="s">
        <v>36</v>
      </c>
      <c r="B60">
        <v>1</v>
      </c>
      <c r="C60" t="s">
        <v>37</v>
      </c>
      <c r="D60" s="3">
        <v>92.63</v>
      </c>
      <c r="E60" s="3">
        <v>0</v>
      </c>
      <c r="F60" s="3">
        <v>0</v>
      </c>
      <c r="G60" s="3">
        <v>0</v>
      </c>
      <c r="H60" s="3">
        <v>92.63</v>
      </c>
      <c r="I60" s="4" t="str">
        <f t="shared" si="0"/>
        <v>CITY OF AIRDRIE</v>
      </c>
      <c r="J60" s="4" t="str">
        <f t="shared" si="1"/>
        <v>CITAIR</v>
      </c>
    </row>
    <row r="61" spans="1:10" x14ac:dyDescent="0.25">
      <c r="A61" t="s">
        <v>9</v>
      </c>
      <c r="B61" t="s">
        <v>71</v>
      </c>
      <c r="C61" t="s">
        <v>28</v>
      </c>
      <c r="D61" t="s">
        <v>72</v>
      </c>
      <c r="E61" t="s">
        <v>12</v>
      </c>
      <c r="F61" t="s">
        <v>73</v>
      </c>
      <c r="G61" t="s">
        <v>11</v>
      </c>
      <c r="I61" s="4" t="str">
        <f t="shared" si="0"/>
        <v/>
      </c>
      <c r="J61" s="4" t="str">
        <f t="shared" si="1"/>
        <v/>
      </c>
    </row>
    <row r="62" spans="1:10" x14ac:dyDescent="0.25">
      <c r="A62" t="s">
        <v>31</v>
      </c>
      <c r="B62" t="s">
        <v>32</v>
      </c>
      <c r="C62" t="s">
        <v>33</v>
      </c>
      <c r="D62" t="s">
        <v>34</v>
      </c>
      <c r="E62" t="s">
        <v>35</v>
      </c>
      <c r="I62" s="4" t="str">
        <f t="shared" si="0"/>
        <v/>
      </c>
      <c r="J62" s="4" t="str">
        <f t="shared" si="1"/>
        <v/>
      </c>
    </row>
    <row r="63" spans="1:10" x14ac:dyDescent="0.25">
      <c r="A63" t="s">
        <v>36</v>
      </c>
      <c r="B63">
        <v>1</v>
      </c>
      <c r="C63" t="s">
        <v>37</v>
      </c>
      <c r="D63" s="3">
        <v>172.42</v>
      </c>
      <c r="E63" s="3">
        <v>0</v>
      </c>
      <c r="F63" s="3">
        <v>0</v>
      </c>
      <c r="G63" s="3">
        <v>0</v>
      </c>
      <c r="H63" s="3">
        <v>172.42</v>
      </c>
      <c r="I63" s="4" t="str">
        <f t="shared" si="0"/>
        <v>CITY OF CALGARY - BIATax</v>
      </c>
      <c r="J63" s="4" t="str">
        <f t="shared" si="1"/>
        <v>CITYCAL</v>
      </c>
    </row>
    <row r="64" spans="1:10" x14ac:dyDescent="0.25">
      <c r="A64" t="s">
        <v>9</v>
      </c>
      <c r="B64" t="s">
        <v>74</v>
      </c>
      <c r="C64" t="s">
        <v>28</v>
      </c>
      <c r="D64" t="s">
        <v>75</v>
      </c>
      <c r="E64" t="s">
        <v>12</v>
      </c>
      <c r="F64" t="s">
        <v>49</v>
      </c>
      <c r="G64" t="s">
        <v>11</v>
      </c>
      <c r="I64" s="4" t="str">
        <f t="shared" si="0"/>
        <v/>
      </c>
      <c r="J64" s="4" t="str">
        <f t="shared" si="1"/>
        <v/>
      </c>
    </row>
    <row r="65" spans="1:10" x14ac:dyDescent="0.25">
      <c r="A65" t="s">
        <v>31</v>
      </c>
      <c r="B65" t="s">
        <v>32</v>
      </c>
      <c r="C65" t="s">
        <v>33</v>
      </c>
      <c r="D65" t="s">
        <v>34</v>
      </c>
      <c r="E65" t="s">
        <v>35</v>
      </c>
      <c r="I65" s="4" t="str">
        <f t="shared" si="0"/>
        <v/>
      </c>
      <c r="J65" s="4" t="str">
        <f t="shared" si="1"/>
        <v/>
      </c>
    </row>
    <row r="66" spans="1:10" x14ac:dyDescent="0.25">
      <c r="A66" t="s">
        <v>36</v>
      </c>
      <c r="B66">
        <v>1</v>
      </c>
      <c r="C66" t="s">
        <v>37</v>
      </c>
      <c r="D66" s="3">
        <v>54.52</v>
      </c>
      <c r="E66" s="3">
        <v>0</v>
      </c>
      <c r="F66" s="3">
        <v>0</v>
      </c>
      <c r="G66" s="3">
        <v>0</v>
      </c>
      <c r="H66" s="3">
        <v>54.52</v>
      </c>
      <c r="I66" s="4" t="str">
        <f t="shared" si="0"/>
        <v>CIty of Calgary - ENMAX</v>
      </c>
      <c r="J66" s="4" t="str">
        <f t="shared" si="1"/>
        <v>ENMAX</v>
      </c>
    </row>
    <row r="67" spans="1:10" x14ac:dyDescent="0.25">
      <c r="A67" t="s">
        <v>9</v>
      </c>
      <c r="B67" t="s">
        <v>76</v>
      </c>
      <c r="C67" t="s">
        <v>28</v>
      </c>
      <c r="D67" t="s">
        <v>77</v>
      </c>
      <c r="E67" t="s">
        <v>12</v>
      </c>
      <c r="F67" t="s">
        <v>49</v>
      </c>
      <c r="G67" t="s">
        <v>11</v>
      </c>
      <c r="I67" s="4" t="str">
        <f t="shared" si="0"/>
        <v/>
      </c>
      <c r="J67" s="4" t="str">
        <f t="shared" si="1"/>
        <v/>
      </c>
    </row>
    <row r="68" spans="1:10" x14ac:dyDescent="0.25">
      <c r="A68" t="s">
        <v>31</v>
      </c>
      <c r="B68" t="s">
        <v>32</v>
      </c>
      <c r="C68" t="s">
        <v>33</v>
      </c>
      <c r="D68" t="s">
        <v>34</v>
      </c>
      <c r="E68" t="s">
        <v>35</v>
      </c>
      <c r="I68" s="4" t="str">
        <f t="shared" si="0"/>
        <v/>
      </c>
      <c r="J68" s="4" t="str">
        <f t="shared" si="1"/>
        <v/>
      </c>
    </row>
    <row r="69" spans="1:10" x14ac:dyDescent="0.25">
      <c r="A69" t="s">
        <v>36</v>
      </c>
      <c r="B69">
        <v>1</v>
      </c>
      <c r="C69" t="s">
        <v>37</v>
      </c>
      <c r="D69" s="3">
        <v>-72.33</v>
      </c>
      <c r="E69" s="3">
        <v>0</v>
      </c>
      <c r="F69" s="3">
        <v>0</v>
      </c>
      <c r="G69" s="3">
        <v>0</v>
      </c>
      <c r="H69" s="3">
        <v>-72.33</v>
      </c>
      <c r="I69" s="4" t="str">
        <f t="shared" si="0"/>
        <v>City of Camrose</v>
      </c>
      <c r="J69" s="4" t="str">
        <f t="shared" si="1"/>
        <v>CITCAM</v>
      </c>
    </row>
    <row r="70" spans="1:10" x14ac:dyDescent="0.25">
      <c r="A70" t="s">
        <v>9</v>
      </c>
      <c r="B70" t="s">
        <v>78</v>
      </c>
      <c r="C70" t="s">
        <v>28</v>
      </c>
      <c r="D70" t="s">
        <v>79</v>
      </c>
      <c r="E70" t="s">
        <v>12</v>
      </c>
      <c r="F70" t="s">
        <v>49</v>
      </c>
      <c r="G70" t="s">
        <v>11</v>
      </c>
      <c r="I70" s="4" t="str">
        <f t="shared" si="0"/>
        <v/>
      </c>
      <c r="J70" s="4" t="str">
        <f t="shared" si="1"/>
        <v/>
      </c>
    </row>
    <row r="71" spans="1:10" x14ac:dyDescent="0.25">
      <c r="A71" t="s">
        <v>31</v>
      </c>
      <c r="B71" t="s">
        <v>32</v>
      </c>
      <c r="C71" t="s">
        <v>33</v>
      </c>
      <c r="D71" t="s">
        <v>34</v>
      </c>
      <c r="E71" t="s">
        <v>35</v>
      </c>
      <c r="I71" s="4" t="str">
        <f t="shared" si="0"/>
        <v/>
      </c>
      <c r="J71" s="4" t="str">
        <f t="shared" si="1"/>
        <v/>
      </c>
    </row>
    <row r="72" spans="1:10" x14ac:dyDescent="0.25">
      <c r="A72" t="s">
        <v>36</v>
      </c>
      <c r="B72">
        <v>1</v>
      </c>
      <c r="C72" t="s">
        <v>37</v>
      </c>
      <c r="D72" s="3">
        <v>79.34</v>
      </c>
      <c r="E72" s="3">
        <v>79.34</v>
      </c>
      <c r="F72" s="3">
        <v>0</v>
      </c>
      <c r="G72" s="3">
        <v>0</v>
      </c>
      <c r="H72" s="3">
        <v>0</v>
      </c>
      <c r="I72" s="4" t="str">
        <f t="shared" si="0"/>
        <v>CITY OF NORTH BATTLEFORD</v>
      </c>
      <c r="J72" s="4" t="str">
        <f t="shared" si="1"/>
        <v>CITNOR</v>
      </c>
    </row>
    <row r="73" spans="1:10" x14ac:dyDescent="0.25">
      <c r="A73" t="s">
        <v>9</v>
      </c>
      <c r="B73" t="s">
        <v>80</v>
      </c>
      <c r="C73" t="s">
        <v>28</v>
      </c>
      <c r="D73" t="s">
        <v>81</v>
      </c>
      <c r="E73" t="s">
        <v>12</v>
      </c>
      <c r="F73" t="s">
        <v>82</v>
      </c>
      <c r="G73" t="s">
        <v>11</v>
      </c>
      <c r="I73" s="4" t="str">
        <f t="shared" si="0"/>
        <v/>
      </c>
      <c r="J73" s="4" t="str">
        <f t="shared" si="1"/>
        <v/>
      </c>
    </row>
    <row r="74" spans="1:10" x14ac:dyDescent="0.25">
      <c r="A74" t="s">
        <v>31</v>
      </c>
      <c r="B74" t="s">
        <v>32</v>
      </c>
      <c r="C74" t="s">
        <v>33</v>
      </c>
      <c r="D74" t="s">
        <v>34</v>
      </c>
      <c r="E74" t="s">
        <v>35</v>
      </c>
      <c r="I74" s="4" t="str">
        <f t="shared" si="0"/>
        <v/>
      </c>
      <c r="J74" s="4" t="str">
        <f t="shared" si="1"/>
        <v/>
      </c>
    </row>
    <row r="75" spans="1:10" x14ac:dyDescent="0.25">
      <c r="A75" t="s">
        <v>36</v>
      </c>
      <c r="B75">
        <v>7</v>
      </c>
      <c r="C75" t="s">
        <v>37</v>
      </c>
      <c r="D75" s="3">
        <v>2164.4</v>
      </c>
      <c r="E75" s="3">
        <v>0</v>
      </c>
      <c r="F75" s="3">
        <v>0</v>
      </c>
      <c r="G75" s="3">
        <v>196.49</v>
      </c>
      <c r="H75" s="3">
        <v>1967.91</v>
      </c>
      <c r="I75" s="4" t="str">
        <f t="shared" si="0"/>
        <v>CITY OF SASKATOON</v>
      </c>
      <c r="J75" s="4" t="str">
        <f t="shared" si="1"/>
        <v>CITSAS</v>
      </c>
    </row>
    <row r="76" spans="1:10" x14ac:dyDescent="0.25">
      <c r="A76" t="s">
        <v>9</v>
      </c>
      <c r="B76" t="s">
        <v>83</v>
      </c>
      <c r="C76" t="s">
        <v>28</v>
      </c>
      <c r="D76" t="s">
        <v>84</v>
      </c>
      <c r="E76" t="s">
        <v>12</v>
      </c>
      <c r="F76" t="s">
        <v>49</v>
      </c>
      <c r="G76" t="s">
        <v>11</v>
      </c>
      <c r="I76" s="4" t="str">
        <f t="shared" si="0"/>
        <v/>
      </c>
      <c r="J76" s="4" t="str">
        <f t="shared" si="1"/>
        <v/>
      </c>
    </row>
    <row r="77" spans="1:10" x14ac:dyDescent="0.25">
      <c r="A77" t="s">
        <v>31</v>
      </c>
      <c r="B77" t="s">
        <v>32</v>
      </c>
      <c r="C77" t="s">
        <v>33</v>
      </c>
      <c r="D77" t="s">
        <v>34</v>
      </c>
      <c r="E77" t="s">
        <v>35</v>
      </c>
      <c r="I77" s="4" t="str">
        <f t="shared" ref="I77:I140" si="2">IF(C75="Name:",D75,"")</f>
        <v/>
      </c>
      <c r="J77" s="4" t="str">
        <f t="shared" ref="J77:J140" si="3">IF(C75="Name:",B75,"")</f>
        <v/>
      </c>
    </row>
    <row r="78" spans="1:10" x14ac:dyDescent="0.25">
      <c r="A78" t="s">
        <v>36</v>
      </c>
      <c r="B78">
        <v>2</v>
      </c>
      <c r="C78" t="s">
        <v>37</v>
      </c>
      <c r="D78" s="3">
        <v>-9.35</v>
      </c>
      <c r="E78" s="3">
        <v>0</v>
      </c>
      <c r="F78" s="3">
        <v>0</v>
      </c>
      <c r="G78" s="3">
        <v>0</v>
      </c>
      <c r="H78" s="3">
        <v>-9.35</v>
      </c>
      <c r="I78" s="4" t="str">
        <f t="shared" si="2"/>
        <v>City of Saskatoon ACC1985</v>
      </c>
      <c r="J78" s="4" t="str">
        <f t="shared" si="3"/>
        <v>CIT1985</v>
      </c>
    </row>
    <row r="79" spans="1:10" x14ac:dyDescent="0.25">
      <c r="A79" t="s">
        <v>9</v>
      </c>
      <c r="B79" t="s">
        <v>85</v>
      </c>
      <c r="C79" t="s">
        <v>28</v>
      </c>
      <c r="D79" t="s">
        <v>86</v>
      </c>
      <c r="E79" t="s">
        <v>12</v>
      </c>
      <c r="F79" t="s">
        <v>49</v>
      </c>
      <c r="G79" t="s">
        <v>11</v>
      </c>
      <c r="I79" s="4" t="str">
        <f t="shared" si="2"/>
        <v/>
      </c>
      <c r="J79" s="4" t="str">
        <f t="shared" si="3"/>
        <v/>
      </c>
    </row>
    <row r="80" spans="1:10" x14ac:dyDescent="0.25">
      <c r="A80" t="s">
        <v>31</v>
      </c>
      <c r="B80" t="s">
        <v>32</v>
      </c>
      <c r="C80" t="s">
        <v>33</v>
      </c>
      <c r="D80" t="s">
        <v>34</v>
      </c>
      <c r="E80" t="s">
        <v>35</v>
      </c>
      <c r="I80" s="4" t="str">
        <f t="shared" si="2"/>
        <v/>
      </c>
      <c r="J80" s="4" t="str">
        <f t="shared" si="3"/>
        <v/>
      </c>
    </row>
    <row r="81" spans="1:10" x14ac:dyDescent="0.25">
      <c r="A81" t="s">
        <v>36</v>
      </c>
      <c r="B81">
        <v>1</v>
      </c>
      <c r="C81" t="s">
        <v>37</v>
      </c>
      <c r="D81" s="3">
        <v>-20.86</v>
      </c>
      <c r="E81" s="3">
        <v>0</v>
      </c>
      <c r="F81" s="3">
        <v>0</v>
      </c>
      <c r="G81" s="3">
        <v>0</v>
      </c>
      <c r="H81" s="3">
        <v>-20.86</v>
      </c>
      <c r="I81" s="4" t="str">
        <f t="shared" si="2"/>
        <v>City of Saskatoon ACC6514</v>
      </c>
      <c r="J81" s="4" t="str">
        <f t="shared" si="3"/>
        <v>CIT6514</v>
      </c>
    </row>
    <row r="82" spans="1:10" x14ac:dyDescent="0.25">
      <c r="A82" t="s">
        <v>9</v>
      </c>
      <c r="B82" t="s">
        <v>87</v>
      </c>
      <c r="C82" t="s">
        <v>28</v>
      </c>
      <c r="D82" t="s">
        <v>88</v>
      </c>
      <c r="E82" t="s">
        <v>12</v>
      </c>
      <c r="F82" t="s">
        <v>49</v>
      </c>
      <c r="G82" t="s">
        <v>11</v>
      </c>
      <c r="I82" s="4" t="str">
        <f t="shared" si="2"/>
        <v/>
      </c>
      <c r="J82" s="4" t="str">
        <f t="shared" si="3"/>
        <v/>
      </c>
    </row>
    <row r="83" spans="1:10" x14ac:dyDescent="0.25">
      <c r="A83" t="s">
        <v>31</v>
      </c>
      <c r="B83" t="s">
        <v>32</v>
      </c>
      <c r="C83" t="s">
        <v>33</v>
      </c>
      <c r="D83" t="s">
        <v>34</v>
      </c>
      <c r="E83" t="s">
        <v>35</v>
      </c>
      <c r="I83" s="4" t="str">
        <f t="shared" si="2"/>
        <v/>
      </c>
      <c r="J83" s="4" t="str">
        <f t="shared" si="3"/>
        <v/>
      </c>
    </row>
    <row r="84" spans="1:10" x14ac:dyDescent="0.25">
      <c r="A84" t="s">
        <v>36</v>
      </c>
      <c r="B84">
        <v>1</v>
      </c>
      <c r="C84" t="s">
        <v>37</v>
      </c>
      <c r="D84" s="3">
        <v>-1.75</v>
      </c>
      <c r="E84" s="3">
        <v>0</v>
      </c>
      <c r="F84" s="3">
        <v>0</v>
      </c>
      <c r="G84" s="3">
        <v>0</v>
      </c>
      <c r="H84" s="3">
        <v>-1.75</v>
      </c>
      <c r="I84" s="4" t="str">
        <f t="shared" si="2"/>
        <v>City of Saskatoon ACC9711</v>
      </c>
      <c r="J84" s="4" t="str">
        <f t="shared" si="3"/>
        <v>CIT9711</v>
      </c>
    </row>
    <row r="85" spans="1:10" x14ac:dyDescent="0.25">
      <c r="A85" t="s">
        <v>9</v>
      </c>
      <c r="B85" t="s">
        <v>89</v>
      </c>
      <c r="C85" t="s">
        <v>28</v>
      </c>
      <c r="D85" t="s">
        <v>90</v>
      </c>
      <c r="E85" t="s">
        <v>12</v>
      </c>
      <c r="F85" t="s">
        <v>43</v>
      </c>
      <c r="G85" t="s">
        <v>11</v>
      </c>
      <c r="I85" s="4" t="str">
        <f t="shared" si="2"/>
        <v/>
      </c>
      <c r="J85" s="4" t="str">
        <f t="shared" si="3"/>
        <v/>
      </c>
    </row>
    <row r="86" spans="1:10" x14ac:dyDescent="0.25">
      <c r="A86" t="s">
        <v>31</v>
      </c>
      <c r="B86" t="s">
        <v>32</v>
      </c>
      <c r="C86" t="s">
        <v>33</v>
      </c>
      <c r="D86" t="s">
        <v>34</v>
      </c>
      <c r="E86" t="s">
        <v>35</v>
      </c>
      <c r="I86" s="4" t="str">
        <f t="shared" si="2"/>
        <v/>
      </c>
      <c r="J86" s="4" t="str">
        <f t="shared" si="3"/>
        <v/>
      </c>
    </row>
    <row r="87" spans="1:10" x14ac:dyDescent="0.25">
      <c r="A87" t="s">
        <v>36</v>
      </c>
      <c r="B87">
        <v>1</v>
      </c>
      <c r="C87" t="s">
        <v>37</v>
      </c>
      <c r="D87" s="3">
        <v>722.4</v>
      </c>
      <c r="E87" s="3">
        <v>0</v>
      </c>
      <c r="F87" s="3">
        <v>0</v>
      </c>
      <c r="G87" s="3">
        <v>722.4</v>
      </c>
      <c r="H87" s="3">
        <v>0</v>
      </c>
      <c r="I87" s="4" t="str">
        <f t="shared" si="2"/>
        <v>Conway Electric Inc.</v>
      </c>
      <c r="J87" s="4" t="str">
        <f t="shared" si="3"/>
        <v>CONELE</v>
      </c>
    </row>
    <row r="88" spans="1:10" x14ac:dyDescent="0.25">
      <c r="A88" t="s">
        <v>9</v>
      </c>
      <c r="B88" t="s">
        <v>91</v>
      </c>
      <c r="C88" t="s">
        <v>28</v>
      </c>
      <c r="D88" t="s">
        <v>92</v>
      </c>
      <c r="E88" t="s">
        <v>12</v>
      </c>
      <c r="F88" t="s">
        <v>40</v>
      </c>
      <c r="G88" t="s">
        <v>11</v>
      </c>
      <c r="I88" s="4" t="str">
        <f t="shared" si="2"/>
        <v/>
      </c>
      <c r="J88" s="4" t="str">
        <f t="shared" si="3"/>
        <v/>
      </c>
    </row>
    <row r="89" spans="1:10" x14ac:dyDescent="0.25">
      <c r="A89" t="s">
        <v>31</v>
      </c>
      <c r="B89" t="s">
        <v>32</v>
      </c>
      <c r="C89" t="s">
        <v>33</v>
      </c>
      <c r="D89" t="s">
        <v>34</v>
      </c>
      <c r="E89" t="s">
        <v>35</v>
      </c>
      <c r="I89" s="4" t="str">
        <f t="shared" si="2"/>
        <v/>
      </c>
      <c r="J89" s="4" t="str">
        <f t="shared" si="3"/>
        <v/>
      </c>
    </row>
    <row r="90" spans="1:10" x14ac:dyDescent="0.25">
      <c r="A90" t="s">
        <v>36</v>
      </c>
      <c r="B90">
        <v>4</v>
      </c>
      <c r="C90" t="s">
        <v>37</v>
      </c>
      <c r="D90" s="3">
        <v>158.38</v>
      </c>
      <c r="E90" s="3">
        <v>53.48</v>
      </c>
      <c r="F90" s="3">
        <v>52.45</v>
      </c>
      <c r="G90" s="3">
        <v>52.45</v>
      </c>
      <c r="H90" s="3">
        <v>0</v>
      </c>
      <c r="I90" s="4" t="str">
        <f t="shared" si="2"/>
        <v>CULLIGAN WATER</v>
      </c>
      <c r="J90" s="4" t="str">
        <f t="shared" si="3"/>
        <v>CULLIGAN</v>
      </c>
    </row>
    <row r="91" spans="1:10" x14ac:dyDescent="0.25">
      <c r="A91" t="s">
        <v>9</v>
      </c>
      <c r="B91" t="s">
        <v>93</v>
      </c>
      <c r="C91" t="s">
        <v>28</v>
      </c>
      <c r="D91" t="s">
        <v>94</v>
      </c>
      <c r="E91" t="s">
        <v>12</v>
      </c>
      <c r="F91" t="s">
        <v>40</v>
      </c>
      <c r="G91" t="s">
        <v>11</v>
      </c>
      <c r="I91" s="4" t="str">
        <f t="shared" si="2"/>
        <v/>
      </c>
      <c r="J91" s="4" t="str">
        <f t="shared" si="3"/>
        <v/>
      </c>
    </row>
    <row r="92" spans="1:10" x14ac:dyDescent="0.25">
      <c r="A92" t="s">
        <v>31</v>
      </c>
      <c r="B92" t="s">
        <v>32</v>
      </c>
      <c r="C92" t="s">
        <v>33</v>
      </c>
      <c r="D92" t="s">
        <v>34</v>
      </c>
      <c r="E92" t="s">
        <v>35</v>
      </c>
      <c r="I92" s="4" t="str">
        <f t="shared" si="2"/>
        <v/>
      </c>
      <c r="J92" s="4" t="str">
        <f t="shared" si="3"/>
        <v/>
      </c>
    </row>
    <row r="93" spans="1:10" x14ac:dyDescent="0.25">
      <c r="A93" t="s">
        <v>36</v>
      </c>
      <c r="B93">
        <v>7</v>
      </c>
      <c r="C93" t="s">
        <v>37</v>
      </c>
      <c r="D93" s="3">
        <v>24227.7</v>
      </c>
      <c r="E93" s="3">
        <v>9872.76</v>
      </c>
      <c r="F93" s="3">
        <v>7800.82</v>
      </c>
      <c r="G93" s="3">
        <v>4041.41</v>
      </c>
      <c r="H93" s="3">
        <v>2512.71</v>
      </c>
      <c r="I93" s="4" t="str">
        <f t="shared" si="2"/>
        <v>DENTONS CANADA LLP</v>
      </c>
      <c r="J93" s="4" t="str">
        <f t="shared" si="3"/>
        <v>DENCAN</v>
      </c>
    </row>
    <row r="94" spans="1:10" x14ac:dyDescent="0.25">
      <c r="A94" t="s">
        <v>9</v>
      </c>
      <c r="B94" t="s">
        <v>95</v>
      </c>
      <c r="C94" t="s">
        <v>28</v>
      </c>
      <c r="D94" t="s">
        <v>96</v>
      </c>
      <c r="E94" t="s">
        <v>12</v>
      </c>
      <c r="F94" t="s">
        <v>49</v>
      </c>
      <c r="G94" t="s">
        <v>11</v>
      </c>
      <c r="I94" s="4" t="str">
        <f t="shared" si="2"/>
        <v/>
      </c>
      <c r="J94" s="4" t="str">
        <f t="shared" si="3"/>
        <v/>
      </c>
    </row>
    <row r="95" spans="1:10" x14ac:dyDescent="0.25">
      <c r="A95" t="s">
        <v>31</v>
      </c>
      <c r="B95" t="s">
        <v>32</v>
      </c>
      <c r="C95" t="s">
        <v>33</v>
      </c>
      <c r="D95" t="s">
        <v>34</v>
      </c>
      <c r="E95" t="s">
        <v>35</v>
      </c>
      <c r="I95" s="4" t="str">
        <f t="shared" si="2"/>
        <v/>
      </c>
      <c r="J95" s="4" t="str">
        <f t="shared" si="3"/>
        <v/>
      </c>
    </row>
    <row r="96" spans="1:10" x14ac:dyDescent="0.25">
      <c r="A96" t="s">
        <v>36</v>
      </c>
      <c r="B96">
        <v>6</v>
      </c>
      <c r="C96" t="s">
        <v>37</v>
      </c>
      <c r="D96" s="3">
        <v>3361.12</v>
      </c>
      <c r="E96" s="3">
        <v>0</v>
      </c>
      <c r="F96" s="3">
        <v>0</v>
      </c>
      <c r="G96" s="3">
        <v>958.03</v>
      </c>
      <c r="H96" s="3">
        <v>2403.09</v>
      </c>
      <c r="I96" s="4" t="str">
        <f t="shared" si="2"/>
        <v>Direct Energy ACC0737</v>
      </c>
      <c r="J96" s="4" t="str">
        <f t="shared" si="3"/>
        <v>DIR0737</v>
      </c>
    </row>
    <row r="97" spans="1:10" x14ac:dyDescent="0.25">
      <c r="A97" t="s">
        <v>9</v>
      </c>
      <c r="B97" t="s">
        <v>97</v>
      </c>
      <c r="C97" t="s">
        <v>28</v>
      </c>
      <c r="D97" t="s">
        <v>98</v>
      </c>
      <c r="E97" t="s">
        <v>12</v>
      </c>
      <c r="F97" t="s">
        <v>49</v>
      </c>
      <c r="G97" t="s">
        <v>11</v>
      </c>
      <c r="I97" s="4" t="str">
        <f t="shared" si="2"/>
        <v/>
      </c>
      <c r="J97" s="4" t="str">
        <f t="shared" si="3"/>
        <v/>
      </c>
    </row>
    <row r="98" spans="1:10" x14ac:dyDescent="0.25">
      <c r="A98" t="s">
        <v>31</v>
      </c>
      <c r="B98" t="s">
        <v>32</v>
      </c>
      <c r="C98" t="s">
        <v>33</v>
      </c>
      <c r="D98" t="s">
        <v>34</v>
      </c>
      <c r="E98" t="s">
        <v>35</v>
      </c>
      <c r="I98" s="4" t="str">
        <f t="shared" si="2"/>
        <v/>
      </c>
      <c r="J98" s="4" t="str">
        <f t="shared" si="3"/>
        <v/>
      </c>
    </row>
    <row r="99" spans="1:10" x14ac:dyDescent="0.25">
      <c r="A99" t="s">
        <v>36</v>
      </c>
      <c r="B99">
        <v>1</v>
      </c>
      <c r="C99" t="s">
        <v>37</v>
      </c>
      <c r="D99" s="3">
        <v>99.4</v>
      </c>
      <c r="E99" s="3">
        <v>0</v>
      </c>
      <c r="F99" s="3">
        <v>0</v>
      </c>
      <c r="G99" s="3">
        <v>0</v>
      </c>
      <c r="H99" s="3">
        <v>99.4</v>
      </c>
      <c r="I99" s="4" t="str">
        <f t="shared" si="2"/>
        <v>Direct Energy ACC7298</v>
      </c>
      <c r="J99" s="4" t="str">
        <f t="shared" si="3"/>
        <v>DIR7298</v>
      </c>
    </row>
    <row r="100" spans="1:10" x14ac:dyDescent="0.25">
      <c r="A100" t="s">
        <v>9</v>
      </c>
      <c r="B100" t="s">
        <v>99</v>
      </c>
      <c r="C100" t="s">
        <v>28</v>
      </c>
      <c r="D100" t="s">
        <v>100</v>
      </c>
      <c r="E100" t="s">
        <v>12</v>
      </c>
      <c r="F100" t="s">
        <v>49</v>
      </c>
      <c r="G100" t="s">
        <v>11</v>
      </c>
      <c r="I100" s="4" t="str">
        <f t="shared" si="2"/>
        <v/>
      </c>
      <c r="J100" s="4" t="str">
        <f t="shared" si="3"/>
        <v/>
      </c>
    </row>
    <row r="101" spans="1:10" x14ac:dyDescent="0.25">
      <c r="A101" t="s">
        <v>31</v>
      </c>
      <c r="B101" t="s">
        <v>32</v>
      </c>
      <c r="C101" t="s">
        <v>33</v>
      </c>
      <c r="D101" t="s">
        <v>34</v>
      </c>
      <c r="E101" t="s">
        <v>35</v>
      </c>
      <c r="I101" s="4" t="str">
        <f t="shared" si="2"/>
        <v/>
      </c>
      <c r="J101" s="4" t="str">
        <f t="shared" si="3"/>
        <v/>
      </c>
    </row>
    <row r="102" spans="1:10" x14ac:dyDescent="0.25">
      <c r="A102" t="s">
        <v>36</v>
      </c>
      <c r="B102">
        <v>4</v>
      </c>
      <c r="C102" t="s">
        <v>37</v>
      </c>
      <c r="D102" s="3">
        <v>7740.14</v>
      </c>
      <c r="E102" s="3">
        <v>0</v>
      </c>
      <c r="F102" s="3">
        <v>0</v>
      </c>
      <c r="G102" s="3">
        <v>0</v>
      </c>
      <c r="H102" s="3">
        <v>7740.14</v>
      </c>
      <c r="I102" s="4" t="str">
        <f t="shared" si="2"/>
        <v>Direct Energy ACC9596</v>
      </c>
      <c r="J102" s="4" t="str">
        <f t="shared" si="3"/>
        <v>DIR9596</v>
      </c>
    </row>
    <row r="103" spans="1:10" x14ac:dyDescent="0.25">
      <c r="A103" t="s">
        <v>9</v>
      </c>
      <c r="B103" t="s">
        <v>101</v>
      </c>
      <c r="C103" t="s">
        <v>28</v>
      </c>
      <c r="D103" t="s">
        <v>102</v>
      </c>
      <c r="E103" t="s">
        <v>12</v>
      </c>
      <c r="F103" t="s">
        <v>49</v>
      </c>
      <c r="G103" t="s">
        <v>11</v>
      </c>
      <c r="I103" s="4" t="str">
        <f t="shared" si="2"/>
        <v/>
      </c>
      <c r="J103" s="4" t="str">
        <f t="shared" si="3"/>
        <v/>
      </c>
    </row>
    <row r="104" spans="1:10" x14ac:dyDescent="0.25">
      <c r="A104" t="s">
        <v>31</v>
      </c>
      <c r="B104" t="s">
        <v>32</v>
      </c>
      <c r="C104" t="s">
        <v>33</v>
      </c>
      <c r="D104" t="s">
        <v>34</v>
      </c>
      <c r="E104" t="s">
        <v>35</v>
      </c>
      <c r="I104" s="4" t="str">
        <f t="shared" si="2"/>
        <v/>
      </c>
      <c r="J104" s="4" t="str">
        <f t="shared" si="3"/>
        <v/>
      </c>
    </row>
    <row r="105" spans="1:10" x14ac:dyDescent="0.25">
      <c r="A105" t="s">
        <v>36</v>
      </c>
      <c r="B105">
        <v>3</v>
      </c>
      <c r="C105" t="s">
        <v>37</v>
      </c>
      <c r="D105" s="3">
        <v>-15569.96</v>
      </c>
      <c r="E105" s="3">
        <v>0</v>
      </c>
      <c r="F105" s="3">
        <v>0</v>
      </c>
      <c r="G105" s="3">
        <v>0</v>
      </c>
      <c r="H105" s="3">
        <v>-15569.96</v>
      </c>
      <c r="I105" s="4" t="str">
        <f t="shared" si="2"/>
        <v>DIRECTENERGY 5659</v>
      </c>
      <c r="J105" s="4" t="str">
        <f t="shared" si="3"/>
        <v>DIR5659</v>
      </c>
    </row>
    <row r="106" spans="1:10" x14ac:dyDescent="0.25">
      <c r="A106" t="s">
        <v>9</v>
      </c>
      <c r="B106" t="s">
        <v>103</v>
      </c>
      <c r="C106" t="s">
        <v>28</v>
      </c>
      <c r="D106" t="s">
        <v>104</v>
      </c>
      <c r="E106" t="s">
        <v>12</v>
      </c>
      <c r="F106" t="s">
        <v>64</v>
      </c>
      <c r="G106" t="s">
        <v>11</v>
      </c>
      <c r="I106" s="4" t="str">
        <f t="shared" si="2"/>
        <v/>
      </c>
      <c r="J106" s="4" t="str">
        <f t="shared" si="3"/>
        <v/>
      </c>
    </row>
    <row r="107" spans="1:10" x14ac:dyDescent="0.25">
      <c r="A107" t="s">
        <v>31</v>
      </c>
      <c r="B107" t="s">
        <v>32</v>
      </c>
      <c r="C107" t="s">
        <v>33</v>
      </c>
      <c r="D107" t="s">
        <v>34</v>
      </c>
      <c r="E107" t="s">
        <v>35</v>
      </c>
      <c r="I107" s="4" t="str">
        <f t="shared" si="2"/>
        <v/>
      </c>
      <c r="J107" s="4" t="str">
        <f t="shared" si="3"/>
        <v/>
      </c>
    </row>
    <row r="108" spans="1:10" x14ac:dyDescent="0.25">
      <c r="A108" t="s">
        <v>36</v>
      </c>
      <c r="B108">
        <v>1</v>
      </c>
      <c r="C108" t="s">
        <v>37</v>
      </c>
      <c r="D108" s="3">
        <v>107432.33</v>
      </c>
      <c r="E108" s="3">
        <v>0</v>
      </c>
      <c r="F108" s="3">
        <v>0</v>
      </c>
      <c r="G108" s="3">
        <v>107432.33</v>
      </c>
      <c r="H108" s="3">
        <v>0</v>
      </c>
      <c r="I108" s="4" t="str">
        <f t="shared" si="2"/>
        <v>Docu-Sign Inc</v>
      </c>
      <c r="J108" s="4" t="str">
        <f t="shared" si="3"/>
        <v>DOCUSIGN</v>
      </c>
    </row>
    <row r="109" spans="1:10" x14ac:dyDescent="0.25">
      <c r="A109" t="s">
        <v>9</v>
      </c>
      <c r="B109" t="s">
        <v>105</v>
      </c>
      <c r="C109" t="s">
        <v>28</v>
      </c>
      <c r="D109" t="s">
        <v>106</v>
      </c>
      <c r="E109" t="s">
        <v>12</v>
      </c>
      <c r="F109" t="s">
        <v>49</v>
      </c>
      <c r="G109" t="s">
        <v>11</v>
      </c>
      <c r="I109" s="4" t="str">
        <f t="shared" si="2"/>
        <v/>
      </c>
      <c r="J109" s="4" t="str">
        <f t="shared" si="3"/>
        <v/>
      </c>
    </row>
    <row r="110" spans="1:10" x14ac:dyDescent="0.25">
      <c r="A110" t="s">
        <v>31</v>
      </c>
      <c r="B110" t="s">
        <v>32</v>
      </c>
      <c r="C110" t="s">
        <v>33</v>
      </c>
      <c r="D110" t="s">
        <v>34</v>
      </c>
      <c r="E110" t="s">
        <v>35</v>
      </c>
      <c r="I110" s="4" t="str">
        <f t="shared" si="2"/>
        <v/>
      </c>
      <c r="J110" s="4" t="str">
        <f t="shared" si="3"/>
        <v/>
      </c>
    </row>
    <row r="111" spans="1:10" x14ac:dyDescent="0.25">
      <c r="A111" t="s">
        <v>36</v>
      </c>
      <c r="B111">
        <v>3</v>
      </c>
      <c r="C111" t="s">
        <v>37</v>
      </c>
      <c r="D111" s="3">
        <v>-463.09</v>
      </c>
      <c r="E111" s="3">
        <v>0</v>
      </c>
      <c r="F111" s="3">
        <v>38.090000000000003</v>
      </c>
      <c r="G111" s="3">
        <v>57.43</v>
      </c>
      <c r="H111" s="3">
        <v>-558.61</v>
      </c>
      <c r="I111" s="4" t="str">
        <f t="shared" si="2"/>
        <v>Enbridge ACC4311</v>
      </c>
      <c r="J111" s="4" t="str">
        <f t="shared" si="3"/>
        <v>ENB4311</v>
      </c>
    </row>
    <row r="112" spans="1:10" x14ac:dyDescent="0.25">
      <c r="A112" t="s">
        <v>9</v>
      </c>
      <c r="B112" t="s">
        <v>107</v>
      </c>
      <c r="C112" t="s">
        <v>28</v>
      </c>
      <c r="D112" t="s">
        <v>108</v>
      </c>
      <c r="E112" t="s">
        <v>12</v>
      </c>
      <c r="F112" t="s">
        <v>49</v>
      </c>
      <c r="G112" t="s">
        <v>11</v>
      </c>
      <c r="I112" s="4" t="str">
        <f t="shared" si="2"/>
        <v/>
      </c>
      <c r="J112" s="4" t="str">
        <f t="shared" si="3"/>
        <v/>
      </c>
    </row>
    <row r="113" spans="1:10" x14ac:dyDescent="0.25">
      <c r="A113" t="s">
        <v>31</v>
      </c>
      <c r="B113" t="s">
        <v>32</v>
      </c>
      <c r="C113" t="s">
        <v>33</v>
      </c>
      <c r="D113" t="s">
        <v>34</v>
      </c>
      <c r="E113" t="s">
        <v>35</v>
      </c>
      <c r="I113" s="4" t="str">
        <f t="shared" si="2"/>
        <v/>
      </c>
      <c r="J113" s="4" t="str">
        <f t="shared" si="3"/>
        <v/>
      </c>
    </row>
    <row r="114" spans="1:10" x14ac:dyDescent="0.25">
      <c r="A114" t="s">
        <v>36</v>
      </c>
      <c r="B114">
        <v>3</v>
      </c>
      <c r="C114" t="s">
        <v>37</v>
      </c>
      <c r="D114" s="3">
        <v>131.41999999999999</v>
      </c>
      <c r="E114" s="3">
        <v>0</v>
      </c>
      <c r="F114" s="3">
        <v>31.55</v>
      </c>
      <c r="G114" s="3">
        <v>34.020000000000003</v>
      </c>
      <c r="H114" s="3">
        <v>65.849999999999994</v>
      </c>
      <c r="I114" s="4" t="str">
        <f t="shared" si="2"/>
        <v>Enbridge ACC4324</v>
      </c>
      <c r="J114" s="4" t="str">
        <f t="shared" si="3"/>
        <v>ENB4324</v>
      </c>
    </row>
    <row r="115" spans="1:10" x14ac:dyDescent="0.25">
      <c r="A115" t="s">
        <v>9</v>
      </c>
      <c r="B115" t="s">
        <v>109</v>
      </c>
      <c r="C115" t="s">
        <v>28</v>
      </c>
      <c r="D115" t="s">
        <v>110</v>
      </c>
      <c r="E115" t="s">
        <v>12</v>
      </c>
      <c r="F115" t="s">
        <v>49</v>
      </c>
      <c r="G115" t="s">
        <v>11</v>
      </c>
      <c r="I115" s="4" t="str">
        <f t="shared" si="2"/>
        <v/>
      </c>
      <c r="J115" s="4" t="str">
        <f t="shared" si="3"/>
        <v/>
      </c>
    </row>
    <row r="116" spans="1:10" x14ac:dyDescent="0.25">
      <c r="A116" t="s">
        <v>31</v>
      </c>
      <c r="B116" t="s">
        <v>32</v>
      </c>
      <c r="C116" t="s">
        <v>33</v>
      </c>
      <c r="D116" t="s">
        <v>34</v>
      </c>
      <c r="E116" t="s">
        <v>35</v>
      </c>
      <c r="I116" s="4" t="str">
        <f t="shared" si="2"/>
        <v/>
      </c>
      <c r="J116" s="4" t="str">
        <f t="shared" si="3"/>
        <v/>
      </c>
    </row>
    <row r="117" spans="1:10" x14ac:dyDescent="0.25">
      <c r="A117" t="s">
        <v>36</v>
      </c>
      <c r="B117">
        <v>2</v>
      </c>
      <c r="C117" t="s">
        <v>37</v>
      </c>
      <c r="D117" s="3">
        <v>27.39</v>
      </c>
      <c r="E117" s="3">
        <v>0</v>
      </c>
      <c r="F117" s="3">
        <v>0</v>
      </c>
      <c r="G117" s="3">
        <v>27.39</v>
      </c>
      <c r="H117" s="3">
        <v>0</v>
      </c>
      <c r="I117" s="4" t="str">
        <f t="shared" si="2"/>
        <v>Enbridge ACC6695</v>
      </c>
      <c r="J117" s="4" t="str">
        <f t="shared" si="3"/>
        <v>ENB6695</v>
      </c>
    </row>
    <row r="118" spans="1:10" x14ac:dyDescent="0.25">
      <c r="A118" t="s">
        <v>9</v>
      </c>
      <c r="B118" t="s">
        <v>111</v>
      </c>
      <c r="C118" t="s">
        <v>28</v>
      </c>
      <c r="D118" t="s">
        <v>112</v>
      </c>
      <c r="E118" t="s">
        <v>12</v>
      </c>
      <c r="F118" t="s">
        <v>49</v>
      </c>
      <c r="G118" t="s">
        <v>11</v>
      </c>
      <c r="I118" s="4" t="str">
        <f t="shared" si="2"/>
        <v/>
      </c>
      <c r="J118" s="4" t="str">
        <f t="shared" si="3"/>
        <v/>
      </c>
    </row>
    <row r="119" spans="1:10" x14ac:dyDescent="0.25">
      <c r="A119" t="s">
        <v>31</v>
      </c>
      <c r="B119" t="s">
        <v>32</v>
      </c>
      <c r="C119" t="s">
        <v>33</v>
      </c>
      <c r="D119" t="s">
        <v>34</v>
      </c>
      <c r="E119" t="s">
        <v>35</v>
      </c>
      <c r="I119" s="4" t="str">
        <f t="shared" si="2"/>
        <v/>
      </c>
      <c r="J119" s="4" t="str">
        <f t="shared" si="3"/>
        <v/>
      </c>
    </row>
    <row r="120" spans="1:10" x14ac:dyDescent="0.25">
      <c r="A120" t="s">
        <v>36</v>
      </c>
      <c r="B120">
        <v>2</v>
      </c>
      <c r="C120" t="s">
        <v>37</v>
      </c>
      <c r="D120" s="3">
        <v>227.04</v>
      </c>
      <c r="E120" s="3">
        <v>93.34</v>
      </c>
      <c r="F120" s="3">
        <v>0</v>
      </c>
      <c r="G120" s="3">
        <v>0</v>
      </c>
      <c r="H120" s="3">
        <v>133.69999999999999</v>
      </c>
      <c r="I120" s="4" t="str">
        <f t="shared" si="2"/>
        <v>Enova Power Corp.</v>
      </c>
      <c r="J120" s="4" t="str">
        <f t="shared" si="3"/>
        <v>ENOVA</v>
      </c>
    </row>
    <row r="121" spans="1:10" x14ac:dyDescent="0.25">
      <c r="A121" t="s">
        <v>9</v>
      </c>
      <c r="B121" t="s">
        <v>113</v>
      </c>
      <c r="C121" t="s">
        <v>28</v>
      </c>
      <c r="D121" t="s">
        <v>114</v>
      </c>
      <c r="E121" t="s">
        <v>12</v>
      </c>
      <c r="F121" t="s">
        <v>49</v>
      </c>
      <c r="G121" t="s">
        <v>11</v>
      </c>
      <c r="I121" s="4" t="str">
        <f t="shared" si="2"/>
        <v/>
      </c>
      <c r="J121" s="4" t="str">
        <f t="shared" si="3"/>
        <v/>
      </c>
    </row>
    <row r="122" spans="1:10" x14ac:dyDescent="0.25">
      <c r="A122" t="s">
        <v>31</v>
      </c>
      <c r="B122" t="s">
        <v>32</v>
      </c>
      <c r="C122" t="s">
        <v>33</v>
      </c>
      <c r="D122" t="s">
        <v>34</v>
      </c>
      <c r="E122" t="s">
        <v>35</v>
      </c>
      <c r="I122" s="4" t="str">
        <f t="shared" si="2"/>
        <v/>
      </c>
      <c r="J122" s="4" t="str">
        <f t="shared" si="3"/>
        <v/>
      </c>
    </row>
    <row r="123" spans="1:10" x14ac:dyDescent="0.25">
      <c r="A123" t="s">
        <v>36</v>
      </c>
      <c r="B123">
        <v>5</v>
      </c>
      <c r="C123" t="s">
        <v>37</v>
      </c>
      <c r="D123" s="3">
        <v>-976</v>
      </c>
      <c r="E123" s="3">
        <v>0</v>
      </c>
      <c r="F123" s="3">
        <v>0</v>
      </c>
      <c r="G123" s="3">
        <v>0</v>
      </c>
      <c r="H123" s="3">
        <v>-976</v>
      </c>
      <c r="I123" s="4" t="str">
        <f t="shared" si="2"/>
        <v>EPCOR ACC1230</v>
      </c>
      <c r="J123" s="4" t="str">
        <f t="shared" si="3"/>
        <v>EPC1230</v>
      </c>
    </row>
    <row r="124" spans="1:10" x14ac:dyDescent="0.25">
      <c r="A124" t="s">
        <v>9</v>
      </c>
      <c r="B124" t="s">
        <v>115</v>
      </c>
      <c r="C124" t="s">
        <v>28</v>
      </c>
      <c r="D124" t="s">
        <v>116</v>
      </c>
      <c r="E124" t="s">
        <v>12</v>
      </c>
      <c r="F124" t="s">
        <v>49</v>
      </c>
      <c r="G124" t="s">
        <v>11</v>
      </c>
      <c r="I124" s="4" t="str">
        <f t="shared" si="2"/>
        <v/>
      </c>
      <c r="J124" s="4" t="str">
        <f t="shared" si="3"/>
        <v/>
      </c>
    </row>
    <row r="125" spans="1:10" x14ac:dyDescent="0.25">
      <c r="A125" t="s">
        <v>31</v>
      </c>
      <c r="B125" t="s">
        <v>32</v>
      </c>
      <c r="C125" t="s">
        <v>33</v>
      </c>
      <c r="D125" t="s">
        <v>34</v>
      </c>
      <c r="E125" t="s">
        <v>35</v>
      </c>
      <c r="I125" s="4" t="str">
        <f t="shared" si="2"/>
        <v/>
      </c>
      <c r="J125" s="4" t="str">
        <f t="shared" si="3"/>
        <v/>
      </c>
    </row>
    <row r="126" spans="1:10" x14ac:dyDescent="0.25">
      <c r="A126" t="s">
        <v>36</v>
      </c>
      <c r="B126">
        <v>3</v>
      </c>
      <c r="C126" t="s">
        <v>37</v>
      </c>
      <c r="D126" s="3">
        <v>-858.33</v>
      </c>
      <c r="E126" s="3">
        <v>0</v>
      </c>
      <c r="F126" s="3">
        <v>0</v>
      </c>
      <c r="G126" s="3">
        <v>0</v>
      </c>
      <c r="H126" s="3">
        <v>-858.33</v>
      </c>
      <c r="I126" s="4" t="str">
        <f t="shared" si="2"/>
        <v>EPCOR ACC1231</v>
      </c>
      <c r="J126" s="4" t="str">
        <f t="shared" si="3"/>
        <v>EPC1231</v>
      </c>
    </row>
    <row r="127" spans="1:10" x14ac:dyDescent="0.25">
      <c r="A127" t="s">
        <v>9</v>
      </c>
      <c r="B127" t="s">
        <v>117</v>
      </c>
      <c r="C127" t="s">
        <v>28</v>
      </c>
      <c r="D127" t="s">
        <v>118</v>
      </c>
      <c r="E127" t="s">
        <v>12</v>
      </c>
      <c r="F127" t="s">
        <v>49</v>
      </c>
      <c r="G127" t="s">
        <v>11</v>
      </c>
      <c r="I127" s="4" t="str">
        <f t="shared" si="2"/>
        <v/>
      </c>
      <c r="J127" s="4" t="str">
        <f t="shared" si="3"/>
        <v/>
      </c>
    </row>
    <row r="128" spans="1:10" x14ac:dyDescent="0.25">
      <c r="A128" t="s">
        <v>31</v>
      </c>
      <c r="B128" t="s">
        <v>32</v>
      </c>
      <c r="C128" t="s">
        <v>33</v>
      </c>
      <c r="D128" t="s">
        <v>34</v>
      </c>
      <c r="E128" t="s">
        <v>35</v>
      </c>
      <c r="I128" s="4" t="str">
        <f t="shared" si="2"/>
        <v/>
      </c>
      <c r="J128" s="4" t="str">
        <f t="shared" si="3"/>
        <v/>
      </c>
    </row>
    <row r="129" spans="1:10" x14ac:dyDescent="0.25">
      <c r="A129" t="s">
        <v>36</v>
      </c>
      <c r="B129">
        <v>1</v>
      </c>
      <c r="C129" t="s">
        <v>37</v>
      </c>
      <c r="D129" s="3">
        <v>119.86</v>
      </c>
      <c r="E129" s="3">
        <v>0</v>
      </c>
      <c r="F129" s="3">
        <v>0</v>
      </c>
      <c r="G129" s="3">
        <v>0</v>
      </c>
      <c r="H129" s="3">
        <v>119.86</v>
      </c>
      <c r="I129" s="4" t="str">
        <f t="shared" si="2"/>
        <v>EPCOR ACC4003</v>
      </c>
      <c r="J129" s="4" t="str">
        <f t="shared" si="3"/>
        <v>EPC4003</v>
      </c>
    </row>
    <row r="130" spans="1:10" x14ac:dyDescent="0.25">
      <c r="A130" t="s">
        <v>9</v>
      </c>
      <c r="B130" t="s">
        <v>119</v>
      </c>
      <c r="C130" t="s">
        <v>28</v>
      </c>
      <c r="D130" t="s">
        <v>120</v>
      </c>
      <c r="E130" t="s">
        <v>12</v>
      </c>
      <c r="F130" t="s">
        <v>49</v>
      </c>
      <c r="G130" t="s">
        <v>11</v>
      </c>
      <c r="I130" s="4" t="str">
        <f t="shared" si="2"/>
        <v/>
      </c>
      <c r="J130" s="4" t="str">
        <f t="shared" si="3"/>
        <v/>
      </c>
    </row>
    <row r="131" spans="1:10" x14ac:dyDescent="0.25">
      <c r="A131" t="s">
        <v>31</v>
      </c>
      <c r="B131" t="s">
        <v>32</v>
      </c>
      <c r="C131" t="s">
        <v>33</v>
      </c>
      <c r="D131" t="s">
        <v>34</v>
      </c>
      <c r="E131" t="s">
        <v>35</v>
      </c>
      <c r="I131" s="4" t="str">
        <f t="shared" si="2"/>
        <v/>
      </c>
      <c r="J131" s="4" t="str">
        <f t="shared" si="3"/>
        <v/>
      </c>
    </row>
    <row r="132" spans="1:10" x14ac:dyDescent="0.25">
      <c r="A132" t="s">
        <v>36</v>
      </c>
      <c r="B132">
        <v>1</v>
      </c>
      <c r="C132" t="s">
        <v>37</v>
      </c>
      <c r="D132" s="3">
        <v>185.02</v>
      </c>
      <c r="E132" s="3">
        <v>0</v>
      </c>
      <c r="F132" s="3">
        <v>0</v>
      </c>
      <c r="G132" s="3">
        <v>0</v>
      </c>
      <c r="H132" s="3">
        <v>185.02</v>
      </c>
      <c r="I132" s="4" t="str">
        <f t="shared" si="2"/>
        <v>EPCOR ACC5138</v>
      </c>
      <c r="J132" s="4" t="str">
        <f t="shared" si="3"/>
        <v>EPC5138</v>
      </c>
    </row>
    <row r="133" spans="1:10" x14ac:dyDescent="0.25">
      <c r="A133" t="s">
        <v>9</v>
      </c>
      <c r="B133" t="s">
        <v>121</v>
      </c>
      <c r="C133" t="s">
        <v>28</v>
      </c>
      <c r="D133" t="s">
        <v>122</v>
      </c>
      <c r="E133" t="s">
        <v>12</v>
      </c>
      <c r="F133" t="s">
        <v>49</v>
      </c>
      <c r="G133" t="s">
        <v>11</v>
      </c>
      <c r="I133" s="4" t="str">
        <f t="shared" si="2"/>
        <v/>
      </c>
      <c r="J133" s="4" t="str">
        <f t="shared" si="3"/>
        <v/>
      </c>
    </row>
    <row r="134" spans="1:10" x14ac:dyDescent="0.25">
      <c r="A134" t="s">
        <v>31</v>
      </c>
      <c r="B134" t="s">
        <v>32</v>
      </c>
      <c r="C134" t="s">
        <v>33</v>
      </c>
      <c r="D134" t="s">
        <v>34</v>
      </c>
      <c r="E134" t="s">
        <v>35</v>
      </c>
      <c r="I134" s="4" t="str">
        <f t="shared" si="2"/>
        <v/>
      </c>
      <c r="J134" s="4" t="str">
        <f t="shared" si="3"/>
        <v/>
      </c>
    </row>
    <row r="135" spans="1:10" x14ac:dyDescent="0.25">
      <c r="A135" t="s">
        <v>36</v>
      </c>
      <c r="B135">
        <v>1</v>
      </c>
      <c r="C135" t="s">
        <v>37</v>
      </c>
      <c r="D135" s="3">
        <v>240.03</v>
      </c>
      <c r="E135" s="3">
        <v>0</v>
      </c>
      <c r="F135" s="3">
        <v>0</v>
      </c>
      <c r="G135" s="3">
        <v>0</v>
      </c>
      <c r="H135" s="3">
        <v>240.03</v>
      </c>
      <c r="I135" s="4" t="str">
        <f t="shared" si="2"/>
        <v>EPCOR ACC5226</v>
      </c>
      <c r="J135" s="4" t="str">
        <f t="shared" si="3"/>
        <v>EPC5226</v>
      </c>
    </row>
    <row r="136" spans="1:10" x14ac:dyDescent="0.25">
      <c r="A136" t="s">
        <v>9</v>
      </c>
      <c r="B136" t="s">
        <v>123</v>
      </c>
      <c r="C136" t="s">
        <v>28</v>
      </c>
      <c r="D136" t="s">
        <v>124</v>
      </c>
      <c r="E136" t="s">
        <v>12</v>
      </c>
      <c r="F136" t="s">
        <v>40</v>
      </c>
      <c r="G136" t="s">
        <v>11</v>
      </c>
      <c r="I136" s="4" t="str">
        <f t="shared" si="2"/>
        <v/>
      </c>
      <c r="J136" s="4" t="str">
        <f t="shared" si="3"/>
        <v/>
      </c>
    </row>
    <row r="137" spans="1:10" x14ac:dyDescent="0.25">
      <c r="A137" t="s">
        <v>31</v>
      </c>
      <c r="B137" t="s">
        <v>32</v>
      </c>
      <c r="C137" t="s">
        <v>33</v>
      </c>
      <c r="D137" t="s">
        <v>34</v>
      </c>
      <c r="E137" t="s">
        <v>35</v>
      </c>
      <c r="I137" s="4" t="str">
        <f t="shared" si="2"/>
        <v/>
      </c>
      <c r="J137" s="4" t="str">
        <f t="shared" si="3"/>
        <v/>
      </c>
    </row>
    <row r="138" spans="1:10" x14ac:dyDescent="0.25">
      <c r="A138" t="s">
        <v>36</v>
      </c>
      <c r="B138">
        <v>7</v>
      </c>
      <c r="C138" t="s">
        <v>37</v>
      </c>
      <c r="D138" s="3">
        <v>13068.84</v>
      </c>
      <c r="E138" s="3">
        <v>843.86</v>
      </c>
      <c r="F138" s="3">
        <v>6696.44</v>
      </c>
      <c r="G138" s="3">
        <v>5528.54</v>
      </c>
      <c r="H138" s="3">
        <v>0</v>
      </c>
      <c r="I138" s="4" t="str">
        <f t="shared" si="2"/>
        <v>Express Employment Professionals</v>
      </c>
      <c r="J138" s="4" t="str">
        <f t="shared" si="3"/>
        <v>EXPEMP001</v>
      </c>
    </row>
    <row r="139" spans="1:10" x14ac:dyDescent="0.25">
      <c r="A139" t="s">
        <v>9</v>
      </c>
      <c r="B139" t="s">
        <v>125</v>
      </c>
      <c r="C139" t="s">
        <v>28</v>
      </c>
      <c r="D139" t="s">
        <v>126</v>
      </c>
      <c r="E139" t="s">
        <v>12</v>
      </c>
      <c r="F139" t="s">
        <v>64</v>
      </c>
      <c r="G139" t="s">
        <v>11</v>
      </c>
      <c r="I139" s="4" t="str">
        <f t="shared" si="2"/>
        <v/>
      </c>
      <c r="J139" s="4" t="str">
        <f t="shared" si="3"/>
        <v/>
      </c>
    </row>
    <row r="140" spans="1:10" x14ac:dyDescent="0.25">
      <c r="A140" t="s">
        <v>31</v>
      </c>
      <c r="B140" t="s">
        <v>32</v>
      </c>
      <c r="C140" t="s">
        <v>33</v>
      </c>
      <c r="D140" t="s">
        <v>34</v>
      </c>
      <c r="E140" t="s">
        <v>35</v>
      </c>
      <c r="I140" s="4" t="str">
        <f t="shared" si="2"/>
        <v/>
      </c>
      <c r="J140" s="4" t="str">
        <f t="shared" si="3"/>
        <v/>
      </c>
    </row>
    <row r="141" spans="1:10" x14ac:dyDescent="0.25">
      <c r="A141" t="s">
        <v>36</v>
      </c>
      <c r="B141">
        <v>1</v>
      </c>
      <c r="C141" t="s">
        <v>37</v>
      </c>
      <c r="D141" s="3">
        <v>1620.46</v>
      </c>
      <c r="E141" s="3">
        <v>0</v>
      </c>
      <c r="F141" s="3">
        <v>0</v>
      </c>
      <c r="G141" s="3">
        <v>1620.46</v>
      </c>
      <c r="H141" s="3">
        <v>0</v>
      </c>
      <c r="I141" s="4" t="str">
        <f t="shared" ref="I141:I204" si="4">IF(C139="Name:",D139,"")</f>
        <v>Feathery Inc</v>
      </c>
      <c r="J141" s="4" t="str">
        <f t="shared" ref="J141:J204" si="5">IF(C139="Name:",B139,"")</f>
        <v>FEATHE</v>
      </c>
    </row>
    <row r="142" spans="1:10" x14ac:dyDescent="0.25">
      <c r="A142" t="s">
        <v>9</v>
      </c>
      <c r="B142" t="s">
        <v>127</v>
      </c>
      <c r="C142" t="s">
        <v>28</v>
      </c>
      <c r="D142" t="s">
        <v>128</v>
      </c>
      <c r="E142" t="s">
        <v>12</v>
      </c>
      <c r="F142" t="s">
        <v>43</v>
      </c>
      <c r="G142" t="s">
        <v>11</v>
      </c>
      <c r="I142" s="4" t="str">
        <f t="shared" si="4"/>
        <v/>
      </c>
      <c r="J142" s="4" t="str">
        <f t="shared" si="5"/>
        <v/>
      </c>
    </row>
    <row r="143" spans="1:10" x14ac:dyDescent="0.25">
      <c r="A143" t="s">
        <v>31</v>
      </c>
      <c r="B143" t="s">
        <v>32</v>
      </c>
      <c r="C143" t="s">
        <v>33</v>
      </c>
      <c r="D143" t="s">
        <v>34</v>
      </c>
      <c r="E143" t="s">
        <v>35</v>
      </c>
      <c r="I143" s="4" t="str">
        <f t="shared" si="4"/>
        <v/>
      </c>
      <c r="J143" s="4" t="str">
        <f t="shared" si="5"/>
        <v/>
      </c>
    </row>
    <row r="144" spans="1:10" x14ac:dyDescent="0.25">
      <c r="A144" t="s">
        <v>36</v>
      </c>
      <c r="B144">
        <v>1</v>
      </c>
      <c r="C144" t="s">
        <v>37</v>
      </c>
      <c r="D144" s="3">
        <v>375.73</v>
      </c>
      <c r="E144" s="3">
        <v>0</v>
      </c>
      <c r="F144" s="3">
        <v>0</v>
      </c>
      <c r="G144" s="3">
        <v>0</v>
      </c>
      <c r="H144" s="3">
        <v>375.73</v>
      </c>
      <c r="I144" s="4" t="str">
        <f t="shared" si="4"/>
        <v>Ferguson Electrical Solutions Inc</v>
      </c>
      <c r="J144" s="4" t="str">
        <f t="shared" si="5"/>
        <v>FERELE</v>
      </c>
    </row>
    <row r="145" spans="1:10" x14ac:dyDescent="0.25">
      <c r="A145" t="s">
        <v>9</v>
      </c>
      <c r="B145" t="s">
        <v>129</v>
      </c>
      <c r="C145" t="s">
        <v>28</v>
      </c>
      <c r="D145" t="s">
        <v>130</v>
      </c>
      <c r="E145" t="s">
        <v>12</v>
      </c>
      <c r="F145" t="s">
        <v>40</v>
      </c>
      <c r="G145" t="s">
        <v>11</v>
      </c>
      <c r="I145" s="4" t="str">
        <f t="shared" si="4"/>
        <v/>
      </c>
      <c r="J145" s="4" t="str">
        <f t="shared" si="5"/>
        <v/>
      </c>
    </row>
    <row r="146" spans="1:10" x14ac:dyDescent="0.25">
      <c r="A146" t="s">
        <v>31</v>
      </c>
      <c r="B146" t="s">
        <v>32</v>
      </c>
      <c r="C146" t="s">
        <v>33</v>
      </c>
      <c r="D146" t="s">
        <v>34</v>
      </c>
      <c r="E146" t="s">
        <v>35</v>
      </c>
      <c r="I146" s="4" t="str">
        <f t="shared" si="4"/>
        <v/>
      </c>
      <c r="J146" s="4" t="str">
        <f t="shared" si="5"/>
        <v/>
      </c>
    </row>
    <row r="147" spans="1:10" x14ac:dyDescent="0.25">
      <c r="A147" t="s">
        <v>36</v>
      </c>
      <c r="B147">
        <v>3</v>
      </c>
      <c r="C147" t="s">
        <v>37</v>
      </c>
      <c r="D147" s="3">
        <v>68847.19</v>
      </c>
      <c r="E147" s="3">
        <v>0</v>
      </c>
      <c r="F147" s="3">
        <v>63728.44</v>
      </c>
      <c r="G147" s="3">
        <v>0</v>
      </c>
      <c r="H147" s="3">
        <v>5118.75</v>
      </c>
      <c r="I147" s="4" t="str">
        <f t="shared" si="4"/>
        <v>Find Solace Inc.</v>
      </c>
      <c r="J147" s="4" t="str">
        <f t="shared" si="5"/>
        <v>FINSOL</v>
      </c>
    </row>
    <row r="148" spans="1:10" x14ac:dyDescent="0.25">
      <c r="A148" t="s">
        <v>9</v>
      </c>
      <c r="B148" t="s">
        <v>131</v>
      </c>
      <c r="C148" t="s">
        <v>28</v>
      </c>
      <c r="D148" t="s">
        <v>132</v>
      </c>
      <c r="E148" t="s">
        <v>12</v>
      </c>
      <c r="F148" t="s">
        <v>40</v>
      </c>
      <c r="G148" t="s">
        <v>11</v>
      </c>
      <c r="I148" s="4" t="str">
        <f t="shared" si="4"/>
        <v/>
      </c>
      <c r="J148" s="4" t="str">
        <f t="shared" si="5"/>
        <v/>
      </c>
    </row>
    <row r="149" spans="1:10" x14ac:dyDescent="0.25">
      <c r="A149" t="s">
        <v>31</v>
      </c>
      <c r="B149" t="s">
        <v>32</v>
      </c>
      <c r="C149" t="s">
        <v>33</v>
      </c>
      <c r="D149" t="s">
        <v>34</v>
      </c>
      <c r="E149" t="s">
        <v>35</v>
      </c>
      <c r="I149" s="4" t="str">
        <f t="shared" si="4"/>
        <v/>
      </c>
      <c r="J149" s="4" t="str">
        <f t="shared" si="5"/>
        <v/>
      </c>
    </row>
    <row r="150" spans="1:10" x14ac:dyDescent="0.25">
      <c r="A150" t="s">
        <v>36</v>
      </c>
      <c r="B150">
        <v>3</v>
      </c>
      <c r="C150" t="s">
        <v>37</v>
      </c>
      <c r="D150" s="3">
        <v>10260.6</v>
      </c>
      <c r="E150" s="3">
        <v>4011</v>
      </c>
      <c r="F150" s="3">
        <v>3964.8</v>
      </c>
      <c r="G150" s="3">
        <v>2284.8000000000002</v>
      </c>
      <c r="H150" s="3">
        <v>0</v>
      </c>
      <c r="I150" s="4" t="str">
        <f t="shared" si="4"/>
        <v>Finder.com Comparison Services Canada In</v>
      </c>
      <c r="J150" s="4" t="str">
        <f t="shared" si="5"/>
        <v>FINDER</v>
      </c>
    </row>
    <row r="151" spans="1:10" x14ac:dyDescent="0.25">
      <c r="A151" t="s">
        <v>9</v>
      </c>
      <c r="B151" t="s">
        <v>133</v>
      </c>
      <c r="C151" t="s">
        <v>28</v>
      </c>
      <c r="D151" t="s">
        <v>134</v>
      </c>
      <c r="E151" t="s">
        <v>12</v>
      </c>
      <c r="F151" t="s">
        <v>40</v>
      </c>
      <c r="G151" t="s">
        <v>11</v>
      </c>
      <c r="I151" s="4" t="str">
        <f t="shared" si="4"/>
        <v/>
      </c>
      <c r="J151" s="4" t="str">
        <f t="shared" si="5"/>
        <v/>
      </c>
    </row>
    <row r="152" spans="1:10" x14ac:dyDescent="0.25">
      <c r="A152" t="s">
        <v>31</v>
      </c>
      <c r="B152" t="s">
        <v>32</v>
      </c>
      <c r="C152" t="s">
        <v>33</v>
      </c>
      <c r="D152" t="s">
        <v>34</v>
      </c>
      <c r="E152" t="s">
        <v>35</v>
      </c>
      <c r="I152" s="4" t="str">
        <f t="shared" si="4"/>
        <v/>
      </c>
      <c r="J152" s="4" t="str">
        <f t="shared" si="5"/>
        <v/>
      </c>
    </row>
    <row r="153" spans="1:10" x14ac:dyDescent="0.25">
      <c r="A153" t="s">
        <v>36</v>
      </c>
      <c r="B153">
        <v>2</v>
      </c>
      <c r="C153" t="s">
        <v>37</v>
      </c>
      <c r="D153" s="3">
        <v>21066.74</v>
      </c>
      <c r="E153" s="3">
        <v>0</v>
      </c>
      <c r="F153" s="3">
        <v>11042.21</v>
      </c>
      <c r="G153" s="3">
        <v>10024.530000000001</v>
      </c>
      <c r="H153" s="3">
        <v>0</v>
      </c>
      <c r="I153" s="4" t="str">
        <f t="shared" si="4"/>
        <v>Flinks Technology Inc.</v>
      </c>
      <c r="J153" s="4" t="str">
        <f t="shared" si="5"/>
        <v>FLINKS</v>
      </c>
    </row>
    <row r="154" spans="1:10" x14ac:dyDescent="0.25">
      <c r="A154" t="s">
        <v>9</v>
      </c>
      <c r="B154" t="s">
        <v>135</v>
      </c>
      <c r="C154" t="s">
        <v>28</v>
      </c>
      <c r="D154" t="s">
        <v>136</v>
      </c>
      <c r="E154" t="s">
        <v>12</v>
      </c>
      <c r="F154" t="s">
        <v>49</v>
      </c>
      <c r="G154" t="s">
        <v>11</v>
      </c>
      <c r="I154" s="4" t="str">
        <f t="shared" si="4"/>
        <v/>
      </c>
      <c r="J154" s="4" t="str">
        <f t="shared" si="5"/>
        <v/>
      </c>
    </row>
    <row r="155" spans="1:10" x14ac:dyDescent="0.25">
      <c r="A155" t="s">
        <v>31</v>
      </c>
      <c r="B155" t="s">
        <v>32</v>
      </c>
      <c r="C155" t="s">
        <v>33</v>
      </c>
      <c r="D155" t="s">
        <v>34</v>
      </c>
      <c r="E155" t="s">
        <v>35</v>
      </c>
      <c r="I155" s="4" t="str">
        <f t="shared" si="4"/>
        <v/>
      </c>
      <c r="J155" s="4" t="str">
        <f t="shared" si="5"/>
        <v/>
      </c>
    </row>
    <row r="156" spans="1:10" x14ac:dyDescent="0.25">
      <c r="A156" t="s">
        <v>36</v>
      </c>
      <c r="B156">
        <v>1</v>
      </c>
      <c r="C156" t="s">
        <v>37</v>
      </c>
      <c r="D156" s="3">
        <v>47.26</v>
      </c>
      <c r="E156" s="3">
        <v>0</v>
      </c>
      <c r="F156" s="3">
        <v>0</v>
      </c>
      <c r="G156" s="3">
        <v>0</v>
      </c>
      <c r="H156" s="3">
        <v>47.26</v>
      </c>
      <c r="I156" s="4" t="str">
        <f t="shared" si="4"/>
        <v>Fortis BC ACC8427</v>
      </c>
      <c r="J156" s="4" t="str">
        <f t="shared" si="5"/>
        <v>FOR8427</v>
      </c>
    </row>
    <row r="157" spans="1:10" x14ac:dyDescent="0.25">
      <c r="A157" t="s">
        <v>9</v>
      </c>
      <c r="B157" t="s">
        <v>137</v>
      </c>
      <c r="C157" t="s">
        <v>28</v>
      </c>
      <c r="D157" t="s">
        <v>138</v>
      </c>
      <c r="E157" t="s">
        <v>12</v>
      </c>
      <c r="F157" t="s">
        <v>49</v>
      </c>
      <c r="G157" t="s">
        <v>11</v>
      </c>
      <c r="I157" s="4" t="str">
        <f t="shared" si="4"/>
        <v/>
      </c>
      <c r="J157" s="4" t="str">
        <f t="shared" si="5"/>
        <v/>
      </c>
    </row>
    <row r="158" spans="1:10" x14ac:dyDescent="0.25">
      <c r="A158" t="s">
        <v>31</v>
      </c>
      <c r="B158" t="s">
        <v>32</v>
      </c>
      <c r="C158" t="s">
        <v>33</v>
      </c>
      <c r="D158" t="s">
        <v>34</v>
      </c>
      <c r="E158" t="s">
        <v>35</v>
      </c>
      <c r="I158" s="4" t="str">
        <f t="shared" si="4"/>
        <v/>
      </c>
      <c r="J158" s="4" t="str">
        <f t="shared" si="5"/>
        <v/>
      </c>
    </row>
    <row r="159" spans="1:10" x14ac:dyDescent="0.25">
      <c r="A159" t="s">
        <v>36</v>
      </c>
      <c r="B159">
        <v>3</v>
      </c>
      <c r="C159" t="s">
        <v>37</v>
      </c>
      <c r="D159" s="3">
        <v>134.77000000000001</v>
      </c>
      <c r="E159" s="3">
        <v>0</v>
      </c>
      <c r="F159" s="3">
        <v>-13.14</v>
      </c>
      <c r="G159" s="3">
        <v>96.8</v>
      </c>
      <c r="H159" s="3">
        <v>51.11</v>
      </c>
      <c r="I159" s="4" t="str">
        <f t="shared" si="4"/>
        <v>Fortis BC ACC8429</v>
      </c>
      <c r="J159" s="4" t="str">
        <f t="shared" si="5"/>
        <v>FOR8429</v>
      </c>
    </row>
    <row r="160" spans="1:10" x14ac:dyDescent="0.25">
      <c r="A160" t="s">
        <v>9</v>
      </c>
      <c r="B160" t="s">
        <v>139</v>
      </c>
      <c r="C160" t="s">
        <v>28</v>
      </c>
      <c r="D160" t="s">
        <v>140</v>
      </c>
      <c r="E160" t="s">
        <v>12</v>
      </c>
      <c r="F160" t="s">
        <v>30</v>
      </c>
      <c r="G160" t="s">
        <v>11</v>
      </c>
      <c r="I160" s="4" t="str">
        <f t="shared" si="4"/>
        <v/>
      </c>
      <c r="J160" s="4" t="str">
        <f t="shared" si="5"/>
        <v/>
      </c>
    </row>
    <row r="161" spans="1:10" x14ac:dyDescent="0.25">
      <c r="A161" t="s">
        <v>31</v>
      </c>
      <c r="B161" t="s">
        <v>32</v>
      </c>
      <c r="C161" t="s">
        <v>33</v>
      </c>
      <c r="D161" t="s">
        <v>34</v>
      </c>
      <c r="E161" t="s">
        <v>35</v>
      </c>
      <c r="I161" s="4" t="str">
        <f t="shared" si="4"/>
        <v/>
      </c>
      <c r="J161" s="4" t="str">
        <f t="shared" si="5"/>
        <v/>
      </c>
    </row>
    <row r="162" spans="1:10" x14ac:dyDescent="0.25">
      <c r="A162" t="s">
        <v>36</v>
      </c>
      <c r="B162">
        <v>3</v>
      </c>
      <c r="C162" t="s">
        <v>37</v>
      </c>
      <c r="D162" s="3">
        <v>9696.82</v>
      </c>
      <c r="E162" s="3">
        <v>0</v>
      </c>
      <c r="F162" s="3">
        <v>0</v>
      </c>
      <c r="G162" s="3">
        <v>9696.82</v>
      </c>
      <c r="H162" s="3">
        <v>0</v>
      </c>
      <c r="I162" s="4" t="str">
        <f t="shared" si="4"/>
        <v>Fortress Properties</v>
      </c>
      <c r="J162" s="4" t="str">
        <f t="shared" si="5"/>
        <v>FORPRO</v>
      </c>
    </row>
    <row r="163" spans="1:10" x14ac:dyDescent="0.25">
      <c r="A163" t="s">
        <v>9</v>
      </c>
      <c r="B163" t="s">
        <v>141</v>
      </c>
      <c r="C163" t="s">
        <v>28</v>
      </c>
      <c r="D163" t="s">
        <v>142</v>
      </c>
      <c r="E163" t="s">
        <v>12</v>
      </c>
      <c r="F163" t="s">
        <v>40</v>
      </c>
      <c r="G163" t="s">
        <v>11</v>
      </c>
      <c r="I163" s="4" t="str">
        <f t="shared" si="4"/>
        <v/>
      </c>
      <c r="J163" s="4" t="str">
        <f t="shared" si="5"/>
        <v/>
      </c>
    </row>
    <row r="164" spans="1:10" x14ac:dyDescent="0.25">
      <c r="A164" t="s">
        <v>31</v>
      </c>
      <c r="B164" t="s">
        <v>32</v>
      </c>
      <c r="C164" t="s">
        <v>33</v>
      </c>
      <c r="D164" t="s">
        <v>34</v>
      </c>
      <c r="E164" t="s">
        <v>35</v>
      </c>
      <c r="I164" s="4" t="str">
        <f t="shared" si="4"/>
        <v/>
      </c>
      <c r="J164" s="4" t="str">
        <f t="shared" si="5"/>
        <v/>
      </c>
    </row>
    <row r="165" spans="1:10" x14ac:dyDescent="0.25">
      <c r="A165" t="s">
        <v>36</v>
      </c>
      <c r="B165">
        <v>2</v>
      </c>
      <c r="C165" t="s">
        <v>37</v>
      </c>
      <c r="D165" s="3">
        <v>11970</v>
      </c>
      <c r="E165" s="3">
        <v>5985</v>
      </c>
      <c r="F165" s="3">
        <v>5985</v>
      </c>
      <c r="G165" s="3">
        <v>0</v>
      </c>
      <c r="H165" s="3">
        <v>0</v>
      </c>
      <c r="I165" s="4" t="str">
        <f t="shared" si="4"/>
        <v>Fuseforward Canada Ltd</v>
      </c>
      <c r="J165" s="4" t="str">
        <f t="shared" si="5"/>
        <v>FUSFOR001</v>
      </c>
    </row>
    <row r="166" spans="1:10" x14ac:dyDescent="0.25">
      <c r="A166" t="s">
        <v>9</v>
      </c>
      <c r="B166" t="s">
        <v>143</v>
      </c>
      <c r="C166" t="s">
        <v>28</v>
      </c>
      <c r="D166" t="s">
        <v>144</v>
      </c>
      <c r="E166" t="s">
        <v>12</v>
      </c>
      <c r="F166" t="s">
        <v>64</v>
      </c>
      <c r="G166" t="s">
        <v>11</v>
      </c>
      <c r="I166" s="4" t="str">
        <f t="shared" si="4"/>
        <v/>
      </c>
      <c r="J166" s="4" t="str">
        <f t="shared" si="5"/>
        <v/>
      </c>
    </row>
    <row r="167" spans="1:10" x14ac:dyDescent="0.25">
      <c r="A167" t="s">
        <v>31</v>
      </c>
      <c r="B167" t="s">
        <v>32</v>
      </c>
      <c r="C167" t="s">
        <v>33</v>
      </c>
      <c r="D167" t="s">
        <v>34</v>
      </c>
      <c r="E167" t="s">
        <v>35</v>
      </c>
      <c r="I167" s="4" t="str">
        <f t="shared" si="4"/>
        <v/>
      </c>
      <c r="J167" s="4" t="str">
        <f t="shared" si="5"/>
        <v/>
      </c>
    </row>
    <row r="168" spans="1:10" x14ac:dyDescent="0.25">
      <c r="A168" t="s">
        <v>36</v>
      </c>
      <c r="B168">
        <v>2</v>
      </c>
      <c r="C168" t="s">
        <v>37</v>
      </c>
      <c r="D168" s="3">
        <v>-2770.04</v>
      </c>
      <c r="E168" s="3">
        <v>0</v>
      </c>
      <c r="F168" s="3">
        <v>0</v>
      </c>
      <c r="G168" s="3">
        <v>0</v>
      </c>
      <c r="H168" s="3">
        <v>-2770.04</v>
      </c>
      <c r="I168" s="4" t="str">
        <f t="shared" si="4"/>
        <v>GEAN ENGLISH</v>
      </c>
      <c r="J168" s="4" t="str">
        <f t="shared" si="5"/>
        <v>GEAENG</v>
      </c>
    </row>
    <row r="169" spans="1:10" x14ac:dyDescent="0.25">
      <c r="A169" t="s">
        <v>9</v>
      </c>
      <c r="B169" t="s">
        <v>145</v>
      </c>
      <c r="C169" t="s">
        <v>28</v>
      </c>
      <c r="D169" t="s">
        <v>146</v>
      </c>
      <c r="E169" t="s">
        <v>12</v>
      </c>
      <c r="F169" t="s">
        <v>43</v>
      </c>
      <c r="G169" t="s">
        <v>11</v>
      </c>
      <c r="I169" s="4" t="str">
        <f t="shared" si="4"/>
        <v/>
      </c>
      <c r="J169" s="4" t="str">
        <f t="shared" si="5"/>
        <v/>
      </c>
    </row>
    <row r="170" spans="1:10" x14ac:dyDescent="0.25">
      <c r="A170" t="s">
        <v>31</v>
      </c>
      <c r="B170" t="s">
        <v>32</v>
      </c>
      <c r="C170" t="s">
        <v>33</v>
      </c>
      <c r="D170" t="s">
        <v>34</v>
      </c>
      <c r="E170" t="s">
        <v>35</v>
      </c>
      <c r="I170" s="4" t="str">
        <f t="shared" si="4"/>
        <v/>
      </c>
      <c r="J170" s="4" t="str">
        <f t="shared" si="5"/>
        <v/>
      </c>
    </row>
    <row r="171" spans="1:10" x14ac:dyDescent="0.25">
      <c r="A171" t="s">
        <v>36</v>
      </c>
      <c r="B171">
        <v>1</v>
      </c>
      <c r="C171" t="s">
        <v>37</v>
      </c>
      <c r="D171" s="3">
        <v>12705</v>
      </c>
      <c r="E171" s="3">
        <v>0</v>
      </c>
      <c r="F171" s="3">
        <v>12705</v>
      </c>
      <c r="G171" s="3">
        <v>0</v>
      </c>
      <c r="H171" s="3">
        <v>0</v>
      </c>
      <c r="I171" s="4" t="str">
        <f t="shared" si="4"/>
        <v>Gerard McInnis Professional Corporation</v>
      </c>
      <c r="J171" s="4" t="str">
        <f t="shared" si="5"/>
        <v>GERMCIPRO</v>
      </c>
    </row>
    <row r="172" spans="1:10" x14ac:dyDescent="0.25">
      <c r="A172" t="s">
        <v>9</v>
      </c>
      <c r="B172" t="s">
        <v>147</v>
      </c>
      <c r="C172" t="s">
        <v>28</v>
      </c>
      <c r="D172" t="s">
        <v>148</v>
      </c>
      <c r="E172" t="s">
        <v>12</v>
      </c>
      <c r="F172" t="s">
        <v>64</v>
      </c>
      <c r="G172" t="s">
        <v>11</v>
      </c>
      <c r="I172" s="4" t="str">
        <f t="shared" si="4"/>
        <v/>
      </c>
      <c r="J172" s="4" t="str">
        <f t="shared" si="5"/>
        <v/>
      </c>
    </row>
    <row r="173" spans="1:10" x14ac:dyDescent="0.25">
      <c r="A173" t="s">
        <v>31</v>
      </c>
      <c r="B173" t="s">
        <v>32</v>
      </c>
      <c r="C173" t="s">
        <v>33</v>
      </c>
      <c r="D173" t="s">
        <v>34</v>
      </c>
      <c r="E173" t="s">
        <v>35</v>
      </c>
      <c r="I173" s="4" t="str">
        <f t="shared" si="4"/>
        <v/>
      </c>
      <c r="J173" s="4" t="str">
        <f t="shared" si="5"/>
        <v/>
      </c>
    </row>
    <row r="174" spans="1:10" x14ac:dyDescent="0.25">
      <c r="A174" t="s">
        <v>36</v>
      </c>
      <c r="B174">
        <v>2</v>
      </c>
      <c r="C174" t="s">
        <v>37</v>
      </c>
      <c r="D174" s="3">
        <v>138977.97</v>
      </c>
      <c r="E174" s="3">
        <v>138977.97</v>
      </c>
      <c r="F174" s="3">
        <v>0</v>
      </c>
      <c r="G174" s="3">
        <v>0</v>
      </c>
      <c r="H174" s="3">
        <v>0</v>
      </c>
      <c r="I174" s="4" t="str">
        <f t="shared" si="4"/>
        <v>Google LLC</v>
      </c>
      <c r="J174" s="4" t="str">
        <f t="shared" si="5"/>
        <v>GOOGLE LLC</v>
      </c>
    </row>
    <row r="175" spans="1:10" x14ac:dyDescent="0.25">
      <c r="A175" t="s">
        <v>9</v>
      </c>
      <c r="B175" t="s">
        <v>149</v>
      </c>
      <c r="C175" t="s">
        <v>28</v>
      </c>
      <c r="D175" t="s">
        <v>150</v>
      </c>
      <c r="E175" t="s">
        <v>12</v>
      </c>
      <c r="F175" t="s">
        <v>43</v>
      </c>
      <c r="G175" t="s">
        <v>11</v>
      </c>
      <c r="I175" s="4" t="str">
        <f t="shared" si="4"/>
        <v/>
      </c>
      <c r="J175" s="4" t="str">
        <f t="shared" si="5"/>
        <v/>
      </c>
    </row>
    <row r="176" spans="1:10" x14ac:dyDescent="0.25">
      <c r="A176" t="s">
        <v>31</v>
      </c>
      <c r="B176" t="s">
        <v>32</v>
      </c>
      <c r="C176" t="s">
        <v>33</v>
      </c>
      <c r="D176" t="s">
        <v>34</v>
      </c>
      <c r="E176" t="s">
        <v>35</v>
      </c>
      <c r="I176" s="4" t="str">
        <f t="shared" si="4"/>
        <v/>
      </c>
      <c r="J176" s="4" t="str">
        <f t="shared" si="5"/>
        <v/>
      </c>
    </row>
    <row r="177" spans="1:10" x14ac:dyDescent="0.25">
      <c r="A177" t="s">
        <v>36</v>
      </c>
      <c r="B177">
        <v>2</v>
      </c>
      <c r="C177" t="s">
        <v>37</v>
      </c>
      <c r="D177" s="3">
        <v>1029.99</v>
      </c>
      <c r="E177" s="3">
        <v>0</v>
      </c>
      <c r="F177" s="3">
        <v>1000</v>
      </c>
      <c r="G177" s="3">
        <v>0</v>
      </c>
      <c r="H177" s="3">
        <v>29.99</v>
      </c>
      <c r="I177" s="4" t="str">
        <f t="shared" si="4"/>
        <v>Government of Alberta</v>
      </c>
      <c r="J177" s="4" t="str">
        <f t="shared" si="5"/>
        <v>GOVALB</v>
      </c>
    </row>
    <row r="178" spans="1:10" x14ac:dyDescent="0.25">
      <c r="A178" t="s">
        <v>9</v>
      </c>
      <c r="B178" t="s">
        <v>151</v>
      </c>
      <c r="C178" t="s">
        <v>28</v>
      </c>
      <c r="D178" t="s">
        <v>152</v>
      </c>
      <c r="E178" t="s">
        <v>12</v>
      </c>
      <c r="F178" t="s">
        <v>40</v>
      </c>
      <c r="G178" t="s">
        <v>11</v>
      </c>
      <c r="I178" s="4" t="str">
        <f t="shared" si="4"/>
        <v/>
      </c>
      <c r="J178" s="4" t="str">
        <f t="shared" si="5"/>
        <v/>
      </c>
    </row>
    <row r="179" spans="1:10" x14ac:dyDescent="0.25">
      <c r="A179" t="s">
        <v>31</v>
      </c>
      <c r="B179" t="s">
        <v>32</v>
      </c>
      <c r="C179" t="s">
        <v>33</v>
      </c>
      <c r="D179" t="s">
        <v>34</v>
      </c>
      <c r="E179" t="s">
        <v>35</v>
      </c>
      <c r="I179" s="4" t="str">
        <f t="shared" si="4"/>
        <v/>
      </c>
      <c r="J179" s="4" t="str">
        <f t="shared" si="5"/>
        <v/>
      </c>
    </row>
    <row r="180" spans="1:10" x14ac:dyDescent="0.25">
      <c r="A180" t="s">
        <v>36</v>
      </c>
      <c r="B180">
        <v>1</v>
      </c>
      <c r="C180" t="s">
        <v>37</v>
      </c>
      <c r="D180" s="3">
        <v>187.45</v>
      </c>
      <c r="E180" s="3">
        <v>0</v>
      </c>
      <c r="F180" s="3">
        <v>0</v>
      </c>
      <c r="G180" s="3">
        <v>187.45</v>
      </c>
      <c r="H180" s="3">
        <v>0</v>
      </c>
      <c r="I180" s="4" t="str">
        <f t="shared" si="4"/>
        <v>GREENLAND WASTE DISPOSAL</v>
      </c>
      <c r="J180" s="4" t="str">
        <f t="shared" si="5"/>
        <v>GREWAS</v>
      </c>
    </row>
    <row r="181" spans="1:10" x14ac:dyDescent="0.25">
      <c r="A181" t="s">
        <v>9</v>
      </c>
      <c r="B181" t="s">
        <v>153</v>
      </c>
      <c r="C181" t="s">
        <v>28</v>
      </c>
      <c r="D181" t="s">
        <v>154</v>
      </c>
      <c r="E181" t="s">
        <v>12</v>
      </c>
      <c r="F181" t="s">
        <v>49</v>
      </c>
      <c r="G181" t="s">
        <v>11</v>
      </c>
      <c r="I181" s="4" t="str">
        <f t="shared" si="4"/>
        <v/>
      </c>
      <c r="J181" s="4" t="str">
        <f t="shared" si="5"/>
        <v/>
      </c>
    </row>
    <row r="182" spans="1:10" x14ac:dyDescent="0.25">
      <c r="A182" t="s">
        <v>31</v>
      </c>
      <c r="B182" t="s">
        <v>32</v>
      </c>
      <c r="C182" t="s">
        <v>33</v>
      </c>
      <c r="D182" t="s">
        <v>34</v>
      </c>
      <c r="E182" t="s">
        <v>35</v>
      </c>
      <c r="I182" s="4" t="str">
        <f t="shared" si="4"/>
        <v/>
      </c>
      <c r="J182" s="4" t="str">
        <f t="shared" si="5"/>
        <v/>
      </c>
    </row>
    <row r="183" spans="1:10" x14ac:dyDescent="0.25">
      <c r="A183" t="s">
        <v>36</v>
      </c>
      <c r="B183">
        <v>1</v>
      </c>
      <c r="C183" t="s">
        <v>37</v>
      </c>
      <c r="D183" s="3">
        <v>442.61</v>
      </c>
      <c r="E183" s="3">
        <v>442.61</v>
      </c>
      <c r="F183" s="3">
        <v>0</v>
      </c>
      <c r="G183" s="3">
        <v>0</v>
      </c>
      <c r="H183" s="3">
        <v>0</v>
      </c>
      <c r="I183" s="4" t="str">
        <f t="shared" si="4"/>
        <v>Guelph Hydro Electric Systems Inc.</v>
      </c>
      <c r="J183" s="4" t="str">
        <f t="shared" si="5"/>
        <v>GUEHYD</v>
      </c>
    </row>
    <row r="184" spans="1:10" x14ac:dyDescent="0.25">
      <c r="A184" t="s">
        <v>9</v>
      </c>
      <c r="B184" t="s">
        <v>155</v>
      </c>
      <c r="C184" t="s">
        <v>28</v>
      </c>
      <c r="D184" t="s">
        <v>156</v>
      </c>
      <c r="E184" t="s">
        <v>12</v>
      </c>
      <c r="F184" t="s">
        <v>43</v>
      </c>
      <c r="G184" t="s">
        <v>11</v>
      </c>
      <c r="I184" s="4" t="str">
        <f t="shared" si="4"/>
        <v/>
      </c>
      <c r="J184" s="4" t="str">
        <f t="shared" si="5"/>
        <v/>
      </c>
    </row>
    <row r="185" spans="1:10" x14ac:dyDescent="0.25">
      <c r="A185" t="s">
        <v>31</v>
      </c>
      <c r="B185" t="s">
        <v>32</v>
      </c>
      <c r="C185" t="s">
        <v>33</v>
      </c>
      <c r="D185" t="s">
        <v>34</v>
      </c>
      <c r="E185" t="s">
        <v>35</v>
      </c>
      <c r="I185" s="4" t="str">
        <f t="shared" si="4"/>
        <v/>
      </c>
      <c r="J185" s="4" t="str">
        <f t="shared" si="5"/>
        <v/>
      </c>
    </row>
    <row r="186" spans="1:10" x14ac:dyDescent="0.25">
      <c r="A186" t="s">
        <v>36</v>
      </c>
      <c r="B186">
        <v>1</v>
      </c>
      <c r="C186" t="s">
        <v>37</v>
      </c>
      <c r="D186" s="3">
        <v>49.96</v>
      </c>
      <c r="E186" s="3">
        <v>0</v>
      </c>
      <c r="F186" s="3">
        <v>49.96</v>
      </c>
      <c r="G186" s="3">
        <v>0</v>
      </c>
      <c r="H186" s="3">
        <v>0</v>
      </c>
      <c r="I186" s="4" t="str">
        <f t="shared" si="4"/>
        <v>Gunnebo Canada Inc.</v>
      </c>
      <c r="J186" s="4" t="str">
        <f t="shared" si="5"/>
        <v>GUNCAN</v>
      </c>
    </row>
    <row r="187" spans="1:10" x14ac:dyDescent="0.25">
      <c r="A187" t="s">
        <v>9</v>
      </c>
      <c r="B187" t="s">
        <v>157</v>
      </c>
      <c r="C187" t="s">
        <v>28</v>
      </c>
      <c r="D187" t="s">
        <v>158</v>
      </c>
      <c r="E187" t="s">
        <v>12</v>
      </c>
      <c r="F187" t="s">
        <v>40</v>
      </c>
      <c r="G187" t="s">
        <v>11</v>
      </c>
      <c r="I187" s="4" t="str">
        <f t="shared" si="4"/>
        <v/>
      </c>
      <c r="J187" s="4" t="str">
        <f t="shared" si="5"/>
        <v/>
      </c>
    </row>
    <row r="188" spans="1:10" x14ac:dyDescent="0.25">
      <c r="A188" t="s">
        <v>31</v>
      </c>
      <c r="B188" t="s">
        <v>32</v>
      </c>
      <c r="C188" t="s">
        <v>33</v>
      </c>
      <c r="D188" t="s">
        <v>34</v>
      </c>
      <c r="E188" t="s">
        <v>35</v>
      </c>
      <c r="I188" s="4" t="str">
        <f t="shared" si="4"/>
        <v/>
      </c>
      <c r="J188" s="4" t="str">
        <f t="shared" si="5"/>
        <v/>
      </c>
    </row>
    <row r="189" spans="1:10" x14ac:dyDescent="0.25">
      <c r="A189" t="s">
        <v>36</v>
      </c>
      <c r="B189">
        <v>1</v>
      </c>
      <c r="C189" t="s">
        <v>37</v>
      </c>
      <c r="D189" s="3">
        <v>161.69999999999999</v>
      </c>
      <c r="E189" s="3">
        <v>161.69999999999999</v>
      </c>
      <c r="F189" s="3">
        <v>0</v>
      </c>
      <c r="G189" s="3">
        <v>0</v>
      </c>
      <c r="H189" s="3">
        <v>0</v>
      </c>
      <c r="I189" s="4" t="str">
        <f t="shared" si="4"/>
        <v>Hometech Security Inc.</v>
      </c>
      <c r="J189" s="4" t="str">
        <f t="shared" si="5"/>
        <v>HOMTEC</v>
      </c>
    </row>
    <row r="190" spans="1:10" x14ac:dyDescent="0.25">
      <c r="A190" t="s">
        <v>9</v>
      </c>
      <c r="B190" t="s">
        <v>159</v>
      </c>
      <c r="C190" t="s">
        <v>28</v>
      </c>
      <c r="D190" t="s">
        <v>160</v>
      </c>
      <c r="E190" t="s">
        <v>12</v>
      </c>
      <c r="F190" t="s">
        <v>49</v>
      </c>
      <c r="G190" t="s">
        <v>11</v>
      </c>
      <c r="I190" s="4" t="str">
        <f t="shared" si="4"/>
        <v/>
      </c>
      <c r="J190" s="4" t="str">
        <f t="shared" si="5"/>
        <v/>
      </c>
    </row>
    <row r="191" spans="1:10" x14ac:dyDescent="0.25">
      <c r="A191" t="s">
        <v>31</v>
      </c>
      <c r="B191" t="s">
        <v>32</v>
      </c>
      <c r="C191" t="s">
        <v>33</v>
      </c>
      <c r="D191" t="s">
        <v>34</v>
      </c>
      <c r="E191" t="s">
        <v>35</v>
      </c>
      <c r="I191" s="4" t="str">
        <f t="shared" si="4"/>
        <v/>
      </c>
      <c r="J191" s="4" t="str">
        <f t="shared" si="5"/>
        <v/>
      </c>
    </row>
    <row r="192" spans="1:10" x14ac:dyDescent="0.25">
      <c r="A192" t="s">
        <v>36</v>
      </c>
      <c r="B192">
        <v>4</v>
      </c>
      <c r="C192" t="s">
        <v>37</v>
      </c>
      <c r="D192" s="3">
        <v>9980.48</v>
      </c>
      <c r="E192" s="3">
        <v>0</v>
      </c>
      <c r="F192" s="3">
        <v>4044.86</v>
      </c>
      <c r="G192" s="3">
        <v>6237.59</v>
      </c>
      <c r="H192" s="3">
        <v>-301.97000000000003</v>
      </c>
      <c r="I192" s="4" t="str">
        <f t="shared" si="4"/>
        <v>HUDSON ENERGY CANADA CORP.</v>
      </c>
      <c r="J192" s="4" t="str">
        <f t="shared" si="5"/>
        <v>HUDENG</v>
      </c>
    </row>
    <row r="193" spans="1:10" x14ac:dyDescent="0.25">
      <c r="A193" t="s">
        <v>9</v>
      </c>
      <c r="B193" t="s">
        <v>161</v>
      </c>
      <c r="C193" t="s">
        <v>28</v>
      </c>
      <c r="D193" t="s">
        <v>162</v>
      </c>
      <c r="E193" t="s">
        <v>12</v>
      </c>
      <c r="F193" t="s">
        <v>40</v>
      </c>
      <c r="G193" t="s">
        <v>11</v>
      </c>
      <c r="I193" s="4" t="str">
        <f t="shared" si="4"/>
        <v/>
      </c>
      <c r="J193" s="4" t="str">
        <f t="shared" si="5"/>
        <v/>
      </c>
    </row>
    <row r="194" spans="1:10" x14ac:dyDescent="0.25">
      <c r="A194" t="s">
        <v>31</v>
      </c>
      <c r="B194" t="s">
        <v>32</v>
      </c>
      <c r="C194" t="s">
        <v>33</v>
      </c>
      <c r="D194" t="s">
        <v>34</v>
      </c>
      <c r="E194" t="s">
        <v>35</v>
      </c>
      <c r="I194" s="4" t="str">
        <f t="shared" si="4"/>
        <v/>
      </c>
      <c r="J194" s="4" t="str">
        <f t="shared" si="5"/>
        <v/>
      </c>
    </row>
    <row r="195" spans="1:10" x14ac:dyDescent="0.25">
      <c r="A195" t="s">
        <v>36</v>
      </c>
      <c r="B195">
        <v>13</v>
      </c>
      <c r="C195" t="s">
        <v>37</v>
      </c>
      <c r="D195" s="3">
        <v>60037.23</v>
      </c>
      <c r="E195" s="3">
        <v>0</v>
      </c>
      <c r="F195" s="3">
        <v>23496.880000000001</v>
      </c>
      <c r="G195" s="3">
        <v>36540.35</v>
      </c>
      <c r="H195" s="3">
        <v>0</v>
      </c>
      <c r="I195" s="4" t="str">
        <f t="shared" si="4"/>
        <v>Insight Canada Inc.</v>
      </c>
      <c r="J195" s="4" t="str">
        <f t="shared" si="5"/>
        <v>INSIGHT</v>
      </c>
    </row>
    <row r="196" spans="1:10" x14ac:dyDescent="0.25">
      <c r="A196" t="s">
        <v>9</v>
      </c>
      <c r="B196" t="s">
        <v>163</v>
      </c>
      <c r="C196" t="s">
        <v>28</v>
      </c>
      <c r="D196" t="s">
        <v>164</v>
      </c>
      <c r="E196" t="s">
        <v>12</v>
      </c>
      <c r="F196" t="s">
        <v>64</v>
      </c>
      <c r="G196" t="s">
        <v>11</v>
      </c>
      <c r="I196" s="4" t="str">
        <f t="shared" si="4"/>
        <v/>
      </c>
      <c r="J196" s="4" t="str">
        <f t="shared" si="5"/>
        <v/>
      </c>
    </row>
    <row r="197" spans="1:10" x14ac:dyDescent="0.25">
      <c r="A197" t="s">
        <v>31</v>
      </c>
      <c r="B197" t="s">
        <v>32</v>
      </c>
      <c r="C197" t="s">
        <v>33</v>
      </c>
      <c r="D197" t="s">
        <v>34</v>
      </c>
      <c r="E197" t="s">
        <v>35</v>
      </c>
      <c r="I197" s="4" t="str">
        <f t="shared" si="4"/>
        <v/>
      </c>
      <c r="J197" s="4" t="str">
        <f t="shared" si="5"/>
        <v/>
      </c>
    </row>
    <row r="198" spans="1:10" x14ac:dyDescent="0.25">
      <c r="A198" t="s">
        <v>36</v>
      </c>
      <c r="B198">
        <v>1</v>
      </c>
      <c r="C198" t="s">
        <v>37</v>
      </c>
      <c r="D198" s="3">
        <v>20.99</v>
      </c>
      <c r="E198" s="3">
        <v>0</v>
      </c>
      <c r="F198" s="3">
        <v>0</v>
      </c>
      <c r="G198" s="3">
        <v>0</v>
      </c>
      <c r="H198" s="3">
        <v>20.99</v>
      </c>
      <c r="I198" s="4" t="str">
        <f t="shared" si="4"/>
        <v>Intercom R&amp;D Unlimited Company</v>
      </c>
      <c r="J198" s="4" t="str">
        <f t="shared" si="5"/>
        <v>INTR&amp;D</v>
      </c>
    </row>
    <row r="199" spans="1:10" x14ac:dyDescent="0.25">
      <c r="A199" t="s">
        <v>9</v>
      </c>
      <c r="B199" t="s">
        <v>165</v>
      </c>
      <c r="C199" t="s">
        <v>28</v>
      </c>
      <c r="D199" t="s">
        <v>166</v>
      </c>
      <c r="E199" t="s">
        <v>12</v>
      </c>
      <c r="F199" t="s">
        <v>82</v>
      </c>
      <c r="G199" t="s">
        <v>11</v>
      </c>
      <c r="I199" s="4" t="str">
        <f t="shared" si="4"/>
        <v/>
      </c>
      <c r="J199" s="4" t="str">
        <f t="shared" si="5"/>
        <v/>
      </c>
    </row>
    <row r="200" spans="1:10" x14ac:dyDescent="0.25">
      <c r="A200" t="s">
        <v>31</v>
      </c>
      <c r="B200" t="s">
        <v>32</v>
      </c>
      <c r="C200" t="s">
        <v>33</v>
      </c>
      <c r="D200" t="s">
        <v>34</v>
      </c>
      <c r="E200" t="s">
        <v>35</v>
      </c>
      <c r="I200" s="4" t="str">
        <f t="shared" si="4"/>
        <v/>
      </c>
      <c r="J200" s="4" t="str">
        <f t="shared" si="5"/>
        <v/>
      </c>
    </row>
    <row r="201" spans="1:10" x14ac:dyDescent="0.25">
      <c r="A201" t="s">
        <v>36</v>
      </c>
      <c r="B201">
        <v>3</v>
      </c>
      <c r="C201" t="s">
        <v>37</v>
      </c>
      <c r="D201" s="3">
        <v>14337.24</v>
      </c>
      <c r="E201" s="3">
        <v>0</v>
      </c>
      <c r="F201" s="3">
        <v>0</v>
      </c>
      <c r="G201" s="3">
        <v>0</v>
      </c>
      <c r="H201" s="3">
        <v>14337.24</v>
      </c>
      <c r="I201" s="4" t="str">
        <f t="shared" si="4"/>
        <v>INVERITE VERIFICATION INC</v>
      </c>
      <c r="J201" s="4" t="str">
        <f t="shared" si="5"/>
        <v>INVVER</v>
      </c>
    </row>
    <row r="202" spans="1:10" x14ac:dyDescent="0.25">
      <c r="A202" t="s">
        <v>9</v>
      </c>
      <c r="B202" t="s">
        <v>167</v>
      </c>
      <c r="C202" t="s">
        <v>28</v>
      </c>
      <c r="D202" t="s">
        <v>168</v>
      </c>
      <c r="E202" t="s">
        <v>12</v>
      </c>
      <c r="F202" t="s">
        <v>64</v>
      </c>
      <c r="G202" t="s">
        <v>11</v>
      </c>
      <c r="I202" s="4" t="str">
        <f t="shared" si="4"/>
        <v/>
      </c>
      <c r="J202" s="4" t="str">
        <f t="shared" si="5"/>
        <v/>
      </c>
    </row>
    <row r="203" spans="1:10" x14ac:dyDescent="0.25">
      <c r="A203" t="s">
        <v>31</v>
      </c>
      <c r="B203" t="s">
        <v>32</v>
      </c>
      <c r="C203" t="s">
        <v>33</v>
      </c>
      <c r="D203" t="s">
        <v>34</v>
      </c>
      <c r="E203" t="s">
        <v>35</v>
      </c>
      <c r="I203" s="4" t="str">
        <f t="shared" si="4"/>
        <v/>
      </c>
      <c r="J203" s="4" t="str">
        <f t="shared" si="5"/>
        <v/>
      </c>
    </row>
    <row r="204" spans="1:10" x14ac:dyDescent="0.25">
      <c r="A204" t="s">
        <v>36</v>
      </c>
      <c r="B204">
        <v>3</v>
      </c>
      <c r="C204" t="s">
        <v>37</v>
      </c>
      <c r="D204" s="3">
        <v>309865.09000000003</v>
      </c>
      <c r="E204" s="3">
        <v>126111.3</v>
      </c>
      <c r="F204" s="3">
        <v>124865.14</v>
      </c>
      <c r="G204" s="3">
        <v>58888.65</v>
      </c>
      <c r="H204" s="3">
        <v>0</v>
      </c>
      <c r="I204" s="4" t="str">
        <f t="shared" si="4"/>
        <v>LoanPro Software, LLC</v>
      </c>
      <c r="J204" s="4" t="str">
        <f t="shared" si="5"/>
        <v>LOAPRO</v>
      </c>
    </row>
    <row r="205" spans="1:10" x14ac:dyDescent="0.25">
      <c r="A205" t="s">
        <v>9</v>
      </c>
      <c r="B205" t="s">
        <v>169</v>
      </c>
      <c r="C205" t="s">
        <v>28</v>
      </c>
      <c r="D205" t="s">
        <v>170</v>
      </c>
      <c r="E205" t="s">
        <v>12</v>
      </c>
      <c r="F205" t="s">
        <v>49</v>
      </c>
      <c r="G205" t="s">
        <v>11</v>
      </c>
      <c r="I205" s="4" t="str">
        <f t="shared" ref="I205:I268" si="6">IF(C203="Name:",D203,"")</f>
        <v/>
      </c>
      <c r="J205" s="4" t="str">
        <f t="shared" ref="J205:J268" si="7">IF(C203="Name:",B203,"")</f>
        <v/>
      </c>
    </row>
    <row r="206" spans="1:10" x14ac:dyDescent="0.25">
      <c r="A206" t="s">
        <v>31</v>
      </c>
      <c r="B206" t="s">
        <v>32</v>
      </c>
      <c r="C206" t="s">
        <v>33</v>
      </c>
      <c r="D206" t="s">
        <v>34</v>
      </c>
      <c r="E206" t="s">
        <v>35</v>
      </c>
      <c r="I206" s="4" t="str">
        <f t="shared" si="6"/>
        <v/>
      </c>
      <c r="J206" s="4" t="str">
        <f t="shared" si="7"/>
        <v/>
      </c>
    </row>
    <row r="207" spans="1:10" x14ac:dyDescent="0.25">
      <c r="A207" t="s">
        <v>36</v>
      </c>
      <c r="B207">
        <v>1</v>
      </c>
      <c r="C207" t="s">
        <v>37</v>
      </c>
      <c r="D207" s="3">
        <v>141.97</v>
      </c>
      <c r="E207" s="3">
        <v>141.97</v>
      </c>
      <c r="F207" s="3">
        <v>0</v>
      </c>
      <c r="G207" s="3">
        <v>0</v>
      </c>
      <c r="H207" s="3">
        <v>0</v>
      </c>
      <c r="I207" s="4" t="str">
        <f t="shared" si="6"/>
        <v>LORAAS ENVIRONMENTAL SERVICES LTD</v>
      </c>
      <c r="J207" s="4" t="str">
        <f t="shared" si="7"/>
        <v>LORENV</v>
      </c>
    </row>
    <row r="208" spans="1:10" x14ac:dyDescent="0.25">
      <c r="A208" t="s">
        <v>9</v>
      </c>
      <c r="B208" t="s">
        <v>171</v>
      </c>
      <c r="C208" t="s">
        <v>28</v>
      </c>
      <c r="D208" t="s">
        <v>172</v>
      </c>
      <c r="E208" t="s">
        <v>12</v>
      </c>
      <c r="F208" t="s">
        <v>40</v>
      </c>
      <c r="G208" t="s">
        <v>11</v>
      </c>
      <c r="I208" s="4" t="str">
        <f t="shared" si="6"/>
        <v/>
      </c>
      <c r="J208" s="4" t="str">
        <f t="shared" si="7"/>
        <v/>
      </c>
    </row>
    <row r="209" spans="1:10" x14ac:dyDescent="0.25">
      <c r="A209" t="s">
        <v>31</v>
      </c>
      <c r="B209" t="s">
        <v>32</v>
      </c>
      <c r="C209" t="s">
        <v>33</v>
      </c>
      <c r="D209" t="s">
        <v>34</v>
      </c>
      <c r="E209" t="s">
        <v>35</v>
      </c>
      <c r="I209" s="4" t="str">
        <f t="shared" si="6"/>
        <v/>
      </c>
      <c r="J209" s="4" t="str">
        <f t="shared" si="7"/>
        <v/>
      </c>
    </row>
    <row r="210" spans="1:10" x14ac:dyDescent="0.25">
      <c r="A210" t="s">
        <v>36</v>
      </c>
      <c r="B210">
        <v>3</v>
      </c>
      <c r="C210" t="s">
        <v>37</v>
      </c>
      <c r="D210" s="3">
        <v>9788.6299999999992</v>
      </c>
      <c r="E210" s="3">
        <v>3496.5</v>
      </c>
      <c r="F210" s="3">
        <v>3201.19</v>
      </c>
      <c r="G210" s="3">
        <v>3090.94</v>
      </c>
      <c r="H210" s="3">
        <v>0</v>
      </c>
      <c r="I210" s="4" t="str">
        <f t="shared" si="6"/>
        <v>Maple Corporation</v>
      </c>
      <c r="J210" s="4" t="str">
        <f t="shared" si="7"/>
        <v>MAPCOR</v>
      </c>
    </row>
    <row r="211" spans="1:10" x14ac:dyDescent="0.25">
      <c r="A211" t="s">
        <v>9</v>
      </c>
      <c r="B211" t="s">
        <v>173</v>
      </c>
      <c r="C211" t="s">
        <v>28</v>
      </c>
      <c r="D211" t="s">
        <v>174</v>
      </c>
      <c r="E211" t="s">
        <v>12</v>
      </c>
      <c r="F211" t="s">
        <v>30</v>
      </c>
      <c r="G211" t="s">
        <v>11</v>
      </c>
      <c r="I211" s="4" t="str">
        <f t="shared" si="6"/>
        <v/>
      </c>
      <c r="J211" s="4" t="str">
        <f t="shared" si="7"/>
        <v/>
      </c>
    </row>
    <row r="212" spans="1:10" x14ac:dyDescent="0.25">
      <c r="A212" t="s">
        <v>31</v>
      </c>
      <c r="B212" t="s">
        <v>32</v>
      </c>
      <c r="C212" t="s">
        <v>33</v>
      </c>
      <c r="D212" t="s">
        <v>34</v>
      </c>
      <c r="E212" t="s">
        <v>35</v>
      </c>
      <c r="I212" s="4" t="str">
        <f t="shared" si="6"/>
        <v/>
      </c>
      <c r="J212" s="4" t="str">
        <f t="shared" si="7"/>
        <v/>
      </c>
    </row>
    <row r="213" spans="1:10" x14ac:dyDescent="0.25">
      <c r="A213" t="s">
        <v>36</v>
      </c>
      <c r="B213">
        <v>1</v>
      </c>
      <c r="C213" t="s">
        <v>37</v>
      </c>
      <c r="D213" s="3">
        <v>3531.36</v>
      </c>
      <c r="E213" s="3">
        <v>0</v>
      </c>
      <c r="F213" s="3">
        <v>0</v>
      </c>
      <c r="G213" s="3">
        <v>0</v>
      </c>
      <c r="H213" s="3">
        <v>3531.36</v>
      </c>
      <c r="I213" s="4" t="str">
        <f t="shared" si="6"/>
        <v>Martin, Anthony, Lisa Ma, Eva Kwan Wai L</v>
      </c>
      <c r="J213" s="4" t="str">
        <f t="shared" si="7"/>
        <v>MARMA</v>
      </c>
    </row>
    <row r="214" spans="1:10" x14ac:dyDescent="0.25">
      <c r="A214" t="s">
        <v>9</v>
      </c>
      <c r="B214" t="s">
        <v>175</v>
      </c>
      <c r="C214" t="s">
        <v>28</v>
      </c>
      <c r="D214" t="s">
        <v>176</v>
      </c>
      <c r="E214" t="s">
        <v>12</v>
      </c>
      <c r="F214" t="s">
        <v>40</v>
      </c>
      <c r="G214" t="s">
        <v>11</v>
      </c>
      <c r="I214" s="4" t="str">
        <f t="shared" si="6"/>
        <v/>
      </c>
      <c r="J214" s="4" t="str">
        <f t="shared" si="7"/>
        <v/>
      </c>
    </row>
    <row r="215" spans="1:10" x14ac:dyDescent="0.25">
      <c r="A215" t="s">
        <v>31</v>
      </c>
      <c r="B215" t="s">
        <v>32</v>
      </c>
      <c r="C215" t="s">
        <v>33</v>
      </c>
      <c r="D215" t="s">
        <v>34</v>
      </c>
      <c r="E215" t="s">
        <v>35</v>
      </c>
      <c r="I215" s="4" t="str">
        <f t="shared" si="6"/>
        <v/>
      </c>
      <c r="J215" s="4" t="str">
        <f t="shared" si="7"/>
        <v/>
      </c>
    </row>
    <row r="216" spans="1:10" x14ac:dyDescent="0.25">
      <c r="A216" t="s">
        <v>36</v>
      </c>
      <c r="B216">
        <v>1</v>
      </c>
      <c r="C216" t="s">
        <v>37</v>
      </c>
      <c r="D216" s="3">
        <v>46213.71</v>
      </c>
      <c r="E216" s="3">
        <v>46213.71</v>
      </c>
      <c r="F216" s="3">
        <v>0</v>
      </c>
      <c r="G216" s="3">
        <v>0</v>
      </c>
      <c r="H216" s="3">
        <v>0</v>
      </c>
      <c r="I216" s="4" t="str">
        <f t="shared" si="6"/>
        <v>Midas Labs</v>
      </c>
      <c r="J216" s="4" t="str">
        <f t="shared" si="7"/>
        <v>MIDLAB</v>
      </c>
    </row>
    <row r="217" spans="1:10" x14ac:dyDescent="0.25">
      <c r="A217" t="s">
        <v>9</v>
      </c>
      <c r="B217" t="s">
        <v>177</v>
      </c>
      <c r="C217" t="s">
        <v>28</v>
      </c>
      <c r="D217" t="s">
        <v>178</v>
      </c>
      <c r="E217" t="s">
        <v>12</v>
      </c>
      <c r="F217" t="s">
        <v>40</v>
      </c>
      <c r="G217" t="s">
        <v>11</v>
      </c>
      <c r="I217" s="4" t="str">
        <f t="shared" si="6"/>
        <v/>
      </c>
      <c r="J217" s="4" t="str">
        <f t="shared" si="7"/>
        <v/>
      </c>
    </row>
    <row r="218" spans="1:10" x14ac:dyDescent="0.25">
      <c r="A218" t="s">
        <v>31</v>
      </c>
      <c r="B218" t="s">
        <v>32</v>
      </c>
      <c r="C218" t="s">
        <v>33</v>
      </c>
      <c r="D218" t="s">
        <v>34</v>
      </c>
      <c r="E218" t="s">
        <v>35</v>
      </c>
      <c r="I218" s="4" t="str">
        <f t="shared" si="6"/>
        <v/>
      </c>
      <c r="J218" s="4" t="str">
        <f t="shared" si="7"/>
        <v/>
      </c>
    </row>
    <row r="219" spans="1:10" x14ac:dyDescent="0.25">
      <c r="A219" t="s">
        <v>36</v>
      </c>
      <c r="B219">
        <v>2</v>
      </c>
      <c r="C219" t="s">
        <v>37</v>
      </c>
      <c r="D219" s="3">
        <v>157.5</v>
      </c>
      <c r="E219" s="3">
        <v>78.75</v>
      </c>
      <c r="F219" s="3">
        <v>0</v>
      </c>
      <c r="G219" s="3">
        <v>78.75</v>
      </c>
      <c r="H219" s="3">
        <v>0</v>
      </c>
      <c r="I219" s="4" t="str">
        <f t="shared" si="6"/>
        <v>NATIONAL NEON DISPLAYS LTD.</v>
      </c>
      <c r="J219" s="4" t="str">
        <f t="shared" si="7"/>
        <v>NATNEO</v>
      </c>
    </row>
    <row r="220" spans="1:10" x14ac:dyDescent="0.25">
      <c r="A220" t="s">
        <v>9</v>
      </c>
      <c r="B220" t="s">
        <v>179</v>
      </c>
      <c r="C220" t="s">
        <v>28</v>
      </c>
      <c r="D220" t="s">
        <v>180</v>
      </c>
      <c r="E220" t="s">
        <v>12</v>
      </c>
      <c r="F220" t="s">
        <v>40</v>
      </c>
      <c r="G220" t="s">
        <v>11</v>
      </c>
      <c r="I220" s="4" t="str">
        <f t="shared" si="6"/>
        <v/>
      </c>
      <c r="J220" s="4" t="str">
        <f t="shared" si="7"/>
        <v/>
      </c>
    </row>
    <row r="221" spans="1:10" x14ac:dyDescent="0.25">
      <c r="A221" t="s">
        <v>31</v>
      </c>
      <c r="B221" t="s">
        <v>32</v>
      </c>
      <c r="C221" t="s">
        <v>33</v>
      </c>
      <c r="D221" t="s">
        <v>34</v>
      </c>
      <c r="E221" t="s">
        <v>35</v>
      </c>
      <c r="I221" s="4" t="str">
        <f t="shared" si="6"/>
        <v/>
      </c>
      <c r="J221" s="4" t="str">
        <f t="shared" si="7"/>
        <v/>
      </c>
    </row>
    <row r="222" spans="1:10" x14ac:dyDescent="0.25">
      <c r="A222" t="s">
        <v>36</v>
      </c>
      <c r="B222">
        <v>21</v>
      </c>
      <c r="C222" t="s">
        <v>37</v>
      </c>
      <c r="D222" s="3">
        <v>7148.69</v>
      </c>
      <c r="E222" s="3">
        <v>545.36</v>
      </c>
      <c r="F222" s="3">
        <v>509.22</v>
      </c>
      <c r="G222" s="3">
        <v>3154.36</v>
      </c>
      <c r="H222" s="3">
        <v>2939.75</v>
      </c>
      <c r="I222" s="4" t="str">
        <f t="shared" si="6"/>
        <v>NextGen Automation</v>
      </c>
      <c r="J222" s="4" t="str">
        <f t="shared" si="7"/>
        <v>NEXGEN001</v>
      </c>
    </row>
    <row r="223" spans="1:10" x14ac:dyDescent="0.25">
      <c r="A223" t="s">
        <v>9</v>
      </c>
      <c r="B223" t="s">
        <v>181</v>
      </c>
      <c r="C223" t="s">
        <v>28</v>
      </c>
      <c r="D223" t="s">
        <v>182</v>
      </c>
      <c r="E223" t="s">
        <v>12</v>
      </c>
      <c r="F223" t="s">
        <v>30</v>
      </c>
      <c r="G223" t="s">
        <v>11</v>
      </c>
      <c r="I223" s="4" t="str">
        <f t="shared" si="6"/>
        <v/>
      </c>
      <c r="J223" s="4" t="str">
        <f t="shared" si="7"/>
        <v/>
      </c>
    </row>
    <row r="224" spans="1:10" x14ac:dyDescent="0.25">
      <c r="A224" t="s">
        <v>31</v>
      </c>
      <c r="B224" t="s">
        <v>32</v>
      </c>
      <c r="C224" t="s">
        <v>33</v>
      </c>
      <c r="D224" t="s">
        <v>34</v>
      </c>
      <c r="E224" t="s">
        <v>35</v>
      </c>
      <c r="I224" s="4" t="str">
        <f t="shared" si="6"/>
        <v/>
      </c>
      <c r="J224" s="4" t="str">
        <f t="shared" si="7"/>
        <v/>
      </c>
    </row>
    <row r="225" spans="1:10" x14ac:dyDescent="0.25">
      <c r="A225" t="s">
        <v>36</v>
      </c>
      <c r="B225">
        <v>1</v>
      </c>
      <c r="C225" t="s">
        <v>37</v>
      </c>
      <c r="D225" s="3">
        <v>158.54</v>
      </c>
      <c r="E225" s="3">
        <v>0</v>
      </c>
      <c r="F225" s="3">
        <v>0</v>
      </c>
      <c r="G225" s="3">
        <v>158.54</v>
      </c>
      <c r="H225" s="3">
        <v>0</v>
      </c>
      <c r="I225" s="4" t="str">
        <f t="shared" si="6"/>
        <v>O &amp; M TIEMER HOLDINGS LTD.</v>
      </c>
      <c r="J225" s="4" t="str">
        <f t="shared" si="7"/>
        <v>O &amp; M TIEMER</v>
      </c>
    </row>
    <row r="226" spans="1:10" x14ac:dyDescent="0.25">
      <c r="A226" t="s">
        <v>9</v>
      </c>
      <c r="B226" t="s">
        <v>183</v>
      </c>
      <c r="C226" t="s">
        <v>28</v>
      </c>
      <c r="D226" t="s">
        <v>184</v>
      </c>
      <c r="E226" t="s">
        <v>12</v>
      </c>
      <c r="F226" t="s">
        <v>64</v>
      </c>
      <c r="G226" t="s">
        <v>11</v>
      </c>
      <c r="I226" s="4" t="str">
        <f t="shared" si="6"/>
        <v/>
      </c>
      <c r="J226" s="4" t="str">
        <f t="shared" si="7"/>
        <v/>
      </c>
    </row>
    <row r="227" spans="1:10" x14ac:dyDescent="0.25">
      <c r="A227" t="s">
        <v>31</v>
      </c>
      <c r="B227" t="s">
        <v>32</v>
      </c>
      <c r="C227" t="s">
        <v>33</v>
      </c>
      <c r="D227" t="s">
        <v>34</v>
      </c>
      <c r="E227" t="s">
        <v>35</v>
      </c>
      <c r="I227" s="4" t="str">
        <f t="shared" si="6"/>
        <v/>
      </c>
      <c r="J227" s="4" t="str">
        <f t="shared" si="7"/>
        <v/>
      </c>
    </row>
    <row r="228" spans="1:10" x14ac:dyDescent="0.25">
      <c r="A228" t="s">
        <v>36</v>
      </c>
      <c r="B228">
        <v>3</v>
      </c>
      <c r="C228" t="s">
        <v>37</v>
      </c>
      <c r="D228" s="3">
        <v>76675.5</v>
      </c>
      <c r="E228" s="3">
        <v>76675.5</v>
      </c>
      <c r="F228" s="3">
        <v>0</v>
      </c>
      <c r="G228" s="3">
        <v>0</v>
      </c>
      <c r="H228" s="3">
        <v>0</v>
      </c>
      <c r="I228" s="4" t="str">
        <f t="shared" si="6"/>
        <v>Oscilar, Inc</v>
      </c>
      <c r="J228" s="4" t="str">
        <f t="shared" si="7"/>
        <v>OSCILA</v>
      </c>
    </row>
    <row r="229" spans="1:10" x14ac:dyDescent="0.25">
      <c r="A229" t="s">
        <v>9</v>
      </c>
      <c r="B229" t="s">
        <v>185</v>
      </c>
      <c r="C229" t="s">
        <v>28</v>
      </c>
      <c r="D229" t="s">
        <v>186</v>
      </c>
      <c r="E229" t="s">
        <v>12</v>
      </c>
      <c r="F229" t="s">
        <v>49</v>
      </c>
      <c r="G229" t="s">
        <v>11</v>
      </c>
      <c r="I229" s="4" t="str">
        <f t="shared" si="6"/>
        <v/>
      </c>
      <c r="J229" s="4" t="str">
        <f t="shared" si="7"/>
        <v/>
      </c>
    </row>
    <row r="230" spans="1:10" x14ac:dyDescent="0.25">
      <c r="A230" t="s">
        <v>31</v>
      </c>
      <c r="B230" t="s">
        <v>32</v>
      </c>
      <c r="C230" t="s">
        <v>33</v>
      </c>
      <c r="D230" t="s">
        <v>34</v>
      </c>
      <c r="E230" t="s">
        <v>35</v>
      </c>
      <c r="I230" s="4" t="str">
        <f t="shared" si="6"/>
        <v/>
      </c>
      <c r="J230" s="4" t="str">
        <f t="shared" si="7"/>
        <v/>
      </c>
    </row>
    <row r="231" spans="1:10" x14ac:dyDescent="0.25">
      <c r="A231" t="s">
        <v>36</v>
      </c>
      <c r="B231">
        <v>1</v>
      </c>
      <c r="C231" t="s">
        <v>37</v>
      </c>
      <c r="D231" s="3">
        <v>27.17</v>
      </c>
      <c r="E231" s="3">
        <v>0</v>
      </c>
      <c r="F231" s="3">
        <v>0</v>
      </c>
      <c r="G231" s="3">
        <v>27.17</v>
      </c>
      <c r="H231" s="3">
        <v>0</v>
      </c>
      <c r="I231" s="4" t="str">
        <f t="shared" si="6"/>
        <v>Pacific Northern Gas (N.E.) LTD</v>
      </c>
      <c r="J231" s="4" t="str">
        <f t="shared" si="7"/>
        <v>PAC NOR</v>
      </c>
    </row>
    <row r="232" spans="1:10" x14ac:dyDescent="0.25">
      <c r="A232" t="s">
        <v>9</v>
      </c>
      <c r="B232" t="s">
        <v>187</v>
      </c>
      <c r="C232" t="s">
        <v>28</v>
      </c>
      <c r="D232" t="s">
        <v>188</v>
      </c>
      <c r="E232" t="s">
        <v>12</v>
      </c>
      <c r="F232" t="s">
        <v>49</v>
      </c>
      <c r="G232" t="s">
        <v>11</v>
      </c>
      <c r="I232" s="4" t="str">
        <f t="shared" si="6"/>
        <v/>
      </c>
      <c r="J232" s="4" t="str">
        <f t="shared" si="7"/>
        <v/>
      </c>
    </row>
    <row r="233" spans="1:10" x14ac:dyDescent="0.25">
      <c r="A233" t="s">
        <v>31</v>
      </c>
      <c r="B233" t="s">
        <v>32</v>
      </c>
      <c r="C233" t="s">
        <v>33</v>
      </c>
      <c r="D233" t="s">
        <v>34</v>
      </c>
      <c r="E233" t="s">
        <v>35</v>
      </c>
      <c r="I233" s="4" t="str">
        <f t="shared" si="6"/>
        <v/>
      </c>
      <c r="J233" s="4" t="str">
        <f t="shared" si="7"/>
        <v/>
      </c>
    </row>
    <row r="234" spans="1:10" x14ac:dyDescent="0.25">
      <c r="A234" t="s">
        <v>36</v>
      </c>
      <c r="B234">
        <v>1</v>
      </c>
      <c r="C234" t="s">
        <v>37</v>
      </c>
      <c r="D234" s="3">
        <v>-595.35</v>
      </c>
      <c r="E234" s="3">
        <v>0</v>
      </c>
      <c r="F234" s="3">
        <v>0</v>
      </c>
      <c r="G234" s="3">
        <v>0</v>
      </c>
      <c r="H234" s="3">
        <v>-595.35</v>
      </c>
      <c r="I234" s="4" t="str">
        <f t="shared" si="6"/>
        <v>Peace Hills Utilities Inc.</v>
      </c>
      <c r="J234" s="4" t="str">
        <f t="shared" si="7"/>
        <v>PEAUTI</v>
      </c>
    </row>
    <row r="235" spans="1:10" x14ac:dyDescent="0.25">
      <c r="A235" t="s">
        <v>9</v>
      </c>
      <c r="B235" t="s">
        <v>189</v>
      </c>
      <c r="C235" t="s">
        <v>28</v>
      </c>
      <c r="D235" t="s">
        <v>190</v>
      </c>
      <c r="E235" t="s">
        <v>12</v>
      </c>
      <c r="F235" t="s">
        <v>191</v>
      </c>
      <c r="G235" t="s">
        <v>11</v>
      </c>
      <c r="I235" s="4" t="str">
        <f t="shared" si="6"/>
        <v/>
      </c>
      <c r="J235" s="4" t="str">
        <f t="shared" si="7"/>
        <v/>
      </c>
    </row>
    <row r="236" spans="1:10" x14ac:dyDescent="0.25">
      <c r="A236" t="s">
        <v>31</v>
      </c>
      <c r="B236" t="s">
        <v>32</v>
      </c>
      <c r="C236" t="s">
        <v>33</v>
      </c>
      <c r="D236" t="s">
        <v>34</v>
      </c>
      <c r="E236" t="s">
        <v>35</v>
      </c>
      <c r="I236" s="4" t="str">
        <f t="shared" si="6"/>
        <v/>
      </c>
      <c r="J236" s="4" t="str">
        <f t="shared" si="7"/>
        <v/>
      </c>
    </row>
    <row r="237" spans="1:10" x14ac:dyDescent="0.25">
      <c r="A237" t="s">
        <v>36</v>
      </c>
      <c r="B237">
        <v>4</v>
      </c>
      <c r="C237" t="s">
        <v>37</v>
      </c>
      <c r="D237" s="3">
        <v>49419.87</v>
      </c>
      <c r="E237" s="3">
        <v>4195.8100000000004</v>
      </c>
      <c r="F237" s="3">
        <v>36899.019999999997</v>
      </c>
      <c r="G237" s="3">
        <v>4124.62</v>
      </c>
      <c r="H237" s="3">
        <v>4200.42</v>
      </c>
      <c r="I237" s="4" t="str">
        <f t="shared" si="6"/>
        <v>Persona Identities, Inc.</v>
      </c>
      <c r="J237" s="4" t="str">
        <f t="shared" si="7"/>
        <v>PERIDE</v>
      </c>
    </row>
    <row r="238" spans="1:10" x14ac:dyDescent="0.25">
      <c r="A238" t="s">
        <v>9</v>
      </c>
      <c r="B238" t="s">
        <v>192</v>
      </c>
      <c r="C238" t="s">
        <v>28</v>
      </c>
      <c r="D238" t="s">
        <v>193</v>
      </c>
      <c r="E238" t="s">
        <v>12</v>
      </c>
      <c r="F238" t="s">
        <v>82</v>
      </c>
      <c r="G238" t="s">
        <v>11</v>
      </c>
      <c r="I238" s="4" t="str">
        <f t="shared" si="6"/>
        <v/>
      </c>
      <c r="J238" s="4" t="str">
        <f t="shared" si="7"/>
        <v/>
      </c>
    </row>
    <row r="239" spans="1:10" x14ac:dyDescent="0.25">
      <c r="A239" t="s">
        <v>31</v>
      </c>
      <c r="B239" t="s">
        <v>32</v>
      </c>
      <c r="C239" t="s">
        <v>33</v>
      </c>
      <c r="D239" t="s">
        <v>34</v>
      </c>
      <c r="E239" t="s">
        <v>35</v>
      </c>
      <c r="I239" s="4" t="str">
        <f t="shared" si="6"/>
        <v/>
      </c>
      <c r="J239" s="4" t="str">
        <f t="shared" si="7"/>
        <v/>
      </c>
    </row>
    <row r="240" spans="1:10" x14ac:dyDescent="0.25">
      <c r="A240" t="s">
        <v>36</v>
      </c>
      <c r="B240">
        <v>1</v>
      </c>
      <c r="C240" t="s">
        <v>37</v>
      </c>
      <c r="D240" s="3">
        <v>-1.73</v>
      </c>
      <c r="E240" s="3">
        <v>0</v>
      </c>
      <c r="F240" s="3">
        <v>0</v>
      </c>
      <c r="G240" s="3">
        <v>0</v>
      </c>
      <c r="H240" s="3">
        <v>-1.73</v>
      </c>
      <c r="I240" s="4" t="str">
        <f t="shared" si="6"/>
        <v>Petals For Less</v>
      </c>
      <c r="J240" s="4" t="str">
        <f t="shared" si="7"/>
        <v>PETALSFORLESS</v>
      </c>
    </row>
    <row r="241" spans="1:10" x14ac:dyDescent="0.25">
      <c r="A241" t="s">
        <v>9</v>
      </c>
      <c r="B241" t="s">
        <v>194</v>
      </c>
      <c r="C241" t="s">
        <v>28</v>
      </c>
      <c r="D241" t="s">
        <v>195</v>
      </c>
      <c r="E241" t="s">
        <v>12</v>
      </c>
      <c r="F241" t="s">
        <v>40</v>
      </c>
      <c r="G241" t="s">
        <v>11</v>
      </c>
      <c r="I241" s="4" t="str">
        <f t="shared" si="6"/>
        <v/>
      </c>
      <c r="J241" s="4" t="str">
        <f t="shared" si="7"/>
        <v/>
      </c>
    </row>
    <row r="242" spans="1:10" x14ac:dyDescent="0.25">
      <c r="A242" t="s">
        <v>31</v>
      </c>
      <c r="B242" t="s">
        <v>32</v>
      </c>
      <c r="C242" t="s">
        <v>33</v>
      </c>
      <c r="D242" t="s">
        <v>34</v>
      </c>
      <c r="E242" t="s">
        <v>35</v>
      </c>
      <c r="I242" s="4" t="str">
        <f t="shared" si="6"/>
        <v/>
      </c>
      <c r="J242" s="4" t="str">
        <f t="shared" si="7"/>
        <v/>
      </c>
    </row>
    <row r="243" spans="1:10" x14ac:dyDescent="0.25">
      <c r="A243" t="s">
        <v>36</v>
      </c>
      <c r="B243">
        <v>1</v>
      </c>
      <c r="C243" t="s">
        <v>37</v>
      </c>
      <c r="D243" s="3">
        <v>119.7</v>
      </c>
      <c r="E243" s="3">
        <v>0</v>
      </c>
      <c r="F243" s="3">
        <v>0</v>
      </c>
      <c r="G243" s="3">
        <v>119.7</v>
      </c>
      <c r="H243" s="3">
        <v>0</v>
      </c>
      <c r="I243" s="4" t="str">
        <f t="shared" si="6"/>
        <v>PFP Canada</v>
      </c>
      <c r="J243" s="4" t="str">
        <f t="shared" si="7"/>
        <v>PFPCAN</v>
      </c>
    </row>
    <row r="244" spans="1:10" x14ac:dyDescent="0.25">
      <c r="A244" t="s">
        <v>9</v>
      </c>
      <c r="B244" t="s">
        <v>196</v>
      </c>
      <c r="C244" t="s">
        <v>28</v>
      </c>
      <c r="D244" t="s">
        <v>197</v>
      </c>
      <c r="E244" t="s">
        <v>12</v>
      </c>
      <c r="F244" t="s">
        <v>30</v>
      </c>
      <c r="G244" t="s">
        <v>11</v>
      </c>
      <c r="I244" s="4" t="str">
        <f t="shared" si="6"/>
        <v/>
      </c>
      <c r="J244" s="4" t="str">
        <f t="shared" si="7"/>
        <v/>
      </c>
    </row>
    <row r="245" spans="1:10" x14ac:dyDescent="0.25">
      <c r="A245" t="s">
        <v>31</v>
      </c>
      <c r="B245" t="s">
        <v>32</v>
      </c>
      <c r="C245" t="s">
        <v>33</v>
      </c>
      <c r="D245" t="s">
        <v>34</v>
      </c>
      <c r="E245" t="s">
        <v>35</v>
      </c>
      <c r="I245" s="4" t="str">
        <f t="shared" si="6"/>
        <v/>
      </c>
      <c r="J245" s="4" t="str">
        <f t="shared" si="7"/>
        <v/>
      </c>
    </row>
    <row r="246" spans="1:10" x14ac:dyDescent="0.25">
      <c r="A246" t="s">
        <v>36</v>
      </c>
      <c r="B246">
        <v>1</v>
      </c>
      <c r="C246" t="s">
        <v>37</v>
      </c>
      <c r="D246" s="3">
        <v>5397.42</v>
      </c>
      <c r="E246" s="3">
        <v>0</v>
      </c>
      <c r="F246" s="3">
        <v>0</v>
      </c>
      <c r="G246" s="3">
        <v>0</v>
      </c>
      <c r="H246" s="3">
        <v>5397.42</v>
      </c>
      <c r="I246" s="4" t="str">
        <f t="shared" si="6"/>
        <v>Phoenix Housing Inc.</v>
      </c>
      <c r="J246" s="4" t="str">
        <f t="shared" si="7"/>
        <v>PHOHOU</v>
      </c>
    </row>
    <row r="247" spans="1:10" x14ac:dyDescent="0.25">
      <c r="A247" t="s">
        <v>9</v>
      </c>
      <c r="B247" t="s">
        <v>198</v>
      </c>
      <c r="C247" t="s">
        <v>28</v>
      </c>
      <c r="D247" t="s">
        <v>199</v>
      </c>
      <c r="E247" t="s">
        <v>12</v>
      </c>
      <c r="F247" t="s">
        <v>40</v>
      </c>
      <c r="G247" t="s">
        <v>11</v>
      </c>
      <c r="I247" s="4" t="str">
        <f t="shared" si="6"/>
        <v/>
      </c>
      <c r="J247" s="4" t="str">
        <f t="shared" si="7"/>
        <v/>
      </c>
    </row>
    <row r="248" spans="1:10" x14ac:dyDescent="0.25">
      <c r="A248" t="s">
        <v>31</v>
      </c>
      <c r="B248" t="s">
        <v>32</v>
      </c>
      <c r="C248" t="s">
        <v>33</v>
      </c>
      <c r="D248" t="s">
        <v>34</v>
      </c>
      <c r="E248" t="s">
        <v>35</v>
      </c>
      <c r="I248" s="4" t="str">
        <f t="shared" si="6"/>
        <v/>
      </c>
      <c r="J248" s="4" t="str">
        <f t="shared" si="7"/>
        <v/>
      </c>
    </row>
    <row r="249" spans="1:10" x14ac:dyDescent="0.25">
      <c r="A249" t="s">
        <v>36</v>
      </c>
      <c r="B249">
        <v>1</v>
      </c>
      <c r="C249" t="s">
        <v>37</v>
      </c>
      <c r="D249" s="3">
        <v>280</v>
      </c>
      <c r="E249" s="3">
        <v>0</v>
      </c>
      <c r="F249" s="3">
        <v>0</v>
      </c>
      <c r="G249" s="3">
        <v>0</v>
      </c>
      <c r="H249" s="3">
        <v>280</v>
      </c>
      <c r="I249" s="4" t="str">
        <f t="shared" si="6"/>
        <v>Pitblado LLP</v>
      </c>
      <c r="J249" s="4" t="str">
        <f t="shared" si="7"/>
        <v>PITBLA</v>
      </c>
    </row>
    <row r="250" spans="1:10" x14ac:dyDescent="0.25">
      <c r="A250" t="s">
        <v>9</v>
      </c>
      <c r="B250" t="s">
        <v>200</v>
      </c>
      <c r="C250" t="s">
        <v>28</v>
      </c>
      <c r="D250" t="s">
        <v>201</v>
      </c>
      <c r="E250" t="s">
        <v>12</v>
      </c>
      <c r="F250" t="s">
        <v>40</v>
      </c>
      <c r="G250" t="s">
        <v>11</v>
      </c>
      <c r="I250" s="4" t="str">
        <f t="shared" si="6"/>
        <v/>
      </c>
      <c r="J250" s="4" t="str">
        <f t="shared" si="7"/>
        <v/>
      </c>
    </row>
    <row r="251" spans="1:10" x14ac:dyDescent="0.25">
      <c r="A251" t="s">
        <v>31</v>
      </c>
      <c r="B251" t="s">
        <v>32</v>
      </c>
      <c r="C251" t="s">
        <v>33</v>
      </c>
      <c r="D251" t="s">
        <v>34</v>
      </c>
      <c r="E251" t="s">
        <v>35</v>
      </c>
      <c r="I251" s="4" t="str">
        <f t="shared" si="6"/>
        <v/>
      </c>
      <c r="J251" s="4" t="str">
        <f t="shared" si="7"/>
        <v/>
      </c>
    </row>
    <row r="252" spans="1:10" x14ac:dyDescent="0.25">
      <c r="A252" t="s">
        <v>36</v>
      </c>
      <c r="B252">
        <v>3</v>
      </c>
      <c r="C252" t="s">
        <v>37</v>
      </c>
      <c r="D252" s="3">
        <v>867.46</v>
      </c>
      <c r="E252" s="3">
        <v>0</v>
      </c>
      <c r="F252" s="3">
        <v>14.19</v>
      </c>
      <c r="G252" s="3">
        <v>821.55</v>
      </c>
      <c r="H252" s="3">
        <v>31.72</v>
      </c>
      <c r="I252" s="4" t="str">
        <f t="shared" si="6"/>
        <v>PITNEY BOWES LEASING</v>
      </c>
      <c r="J252" s="4" t="str">
        <f t="shared" si="7"/>
        <v>PITLEAS</v>
      </c>
    </row>
    <row r="253" spans="1:10" x14ac:dyDescent="0.25">
      <c r="A253" t="s">
        <v>9</v>
      </c>
      <c r="B253" t="s">
        <v>202</v>
      </c>
      <c r="C253" t="s">
        <v>28</v>
      </c>
      <c r="D253" t="s">
        <v>203</v>
      </c>
      <c r="E253" t="s">
        <v>12</v>
      </c>
      <c r="F253" t="s">
        <v>49</v>
      </c>
      <c r="G253" t="s">
        <v>11</v>
      </c>
      <c r="I253" s="4" t="str">
        <f t="shared" si="6"/>
        <v/>
      </c>
      <c r="J253" s="4" t="str">
        <f t="shared" si="7"/>
        <v/>
      </c>
    </row>
    <row r="254" spans="1:10" x14ac:dyDescent="0.25">
      <c r="A254" t="s">
        <v>31</v>
      </c>
      <c r="B254" t="s">
        <v>32</v>
      </c>
      <c r="C254" t="s">
        <v>33</v>
      </c>
      <c r="D254" t="s">
        <v>34</v>
      </c>
      <c r="E254" t="s">
        <v>35</v>
      </c>
      <c r="I254" s="4" t="str">
        <f t="shared" si="6"/>
        <v/>
      </c>
      <c r="J254" s="4" t="str">
        <f t="shared" si="7"/>
        <v/>
      </c>
    </row>
    <row r="255" spans="1:10" x14ac:dyDescent="0.25">
      <c r="A255" t="s">
        <v>36</v>
      </c>
      <c r="B255">
        <v>5</v>
      </c>
      <c r="C255" t="s">
        <v>37</v>
      </c>
      <c r="D255" s="3">
        <v>934.29</v>
      </c>
      <c r="E255" s="3">
        <v>0</v>
      </c>
      <c r="F255" s="3">
        <v>0</v>
      </c>
      <c r="G255" s="3">
        <v>338.94</v>
      </c>
      <c r="H255" s="3">
        <v>595.35</v>
      </c>
      <c r="I255" s="4" t="str">
        <f t="shared" si="6"/>
        <v>Prairie Disposal Ltd.</v>
      </c>
      <c r="J255" s="4" t="str">
        <f t="shared" si="7"/>
        <v>PRADIS</v>
      </c>
    </row>
    <row r="256" spans="1:10" x14ac:dyDescent="0.25">
      <c r="A256" t="s">
        <v>9</v>
      </c>
      <c r="B256" t="s">
        <v>204</v>
      </c>
      <c r="C256" t="s">
        <v>28</v>
      </c>
      <c r="D256" t="s">
        <v>205</v>
      </c>
      <c r="E256" t="s">
        <v>12</v>
      </c>
      <c r="F256" t="s">
        <v>64</v>
      </c>
      <c r="G256" t="s">
        <v>11</v>
      </c>
      <c r="I256" s="4" t="str">
        <f t="shared" si="6"/>
        <v/>
      </c>
      <c r="J256" s="4" t="str">
        <f t="shared" si="7"/>
        <v/>
      </c>
    </row>
    <row r="257" spans="1:10" x14ac:dyDescent="0.25">
      <c r="A257" t="s">
        <v>31</v>
      </c>
      <c r="B257" t="s">
        <v>32</v>
      </c>
      <c r="C257" t="s">
        <v>33</v>
      </c>
      <c r="D257" t="s">
        <v>34</v>
      </c>
      <c r="E257" t="s">
        <v>35</v>
      </c>
      <c r="I257" s="4" t="str">
        <f t="shared" si="6"/>
        <v/>
      </c>
      <c r="J257" s="4" t="str">
        <f t="shared" si="7"/>
        <v/>
      </c>
    </row>
    <row r="258" spans="1:10" x14ac:dyDescent="0.25">
      <c r="A258" t="s">
        <v>36</v>
      </c>
      <c r="B258">
        <v>3</v>
      </c>
      <c r="C258" t="s">
        <v>37</v>
      </c>
      <c r="D258" s="3">
        <v>9282.5499999999993</v>
      </c>
      <c r="E258" s="3">
        <v>0</v>
      </c>
      <c r="F258" s="3">
        <v>0</v>
      </c>
      <c r="G258" s="3">
        <v>0</v>
      </c>
      <c r="H258" s="3">
        <v>9282.5499999999993</v>
      </c>
      <c r="I258" s="4" t="str">
        <f t="shared" si="6"/>
        <v>Prism Data Technologies, Inc.</v>
      </c>
      <c r="J258" s="4" t="str">
        <f t="shared" si="7"/>
        <v>PRIDAT</v>
      </c>
    </row>
    <row r="259" spans="1:10" x14ac:dyDescent="0.25">
      <c r="A259" t="s">
        <v>9</v>
      </c>
      <c r="B259" t="s">
        <v>206</v>
      </c>
      <c r="C259" t="s">
        <v>28</v>
      </c>
      <c r="D259" t="s">
        <v>207</v>
      </c>
      <c r="E259" t="s">
        <v>12</v>
      </c>
      <c r="F259" t="s">
        <v>40</v>
      </c>
      <c r="G259" t="s">
        <v>11</v>
      </c>
      <c r="I259" s="4" t="str">
        <f t="shared" si="6"/>
        <v/>
      </c>
      <c r="J259" s="4" t="str">
        <f t="shared" si="7"/>
        <v/>
      </c>
    </row>
    <row r="260" spans="1:10" x14ac:dyDescent="0.25">
      <c r="A260" t="s">
        <v>31</v>
      </c>
      <c r="B260" t="s">
        <v>32</v>
      </c>
      <c r="C260" t="s">
        <v>33</v>
      </c>
      <c r="D260" t="s">
        <v>34</v>
      </c>
      <c r="E260" t="s">
        <v>35</v>
      </c>
      <c r="I260" s="4" t="str">
        <f t="shared" si="6"/>
        <v/>
      </c>
      <c r="J260" s="4" t="str">
        <f t="shared" si="7"/>
        <v/>
      </c>
    </row>
    <row r="261" spans="1:10" x14ac:dyDescent="0.25">
      <c r="A261" t="s">
        <v>36</v>
      </c>
      <c r="B261">
        <v>9</v>
      </c>
      <c r="C261" t="s">
        <v>37</v>
      </c>
      <c r="D261" s="3">
        <v>1919.56</v>
      </c>
      <c r="E261" s="3">
        <v>77.760000000000005</v>
      </c>
      <c r="F261" s="3">
        <v>930.66</v>
      </c>
      <c r="G261" s="3">
        <v>911.14</v>
      </c>
      <c r="H261" s="3">
        <v>0</v>
      </c>
      <c r="I261" s="4" t="str">
        <f t="shared" si="6"/>
        <v>Purolator Courier Ltd.</v>
      </c>
      <c r="J261" s="4" t="str">
        <f t="shared" si="7"/>
        <v>PUROLA</v>
      </c>
    </row>
    <row r="262" spans="1:10" x14ac:dyDescent="0.25">
      <c r="A262" t="s">
        <v>9</v>
      </c>
      <c r="B262" t="s">
        <v>208</v>
      </c>
      <c r="C262" t="s">
        <v>28</v>
      </c>
      <c r="D262" t="s">
        <v>209</v>
      </c>
      <c r="E262" t="s">
        <v>12</v>
      </c>
      <c r="F262" t="s">
        <v>30</v>
      </c>
      <c r="G262" t="s">
        <v>11</v>
      </c>
      <c r="I262" s="4" t="str">
        <f t="shared" si="6"/>
        <v/>
      </c>
      <c r="J262" s="4" t="str">
        <f t="shared" si="7"/>
        <v/>
      </c>
    </row>
    <row r="263" spans="1:10" x14ac:dyDescent="0.25">
      <c r="A263" t="s">
        <v>31</v>
      </c>
      <c r="B263" t="s">
        <v>32</v>
      </c>
      <c r="C263" t="s">
        <v>33</v>
      </c>
      <c r="D263" t="s">
        <v>34</v>
      </c>
      <c r="E263" t="s">
        <v>35</v>
      </c>
      <c r="I263" s="4" t="str">
        <f t="shared" si="6"/>
        <v/>
      </c>
      <c r="J263" s="4" t="str">
        <f t="shared" si="7"/>
        <v/>
      </c>
    </row>
    <row r="264" spans="1:10" x14ac:dyDescent="0.25">
      <c r="A264" t="s">
        <v>36</v>
      </c>
      <c r="B264">
        <v>3</v>
      </c>
      <c r="C264" t="s">
        <v>37</v>
      </c>
      <c r="D264" s="3">
        <v>7269.8</v>
      </c>
      <c r="E264" s="3">
        <v>0</v>
      </c>
      <c r="F264" s="3">
        <v>0</v>
      </c>
      <c r="G264" s="3">
        <v>7269.8</v>
      </c>
      <c r="H264" s="3">
        <v>0</v>
      </c>
      <c r="I264" s="4" t="str">
        <f t="shared" si="6"/>
        <v>QUINCO FINANCIAL INC.</v>
      </c>
      <c r="J264" s="4" t="str">
        <f t="shared" si="7"/>
        <v>QUIFIN</v>
      </c>
    </row>
    <row r="265" spans="1:10" x14ac:dyDescent="0.25">
      <c r="A265" t="s">
        <v>9</v>
      </c>
      <c r="B265" t="s">
        <v>210</v>
      </c>
      <c r="C265" t="s">
        <v>28</v>
      </c>
      <c r="D265" t="s">
        <v>211</v>
      </c>
      <c r="E265" t="s">
        <v>12</v>
      </c>
      <c r="F265" t="s">
        <v>40</v>
      </c>
      <c r="G265" t="s">
        <v>11</v>
      </c>
      <c r="I265" s="4" t="str">
        <f t="shared" si="6"/>
        <v/>
      </c>
      <c r="J265" s="4" t="str">
        <f t="shared" si="7"/>
        <v/>
      </c>
    </row>
    <row r="266" spans="1:10" x14ac:dyDescent="0.25">
      <c r="A266" t="s">
        <v>31</v>
      </c>
      <c r="B266" t="s">
        <v>32</v>
      </c>
      <c r="C266" t="s">
        <v>33</v>
      </c>
      <c r="D266" t="s">
        <v>34</v>
      </c>
      <c r="E266" t="s">
        <v>35</v>
      </c>
      <c r="I266" s="4" t="str">
        <f t="shared" si="6"/>
        <v/>
      </c>
      <c r="J266" s="4" t="str">
        <f t="shared" si="7"/>
        <v/>
      </c>
    </row>
    <row r="267" spans="1:10" x14ac:dyDescent="0.25">
      <c r="A267" t="s">
        <v>36</v>
      </c>
      <c r="B267">
        <v>3</v>
      </c>
      <c r="C267" t="s">
        <v>37</v>
      </c>
      <c r="D267" s="3">
        <v>78120</v>
      </c>
      <c r="E267" s="3">
        <v>0</v>
      </c>
      <c r="F267" s="3">
        <v>0</v>
      </c>
      <c r="G267" s="3">
        <v>37800</v>
      </c>
      <c r="H267" s="3">
        <v>40320</v>
      </c>
      <c r="I267" s="4" t="str">
        <f t="shared" si="6"/>
        <v>RAPID CASH ATM LTD.</v>
      </c>
      <c r="J267" s="4" t="str">
        <f t="shared" si="7"/>
        <v>RAPCAS</v>
      </c>
    </row>
    <row r="268" spans="1:10" x14ac:dyDescent="0.25">
      <c r="A268" t="s">
        <v>9</v>
      </c>
      <c r="B268" t="s">
        <v>212</v>
      </c>
      <c r="C268" t="s">
        <v>28</v>
      </c>
      <c r="D268" t="s">
        <v>213</v>
      </c>
      <c r="E268" t="s">
        <v>12</v>
      </c>
      <c r="F268" t="s">
        <v>43</v>
      </c>
      <c r="G268" t="s">
        <v>11</v>
      </c>
      <c r="I268" s="4" t="str">
        <f t="shared" si="6"/>
        <v/>
      </c>
      <c r="J268" s="4" t="str">
        <f t="shared" si="7"/>
        <v/>
      </c>
    </row>
    <row r="269" spans="1:10" x14ac:dyDescent="0.25">
      <c r="A269" t="s">
        <v>31</v>
      </c>
      <c r="B269" t="s">
        <v>32</v>
      </c>
      <c r="C269" t="s">
        <v>33</v>
      </c>
      <c r="D269" t="s">
        <v>34</v>
      </c>
      <c r="E269" t="s">
        <v>35</v>
      </c>
      <c r="I269" s="4" t="str">
        <f t="shared" ref="I269:I332" si="8">IF(C267="Name:",D267,"")</f>
        <v/>
      </c>
      <c r="J269" s="4" t="str">
        <f t="shared" ref="J269:J332" si="9">IF(C267="Name:",B267,"")</f>
        <v/>
      </c>
    </row>
    <row r="270" spans="1:10" x14ac:dyDescent="0.25">
      <c r="A270" t="s">
        <v>36</v>
      </c>
      <c r="B270">
        <v>2</v>
      </c>
      <c r="C270" t="s">
        <v>37</v>
      </c>
      <c r="D270" s="3">
        <v>6930</v>
      </c>
      <c r="E270" s="3">
        <v>6930</v>
      </c>
      <c r="F270" s="3">
        <v>0</v>
      </c>
      <c r="G270" s="3">
        <v>0</v>
      </c>
      <c r="H270" s="3">
        <v>0</v>
      </c>
      <c r="I270" s="4" t="str">
        <f t="shared" si="8"/>
        <v>Rawlco Radiol Ltd.-715 SK</v>
      </c>
      <c r="J270" s="4" t="str">
        <f t="shared" si="9"/>
        <v>RAWLRAD</v>
      </c>
    </row>
    <row r="271" spans="1:10" x14ac:dyDescent="0.25">
      <c r="A271" t="s">
        <v>9</v>
      </c>
      <c r="B271" t="s">
        <v>214</v>
      </c>
      <c r="C271" t="s">
        <v>28</v>
      </c>
      <c r="D271" t="s">
        <v>215</v>
      </c>
      <c r="E271" t="s">
        <v>12</v>
      </c>
      <c r="F271" t="s">
        <v>43</v>
      </c>
      <c r="G271" t="s">
        <v>11</v>
      </c>
      <c r="I271" s="4" t="str">
        <f t="shared" si="8"/>
        <v/>
      </c>
      <c r="J271" s="4" t="str">
        <f t="shared" si="9"/>
        <v/>
      </c>
    </row>
    <row r="272" spans="1:10" x14ac:dyDescent="0.25">
      <c r="A272" t="s">
        <v>31</v>
      </c>
      <c r="B272" t="s">
        <v>32</v>
      </c>
      <c r="C272" t="s">
        <v>33</v>
      </c>
      <c r="D272" t="s">
        <v>34</v>
      </c>
      <c r="E272" t="s">
        <v>35</v>
      </c>
      <c r="I272" s="4" t="str">
        <f t="shared" si="8"/>
        <v/>
      </c>
      <c r="J272" s="4" t="str">
        <f t="shared" si="9"/>
        <v/>
      </c>
    </row>
    <row r="273" spans="1:10" x14ac:dyDescent="0.25">
      <c r="A273" t="s">
        <v>36</v>
      </c>
      <c r="B273">
        <v>2</v>
      </c>
      <c r="C273" t="s">
        <v>37</v>
      </c>
      <c r="D273" s="3">
        <v>3973.2</v>
      </c>
      <c r="E273" s="3">
        <v>0</v>
      </c>
      <c r="F273" s="3">
        <v>1986.6</v>
      </c>
      <c r="G273" s="3">
        <v>1986.6</v>
      </c>
      <c r="H273" s="3">
        <v>0</v>
      </c>
      <c r="I273" s="4" t="str">
        <f t="shared" si="8"/>
        <v>REACHLOCAL CANADA, INC.</v>
      </c>
      <c r="J273" s="4" t="str">
        <f t="shared" si="9"/>
        <v>REALOC</v>
      </c>
    </row>
    <row r="274" spans="1:10" x14ac:dyDescent="0.25">
      <c r="A274" t="s">
        <v>9</v>
      </c>
      <c r="B274" t="s">
        <v>216</v>
      </c>
      <c r="C274" t="s">
        <v>28</v>
      </c>
      <c r="D274" t="s">
        <v>217</v>
      </c>
      <c r="E274" t="s">
        <v>12</v>
      </c>
      <c r="F274" t="s">
        <v>40</v>
      </c>
      <c r="G274" t="s">
        <v>11</v>
      </c>
      <c r="I274" s="4" t="str">
        <f t="shared" si="8"/>
        <v/>
      </c>
      <c r="J274" s="4" t="str">
        <f t="shared" si="9"/>
        <v/>
      </c>
    </row>
    <row r="275" spans="1:10" x14ac:dyDescent="0.25">
      <c r="A275" t="s">
        <v>31</v>
      </c>
      <c r="B275" t="s">
        <v>32</v>
      </c>
      <c r="C275" t="s">
        <v>33</v>
      </c>
      <c r="D275" t="s">
        <v>34</v>
      </c>
      <c r="E275" t="s">
        <v>35</v>
      </c>
      <c r="I275" s="4" t="str">
        <f t="shared" si="8"/>
        <v/>
      </c>
      <c r="J275" s="4" t="str">
        <f t="shared" si="9"/>
        <v/>
      </c>
    </row>
    <row r="276" spans="1:10" x14ac:dyDescent="0.25">
      <c r="A276" t="s">
        <v>36</v>
      </c>
      <c r="B276">
        <v>3</v>
      </c>
      <c r="C276" t="s">
        <v>37</v>
      </c>
      <c r="D276" s="3">
        <v>4003.4</v>
      </c>
      <c r="E276" s="3">
        <v>992.08</v>
      </c>
      <c r="F276" s="3">
        <v>1631.7</v>
      </c>
      <c r="G276" s="3">
        <v>1379.62</v>
      </c>
      <c r="H276" s="3">
        <v>0</v>
      </c>
      <c r="I276" s="4" t="str">
        <f t="shared" si="8"/>
        <v>RecordXpress</v>
      </c>
      <c r="J276" s="4" t="str">
        <f t="shared" si="9"/>
        <v>RECXPR</v>
      </c>
    </row>
    <row r="277" spans="1:10" x14ac:dyDescent="0.25">
      <c r="A277" t="s">
        <v>9</v>
      </c>
      <c r="B277" t="s">
        <v>218</v>
      </c>
      <c r="C277" t="s">
        <v>28</v>
      </c>
      <c r="D277" t="s">
        <v>219</v>
      </c>
      <c r="E277" t="s">
        <v>12</v>
      </c>
      <c r="F277" t="s">
        <v>43</v>
      </c>
      <c r="G277" t="s">
        <v>11</v>
      </c>
      <c r="I277" s="4" t="str">
        <f t="shared" si="8"/>
        <v/>
      </c>
      <c r="J277" s="4" t="str">
        <f t="shared" si="9"/>
        <v/>
      </c>
    </row>
    <row r="278" spans="1:10" x14ac:dyDescent="0.25">
      <c r="A278" t="s">
        <v>31</v>
      </c>
      <c r="B278" t="s">
        <v>32</v>
      </c>
      <c r="C278" t="s">
        <v>33</v>
      </c>
      <c r="D278" t="s">
        <v>34</v>
      </c>
      <c r="E278" t="s">
        <v>35</v>
      </c>
      <c r="I278" s="4" t="str">
        <f t="shared" si="8"/>
        <v/>
      </c>
      <c r="J278" s="4" t="str">
        <f t="shared" si="9"/>
        <v/>
      </c>
    </row>
    <row r="279" spans="1:10" x14ac:dyDescent="0.25">
      <c r="A279" t="s">
        <v>36</v>
      </c>
      <c r="B279">
        <v>2</v>
      </c>
      <c r="C279" t="s">
        <v>37</v>
      </c>
      <c r="D279" s="3">
        <v>303.45999999999998</v>
      </c>
      <c r="E279" s="3">
        <v>216.68</v>
      </c>
      <c r="F279" s="3">
        <v>86.78</v>
      </c>
      <c r="G279" s="3">
        <v>0</v>
      </c>
      <c r="H279" s="3">
        <v>0</v>
      </c>
      <c r="I279" s="4" t="str">
        <f t="shared" si="8"/>
        <v>Republic Services</v>
      </c>
      <c r="J279" s="4" t="str">
        <f t="shared" si="9"/>
        <v>REPSER</v>
      </c>
    </row>
    <row r="280" spans="1:10" x14ac:dyDescent="0.25">
      <c r="A280" t="s">
        <v>9</v>
      </c>
      <c r="B280" t="s">
        <v>220</v>
      </c>
      <c r="C280" t="s">
        <v>28</v>
      </c>
      <c r="D280" t="s">
        <v>221</v>
      </c>
      <c r="E280" t="s">
        <v>12</v>
      </c>
      <c r="F280" t="s">
        <v>43</v>
      </c>
      <c r="G280" t="s">
        <v>11</v>
      </c>
      <c r="I280" s="4" t="str">
        <f t="shared" si="8"/>
        <v/>
      </c>
      <c r="J280" s="4" t="str">
        <f t="shared" si="9"/>
        <v/>
      </c>
    </row>
    <row r="281" spans="1:10" x14ac:dyDescent="0.25">
      <c r="A281" t="s">
        <v>31</v>
      </c>
      <c r="B281" t="s">
        <v>32</v>
      </c>
      <c r="C281" t="s">
        <v>33</v>
      </c>
      <c r="D281" t="s">
        <v>34</v>
      </c>
      <c r="E281" t="s">
        <v>35</v>
      </c>
      <c r="I281" s="4" t="str">
        <f t="shared" si="8"/>
        <v/>
      </c>
      <c r="J281" s="4" t="str">
        <f t="shared" si="9"/>
        <v/>
      </c>
    </row>
    <row r="282" spans="1:10" x14ac:dyDescent="0.25">
      <c r="A282" t="s">
        <v>36</v>
      </c>
      <c r="B282">
        <v>1</v>
      </c>
      <c r="C282" t="s">
        <v>37</v>
      </c>
      <c r="D282" s="3">
        <v>27.3</v>
      </c>
      <c r="E282" s="3">
        <v>0</v>
      </c>
      <c r="F282" s="3">
        <v>0</v>
      </c>
      <c r="G282" s="3">
        <v>27.3</v>
      </c>
      <c r="H282" s="3">
        <v>0</v>
      </c>
      <c r="I282" s="4" t="str">
        <f t="shared" si="8"/>
        <v>SASKATOON FIRE PROTECTION (1983) LTD.</v>
      </c>
      <c r="J282" s="4" t="str">
        <f t="shared" si="9"/>
        <v>SASFIR</v>
      </c>
    </row>
    <row r="283" spans="1:10" x14ac:dyDescent="0.25">
      <c r="A283" t="s">
        <v>9</v>
      </c>
      <c r="B283" t="s">
        <v>222</v>
      </c>
      <c r="C283" t="s">
        <v>28</v>
      </c>
      <c r="D283" t="s">
        <v>223</v>
      </c>
      <c r="E283" t="s">
        <v>12</v>
      </c>
      <c r="F283" t="s">
        <v>49</v>
      </c>
      <c r="G283" t="s">
        <v>11</v>
      </c>
      <c r="I283" s="4" t="str">
        <f t="shared" si="8"/>
        <v/>
      </c>
      <c r="J283" s="4" t="str">
        <f t="shared" si="9"/>
        <v/>
      </c>
    </row>
    <row r="284" spans="1:10" x14ac:dyDescent="0.25">
      <c r="A284" t="s">
        <v>31</v>
      </c>
      <c r="B284" t="s">
        <v>32</v>
      </c>
      <c r="C284" t="s">
        <v>33</v>
      </c>
      <c r="D284" t="s">
        <v>34</v>
      </c>
      <c r="E284" t="s">
        <v>35</v>
      </c>
      <c r="I284" s="4" t="str">
        <f t="shared" si="8"/>
        <v/>
      </c>
      <c r="J284" s="4" t="str">
        <f t="shared" si="9"/>
        <v/>
      </c>
    </row>
    <row r="285" spans="1:10" x14ac:dyDescent="0.25">
      <c r="A285" t="s">
        <v>36</v>
      </c>
      <c r="B285">
        <v>1</v>
      </c>
      <c r="C285" t="s">
        <v>37</v>
      </c>
      <c r="D285" s="3">
        <v>-314.39999999999998</v>
      </c>
      <c r="E285" s="3">
        <v>0</v>
      </c>
      <c r="F285" s="3">
        <v>0</v>
      </c>
      <c r="G285" s="3">
        <v>0</v>
      </c>
      <c r="H285" s="3">
        <v>-314.39999999999998</v>
      </c>
      <c r="I285" s="4" t="str">
        <f t="shared" si="8"/>
        <v>SaskPower</v>
      </c>
      <c r="J285" s="4" t="str">
        <f t="shared" si="9"/>
        <v>SASPOW</v>
      </c>
    </row>
    <row r="286" spans="1:10" x14ac:dyDescent="0.25">
      <c r="A286" t="s">
        <v>9</v>
      </c>
      <c r="B286" t="s">
        <v>224</v>
      </c>
      <c r="C286" t="s">
        <v>28</v>
      </c>
      <c r="D286" t="s">
        <v>225</v>
      </c>
      <c r="E286" t="s">
        <v>12</v>
      </c>
      <c r="F286" t="s">
        <v>49</v>
      </c>
      <c r="G286" t="s">
        <v>11</v>
      </c>
      <c r="I286" s="4" t="str">
        <f t="shared" si="8"/>
        <v/>
      </c>
      <c r="J286" s="4" t="str">
        <f t="shared" si="9"/>
        <v/>
      </c>
    </row>
    <row r="287" spans="1:10" x14ac:dyDescent="0.25">
      <c r="A287" t="s">
        <v>31</v>
      </c>
      <c r="B287" t="s">
        <v>32</v>
      </c>
      <c r="C287" t="s">
        <v>33</v>
      </c>
      <c r="D287" t="s">
        <v>34</v>
      </c>
      <c r="E287" t="s">
        <v>35</v>
      </c>
      <c r="I287" s="4" t="str">
        <f t="shared" si="8"/>
        <v/>
      </c>
      <c r="J287" s="4" t="str">
        <f t="shared" si="9"/>
        <v/>
      </c>
    </row>
    <row r="288" spans="1:10" x14ac:dyDescent="0.25">
      <c r="A288" t="s">
        <v>36</v>
      </c>
      <c r="B288">
        <v>1</v>
      </c>
      <c r="C288" t="s">
        <v>37</v>
      </c>
      <c r="D288" s="3">
        <v>203.29</v>
      </c>
      <c r="E288" s="3">
        <v>0</v>
      </c>
      <c r="F288" s="3">
        <v>0</v>
      </c>
      <c r="G288" s="3">
        <v>203.29</v>
      </c>
      <c r="H288" s="3">
        <v>0</v>
      </c>
      <c r="I288" s="4" t="str">
        <f t="shared" si="8"/>
        <v>SaskPower ACC3284</v>
      </c>
      <c r="J288" s="4" t="str">
        <f t="shared" si="9"/>
        <v>SAS3284</v>
      </c>
    </row>
    <row r="289" spans="1:10" x14ac:dyDescent="0.25">
      <c r="A289" t="s">
        <v>9</v>
      </c>
      <c r="B289" t="s">
        <v>226</v>
      </c>
      <c r="C289" t="s">
        <v>28</v>
      </c>
      <c r="D289" t="s">
        <v>227</v>
      </c>
      <c r="E289" t="s">
        <v>12</v>
      </c>
      <c r="F289" t="s">
        <v>49</v>
      </c>
      <c r="G289" t="s">
        <v>11</v>
      </c>
      <c r="I289" s="4" t="str">
        <f t="shared" si="8"/>
        <v/>
      </c>
      <c r="J289" s="4" t="str">
        <f t="shared" si="9"/>
        <v/>
      </c>
    </row>
    <row r="290" spans="1:10" x14ac:dyDescent="0.25">
      <c r="A290" t="s">
        <v>31</v>
      </c>
      <c r="B290" t="s">
        <v>32</v>
      </c>
      <c r="C290" t="s">
        <v>33</v>
      </c>
      <c r="D290" t="s">
        <v>34</v>
      </c>
      <c r="E290" t="s">
        <v>35</v>
      </c>
      <c r="I290" s="4" t="str">
        <f t="shared" si="8"/>
        <v/>
      </c>
      <c r="J290" s="4" t="str">
        <f t="shared" si="9"/>
        <v/>
      </c>
    </row>
    <row r="291" spans="1:10" x14ac:dyDescent="0.25">
      <c r="A291" t="s">
        <v>36</v>
      </c>
      <c r="B291">
        <v>4</v>
      </c>
      <c r="C291" t="s">
        <v>37</v>
      </c>
      <c r="D291" s="3">
        <v>277.45999999999998</v>
      </c>
      <c r="E291" s="3">
        <v>0</v>
      </c>
      <c r="F291" s="3">
        <v>277.45999999999998</v>
      </c>
      <c r="G291" s="3">
        <v>210.28</v>
      </c>
      <c r="H291" s="3">
        <v>-210.28</v>
      </c>
      <c r="I291" s="4" t="str">
        <f t="shared" si="8"/>
        <v>SaskPower ACC7340</v>
      </c>
      <c r="J291" s="4" t="str">
        <f t="shared" si="9"/>
        <v>SAS7340</v>
      </c>
    </row>
    <row r="292" spans="1:10" x14ac:dyDescent="0.25">
      <c r="A292" t="s">
        <v>9</v>
      </c>
      <c r="B292" t="s">
        <v>228</v>
      </c>
      <c r="C292" t="s">
        <v>28</v>
      </c>
      <c r="D292" t="s">
        <v>229</v>
      </c>
      <c r="E292" t="s">
        <v>12</v>
      </c>
      <c r="F292" t="s">
        <v>49</v>
      </c>
      <c r="G292" t="s">
        <v>11</v>
      </c>
      <c r="I292" s="4" t="str">
        <f t="shared" si="8"/>
        <v/>
      </c>
      <c r="J292" s="4" t="str">
        <f t="shared" si="9"/>
        <v/>
      </c>
    </row>
    <row r="293" spans="1:10" x14ac:dyDescent="0.25">
      <c r="A293" t="s">
        <v>31</v>
      </c>
      <c r="B293" t="s">
        <v>32</v>
      </c>
      <c r="C293" t="s">
        <v>33</v>
      </c>
      <c r="D293" t="s">
        <v>34</v>
      </c>
      <c r="E293" t="s">
        <v>35</v>
      </c>
      <c r="I293" s="4" t="str">
        <f t="shared" si="8"/>
        <v/>
      </c>
      <c r="J293" s="4" t="str">
        <f t="shared" si="9"/>
        <v/>
      </c>
    </row>
    <row r="294" spans="1:10" x14ac:dyDescent="0.25">
      <c r="A294" t="s">
        <v>36</v>
      </c>
      <c r="B294">
        <v>1</v>
      </c>
      <c r="C294" t="s">
        <v>37</v>
      </c>
      <c r="D294" s="3">
        <v>-114.87</v>
      </c>
      <c r="E294" s="3">
        <v>0</v>
      </c>
      <c r="F294" s="3">
        <v>-114.87</v>
      </c>
      <c r="G294" s="3">
        <v>0</v>
      </c>
      <c r="H294" s="3">
        <v>0</v>
      </c>
      <c r="I294" s="4" t="str">
        <f t="shared" si="8"/>
        <v>SaskPower ACC9039</v>
      </c>
      <c r="J294" s="4" t="str">
        <f t="shared" si="9"/>
        <v>SAS9039</v>
      </c>
    </row>
    <row r="295" spans="1:10" x14ac:dyDescent="0.25">
      <c r="A295" t="s">
        <v>9</v>
      </c>
      <c r="B295" t="s">
        <v>230</v>
      </c>
      <c r="C295" t="s">
        <v>28</v>
      </c>
      <c r="D295" t="s">
        <v>231</v>
      </c>
      <c r="E295" t="s">
        <v>12</v>
      </c>
      <c r="F295" t="s">
        <v>49</v>
      </c>
      <c r="G295" t="s">
        <v>11</v>
      </c>
      <c r="I295" s="4" t="str">
        <f t="shared" si="8"/>
        <v/>
      </c>
      <c r="J295" s="4" t="str">
        <f t="shared" si="9"/>
        <v/>
      </c>
    </row>
    <row r="296" spans="1:10" x14ac:dyDescent="0.25">
      <c r="A296" t="s">
        <v>31</v>
      </c>
      <c r="B296" t="s">
        <v>32</v>
      </c>
      <c r="C296" t="s">
        <v>33</v>
      </c>
      <c r="D296" t="s">
        <v>34</v>
      </c>
      <c r="E296" t="s">
        <v>35</v>
      </c>
      <c r="I296" s="4" t="str">
        <f t="shared" si="8"/>
        <v/>
      </c>
      <c r="J296" s="4" t="str">
        <f t="shared" si="9"/>
        <v/>
      </c>
    </row>
    <row r="297" spans="1:10" x14ac:dyDescent="0.25">
      <c r="A297" t="s">
        <v>36</v>
      </c>
      <c r="B297">
        <v>1</v>
      </c>
      <c r="C297" t="s">
        <v>37</v>
      </c>
      <c r="D297" s="3">
        <v>263.45999999999998</v>
      </c>
      <c r="E297" s="3">
        <v>0</v>
      </c>
      <c r="F297" s="3">
        <v>263.45999999999998</v>
      </c>
      <c r="G297" s="3">
        <v>0</v>
      </c>
      <c r="H297" s="3">
        <v>0</v>
      </c>
      <c r="I297" s="4" t="str">
        <f t="shared" si="8"/>
        <v>SASKTEL</v>
      </c>
      <c r="J297" s="4" t="str">
        <f t="shared" si="9"/>
        <v>SASTEL</v>
      </c>
    </row>
    <row r="298" spans="1:10" x14ac:dyDescent="0.25">
      <c r="A298" t="s">
        <v>9</v>
      </c>
      <c r="B298" t="s">
        <v>232</v>
      </c>
      <c r="C298" t="s">
        <v>28</v>
      </c>
      <c r="D298" t="s">
        <v>233</v>
      </c>
      <c r="E298" t="s">
        <v>12</v>
      </c>
      <c r="F298" t="s">
        <v>40</v>
      </c>
      <c r="G298" t="s">
        <v>11</v>
      </c>
      <c r="I298" s="4" t="str">
        <f t="shared" si="8"/>
        <v/>
      </c>
      <c r="J298" s="4" t="str">
        <f t="shared" si="9"/>
        <v/>
      </c>
    </row>
    <row r="299" spans="1:10" x14ac:dyDescent="0.25">
      <c r="A299" t="s">
        <v>31</v>
      </c>
      <c r="B299" t="s">
        <v>32</v>
      </c>
      <c r="C299" t="s">
        <v>33</v>
      </c>
      <c r="D299" t="s">
        <v>34</v>
      </c>
      <c r="E299" t="s">
        <v>35</v>
      </c>
      <c r="I299" s="4" t="str">
        <f t="shared" si="8"/>
        <v/>
      </c>
      <c r="J299" s="4" t="str">
        <f t="shared" si="9"/>
        <v/>
      </c>
    </row>
    <row r="300" spans="1:10" x14ac:dyDescent="0.25">
      <c r="A300" t="s">
        <v>36</v>
      </c>
      <c r="B300">
        <v>1</v>
      </c>
      <c r="C300" t="s">
        <v>37</v>
      </c>
      <c r="D300" s="3">
        <v>207.38</v>
      </c>
      <c r="E300" s="3">
        <v>0</v>
      </c>
      <c r="F300" s="3">
        <v>207.38</v>
      </c>
      <c r="G300" s="3">
        <v>0</v>
      </c>
      <c r="H300" s="3">
        <v>0</v>
      </c>
      <c r="I300" s="4" t="str">
        <f t="shared" si="8"/>
        <v>Seven Mechanical Services</v>
      </c>
      <c r="J300" s="4" t="str">
        <f t="shared" si="9"/>
        <v>SEVMEC</v>
      </c>
    </row>
    <row r="301" spans="1:10" x14ac:dyDescent="0.25">
      <c r="A301" t="s">
        <v>9</v>
      </c>
      <c r="B301" t="s">
        <v>234</v>
      </c>
      <c r="C301" t="s">
        <v>28</v>
      </c>
      <c r="D301" t="s">
        <v>235</v>
      </c>
      <c r="E301" t="s">
        <v>12</v>
      </c>
      <c r="F301" t="s">
        <v>49</v>
      </c>
      <c r="G301" t="s">
        <v>11</v>
      </c>
      <c r="I301" s="4" t="str">
        <f t="shared" si="8"/>
        <v/>
      </c>
      <c r="J301" s="4" t="str">
        <f t="shared" si="9"/>
        <v/>
      </c>
    </row>
    <row r="302" spans="1:10" x14ac:dyDescent="0.25">
      <c r="A302" t="s">
        <v>31</v>
      </c>
      <c r="B302" t="s">
        <v>32</v>
      </c>
      <c r="C302" t="s">
        <v>33</v>
      </c>
      <c r="D302" t="s">
        <v>34</v>
      </c>
      <c r="E302" t="s">
        <v>35</v>
      </c>
      <c r="I302" s="4" t="str">
        <f t="shared" si="8"/>
        <v/>
      </c>
      <c r="J302" s="4" t="str">
        <f t="shared" si="9"/>
        <v/>
      </c>
    </row>
    <row r="303" spans="1:10" x14ac:dyDescent="0.25">
      <c r="A303" t="s">
        <v>36</v>
      </c>
      <c r="B303">
        <v>1</v>
      </c>
      <c r="C303" t="s">
        <v>37</v>
      </c>
      <c r="D303" s="3">
        <v>892.5</v>
      </c>
      <c r="E303" s="3">
        <v>0</v>
      </c>
      <c r="F303" s="3">
        <v>0</v>
      </c>
      <c r="G303" s="3">
        <v>0</v>
      </c>
      <c r="H303" s="3">
        <v>892.5</v>
      </c>
      <c r="I303" s="4" t="str">
        <f t="shared" si="8"/>
        <v>Shaw Cable</v>
      </c>
      <c r="J303" s="4" t="str">
        <f t="shared" si="9"/>
        <v>SHABUS</v>
      </c>
    </row>
    <row r="304" spans="1:10" x14ac:dyDescent="0.25">
      <c r="A304" t="s">
        <v>9</v>
      </c>
      <c r="B304" t="s">
        <v>236</v>
      </c>
      <c r="C304" t="s">
        <v>28</v>
      </c>
      <c r="D304" t="s">
        <v>237</v>
      </c>
      <c r="E304" t="s">
        <v>12</v>
      </c>
      <c r="F304" t="s">
        <v>40</v>
      </c>
      <c r="G304" t="s">
        <v>11</v>
      </c>
      <c r="I304" s="4" t="str">
        <f t="shared" si="8"/>
        <v/>
      </c>
      <c r="J304" s="4" t="str">
        <f t="shared" si="9"/>
        <v/>
      </c>
    </row>
    <row r="305" spans="1:10" x14ac:dyDescent="0.25">
      <c r="A305" t="s">
        <v>31</v>
      </c>
      <c r="B305" t="s">
        <v>32</v>
      </c>
      <c r="C305" t="s">
        <v>33</v>
      </c>
      <c r="D305" t="s">
        <v>34</v>
      </c>
      <c r="E305" t="s">
        <v>35</v>
      </c>
      <c r="I305" s="4" t="str">
        <f t="shared" si="8"/>
        <v/>
      </c>
      <c r="J305" s="4" t="str">
        <f t="shared" si="9"/>
        <v/>
      </c>
    </row>
    <row r="306" spans="1:10" x14ac:dyDescent="0.25">
      <c r="A306" t="s">
        <v>36</v>
      </c>
      <c r="B306">
        <v>1</v>
      </c>
      <c r="C306" t="s">
        <v>37</v>
      </c>
      <c r="D306" s="3">
        <v>601.01</v>
      </c>
      <c r="E306" s="3">
        <v>601.01</v>
      </c>
      <c r="F306" s="3">
        <v>0</v>
      </c>
      <c r="G306" s="3">
        <v>0</v>
      </c>
      <c r="H306" s="3">
        <v>0</v>
      </c>
      <c r="I306" s="4" t="str">
        <f t="shared" si="8"/>
        <v>Sign Solutions</v>
      </c>
      <c r="J306" s="4" t="str">
        <f t="shared" si="9"/>
        <v>SIGNSO</v>
      </c>
    </row>
    <row r="307" spans="1:10" x14ac:dyDescent="0.25">
      <c r="A307" t="s">
        <v>9</v>
      </c>
      <c r="B307" t="s">
        <v>238</v>
      </c>
      <c r="C307" t="s">
        <v>28</v>
      </c>
      <c r="D307" t="s">
        <v>239</v>
      </c>
      <c r="E307" t="s">
        <v>12</v>
      </c>
      <c r="F307" t="s">
        <v>82</v>
      </c>
      <c r="G307" t="s">
        <v>11</v>
      </c>
      <c r="I307" s="4" t="str">
        <f t="shared" si="8"/>
        <v/>
      </c>
      <c r="J307" s="4" t="str">
        <f t="shared" si="9"/>
        <v/>
      </c>
    </row>
    <row r="308" spans="1:10" x14ac:dyDescent="0.25">
      <c r="A308" t="s">
        <v>31</v>
      </c>
      <c r="B308" t="s">
        <v>32</v>
      </c>
      <c r="C308" t="s">
        <v>33</v>
      </c>
      <c r="D308" t="s">
        <v>34</v>
      </c>
      <c r="E308" t="s">
        <v>35</v>
      </c>
      <c r="I308" s="4" t="str">
        <f t="shared" si="8"/>
        <v/>
      </c>
      <c r="J308" s="4" t="str">
        <f t="shared" si="9"/>
        <v/>
      </c>
    </row>
    <row r="309" spans="1:10" x14ac:dyDescent="0.25">
      <c r="A309" t="s">
        <v>36</v>
      </c>
      <c r="B309">
        <v>1</v>
      </c>
      <c r="C309" t="s">
        <v>37</v>
      </c>
      <c r="D309" s="3">
        <v>76.86</v>
      </c>
      <c r="E309" s="3">
        <v>0</v>
      </c>
      <c r="F309" s="3">
        <v>0</v>
      </c>
      <c r="G309" s="3">
        <v>0</v>
      </c>
      <c r="H309" s="3">
        <v>76.86</v>
      </c>
      <c r="I309" s="4" t="str">
        <f t="shared" si="8"/>
        <v>Skip the Dishes</v>
      </c>
      <c r="J309" s="4" t="str">
        <f t="shared" si="9"/>
        <v>SKIPTHEDISHES</v>
      </c>
    </row>
    <row r="310" spans="1:10" x14ac:dyDescent="0.25">
      <c r="A310" t="s">
        <v>9</v>
      </c>
      <c r="B310" t="s">
        <v>240</v>
      </c>
      <c r="C310" t="s">
        <v>28</v>
      </c>
      <c r="D310" t="s">
        <v>241</v>
      </c>
      <c r="E310" t="s">
        <v>12</v>
      </c>
      <c r="F310" t="s">
        <v>43</v>
      </c>
      <c r="G310" t="s">
        <v>11</v>
      </c>
      <c r="I310" s="4" t="str">
        <f t="shared" si="8"/>
        <v/>
      </c>
      <c r="J310" s="4" t="str">
        <f t="shared" si="9"/>
        <v/>
      </c>
    </row>
    <row r="311" spans="1:10" x14ac:dyDescent="0.25">
      <c r="A311" t="s">
        <v>31</v>
      </c>
      <c r="B311" t="s">
        <v>32</v>
      </c>
      <c r="C311" t="s">
        <v>33</v>
      </c>
      <c r="D311" t="s">
        <v>34</v>
      </c>
      <c r="E311" t="s">
        <v>35</v>
      </c>
      <c r="I311" s="4" t="str">
        <f t="shared" si="8"/>
        <v/>
      </c>
      <c r="J311" s="4" t="str">
        <f t="shared" si="9"/>
        <v/>
      </c>
    </row>
    <row r="312" spans="1:10" x14ac:dyDescent="0.25">
      <c r="A312" t="s">
        <v>36</v>
      </c>
      <c r="B312">
        <v>8</v>
      </c>
      <c r="C312" t="s">
        <v>37</v>
      </c>
      <c r="D312" s="3">
        <v>1400</v>
      </c>
      <c r="E312" s="3">
        <v>0</v>
      </c>
      <c r="F312" s="3">
        <v>0</v>
      </c>
      <c r="G312" s="3">
        <v>0</v>
      </c>
      <c r="H312" s="3">
        <v>1400</v>
      </c>
      <c r="I312" s="4" t="str">
        <f t="shared" si="8"/>
        <v>Small Claims Court</v>
      </c>
      <c r="J312" s="4" t="str">
        <f t="shared" si="9"/>
        <v>SMACLA</v>
      </c>
    </row>
    <row r="313" spans="1:10" x14ac:dyDescent="0.25">
      <c r="A313" t="s">
        <v>9</v>
      </c>
      <c r="B313" t="s">
        <v>242</v>
      </c>
      <c r="C313" t="s">
        <v>28</v>
      </c>
      <c r="D313" t="s">
        <v>243</v>
      </c>
      <c r="E313" t="s">
        <v>12</v>
      </c>
      <c r="F313" t="s">
        <v>40</v>
      </c>
      <c r="G313" t="s">
        <v>11</v>
      </c>
      <c r="I313" s="4" t="str">
        <f t="shared" si="8"/>
        <v/>
      </c>
      <c r="J313" s="4" t="str">
        <f t="shared" si="9"/>
        <v/>
      </c>
    </row>
    <row r="314" spans="1:10" x14ac:dyDescent="0.25">
      <c r="A314" t="s">
        <v>31</v>
      </c>
      <c r="B314" t="s">
        <v>32</v>
      </c>
      <c r="C314" t="s">
        <v>33</v>
      </c>
      <c r="D314" t="s">
        <v>34</v>
      </c>
      <c r="E314" t="s">
        <v>35</v>
      </c>
      <c r="I314" s="4" t="str">
        <f t="shared" si="8"/>
        <v/>
      </c>
      <c r="J314" s="4" t="str">
        <f t="shared" si="9"/>
        <v/>
      </c>
    </row>
    <row r="315" spans="1:10" x14ac:dyDescent="0.25">
      <c r="A315" t="s">
        <v>36</v>
      </c>
      <c r="B315">
        <v>6</v>
      </c>
      <c r="C315" t="s">
        <v>37</v>
      </c>
      <c r="D315" s="3">
        <v>12131.01</v>
      </c>
      <c r="E315" s="3">
        <v>3748.5</v>
      </c>
      <c r="F315" s="3">
        <v>2862.13</v>
      </c>
      <c r="G315" s="3">
        <v>5520.38</v>
      </c>
      <c r="H315" s="3">
        <v>0</v>
      </c>
      <c r="I315" s="4" t="str">
        <f t="shared" si="8"/>
        <v>SMARTER LOANS INC.</v>
      </c>
      <c r="J315" s="4" t="str">
        <f t="shared" si="9"/>
        <v>SMALOA</v>
      </c>
    </row>
    <row r="316" spans="1:10" x14ac:dyDescent="0.25">
      <c r="A316" t="s">
        <v>9</v>
      </c>
      <c r="B316" t="s">
        <v>244</v>
      </c>
      <c r="C316" t="s">
        <v>28</v>
      </c>
      <c r="D316" t="s">
        <v>245</v>
      </c>
      <c r="E316" t="s">
        <v>12</v>
      </c>
      <c r="F316" t="s">
        <v>40</v>
      </c>
      <c r="G316" t="s">
        <v>11</v>
      </c>
      <c r="I316" s="4" t="str">
        <f t="shared" si="8"/>
        <v/>
      </c>
      <c r="J316" s="4" t="str">
        <f t="shared" si="9"/>
        <v/>
      </c>
    </row>
    <row r="317" spans="1:10" x14ac:dyDescent="0.25">
      <c r="A317" t="s">
        <v>31</v>
      </c>
      <c r="B317" t="s">
        <v>32</v>
      </c>
      <c r="C317" t="s">
        <v>33</v>
      </c>
      <c r="D317" t="s">
        <v>34</v>
      </c>
      <c r="E317" t="s">
        <v>35</v>
      </c>
      <c r="I317" s="4" t="str">
        <f t="shared" si="8"/>
        <v/>
      </c>
      <c r="J317" s="4" t="str">
        <f t="shared" si="9"/>
        <v/>
      </c>
    </row>
    <row r="318" spans="1:10" x14ac:dyDescent="0.25">
      <c r="A318" t="s">
        <v>36</v>
      </c>
      <c r="B318">
        <v>5</v>
      </c>
      <c r="C318" t="s">
        <v>37</v>
      </c>
      <c r="D318" s="3">
        <v>940.84</v>
      </c>
      <c r="E318" s="3">
        <v>0</v>
      </c>
      <c r="F318" s="3">
        <v>665.98</v>
      </c>
      <c r="G318" s="3">
        <v>0</v>
      </c>
      <c r="H318" s="3">
        <v>274.86</v>
      </c>
      <c r="I318" s="4" t="str">
        <f t="shared" si="8"/>
        <v>STAPLES ADVANTAGE</v>
      </c>
      <c r="J318" s="4" t="str">
        <f t="shared" si="9"/>
        <v>STAADV</v>
      </c>
    </row>
    <row r="319" spans="1:10" x14ac:dyDescent="0.25">
      <c r="A319" t="s">
        <v>9</v>
      </c>
      <c r="B319" t="s">
        <v>246</v>
      </c>
      <c r="C319" t="s">
        <v>28</v>
      </c>
      <c r="D319" t="s">
        <v>247</v>
      </c>
      <c r="E319" t="s">
        <v>12</v>
      </c>
      <c r="F319" t="s">
        <v>43</v>
      </c>
      <c r="G319" t="s">
        <v>11</v>
      </c>
      <c r="I319" s="4" t="str">
        <f t="shared" si="8"/>
        <v/>
      </c>
      <c r="J319" s="4" t="str">
        <f t="shared" si="9"/>
        <v/>
      </c>
    </row>
    <row r="320" spans="1:10" x14ac:dyDescent="0.25">
      <c r="A320" t="s">
        <v>31</v>
      </c>
      <c r="B320" t="s">
        <v>32</v>
      </c>
      <c r="C320" t="s">
        <v>33</v>
      </c>
      <c r="D320" t="s">
        <v>34</v>
      </c>
      <c r="E320" t="s">
        <v>35</v>
      </c>
      <c r="I320" s="4" t="str">
        <f t="shared" si="8"/>
        <v/>
      </c>
      <c r="J320" s="4" t="str">
        <f t="shared" si="9"/>
        <v/>
      </c>
    </row>
    <row r="321" spans="1:10" x14ac:dyDescent="0.25">
      <c r="A321" t="s">
        <v>36</v>
      </c>
      <c r="B321">
        <v>1</v>
      </c>
      <c r="C321" t="s">
        <v>37</v>
      </c>
      <c r="D321" s="3">
        <v>638.48</v>
      </c>
      <c r="E321" s="3">
        <v>0</v>
      </c>
      <c r="F321" s="3">
        <v>0</v>
      </c>
      <c r="G321" s="3">
        <v>0</v>
      </c>
      <c r="H321" s="3">
        <v>638.48</v>
      </c>
      <c r="I321" s="4" t="str">
        <f t="shared" si="8"/>
        <v>Stat Climate Control Solutions</v>
      </c>
      <c r="J321" s="4" t="str">
        <f t="shared" si="9"/>
        <v>STACONSOL</v>
      </c>
    </row>
    <row r="322" spans="1:10" x14ac:dyDescent="0.25">
      <c r="A322" t="s">
        <v>9</v>
      </c>
      <c r="B322" t="s">
        <v>248</v>
      </c>
      <c r="C322" t="s">
        <v>28</v>
      </c>
      <c r="D322" t="s">
        <v>249</v>
      </c>
      <c r="E322" t="s">
        <v>12</v>
      </c>
      <c r="F322" t="s">
        <v>43</v>
      </c>
      <c r="G322" t="s">
        <v>11</v>
      </c>
      <c r="I322" s="4" t="str">
        <f t="shared" si="8"/>
        <v/>
      </c>
      <c r="J322" s="4" t="str">
        <f t="shared" si="9"/>
        <v/>
      </c>
    </row>
    <row r="323" spans="1:10" x14ac:dyDescent="0.25">
      <c r="A323" t="s">
        <v>31</v>
      </c>
      <c r="B323" t="s">
        <v>32</v>
      </c>
      <c r="C323" t="s">
        <v>33</v>
      </c>
      <c r="D323" t="s">
        <v>34</v>
      </c>
      <c r="E323" t="s">
        <v>35</v>
      </c>
      <c r="I323" s="4" t="str">
        <f t="shared" si="8"/>
        <v/>
      </c>
      <c r="J323" s="4" t="str">
        <f t="shared" si="9"/>
        <v/>
      </c>
    </row>
    <row r="324" spans="1:10" x14ac:dyDescent="0.25">
      <c r="A324" t="s">
        <v>36</v>
      </c>
      <c r="B324">
        <v>2</v>
      </c>
      <c r="C324" t="s">
        <v>37</v>
      </c>
      <c r="D324" s="3">
        <v>324.08999999999997</v>
      </c>
      <c r="E324" s="3">
        <v>162.22999999999999</v>
      </c>
      <c r="F324" s="3">
        <v>161.86000000000001</v>
      </c>
      <c r="G324" s="3">
        <v>0</v>
      </c>
      <c r="H324" s="3">
        <v>0</v>
      </c>
      <c r="I324" s="4" t="str">
        <f t="shared" si="8"/>
        <v>Stericycle</v>
      </c>
      <c r="J324" s="4" t="str">
        <f t="shared" si="9"/>
        <v>STERIC</v>
      </c>
    </row>
    <row r="325" spans="1:10" x14ac:dyDescent="0.25">
      <c r="A325" t="s">
        <v>9</v>
      </c>
      <c r="B325" t="s">
        <v>250</v>
      </c>
      <c r="C325" t="s">
        <v>28</v>
      </c>
      <c r="D325" t="s">
        <v>251</v>
      </c>
      <c r="E325" t="s">
        <v>12</v>
      </c>
      <c r="F325" t="s">
        <v>40</v>
      </c>
      <c r="G325" t="s">
        <v>11</v>
      </c>
      <c r="I325" s="4" t="str">
        <f t="shared" si="8"/>
        <v/>
      </c>
      <c r="J325" s="4" t="str">
        <f t="shared" si="9"/>
        <v/>
      </c>
    </row>
    <row r="326" spans="1:10" x14ac:dyDescent="0.25">
      <c r="A326" t="s">
        <v>31</v>
      </c>
      <c r="B326" t="s">
        <v>32</v>
      </c>
      <c r="C326" t="s">
        <v>33</v>
      </c>
      <c r="D326" t="s">
        <v>34</v>
      </c>
      <c r="E326" t="s">
        <v>35</v>
      </c>
      <c r="I326" s="4" t="str">
        <f t="shared" si="8"/>
        <v/>
      </c>
      <c r="J326" s="4" t="str">
        <f t="shared" si="9"/>
        <v/>
      </c>
    </row>
    <row r="327" spans="1:10" x14ac:dyDescent="0.25">
      <c r="A327" t="s">
        <v>36</v>
      </c>
      <c r="B327">
        <v>3</v>
      </c>
      <c r="C327" t="s">
        <v>37</v>
      </c>
      <c r="D327" s="3">
        <v>1080.24</v>
      </c>
      <c r="E327" s="3">
        <v>168.79</v>
      </c>
      <c r="F327" s="3">
        <v>506.36</v>
      </c>
      <c r="G327" s="3">
        <v>405.09</v>
      </c>
      <c r="H327" s="3">
        <v>0</v>
      </c>
      <c r="I327" s="4" t="str">
        <f t="shared" si="8"/>
        <v>Sterling Backcheck Canada Corp.</v>
      </c>
      <c r="J327" s="4" t="str">
        <f t="shared" si="9"/>
        <v>STEBAC</v>
      </c>
    </row>
    <row r="328" spans="1:10" x14ac:dyDescent="0.25">
      <c r="A328" t="s">
        <v>9</v>
      </c>
      <c r="B328" t="s">
        <v>252</v>
      </c>
      <c r="C328" t="s">
        <v>28</v>
      </c>
      <c r="D328" t="s">
        <v>253</v>
      </c>
      <c r="E328" t="s">
        <v>12</v>
      </c>
      <c r="F328" t="s">
        <v>64</v>
      </c>
      <c r="G328" t="s">
        <v>11</v>
      </c>
      <c r="I328" s="4" t="str">
        <f t="shared" si="8"/>
        <v/>
      </c>
      <c r="J328" s="4" t="str">
        <f t="shared" si="9"/>
        <v/>
      </c>
    </row>
    <row r="329" spans="1:10" x14ac:dyDescent="0.25">
      <c r="A329" t="s">
        <v>31</v>
      </c>
      <c r="B329" t="s">
        <v>32</v>
      </c>
      <c r="C329" t="s">
        <v>33</v>
      </c>
      <c r="D329" t="s">
        <v>34</v>
      </c>
      <c r="E329" t="s">
        <v>35</v>
      </c>
      <c r="I329" s="4" t="str">
        <f t="shared" si="8"/>
        <v/>
      </c>
      <c r="J329" s="4" t="str">
        <f t="shared" si="9"/>
        <v/>
      </c>
    </row>
    <row r="330" spans="1:10" x14ac:dyDescent="0.25">
      <c r="A330" t="s">
        <v>36</v>
      </c>
      <c r="B330">
        <v>1</v>
      </c>
      <c r="C330" t="s">
        <v>37</v>
      </c>
      <c r="D330" s="3">
        <v>10000</v>
      </c>
      <c r="E330" s="3">
        <v>0</v>
      </c>
      <c r="F330" s="3">
        <v>10000</v>
      </c>
      <c r="G330" s="3">
        <v>0</v>
      </c>
      <c r="H330" s="3">
        <v>0</v>
      </c>
      <c r="I330" s="4" t="str">
        <f t="shared" si="8"/>
        <v>STS CAPITAL PARTNERS</v>
      </c>
      <c r="J330" s="4" t="str">
        <f t="shared" si="9"/>
        <v>STSCAP</v>
      </c>
    </row>
    <row r="331" spans="1:10" x14ac:dyDescent="0.25">
      <c r="A331" t="s">
        <v>9</v>
      </c>
      <c r="B331" t="s">
        <v>254</v>
      </c>
      <c r="C331" t="s">
        <v>28</v>
      </c>
      <c r="D331" t="s">
        <v>255</v>
      </c>
      <c r="E331" t="s">
        <v>12</v>
      </c>
      <c r="F331" t="s">
        <v>30</v>
      </c>
      <c r="G331" t="s">
        <v>11</v>
      </c>
      <c r="I331" s="4" t="str">
        <f t="shared" si="8"/>
        <v/>
      </c>
      <c r="J331" s="4" t="str">
        <f t="shared" si="9"/>
        <v/>
      </c>
    </row>
    <row r="332" spans="1:10" x14ac:dyDescent="0.25">
      <c r="A332" t="s">
        <v>31</v>
      </c>
      <c r="B332" t="s">
        <v>32</v>
      </c>
      <c r="C332" t="s">
        <v>33</v>
      </c>
      <c r="D332" t="s">
        <v>34</v>
      </c>
      <c r="E332" t="s">
        <v>35</v>
      </c>
      <c r="I332" s="4" t="str">
        <f t="shared" si="8"/>
        <v/>
      </c>
      <c r="J332" s="4" t="str">
        <f t="shared" si="9"/>
        <v/>
      </c>
    </row>
    <row r="333" spans="1:10" x14ac:dyDescent="0.25">
      <c r="A333" t="s">
        <v>36</v>
      </c>
      <c r="B333">
        <v>3</v>
      </c>
      <c r="C333" t="s">
        <v>37</v>
      </c>
      <c r="D333" s="3">
        <v>4583.7</v>
      </c>
      <c r="E333" s="3">
        <v>0</v>
      </c>
      <c r="F333" s="3">
        <v>0</v>
      </c>
      <c r="G333" s="3">
        <v>4583.7</v>
      </c>
      <c r="H333" s="3">
        <v>0</v>
      </c>
      <c r="I333" s="4" t="str">
        <f t="shared" ref="I333:I396" si="10">IF(C331="Name:",D331,"")</f>
        <v>SUNREAL PROPERTY MANAGEMENT LTD</v>
      </c>
      <c r="J333" s="4" t="str">
        <f t="shared" ref="J333:J396" si="11">IF(C331="Name:",B331,"")</f>
        <v>SUNPRO</v>
      </c>
    </row>
    <row r="334" spans="1:10" x14ac:dyDescent="0.25">
      <c r="A334" t="s">
        <v>9</v>
      </c>
      <c r="B334" t="s">
        <v>256</v>
      </c>
      <c r="C334" t="s">
        <v>28</v>
      </c>
      <c r="D334" t="s">
        <v>257</v>
      </c>
      <c r="E334" t="s">
        <v>12</v>
      </c>
      <c r="F334" t="s">
        <v>49</v>
      </c>
      <c r="G334" t="s">
        <v>11</v>
      </c>
      <c r="I334" s="4" t="str">
        <f t="shared" si="10"/>
        <v/>
      </c>
      <c r="J334" s="4" t="str">
        <f t="shared" si="11"/>
        <v/>
      </c>
    </row>
    <row r="335" spans="1:10" x14ac:dyDescent="0.25">
      <c r="A335" t="s">
        <v>31</v>
      </c>
      <c r="B335" t="s">
        <v>32</v>
      </c>
      <c r="C335" t="s">
        <v>33</v>
      </c>
      <c r="D335" t="s">
        <v>34</v>
      </c>
      <c r="E335" t="s">
        <v>35</v>
      </c>
      <c r="I335" s="4" t="str">
        <f t="shared" si="10"/>
        <v/>
      </c>
      <c r="J335" s="4" t="str">
        <f t="shared" si="11"/>
        <v/>
      </c>
    </row>
    <row r="336" spans="1:10" x14ac:dyDescent="0.25">
      <c r="A336" t="s">
        <v>36</v>
      </c>
      <c r="B336">
        <v>4</v>
      </c>
      <c r="C336" t="s">
        <v>37</v>
      </c>
      <c r="D336" s="3">
        <v>1474.08</v>
      </c>
      <c r="E336" s="3">
        <v>368.52</v>
      </c>
      <c r="F336" s="3">
        <v>0</v>
      </c>
      <c r="G336" s="3">
        <v>368.52</v>
      </c>
      <c r="H336" s="3">
        <v>737.04</v>
      </c>
      <c r="I336" s="4" t="str">
        <f t="shared" si="10"/>
        <v>Super Save Disposal (Alberta Ltd)</v>
      </c>
      <c r="J336" s="4" t="str">
        <f t="shared" si="11"/>
        <v>SUPSAV</v>
      </c>
    </row>
    <row r="337" spans="1:10" x14ac:dyDescent="0.25">
      <c r="A337" t="s">
        <v>9</v>
      </c>
      <c r="B337" t="s">
        <v>258</v>
      </c>
      <c r="C337" t="s">
        <v>28</v>
      </c>
      <c r="D337" t="s">
        <v>259</v>
      </c>
      <c r="E337" t="s">
        <v>12</v>
      </c>
      <c r="F337" t="s">
        <v>64</v>
      </c>
      <c r="G337" t="s">
        <v>11</v>
      </c>
      <c r="I337" s="4" t="str">
        <f t="shared" si="10"/>
        <v/>
      </c>
      <c r="J337" s="4" t="str">
        <f t="shared" si="11"/>
        <v/>
      </c>
    </row>
    <row r="338" spans="1:10" x14ac:dyDescent="0.25">
      <c r="A338" t="s">
        <v>31</v>
      </c>
      <c r="B338" t="s">
        <v>32</v>
      </c>
      <c r="C338" t="s">
        <v>33</v>
      </c>
      <c r="D338" t="s">
        <v>34</v>
      </c>
      <c r="E338" t="s">
        <v>35</v>
      </c>
      <c r="I338" s="4" t="str">
        <f t="shared" si="10"/>
        <v/>
      </c>
      <c r="J338" s="4" t="str">
        <f t="shared" si="11"/>
        <v/>
      </c>
    </row>
    <row r="339" spans="1:10" x14ac:dyDescent="0.25">
      <c r="A339" t="s">
        <v>36</v>
      </c>
      <c r="B339">
        <v>3</v>
      </c>
      <c r="C339" t="s">
        <v>37</v>
      </c>
      <c r="D339" s="3">
        <v>234.55</v>
      </c>
      <c r="E339" s="3">
        <v>0</v>
      </c>
      <c r="F339" s="3">
        <v>234.55</v>
      </c>
      <c r="G339" s="3">
        <v>0</v>
      </c>
      <c r="H339" s="3">
        <v>0</v>
      </c>
      <c r="I339" s="4" t="str">
        <f t="shared" si="10"/>
        <v>SYSAID TECHNOLOGIES LTD</v>
      </c>
      <c r="J339" s="4" t="str">
        <f t="shared" si="11"/>
        <v>SYSAID</v>
      </c>
    </row>
    <row r="340" spans="1:10" x14ac:dyDescent="0.25">
      <c r="A340" t="s">
        <v>9</v>
      </c>
      <c r="B340" t="s">
        <v>260</v>
      </c>
      <c r="C340" t="s">
        <v>28</v>
      </c>
      <c r="D340" t="s">
        <v>261</v>
      </c>
      <c r="E340" t="s">
        <v>12</v>
      </c>
      <c r="F340" t="s">
        <v>64</v>
      </c>
      <c r="G340" t="s">
        <v>11</v>
      </c>
      <c r="I340" s="4" t="str">
        <f t="shared" si="10"/>
        <v/>
      </c>
      <c r="J340" s="4" t="str">
        <f t="shared" si="11"/>
        <v/>
      </c>
    </row>
    <row r="341" spans="1:10" x14ac:dyDescent="0.25">
      <c r="A341" t="s">
        <v>31</v>
      </c>
      <c r="B341" t="s">
        <v>32</v>
      </c>
      <c r="C341" t="s">
        <v>33</v>
      </c>
      <c r="D341" t="s">
        <v>34</v>
      </c>
      <c r="E341" t="s">
        <v>35</v>
      </c>
      <c r="I341" s="4" t="str">
        <f t="shared" si="10"/>
        <v/>
      </c>
      <c r="J341" s="4" t="str">
        <f t="shared" si="11"/>
        <v/>
      </c>
    </row>
    <row r="342" spans="1:10" x14ac:dyDescent="0.25">
      <c r="A342" t="s">
        <v>36</v>
      </c>
      <c r="B342">
        <v>1</v>
      </c>
      <c r="C342" t="s">
        <v>37</v>
      </c>
      <c r="D342" s="3">
        <v>11461.48</v>
      </c>
      <c r="E342" s="3">
        <v>0</v>
      </c>
      <c r="F342" s="3">
        <v>0</v>
      </c>
      <c r="G342" s="3">
        <v>0</v>
      </c>
      <c r="H342" s="3">
        <v>11461.48</v>
      </c>
      <c r="I342" s="4" t="str">
        <f t="shared" si="10"/>
        <v>Tagove Limited d/b/a Acquire</v>
      </c>
      <c r="J342" s="4" t="str">
        <f t="shared" si="11"/>
        <v>ACQUIR001</v>
      </c>
    </row>
    <row r="343" spans="1:10" x14ac:dyDescent="0.25">
      <c r="A343" t="s">
        <v>9</v>
      </c>
      <c r="B343" t="s">
        <v>262</v>
      </c>
      <c r="C343" t="s">
        <v>28</v>
      </c>
      <c r="D343" t="s">
        <v>263</v>
      </c>
      <c r="E343" t="s">
        <v>12</v>
      </c>
      <c r="F343" t="s">
        <v>49</v>
      </c>
      <c r="G343" t="s">
        <v>11</v>
      </c>
      <c r="I343" s="4" t="str">
        <f t="shared" si="10"/>
        <v/>
      </c>
      <c r="J343" s="4" t="str">
        <f t="shared" si="11"/>
        <v/>
      </c>
    </row>
    <row r="344" spans="1:10" x14ac:dyDescent="0.25">
      <c r="A344" t="s">
        <v>31</v>
      </c>
      <c r="B344" t="s">
        <v>32</v>
      </c>
      <c r="C344" t="s">
        <v>33</v>
      </c>
      <c r="D344" t="s">
        <v>34</v>
      </c>
      <c r="E344" t="s">
        <v>35</v>
      </c>
      <c r="I344" s="4" t="str">
        <f t="shared" si="10"/>
        <v/>
      </c>
      <c r="J344" s="4" t="str">
        <f t="shared" si="11"/>
        <v/>
      </c>
    </row>
    <row r="345" spans="1:10" x14ac:dyDescent="0.25">
      <c r="A345" t="s">
        <v>36</v>
      </c>
      <c r="B345">
        <v>1</v>
      </c>
      <c r="C345" t="s">
        <v>37</v>
      </c>
      <c r="D345" s="3">
        <v>73.5</v>
      </c>
      <c r="E345" s="3">
        <v>0</v>
      </c>
      <c r="F345" s="3">
        <v>0</v>
      </c>
      <c r="G345" s="3">
        <v>0</v>
      </c>
      <c r="H345" s="3">
        <v>73.5</v>
      </c>
      <c r="I345" s="4" t="str">
        <f t="shared" si="10"/>
        <v>Telus 43387529 Businessapps  Microsfot</v>
      </c>
      <c r="J345" s="4" t="str">
        <f t="shared" si="11"/>
        <v>TELUS7529(MS)</v>
      </c>
    </row>
    <row r="346" spans="1:10" x14ac:dyDescent="0.25">
      <c r="A346" t="s">
        <v>9</v>
      </c>
      <c r="B346" t="s">
        <v>264</v>
      </c>
      <c r="C346" t="s">
        <v>28</v>
      </c>
      <c r="D346" t="s">
        <v>265</v>
      </c>
      <c r="E346" t="s">
        <v>12</v>
      </c>
      <c r="F346" t="s">
        <v>49</v>
      </c>
      <c r="G346" t="s">
        <v>11</v>
      </c>
      <c r="I346" s="4" t="str">
        <f t="shared" si="10"/>
        <v/>
      </c>
      <c r="J346" s="4" t="str">
        <f t="shared" si="11"/>
        <v/>
      </c>
    </row>
    <row r="347" spans="1:10" x14ac:dyDescent="0.25">
      <c r="A347" t="s">
        <v>31</v>
      </c>
      <c r="B347" t="s">
        <v>32</v>
      </c>
      <c r="C347" t="s">
        <v>33</v>
      </c>
      <c r="D347" t="s">
        <v>34</v>
      </c>
      <c r="E347" t="s">
        <v>35</v>
      </c>
      <c r="I347" s="4" t="str">
        <f t="shared" si="10"/>
        <v/>
      </c>
      <c r="J347" s="4" t="str">
        <f t="shared" si="11"/>
        <v/>
      </c>
    </row>
    <row r="348" spans="1:10" x14ac:dyDescent="0.25">
      <c r="A348" t="s">
        <v>36</v>
      </c>
      <c r="B348">
        <v>1</v>
      </c>
      <c r="C348" t="s">
        <v>37</v>
      </c>
      <c r="D348" s="3">
        <v>-26.45</v>
      </c>
      <c r="E348" s="3">
        <v>0</v>
      </c>
      <c r="F348" s="3">
        <v>-26.45</v>
      </c>
      <c r="G348" s="3">
        <v>0</v>
      </c>
      <c r="H348" s="3">
        <v>0</v>
      </c>
      <c r="I348" s="4" t="str">
        <f t="shared" si="10"/>
        <v>Telus Acc 3707</v>
      </c>
      <c r="J348" s="4" t="str">
        <f t="shared" si="11"/>
        <v>TELUS 3707</v>
      </c>
    </row>
    <row r="349" spans="1:10" x14ac:dyDescent="0.25">
      <c r="A349" t="s">
        <v>9</v>
      </c>
      <c r="B349" t="s">
        <v>266</v>
      </c>
      <c r="C349" t="s">
        <v>28</v>
      </c>
      <c r="D349" t="s">
        <v>267</v>
      </c>
      <c r="E349" t="s">
        <v>12</v>
      </c>
      <c r="F349" t="s">
        <v>49</v>
      </c>
      <c r="G349" t="s">
        <v>11</v>
      </c>
      <c r="I349" s="4" t="str">
        <f t="shared" si="10"/>
        <v/>
      </c>
      <c r="J349" s="4" t="str">
        <f t="shared" si="11"/>
        <v/>
      </c>
    </row>
    <row r="350" spans="1:10" x14ac:dyDescent="0.25">
      <c r="A350" t="s">
        <v>31</v>
      </c>
      <c r="B350" t="s">
        <v>32</v>
      </c>
      <c r="C350" t="s">
        <v>33</v>
      </c>
      <c r="D350" t="s">
        <v>34</v>
      </c>
      <c r="E350" t="s">
        <v>35</v>
      </c>
      <c r="I350" s="4" t="str">
        <f t="shared" si="10"/>
        <v/>
      </c>
      <c r="J350" s="4" t="str">
        <f t="shared" si="11"/>
        <v/>
      </c>
    </row>
    <row r="351" spans="1:10" x14ac:dyDescent="0.25">
      <c r="A351" t="s">
        <v>36</v>
      </c>
      <c r="B351">
        <v>1</v>
      </c>
      <c r="C351" t="s">
        <v>37</v>
      </c>
      <c r="D351" s="3">
        <v>98.76</v>
      </c>
      <c r="E351" s="3">
        <v>0</v>
      </c>
      <c r="F351" s="3">
        <v>0</v>
      </c>
      <c r="G351" s="3">
        <v>98.76</v>
      </c>
      <c r="H351" s="3">
        <v>0</v>
      </c>
      <c r="I351" s="4" t="str">
        <f t="shared" si="10"/>
        <v>Telus Acc 9011</v>
      </c>
      <c r="J351" s="4" t="str">
        <f t="shared" si="11"/>
        <v>TELUS 9011</v>
      </c>
    </row>
    <row r="352" spans="1:10" x14ac:dyDescent="0.25">
      <c r="A352" t="s">
        <v>9</v>
      </c>
      <c r="B352" t="s">
        <v>268</v>
      </c>
      <c r="C352" t="s">
        <v>28</v>
      </c>
      <c r="D352" t="s">
        <v>269</v>
      </c>
      <c r="E352" t="s">
        <v>12</v>
      </c>
      <c r="F352" t="s">
        <v>49</v>
      </c>
      <c r="G352" t="s">
        <v>11</v>
      </c>
      <c r="I352" s="4" t="str">
        <f t="shared" si="10"/>
        <v/>
      </c>
      <c r="J352" s="4" t="str">
        <f t="shared" si="11"/>
        <v/>
      </c>
    </row>
    <row r="353" spans="1:10" x14ac:dyDescent="0.25">
      <c r="A353" t="s">
        <v>31</v>
      </c>
      <c r="B353" t="s">
        <v>32</v>
      </c>
      <c r="C353" t="s">
        <v>33</v>
      </c>
      <c r="D353" t="s">
        <v>34</v>
      </c>
      <c r="E353" t="s">
        <v>35</v>
      </c>
      <c r="I353" s="4" t="str">
        <f t="shared" si="10"/>
        <v/>
      </c>
      <c r="J353" s="4" t="str">
        <f t="shared" si="11"/>
        <v/>
      </c>
    </row>
    <row r="354" spans="1:10" x14ac:dyDescent="0.25">
      <c r="A354" t="s">
        <v>36</v>
      </c>
      <c r="B354">
        <v>1</v>
      </c>
      <c r="C354" t="s">
        <v>37</v>
      </c>
      <c r="D354" s="3">
        <v>151.19999999999999</v>
      </c>
      <c r="E354" s="3">
        <v>0</v>
      </c>
      <c r="F354" s="3">
        <v>0</v>
      </c>
      <c r="G354" s="3">
        <v>151.19999999999999</v>
      </c>
      <c r="H354" s="3">
        <v>0</v>
      </c>
      <c r="I354" s="4" t="str">
        <f t="shared" si="10"/>
        <v>Telus Account 3647</v>
      </c>
      <c r="J354" s="4" t="str">
        <f t="shared" si="11"/>
        <v>TELUS 3647</v>
      </c>
    </row>
    <row r="355" spans="1:10" x14ac:dyDescent="0.25">
      <c r="A355" t="s">
        <v>9</v>
      </c>
      <c r="B355" t="s">
        <v>270</v>
      </c>
      <c r="C355" t="s">
        <v>28</v>
      </c>
      <c r="D355" t="s">
        <v>271</v>
      </c>
      <c r="E355" t="s">
        <v>12</v>
      </c>
      <c r="F355" t="s">
        <v>82</v>
      </c>
      <c r="G355" t="s">
        <v>11</v>
      </c>
      <c r="I355" s="4" t="str">
        <f t="shared" si="10"/>
        <v/>
      </c>
      <c r="J355" s="4" t="str">
        <f t="shared" si="11"/>
        <v/>
      </c>
    </row>
    <row r="356" spans="1:10" x14ac:dyDescent="0.25">
      <c r="A356" t="s">
        <v>31</v>
      </c>
      <c r="B356" t="s">
        <v>32</v>
      </c>
      <c r="C356" t="s">
        <v>33</v>
      </c>
      <c r="D356" t="s">
        <v>34</v>
      </c>
      <c r="E356" t="s">
        <v>35</v>
      </c>
      <c r="I356" s="4" t="str">
        <f t="shared" si="10"/>
        <v/>
      </c>
      <c r="J356" s="4" t="str">
        <f t="shared" si="11"/>
        <v/>
      </c>
    </row>
    <row r="357" spans="1:10" x14ac:dyDescent="0.25">
      <c r="A357" t="s">
        <v>36</v>
      </c>
      <c r="B357">
        <v>4</v>
      </c>
      <c r="C357" t="s">
        <v>37</v>
      </c>
      <c r="D357" s="3">
        <v>12244.74</v>
      </c>
      <c r="E357" s="3">
        <v>0</v>
      </c>
      <c r="F357" s="3">
        <v>0</v>
      </c>
      <c r="G357" s="3">
        <v>0</v>
      </c>
      <c r="H357" s="3">
        <v>12244.74</v>
      </c>
      <c r="I357" s="4" t="str">
        <f t="shared" si="10"/>
        <v>TELUS MOBILITY</v>
      </c>
      <c r="J357" s="4" t="str">
        <f t="shared" si="11"/>
        <v>TELMOB</v>
      </c>
    </row>
    <row r="358" spans="1:10" x14ac:dyDescent="0.25">
      <c r="A358" t="s">
        <v>9</v>
      </c>
      <c r="B358" t="s">
        <v>272</v>
      </c>
      <c r="C358" t="s">
        <v>28</v>
      </c>
      <c r="D358" t="s">
        <v>273</v>
      </c>
      <c r="E358" t="s">
        <v>12</v>
      </c>
      <c r="F358" t="s">
        <v>40</v>
      </c>
      <c r="G358" t="s">
        <v>11</v>
      </c>
      <c r="I358" s="4" t="str">
        <f t="shared" si="10"/>
        <v/>
      </c>
      <c r="J358" s="4" t="str">
        <f t="shared" si="11"/>
        <v/>
      </c>
    </row>
    <row r="359" spans="1:10" x14ac:dyDescent="0.25">
      <c r="A359" t="s">
        <v>31</v>
      </c>
      <c r="B359" t="s">
        <v>32</v>
      </c>
      <c r="C359" t="s">
        <v>33</v>
      </c>
      <c r="D359" t="s">
        <v>34</v>
      </c>
      <c r="E359" t="s">
        <v>35</v>
      </c>
      <c r="I359" s="4" t="str">
        <f t="shared" si="10"/>
        <v/>
      </c>
      <c r="J359" s="4" t="str">
        <f t="shared" si="11"/>
        <v/>
      </c>
    </row>
    <row r="360" spans="1:10" x14ac:dyDescent="0.25">
      <c r="A360" t="s">
        <v>36</v>
      </c>
      <c r="B360">
        <v>4</v>
      </c>
      <c r="C360" t="s">
        <v>37</v>
      </c>
      <c r="D360" s="3">
        <v>1521.64</v>
      </c>
      <c r="E360" s="3">
        <v>0</v>
      </c>
      <c r="F360" s="3">
        <v>760.82</v>
      </c>
      <c r="G360" s="3">
        <v>760.82</v>
      </c>
      <c r="H360" s="3">
        <v>0</v>
      </c>
      <c r="I360" s="4" t="str">
        <f t="shared" si="10"/>
        <v>TERAGO NETWORK</v>
      </c>
      <c r="J360" s="4" t="str">
        <f t="shared" si="11"/>
        <v>TERAGO</v>
      </c>
    </row>
    <row r="361" spans="1:10" x14ac:dyDescent="0.25">
      <c r="A361" t="s">
        <v>9</v>
      </c>
      <c r="B361" t="s">
        <v>274</v>
      </c>
      <c r="C361" t="s">
        <v>28</v>
      </c>
      <c r="D361" t="s">
        <v>275</v>
      </c>
      <c r="E361" t="s">
        <v>12</v>
      </c>
      <c r="F361" t="s">
        <v>49</v>
      </c>
      <c r="G361" t="s">
        <v>11</v>
      </c>
      <c r="I361" s="4" t="str">
        <f t="shared" si="10"/>
        <v/>
      </c>
      <c r="J361" s="4" t="str">
        <f t="shared" si="11"/>
        <v/>
      </c>
    </row>
    <row r="362" spans="1:10" x14ac:dyDescent="0.25">
      <c r="A362" t="s">
        <v>31</v>
      </c>
      <c r="B362" t="s">
        <v>32</v>
      </c>
      <c r="C362" t="s">
        <v>33</v>
      </c>
      <c r="D362" t="s">
        <v>34</v>
      </c>
      <c r="E362" t="s">
        <v>35</v>
      </c>
      <c r="I362" s="4" t="str">
        <f t="shared" si="10"/>
        <v/>
      </c>
      <c r="J362" s="4" t="str">
        <f t="shared" si="11"/>
        <v/>
      </c>
    </row>
    <row r="363" spans="1:10" x14ac:dyDescent="0.25">
      <c r="A363" t="s">
        <v>36</v>
      </c>
      <c r="B363">
        <v>1</v>
      </c>
      <c r="C363" t="s">
        <v>37</v>
      </c>
      <c r="D363" s="3">
        <v>303.52</v>
      </c>
      <c r="E363" s="3">
        <v>0</v>
      </c>
      <c r="F363" s="3">
        <v>0</v>
      </c>
      <c r="G363" s="3">
        <v>0</v>
      </c>
      <c r="H363" s="3">
        <v>303.52</v>
      </c>
      <c r="I363" s="4" t="str">
        <f t="shared" si="10"/>
        <v>The City of Edmonton</v>
      </c>
      <c r="J363" s="4" t="str">
        <f t="shared" si="11"/>
        <v>CITEDM</v>
      </c>
    </row>
    <row r="364" spans="1:10" x14ac:dyDescent="0.25">
      <c r="A364" t="s">
        <v>9</v>
      </c>
      <c r="B364" t="s">
        <v>276</v>
      </c>
      <c r="C364" t="s">
        <v>28</v>
      </c>
      <c r="D364" t="s">
        <v>277</v>
      </c>
      <c r="E364" t="s">
        <v>12</v>
      </c>
      <c r="F364" t="s">
        <v>49</v>
      </c>
      <c r="G364" t="s">
        <v>11</v>
      </c>
      <c r="I364" s="4" t="str">
        <f t="shared" si="10"/>
        <v/>
      </c>
      <c r="J364" s="4" t="str">
        <f t="shared" si="11"/>
        <v/>
      </c>
    </row>
    <row r="365" spans="1:10" x14ac:dyDescent="0.25">
      <c r="A365" t="s">
        <v>31</v>
      </c>
      <c r="B365" t="s">
        <v>32</v>
      </c>
      <c r="C365" t="s">
        <v>33</v>
      </c>
      <c r="D365" t="s">
        <v>34</v>
      </c>
      <c r="E365" t="s">
        <v>35</v>
      </c>
      <c r="I365" s="4" t="str">
        <f t="shared" si="10"/>
        <v/>
      </c>
      <c r="J365" s="4" t="str">
        <f t="shared" si="11"/>
        <v/>
      </c>
    </row>
    <row r="366" spans="1:10" x14ac:dyDescent="0.25">
      <c r="A366" t="s">
        <v>36</v>
      </c>
      <c r="B366">
        <v>1</v>
      </c>
      <c r="C366" t="s">
        <v>37</v>
      </c>
      <c r="D366" s="3">
        <v>100</v>
      </c>
      <c r="E366" s="3">
        <v>0</v>
      </c>
      <c r="F366" s="3">
        <v>0</v>
      </c>
      <c r="G366" s="3">
        <v>0</v>
      </c>
      <c r="H366" s="3">
        <v>100</v>
      </c>
      <c r="I366" s="4" t="str">
        <f t="shared" si="10"/>
        <v>TOWN OF EDSON</v>
      </c>
      <c r="J366" s="4" t="str">
        <f t="shared" si="11"/>
        <v>TOWEDS</v>
      </c>
    </row>
    <row r="367" spans="1:10" x14ac:dyDescent="0.25">
      <c r="A367" t="s">
        <v>9</v>
      </c>
      <c r="B367" t="s">
        <v>278</v>
      </c>
      <c r="C367" t="s">
        <v>28</v>
      </c>
      <c r="D367" t="s">
        <v>279</v>
      </c>
      <c r="E367" t="s">
        <v>12</v>
      </c>
      <c r="F367" t="s">
        <v>49</v>
      </c>
      <c r="G367" t="s">
        <v>11</v>
      </c>
      <c r="I367" s="4" t="str">
        <f t="shared" si="10"/>
        <v/>
      </c>
      <c r="J367" s="4" t="str">
        <f t="shared" si="11"/>
        <v/>
      </c>
    </row>
    <row r="368" spans="1:10" x14ac:dyDescent="0.25">
      <c r="A368" t="s">
        <v>31</v>
      </c>
      <c r="B368" t="s">
        <v>32</v>
      </c>
      <c r="C368" t="s">
        <v>33</v>
      </c>
      <c r="D368" t="s">
        <v>34</v>
      </c>
      <c r="E368" t="s">
        <v>35</v>
      </c>
      <c r="I368" s="4" t="str">
        <f t="shared" si="10"/>
        <v/>
      </c>
      <c r="J368" s="4" t="str">
        <f t="shared" si="11"/>
        <v/>
      </c>
    </row>
    <row r="369" spans="1:10" x14ac:dyDescent="0.25">
      <c r="A369" t="s">
        <v>36</v>
      </c>
      <c r="B369">
        <v>1</v>
      </c>
      <c r="C369" t="s">
        <v>37</v>
      </c>
      <c r="D369" s="3">
        <v>32.1</v>
      </c>
      <c r="E369" s="3">
        <v>0</v>
      </c>
      <c r="F369" s="3">
        <v>0</v>
      </c>
      <c r="G369" s="3">
        <v>32.1</v>
      </c>
      <c r="H369" s="3">
        <v>0</v>
      </c>
      <c r="I369" s="4" t="str">
        <f t="shared" si="10"/>
        <v>Town of St. Paul</v>
      </c>
      <c r="J369" s="4" t="str">
        <f t="shared" si="11"/>
        <v>TOWSTP</v>
      </c>
    </row>
    <row r="370" spans="1:10" x14ac:dyDescent="0.25">
      <c r="A370" t="s">
        <v>9</v>
      </c>
      <c r="B370" t="s">
        <v>280</v>
      </c>
      <c r="C370" t="s">
        <v>28</v>
      </c>
      <c r="D370" t="s">
        <v>281</v>
      </c>
      <c r="E370" t="s">
        <v>12</v>
      </c>
      <c r="F370" t="s">
        <v>40</v>
      </c>
      <c r="G370" t="s">
        <v>11</v>
      </c>
      <c r="I370" s="4" t="str">
        <f t="shared" si="10"/>
        <v/>
      </c>
      <c r="J370" s="4" t="str">
        <f t="shared" si="11"/>
        <v/>
      </c>
    </row>
    <row r="371" spans="1:10" x14ac:dyDescent="0.25">
      <c r="A371" t="s">
        <v>31</v>
      </c>
      <c r="B371" t="s">
        <v>32</v>
      </c>
      <c r="C371" t="s">
        <v>33</v>
      </c>
      <c r="D371" t="s">
        <v>34</v>
      </c>
      <c r="E371" t="s">
        <v>35</v>
      </c>
      <c r="I371" s="4" t="str">
        <f t="shared" si="10"/>
        <v/>
      </c>
      <c r="J371" s="4" t="str">
        <f t="shared" si="11"/>
        <v/>
      </c>
    </row>
    <row r="372" spans="1:10" x14ac:dyDescent="0.25">
      <c r="A372" t="s">
        <v>36</v>
      </c>
      <c r="B372">
        <v>5</v>
      </c>
      <c r="C372" t="s">
        <v>37</v>
      </c>
      <c r="D372" s="3">
        <v>30524.13</v>
      </c>
      <c r="E372" s="3">
        <v>0</v>
      </c>
      <c r="F372" s="3">
        <v>30.55</v>
      </c>
      <c r="G372" s="3">
        <v>30493.58</v>
      </c>
      <c r="H372" s="3">
        <v>0</v>
      </c>
      <c r="I372" s="4" t="str">
        <f t="shared" si="10"/>
        <v>TRANS UNION</v>
      </c>
      <c r="J372" s="4" t="str">
        <f t="shared" si="11"/>
        <v>TRAUNI</v>
      </c>
    </row>
    <row r="373" spans="1:10" x14ac:dyDescent="0.25">
      <c r="A373" t="s">
        <v>9</v>
      </c>
      <c r="B373" t="s">
        <v>282</v>
      </c>
      <c r="C373" t="s">
        <v>28</v>
      </c>
      <c r="D373" t="s">
        <v>283</v>
      </c>
      <c r="E373" t="s">
        <v>12</v>
      </c>
      <c r="F373" t="s">
        <v>49</v>
      </c>
      <c r="G373" t="s">
        <v>11</v>
      </c>
      <c r="I373" s="4" t="str">
        <f t="shared" si="10"/>
        <v/>
      </c>
      <c r="J373" s="4" t="str">
        <f t="shared" si="11"/>
        <v/>
      </c>
    </row>
    <row r="374" spans="1:10" x14ac:dyDescent="0.25">
      <c r="A374" t="s">
        <v>31</v>
      </c>
      <c r="B374" t="s">
        <v>32</v>
      </c>
      <c r="C374" t="s">
        <v>33</v>
      </c>
      <c r="D374" t="s">
        <v>34</v>
      </c>
      <c r="E374" t="s">
        <v>35</v>
      </c>
      <c r="I374" s="4" t="str">
        <f t="shared" si="10"/>
        <v/>
      </c>
      <c r="J374" s="4" t="str">
        <f t="shared" si="11"/>
        <v/>
      </c>
    </row>
    <row r="375" spans="1:10" x14ac:dyDescent="0.25">
      <c r="A375" t="s">
        <v>36</v>
      </c>
      <c r="B375">
        <v>2</v>
      </c>
      <c r="C375" t="s">
        <v>37</v>
      </c>
      <c r="D375" s="3">
        <v>1394.58</v>
      </c>
      <c r="E375" s="3">
        <v>0</v>
      </c>
      <c r="F375" s="3">
        <v>27.34</v>
      </c>
      <c r="G375" s="3">
        <v>1367.24</v>
      </c>
      <c r="H375" s="3">
        <v>0</v>
      </c>
      <c r="I375" s="4" t="str">
        <f t="shared" si="10"/>
        <v>Waste Connections ACC7420</v>
      </c>
      <c r="J375" s="4" t="str">
        <f t="shared" si="11"/>
        <v>WASCON</v>
      </c>
    </row>
    <row r="376" spans="1:10" x14ac:dyDescent="0.25">
      <c r="A376" t="s">
        <v>9</v>
      </c>
      <c r="B376" t="s">
        <v>284</v>
      </c>
      <c r="C376" t="s">
        <v>28</v>
      </c>
      <c r="D376" t="s">
        <v>285</v>
      </c>
      <c r="E376" t="s">
        <v>12</v>
      </c>
      <c r="F376" t="s">
        <v>49</v>
      </c>
      <c r="G376" t="s">
        <v>11</v>
      </c>
      <c r="I376" s="4" t="str">
        <f t="shared" si="10"/>
        <v/>
      </c>
      <c r="J376" s="4" t="str">
        <f t="shared" si="11"/>
        <v/>
      </c>
    </row>
    <row r="377" spans="1:10" x14ac:dyDescent="0.25">
      <c r="A377" t="s">
        <v>31</v>
      </c>
      <c r="B377" t="s">
        <v>32</v>
      </c>
      <c r="C377" t="s">
        <v>33</v>
      </c>
      <c r="D377" t="s">
        <v>34</v>
      </c>
      <c r="E377" t="s">
        <v>35</v>
      </c>
      <c r="I377" s="4" t="str">
        <f t="shared" si="10"/>
        <v/>
      </c>
      <c r="J377" s="4" t="str">
        <f t="shared" si="11"/>
        <v/>
      </c>
    </row>
    <row r="378" spans="1:10" x14ac:dyDescent="0.25">
      <c r="A378" t="s">
        <v>36</v>
      </c>
      <c r="B378">
        <v>2</v>
      </c>
      <c r="C378" t="s">
        <v>37</v>
      </c>
      <c r="D378" s="3">
        <v>240.38</v>
      </c>
      <c r="E378" s="3">
        <v>0</v>
      </c>
      <c r="F378" s="3">
        <v>0</v>
      </c>
      <c r="G378" s="3">
        <v>240.28</v>
      </c>
      <c r="H378" s="3">
        <v>0.1</v>
      </c>
      <c r="I378" s="4" t="str">
        <f t="shared" si="10"/>
        <v>Waste Connections of Canda Inc. -7322</v>
      </c>
      <c r="J378" s="4" t="str">
        <f t="shared" si="11"/>
        <v>WASTECON</v>
      </c>
    </row>
    <row r="379" spans="1:10" x14ac:dyDescent="0.25">
      <c r="A379" t="s">
        <v>9</v>
      </c>
      <c r="B379" t="s">
        <v>286</v>
      </c>
      <c r="C379" t="s">
        <v>28</v>
      </c>
      <c r="D379" t="s">
        <v>287</v>
      </c>
      <c r="E379" t="s">
        <v>12</v>
      </c>
      <c r="F379" t="s">
        <v>49</v>
      </c>
      <c r="G379" t="s">
        <v>11</v>
      </c>
      <c r="I379" s="4" t="str">
        <f t="shared" si="10"/>
        <v/>
      </c>
      <c r="J379" s="4" t="str">
        <f t="shared" si="11"/>
        <v/>
      </c>
    </row>
    <row r="380" spans="1:10" x14ac:dyDescent="0.25">
      <c r="A380" t="s">
        <v>31</v>
      </c>
      <c r="B380" t="s">
        <v>32</v>
      </c>
      <c r="C380" t="s">
        <v>33</v>
      </c>
      <c r="D380" t="s">
        <v>34</v>
      </c>
      <c r="E380" t="s">
        <v>35</v>
      </c>
      <c r="I380" s="4" t="str">
        <f t="shared" si="10"/>
        <v/>
      </c>
      <c r="J380" s="4" t="str">
        <f t="shared" si="11"/>
        <v/>
      </c>
    </row>
    <row r="381" spans="1:10" x14ac:dyDescent="0.25">
      <c r="A381" t="s">
        <v>36</v>
      </c>
      <c r="B381">
        <v>3</v>
      </c>
      <c r="C381" t="s">
        <v>37</v>
      </c>
      <c r="D381" s="3">
        <v>647.51</v>
      </c>
      <c r="E381" s="3">
        <v>217.13</v>
      </c>
      <c r="F381" s="3">
        <v>211.16</v>
      </c>
      <c r="G381" s="3">
        <v>219.22</v>
      </c>
      <c r="H381" s="3">
        <v>0</v>
      </c>
      <c r="I381" s="4" t="str">
        <f t="shared" si="10"/>
        <v>WASTE MANAGEMENT Acc73004</v>
      </c>
      <c r="J381" s="4" t="str">
        <f t="shared" si="11"/>
        <v>WASMANH</v>
      </c>
    </row>
    <row r="382" spans="1:10" x14ac:dyDescent="0.25">
      <c r="A382" t="s">
        <v>9</v>
      </c>
      <c r="B382" t="s">
        <v>288</v>
      </c>
      <c r="C382" t="s">
        <v>28</v>
      </c>
      <c r="D382" t="s">
        <v>289</v>
      </c>
      <c r="E382" t="s">
        <v>12</v>
      </c>
      <c r="F382" t="s">
        <v>49</v>
      </c>
      <c r="G382" t="s">
        <v>11</v>
      </c>
      <c r="I382" s="4" t="str">
        <f t="shared" si="10"/>
        <v/>
      </c>
      <c r="J382" s="4" t="str">
        <f t="shared" si="11"/>
        <v/>
      </c>
    </row>
    <row r="383" spans="1:10" x14ac:dyDescent="0.25">
      <c r="A383" t="s">
        <v>31</v>
      </c>
      <c r="B383" t="s">
        <v>32</v>
      </c>
      <c r="C383" t="s">
        <v>33</v>
      </c>
      <c r="D383" t="s">
        <v>34</v>
      </c>
      <c r="E383" t="s">
        <v>35</v>
      </c>
      <c r="I383" s="4" t="str">
        <f t="shared" si="10"/>
        <v/>
      </c>
      <c r="J383" s="4" t="str">
        <f t="shared" si="11"/>
        <v/>
      </c>
    </row>
    <row r="384" spans="1:10" x14ac:dyDescent="0.25">
      <c r="A384" t="s">
        <v>36</v>
      </c>
      <c r="B384">
        <v>4</v>
      </c>
      <c r="C384" t="s">
        <v>37</v>
      </c>
      <c r="D384" s="3">
        <v>820.73</v>
      </c>
      <c r="E384" s="3">
        <v>0</v>
      </c>
      <c r="F384" s="3">
        <v>211.16</v>
      </c>
      <c r="G384" s="3">
        <v>0</v>
      </c>
      <c r="H384" s="3">
        <v>609.57000000000005</v>
      </c>
      <c r="I384" s="4" t="str">
        <f t="shared" si="10"/>
        <v>Waste Managemnt</v>
      </c>
      <c r="J384" s="4" t="str">
        <f t="shared" si="11"/>
        <v>WASMAN83001</v>
      </c>
    </row>
    <row r="385" spans="1:10" x14ac:dyDescent="0.25">
      <c r="A385" t="s">
        <v>9</v>
      </c>
      <c r="B385" t="s">
        <v>290</v>
      </c>
      <c r="C385" t="s">
        <v>28</v>
      </c>
      <c r="D385" t="s">
        <v>291</v>
      </c>
      <c r="E385" t="s">
        <v>12</v>
      </c>
      <c r="F385" t="s">
        <v>40</v>
      </c>
      <c r="G385" t="s">
        <v>11</v>
      </c>
      <c r="I385" s="4" t="str">
        <f t="shared" si="10"/>
        <v/>
      </c>
      <c r="J385" s="4" t="str">
        <f t="shared" si="11"/>
        <v/>
      </c>
    </row>
    <row r="386" spans="1:10" x14ac:dyDescent="0.25">
      <c r="A386" t="s">
        <v>31</v>
      </c>
      <c r="B386" t="s">
        <v>32</v>
      </c>
      <c r="C386" t="s">
        <v>33</v>
      </c>
      <c r="D386" t="s">
        <v>34</v>
      </c>
      <c r="E386" t="s">
        <v>35</v>
      </c>
      <c r="I386" s="4" t="str">
        <f t="shared" si="10"/>
        <v/>
      </c>
      <c r="J386" s="4" t="str">
        <f t="shared" si="11"/>
        <v/>
      </c>
    </row>
    <row r="387" spans="1:10" x14ac:dyDescent="0.25">
      <c r="A387" t="s">
        <v>36</v>
      </c>
      <c r="B387">
        <v>1</v>
      </c>
      <c r="C387" t="s">
        <v>37</v>
      </c>
      <c r="D387" s="3">
        <v>3239.78</v>
      </c>
      <c r="E387" s="3">
        <v>0</v>
      </c>
      <c r="F387" s="3">
        <v>0</v>
      </c>
      <c r="G387" s="3">
        <v>0</v>
      </c>
      <c r="H387" s="3">
        <v>3239.78</v>
      </c>
      <c r="I387" s="4" t="str">
        <f t="shared" si="10"/>
        <v>WhistleBlower Security Inc.</v>
      </c>
      <c r="J387" s="4" t="str">
        <f t="shared" si="11"/>
        <v>WHISEC</v>
      </c>
    </row>
    <row r="388" spans="1:10" x14ac:dyDescent="0.25">
      <c r="A388" t="s">
        <v>9</v>
      </c>
      <c r="B388" t="s">
        <v>292</v>
      </c>
      <c r="C388" t="s">
        <v>28</v>
      </c>
      <c r="D388" t="s">
        <v>293</v>
      </c>
      <c r="E388" t="s">
        <v>12</v>
      </c>
      <c r="F388" t="s">
        <v>40</v>
      </c>
      <c r="G388" t="s">
        <v>11</v>
      </c>
      <c r="I388" s="4" t="str">
        <f t="shared" si="10"/>
        <v/>
      </c>
      <c r="J388" s="4" t="str">
        <f t="shared" si="11"/>
        <v/>
      </c>
    </row>
    <row r="389" spans="1:10" x14ac:dyDescent="0.25">
      <c r="A389" t="s">
        <v>31</v>
      </c>
      <c r="B389" t="s">
        <v>32</v>
      </c>
      <c r="C389" t="s">
        <v>33</v>
      </c>
      <c r="D389" t="s">
        <v>34</v>
      </c>
      <c r="E389" t="s">
        <v>35</v>
      </c>
      <c r="I389" s="4" t="str">
        <f t="shared" si="10"/>
        <v/>
      </c>
      <c r="J389" s="4" t="str">
        <f t="shared" si="11"/>
        <v/>
      </c>
    </row>
    <row r="390" spans="1:10" x14ac:dyDescent="0.25">
      <c r="A390" t="s">
        <v>36</v>
      </c>
      <c r="B390">
        <v>1</v>
      </c>
      <c r="C390" t="s">
        <v>37</v>
      </c>
      <c r="D390" s="3">
        <v>36.75</v>
      </c>
      <c r="E390" s="3">
        <v>0</v>
      </c>
      <c r="F390" s="3">
        <v>0</v>
      </c>
      <c r="G390" s="3">
        <v>36.75</v>
      </c>
      <c r="H390" s="3">
        <v>0</v>
      </c>
      <c r="I390" s="4" t="str">
        <f t="shared" si="10"/>
        <v>Wildrose Disposal Inc.</v>
      </c>
      <c r="J390" s="4" t="str">
        <f t="shared" si="11"/>
        <v>WILDIS</v>
      </c>
    </row>
    <row r="391" spans="1:10" x14ac:dyDescent="0.25">
      <c r="A391" t="s">
        <v>9</v>
      </c>
      <c r="B391" t="s">
        <v>294</v>
      </c>
      <c r="C391" t="s">
        <v>28</v>
      </c>
      <c r="D391" t="s">
        <v>295</v>
      </c>
      <c r="E391" t="s">
        <v>12</v>
      </c>
      <c r="G391" t="s">
        <v>11</v>
      </c>
      <c r="I391" s="4" t="str">
        <f t="shared" si="10"/>
        <v/>
      </c>
      <c r="J391" s="4" t="str">
        <f t="shared" si="11"/>
        <v/>
      </c>
    </row>
    <row r="392" spans="1:10" x14ac:dyDescent="0.25">
      <c r="A392" t="s">
        <v>31</v>
      </c>
      <c r="B392" t="s">
        <v>32</v>
      </c>
      <c r="C392" t="s">
        <v>33</v>
      </c>
      <c r="D392" t="s">
        <v>34</v>
      </c>
      <c r="E392" t="s">
        <v>35</v>
      </c>
      <c r="I392" s="4" t="str">
        <f t="shared" si="10"/>
        <v/>
      </c>
      <c r="J392" s="4" t="str">
        <f t="shared" si="11"/>
        <v/>
      </c>
    </row>
    <row r="393" spans="1:10" x14ac:dyDescent="0.25">
      <c r="A393" t="s">
        <v>36</v>
      </c>
      <c r="B393">
        <v>1</v>
      </c>
      <c r="C393" t="s">
        <v>37</v>
      </c>
      <c r="D393" s="3">
        <v>475</v>
      </c>
      <c r="E393" s="3">
        <v>0</v>
      </c>
      <c r="F393" s="3">
        <v>0</v>
      </c>
      <c r="G393" s="3">
        <v>0</v>
      </c>
      <c r="H393" s="3">
        <v>475</v>
      </c>
      <c r="I393" s="4" t="str">
        <f t="shared" si="10"/>
        <v>William Purvis</v>
      </c>
      <c r="J393" s="4" t="str">
        <f t="shared" si="11"/>
        <v>WILPUR</v>
      </c>
    </row>
    <row r="394" spans="1:10" x14ac:dyDescent="0.25">
      <c r="A394" t="s">
        <v>9</v>
      </c>
      <c r="B394" t="s">
        <v>296</v>
      </c>
      <c r="C394" t="s">
        <v>28</v>
      </c>
      <c r="D394" t="s">
        <v>297</v>
      </c>
      <c r="E394" t="s">
        <v>12</v>
      </c>
      <c r="F394" t="s">
        <v>40</v>
      </c>
      <c r="G394" t="s">
        <v>11</v>
      </c>
      <c r="I394" s="4" t="str">
        <f t="shared" si="10"/>
        <v/>
      </c>
      <c r="J394" s="4" t="str">
        <f t="shared" si="11"/>
        <v/>
      </c>
    </row>
    <row r="395" spans="1:10" x14ac:dyDescent="0.25">
      <c r="A395" t="s">
        <v>31</v>
      </c>
      <c r="B395" t="s">
        <v>32</v>
      </c>
      <c r="C395" t="s">
        <v>33</v>
      </c>
      <c r="D395" t="s">
        <v>34</v>
      </c>
      <c r="E395" t="s">
        <v>35</v>
      </c>
      <c r="I395" s="4" t="str">
        <f t="shared" si="10"/>
        <v/>
      </c>
      <c r="J395" s="4" t="str">
        <f t="shared" si="11"/>
        <v/>
      </c>
    </row>
    <row r="396" spans="1:10" x14ac:dyDescent="0.25">
      <c r="A396" t="s">
        <v>36</v>
      </c>
      <c r="B396">
        <v>1</v>
      </c>
      <c r="C396" t="s">
        <v>37</v>
      </c>
      <c r="D396" s="3">
        <v>3100</v>
      </c>
      <c r="E396" s="3">
        <v>0</v>
      </c>
      <c r="F396" s="3">
        <v>3100</v>
      </c>
      <c r="G396" s="3">
        <v>0</v>
      </c>
      <c r="H396" s="3">
        <v>0</v>
      </c>
      <c r="I396" s="4" t="str">
        <f t="shared" si="10"/>
        <v>Wilson Vukelich LLP</v>
      </c>
      <c r="J396" s="4" t="str">
        <f t="shared" si="11"/>
        <v>WILVUK</v>
      </c>
    </row>
    <row r="397" spans="1:10" x14ac:dyDescent="0.25">
      <c r="A397" t="s">
        <v>298</v>
      </c>
      <c r="B397" t="s">
        <v>31</v>
      </c>
      <c r="C397" t="s">
        <v>32</v>
      </c>
      <c r="D397" t="s">
        <v>33</v>
      </c>
      <c r="E397" t="s">
        <v>34</v>
      </c>
      <c r="F397" t="s">
        <v>35</v>
      </c>
      <c r="I397" s="4" t="str">
        <f t="shared" ref="I397:I398" si="12">IF(C395="Name:",D395,"")</f>
        <v/>
      </c>
      <c r="J397" s="4" t="str">
        <f t="shared" ref="J397:J398" si="13">IF(C395="Name:",B395,"")</f>
        <v/>
      </c>
    </row>
    <row r="398" spans="1:10" x14ac:dyDescent="0.25">
      <c r="A398" t="s">
        <v>299</v>
      </c>
      <c r="B398">
        <v>129</v>
      </c>
      <c r="C398" s="3">
        <v>1279348.5</v>
      </c>
      <c r="D398" s="3">
        <v>436746.6</v>
      </c>
      <c r="E398" s="3">
        <v>340758.83</v>
      </c>
      <c r="F398" s="3">
        <v>378906.49</v>
      </c>
      <c r="G398" s="3">
        <v>122936.58</v>
      </c>
      <c r="I398" s="4" t="str">
        <f t="shared" si="12"/>
        <v/>
      </c>
      <c r="J398" s="4" t="str">
        <f t="shared" si="13"/>
        <v/>
      </c>
    </row>
  </sheetData>
  <autoFilter ref="A1:J398" xr:uid="{1071CFD7-119D-4D6B-AC18-F20D6D32746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56A01-CA5B-4C96-853E-1DC517470BFE}">
  <dimension ref="A1:M132"/>
  <sheetViews>
    <sheetView tabSelected="1" topLeftCell="A111" workbookViewId="0">
      <selection activeCell="M131" sqref="M131"/>
    </sheetView>
  </sheetViews>
  <sheetFormatPr defaultRowHeight="15" x14ac:dyDescent="0.25"/>
  <cols>
    <col min="1" max="1" width="46" bestFit="1" customWidth="1"/>
    <col min="2" max="2" width="14.7109375" bestFit="1" customWidth="1"/>
    <col min="3" max="7" width="12.42578125" customWidth="1"/>
    <col min="8" max="8" width="25.140625" style="10" customWidth="1"/>
    <col min="9" max="12" width="14.42578125" customWidth="1"/>
    <col min="13" max="13" width="25.140625" style="10" customWidth="1"/>
  </cols>
  <sheetData>
    <row r="1" spans="1:13" x14ac:dyDescent="0.25">
      <c r="C1" s="8">
        <f>SUM(C3:C131)</f>
        <v>436746.60000000003</v>
      </c>
      <c r="D1" s="8">
        <f t="shared" ref="D1:G1" si="0">SUM(D3:D131)</f>
        <v>340758.82999999996</v>
      </c>
      <c r="E1" s="8">
        <f t="shared" si="0"/>
        <v>378906.49000000017</v>
      </c>
      <c r="F1" s="8">
        <f t="shared" si="0"/>
        <v>122936.58000000002</v>
      </c>
      <c r="G1" s="8">
        <f t="shared" si="0"/>
        <v>1279348.4999999991</v>
      </c>
      <c r="H1" s="8"/>
      <c r="M1" s="8"/>
    </row>
    <row r="2" spans="1:13" ht="45" x14ac:dyDescent="0.25">
      <c r="A2" s="11" t="s">
        <v>23</v>
      </c>
      <c r="B2" s="11" t="s">
        <v>300</v>
      </c>
      <c r="C2" s="11" t="s">
        <v>301</v>
      </c>
      <c r="D2" s="11">
        <v>30</v>
      </c>
      <c r="E2" s="11">
        <v>60</v>
      </c>
      <c r="F2" s="11">
        <v>90</v>
      </c>
      <c r="G2" s="11" t="s">
        <v>302</v>
      </c>
      <c r="H2" s="12" t="s">
        <v>305</v>
      </c>
      <c r="I2" s="12" t="s">
        <v>306</v>
      </c>
      <c r="J2" s="12" t="s">
        <v>303</v>
      </c>
      <c r="K2" s="12" t="s">
        <v>304</v>
      </c>
      <c r="L2" s="12" t="s">
        <v>308</v>
      </c>
      <c r="M2" s="12" t="s">
        <v>307</v>
      </c>
    </row>
    <row r="3" spans="1:13" ht="30" x14ac:dyDescent="0.25">
      <c r="A3" s="5" t="s">
        <v>168</v>
      </c>
      <c r="B3" s="9" t="s">
        <v>167</v>
      </c>
      <c r="C3" s="6">
        <v>126111.3</v>
      </c>
      <c r="D3" s="6">
        <v>124865.14</v>
      </c>
      <c r="E3" s="6">
        <v>58888.65</v>
      </c>
      <c r="F3" s="6">
        <v>0</v>
      </c>
      <c r="G3" s="7">
        <f t="shared" ref="G3:G34" si="1">SUM(C3:F3)</f>
        <v>309865.09000000003</v>
      </c>
      <c r="H3" s="14" t="s">
        <v>309</v>
      </c>
      <c r="I3" s="15">
        <v>45958</v>
      </c>
      <c r="J3" s="16" t="s">
        <v>310</v>
      </c>
      <c r="K3" s="16" t="s">
        <v>310</v>
      </c>
      <c r="L3" s="16" t="s">
        <v>311</v>
      </c>
      <c r="M3" s="14" t="s">
        <v>312</v>
      </c>
    </row>
    <row r="4" spans="1:13" ht="45" x14ac:dyDescent="0.25">
      <c r="A4" s="5" t="s">
        <v>148</v>
      </c>
      <c r="B4" s="9" t="s">
        <v>147</v>
      </c>
      <c r="C4" s="6">
        <v>138977.97</v>
      </c>
      <c r="D4" s="6">
        <v>0</v>
      </c>
      <c r="E4" s="6">
        <v>0</v>
      </c>
      <c r="F4" s="6">
        <v>0</v>
      </c>
      <c r="G4" s="7">
        <f t="shared" si="1"/>
        <v>138977.97</v>
      </c>
      <c r="H4" s="14" t="s">
        <v>313</v>
      </c>
      <c r="I4" s="17">
        <v>45950</v>
      </c>
      <c r="J4" s="16" t="s">
        <v>310</v>
      </c>
      <c r="K4" s="16" t="s">
        <v>314</v>
      </c>
      <c r="L4" s="16" t="s">
        <v>311</v>
      </c>
      <c r="M4" s="14" t="s">
        <v>363</v>
      </c>
    </row>
    <row r="5" spans="1:13" ht="30" x14ac:dyDescent="0.25">
      <c r="A5" s="5" t="s">
        <v>104</v>
      </c>
      <c r="B5" s="9" t="s">
        <v>103</v>
      </c>
      <c r="C5" s="6">
        <v>0</v>
      </c>
      <c r="D5" s="6">
        <v>0</v>
      </c>
      <c r="E5" s="6">
        <v>107432.33</v>
      </c>
      <c r="F5" s="6">
        <v>0</v>
      </c>
      <c r="G5" s="7">
        <f t="shared" si="1"/>
        <v>107432.33</v>
      </c>
      <c r="H5" s="14" t="s">
        <v>315</v>
      </c>
      <c r="I5" s="17">
        <v>45916</v>
      </c>
      <c r="J5" s="16" t="s">
        <v>310</v>
      </c>
      <c r="K5" s="16" t="s">
        <v>310</v>
      </c>
      <c r="L5" s="16" t="s">
        <v>311</v>
      </c>
      <c r="M5" s="14" t="s">
        <v>316</v>
      </c>
    </row>
    <row r="6" spans="1:13" ht="30" x14ac:dyDescent="0.25">
      <c r="A6" s="5" t="s">
        <v>211</v>
      </c>
      <c r="B6" s="9" t="s">
        <v>210</v>
      </c>
      <c r="C6" s="6">
        <v>0</v>
      </c>
      <c r="D6" s="6">
        <v>0</v>
      </c>
      <c r="E6" s="6">
        <v>37800</v>
      </c>
      <c r="F6" s="6">
        <v>40320</v>
      </c>
      <c r="G6" s="7">
        <f t="shared" si="1"/>
        <v>78120</v>
      </c>
      <c r="H6" s="14" t="s">
        <v>317</v>
      </c>
      <c r="I6" s="16" t="s">
        <v>318</v>
      </c>
      <c r="J6" s="16" t="s">
        <v>314</v>
      </c>
      <c r="K6" s="16" t="s">
        <v>310</v>
      </c>
      <c r="L6" s="16" t="s">
        <v>319</v>
      </c>
      <c r="M6" s="14" t="s">
        <v>320</v>
      </c>
    </row>
    <row r="7" spans="1:13" x14ac:dyDescent="0.25">
      <c r="A7" s="5" t="s">
        <v>184</v>
      </c>
      <c r="B7" s="9" t="s">
        <v>183</v>
      </c>
      <c r="C7" s="6">
        <v>76675.5</v>
      </c>
      <c r="D7" s="6">
        <v>0</v>
      </c>
      <c r="E7" s="6">
        <v>0</v>
      </c>
      <c r="F7" s="6">
        <v>0</v>
      </c>
      <c r="G7" s="7">
        <f t="shared" si="1"/>
        <v>76675.5</v>
      </c>
      <c r="H7" s="14" t="s">
        <v>321</v>
      </c>
      <c r="I7" s="17">
        <v>45953</v>
      </c>
      <c r="J7" s="16" t="s">
        <v>310</v>
      </c>
      <c r="K7" s="16" t="s">
        <v>310</v>
      </c>
      <c r="L7" s="16" t="s">
        <v>319</v>
      </c>
      <c r="M7" s="14"/>
    </row>
    <row r="8" spans="1:13" x14ac:dyDescent="0.25">
      <c r="A8" s="5" t="s">
        <v>130</v>
      </c>
      <c r="B8" s="9" t="s">
        <v>129</v>
      </c>
      <c r="C8" s="6">
        <v>0</v>
      </c>
      <c r="D8" s="6">
        <v>63728.44</v>
      </c>
      <c r="E8" s="6">
        <v>0</v>
      </c>
      <c r="F8" s="6">
        <v>5118.75</v>
      </c>
      <c r="G8" s="7">
        <f t="shared" si="1"/>
        <v>68847.19</v>
      </c>
      <c r="H8" s="14" t="s">
        <v>322</v>
      </c>
      <c r="I8" s="17">
        <v>45936</v>
      </c>
      <c r="J8" s="16" t="s">
        <v>310</v>
      </c>
      <c r="K8" s="16" t="s">
        <v>310</v>
      </c>
      <c r="L8" s="16" t="s">
        <v>319</v>
      </c>
      <c r="M8" s="14"/>
    </row>
    <row r="9" spans="1:13" ht="30" x14ac:dyDescent="0.25">
      <c r="A9" s="5" t="s">
        <v>162</v>
      </c>
      <c r="B9" s="9" t="s">
        <v>161</v>
      </c>
      <c r="C9" s="6">
        <v>0</v>
      </c>
      <c r="D9" s="6">
        <v>23496.880000000001</v>
      </c>
      <c r="E9" s="6">
        <v>36540.35</v>
      </c>
      <c r="F9" s="6">
        <v>0</v>
      </c>
      <c r="G9" s="7">
        <f t="shared" si="1"/>
        <v>60037.229999999996</v>
      </c>
      <c r="H9" s="14" t="s">
        <v>324</v>
      </c>
      <c r="I9" s="17">
        <v>45952</v>
      </c>
      <c r="J9" s="16" t="s">
        <v>310</v>
      </c>
      <c r="K9" s="16" t="s">
        <v>310</v>
      </c>
      <c r="L9" s="16" t="s">
        <v>319</v>
      </c>
      <c r="M9" s="14" t="s">
        <v>323</v>
      </c>
    </row>
    <row r="10" spans="1:13" ht="45" x14ac:dyDescent="0.25">
      <c r="A10" s="5" t="s">
        <v>190</v>
      </c>
      <c r="B10" s="9" t="s">
        <v>189</v>
      </c>
      <c r="C10" s="6">
        <v>4195.8100000000004</v>
      </c>
      <c r="D10" s="6">
        <v>36899.019999999997</v>
      </c>
      <c r="E10" s="6">
        <v>4124.62</v>
      </c>
      <c r="F10" s="6">
        <v>4200.42</v>
      </c>
      <c r="G10" s="7">
        <f t="shared" si="1"/>
        <v>49419.869999999995</v>
      </c>
      <c r="H10" s="14" t="s">
        <v>325</v>
      </c>
      <c r="I10" s="17">
        <v>45958</v>
      </c>
      <c r="J10" s="16" t="s">
        <v>310</v>
      </c>
      <c r="K10" s="16" t="s">
        <v>310</v>
      </c>
      <c r="L10" s="16" t="s">
        <v>311</v>
      </c>
      <c r="M10" s="14" t="s">
        <v>361</v>
      </c>
    </row>
    <row r="11" spans="1:13" x14ac:dyDescent="0.25">
      <c r="A11" s="5" t="s">
        <v>176</v>
      </c>
      <c r="B11" s="9" t="s">
        <v>175</v>
      </c>
      <c r="C11" s="6">
        <v>46213.71</v>
      </c>
      <c r="D11" s="6">
        <v>0</v>
      </c>
      <c r="E11" s="6">
        <v>0</v>
      </c>
      <c r="F11" s="6">
        <v>0</v>
      </c>
      <c r="G11" s="7">
        <f t="shared" si="1"/>
        <v>46213.71</v>
      </c>
      <c r="H11" s="14" t="s">
        <v>326</v>
      </c>
      <c r="I11" s="17">
        <v>45940</v>
      </c>
      <c r="J11" s="16" t="s">
        <v>310</v>
      </c>
      <c r="K11" s="16" t="s">
        <v>310</v>
      </c>
      <c r="L11" s="16" t="s">
        <v>319</v>
      </c>
      <c r="M11" s="14"/>
    </row>
    <row r="12" spans="1:13" x14ac:dyDescent="0.25">
      <c r="A12" s="5" t="s">
        <v>281</v>
      </c>
      <c r="B12" s="9" t="s">
        <v>280</v>
      </c>
      <c r="C12" s="6">
        <v>0</v>
      </c>
      <c r="D12" s="6">
        <v>30.55</v>
      </c>
      <c r="E12" s="6">
        <v>30493.58</v>
      </c>
      <c r="F12" s="6">
        <v>0</v>
      </c>
      <c r="G12" s="7">
        <f t="shared" si="1"/>
        <v>30524.13</v>
      </c>
      <c r="H12" s="14" t="s">
        <v>327</v>
      </c>
      <c r="I12" s="16" t="s">
        <v>318</v>
      </c>
      <c r="J12" s="16"/>
      <c r="K12" s="16"/>
      <c r="L12" s="16" t="s">
        <v>319</v>
      </c>
      <c r="M12" s="14"/>
    </row>
    <row r="13" spans="1:13" x14ac:dyDescent="0.25">
      <c r="A13" s="5" t="s">
        <v>94</v>
      </c>
      <c r="B13" s="9" t="s">
        <v>93</v>
      </c>
      <c r="C13" s="6">
        <v>9872.76</v>
      </c>
      <c r="D13" s="6">
        <v>7800.82</v>
      </c>
      <c r="E13" s="6">
        <v>4041.41</v>
      </c>
      <c r="F13" s="6">
        <v>2512.71</v>
      </c>
      <c r="G13" s="7">
        <f t="shared" si="1"/>
        <v>24227.7</v>
      </c>
      <c r="H13" s="14" t="s">
        <v>328</v>
      </c>
      <c r="I13" s="17">
        <v>45952</v>
      </c>
      <c r="J13" s="16"/>
      <c r="K13" s="16"/>
      <c r="L13" s="16"/>
      <c r="M13" s="14"/>
    </row>
    <row r="14" spans="1:13" x14ac:dyDescent="0.25">
      <c r="A14" s="5" t="s">
        <v>134</v>
      </c>
      <c r="B14" s="9" t="s">
        <v>133</v>
      </c>
      <c r="C14" s="6">
        <v>0</v>
      </c>
      <c r="D14" s="6">
        <v>11042.21</v>
      </c>
      <c r="E14" s="6">
        <v>10024.530000000001</v>
      </c>
      <c r="F14" s="6">
        <v>0</v>
      </c>
      <c r="G14" s="7">
        <f t="shared" si="1"/>
        <v>21066.739999999998</v>
      </c>
      <c r="H14" s="14" t="s">
        <v>329</v>
      </c>
      <c r="I14" s="17">
        <v>45925</v>
      </c>
      <c r="J14" s="16" t="s">
        <v>310</v>
      </c>
      <c r="K14" s="16"/>
      <c r="L14" s="16" t="s">
        <v>319</v>
      </c>
      <c r="M14" s="14"/>
    </row>
    <row r="15" spans="1:13" ht="45" x14ac:dyDescent="0.25">
      <c r="A15" s="5" t="s">
        <v>166</v>
      </c>
      <c r="B15" s="9" t="s">
        <v>165</v>
      </c>
      <c r="C15" s="6">
        <v>0</v>
      </c>
      <c r="D15" s="6">
        <v>0</v>
      </c>
      <c r="E15" s="6">
        <v>0</v>
      </c>
      <c r="F15" s="6">
        <v>14337.24</v>
      </c>
      <c r="G15" s="7">
        <f t="shared" si="1"/>
        <v>14337.24</v>
      </c>
      <c r="H15" s="14" t="s">
        <v>330</v>
      </c>
      <c r="I15" s="16" t="s">
        <v>331</v>
      </c>
      <c r="J15" s="16" t="s">
        <v>314</v>
      </c>
      <c r="K15" s="16" t="s">
        <v>310</v>
      </c>
      <c r="L15" s="16" t="s">
        <v>311</v>
      </c>
      <c r="M15" s="14" t="s">
        <v>332</v>
      </c>
    </row>
    <row r="16" spans="1:13" ht="30" x14ac:dyDescent="0.25">
      <c r="A16" s="5" t="s">
        <v>124</v>
      </c>
      <c r="B16" s="9" t="s">
        <v>123</v>
      </c>
      <c r="C16" s="6">
        <v>843.86</v>
      </c>
      <c r="D16" s="6">
        <v>6696.44</v>
      </c>
      <c r="E16" s="6">
        <v>5528.54</v>
      </c>
      <c r="F16" s="6">
        <v>0</v>
      </c>
      <c r="G16" s="7">
        <f t="shared" si="1"/>
        <v>13068.84</v>
      </c>
      <c r="H16" s="14" t="s">
        <v>333</v>
      </c>
      <c r="I16" s="17">
        <v>45958</v>
      </c>
      <c r="J16" s="16" t="s">
        <v>314</v>
      </c>
      <c r="K16" s="16" t="s">
        <v>310</v>
      </c>
      <c r="L16" s="16"/>
      <c r="M16" s="14"/>
    </row>
    <row r="17" spans="1:13" ht="30" x14ac:dyDescent="0.25">
      <c r="A17" s="5" t="s">
        <v>146</v>
      </c>
      <c r="B17" s="9" t="s">
        <v>145</v>
      </c>
      <c r="C17" s="6">
        <v>0</v>
      </c>
      <c r="D17" s="6">
        <v>12705</v>
      </c>
      <c r="E17" s="6">
        <v>0</v>
      </c>
      <c r="F17" s="6">
        <v>0</v>
      </c>
      <c r="G17" s="7">
        <f t="shared" si="1"/>
        <v>12705</v>
      </c>
      <c r="H17" s="14" t="s">
        <v>334</v>
      </c>
      <c r="I17" s="16" t="s">
        <v>318</v>
      </c>
      <c r="J17" s="16" t="s">
        <v>314</v>
      </c>
      <c r="K17" s="16" t="s">
        <v>314</v>
      </c>
      <c r="L17" s="16"/>
      <c r="M17" s="14"/>
    </row>
    <row r="18" spans="1:13" ht="60" x14ac:dyDescent="0.25">
      <c r="A18" s="5" t="s">
        <v>271</v>
      </c>
      <c r="B18" s="9" t="s">
        <v>270</v>
      </c>
      <c r="C18" s="6">
        <v>0</v>
      </c>
      <c r="D18" s="6">
        <v>0</v>
      </c>
      <c r="E18" s="6">
        <v>0</v>
      </c>
      <c r="F18" s="6">
        <v>12244.74</v>
      </c>
      <c r="G18" s="7">
        <f t="shared" si="1"/>
        <v>12244.74</v>
      </c>
      <c r="H18" s="14" t="s">
        <v>335</v>
      </c>
      <c r="I18" s="16" t="s">
        <v>318</v>
      </c>
      <c r="J18" s="16" t="s">
        <v>314</v>
      </c>
      <c r="K18" s="16" t="s">
        <v>314</v>
      </c>
      <c r="L18" s="16"/>
      <c r="M18" s="14" t="s">
        <v>336</v>
      </c>
    </row>
    <row r="19" spans="1:13" ht="60" x14ac:dyDescent="0.25">
      <c r="A19" s="5" t="s">
        <v>243</v>
      </c>
      <c r="B19" s="9" t="s">
        <v>242</v>
      </c>
      <c r="C19" s="6">
        <v>3748.5</v>
      </c>
      <c r="D19" s="6">
        <v>2862.13</v>
      </c>
      <c r="E19" s="6">
        <v>5520.38</v>
      </c>
      <c r="F19" s="6">
        <v>0</v>
      </c>
      <c r="G19" s="7">
        <f t="shared" si="1"/>
        <v>12131.01</v>
      </c>
      <c r="H19" s="14" t="s">
        <v>337</v>
      </c>
      <c r="I19" s="17">
        <v>45957</v>
      </c>
      <c r="J19" s="16" t="s">
        <v>310</v>
      </c>
      <c r="K19" s="16" t="s">
        <v>310</v>
      </c>
      <c r="L19" s="16" t="s">
        <v>338</v>
      </c>
      <c r="M19" s="14" t="s">
        <v>362</v>
      </c>
    </row>
    <row r="20" spans="1:13" ht="30" x14ac:dyDescent="0.25">
      <c r="A20" s="5" t="s">
        <v>142</v>
      </c>
      <c r="B20" s="9" t="s">
        <v>141</v>
      </c>
      <c r="C20" s="6">
        <v>5985</v>
      </c>
      <c r="D20" s="6">
        <v>5985</v>
      </c>
      <c r="E20" s="6">
        <v>0</v>
      </c>
      <c r="F20" s="6">
        <v>0</v>
      </c>
      <c r="G20" s="7">
        <f t="shared" si="1"/>
        <v>11970</v>
      </c>
      <c r="H20" s="14" t="s">
        <v>339</v>
      </c>
      <c r="I20" s="17">
        <v>45943</v>
      </c>
      <c r="J20" s="16" t="s">
        <v>314</v>
      </c>
      <c r="K20" s="16" t="s">
        <v>314</v>
      </c>
      <c r="L20" s="16"/>
      <c r="M20" s="14"/>
    </row>
    <row r="21" spans="1:13" ht="30" x14ac:dyDescent="0.25">
      <c r="A21" s="5" t="s">
        <v>261</v>
      </c>
      <c r="B21" s="9" t="s">
        <v>260</v>
      </c>
      <c r="C21" s="6">
        <v>0</v>
      </c>
      <c r="D21" s="6">
        <v>0</v>
      </c>
      <c r="E21" s="6">
        <v>0</v>
      </c>
      <c r="F21" s="6">
        <v>11461.48</v>
      </c>
      <c r="G21" s="7">
        <f t="shared" si="1"/>
        <v>11461.48</v>
      </c>
      <c r="H21" s="14" t="s">
        <v>340</v>
      </c>
      <c r="I21" s="16" t="s">
        <v>318</v>
      </c>
      <c r="J21" s="16"/>
      <c r="K21" s="16"/>
      <c r="L21" s="16"/>
      <c r="M21" s="14"/>
    </row>
    <row r="22" spans="1:13" ht="45" x14ac:dyDescent="0.25">
      <c r="A22" s="5" t="s">
        <v>44</v>
      </c>
      <c r="B22" s="9">
        <v>951725</v>
      </c>
      <c r="C22" s="6">
        <v>0</v>
      </c>
      <c r="D22" s="6">
        <v>0</v>
      </c>
      <c r="E22" s="6">
        <v>0</v>
      </c>
      <c r="F22" s="6">
        <v>11090.1</v>
      </c>
      <c r="G22" s="7">
        <f t="shared" si="1"/>
        <v>11090.1</v>
      </c>
      <c r="H22" s="14" t="s">
        <v>341</v>
      </c>
      <c r="I22" s="16" t="s">
        <v>318</v>
      </c>
      <c r="J22" s="16" t="s">
        <v>314</v>
      </c>
      <c r="K22" s="16" t="s">
        <v>314</v>
      </c>
      <c r="L22" s="16">
        <v>209</v>
      </c>
      <c r="M22" s="14" t="s">
        <v>342</v>
      </c>
    </row>
    <row r="23" spans="1:13" x14ac:dyDescent="0.25">
      <c r="A23" s="5" t="s">
        <v>63</v>
      </c>
      <c r="B23" s="9" t="s">
        <v>62</v>
      </c>
      <c r="C23" s="6">
        <v>5227.5</v>
      </c>
      <c r="D23" s="6">
        <v>5153.25</v>
      </c>
      <c r="E23" s="6">
        <v>55.19</v>
      </c>
      <c r="F23" s="6">
        <v>0</v>
      </c>
      <c r="G23" s="7">
        <f t="shared" si="1"/>
        <v>10435.94</v>
      </c>
      <c r="H23" s="14" t="s">
        <v>343</v>
      </c>
      <c r="I23" s="17">
        <v>45950</v>
      </c>
      <c r="J23" s="16" t="s">
        <v>310</v>
      </c>
      <c r="K23" s="16" t="s">
        <v>310</v>
      </c>
      <c r="L23" s="16"/>
      <c r="M23" s="14"/>
    </row>
    <row r="24" spans="1:13" x14ac:dyDescent="0.25">
      <c r="A24" s="5" t="s">
        <v>132</v>
      </c>
      <c r="B24" s="9" t="s">
        <v>131</v>
      </c>
      <c r="C24" s="6">
        <v>4011</v>
      </c>
      <c r="D24" s="6">
        <v>3964.8</v>
      </c>
      <c r="E24" s="6">
        <v>2284.8000000000002</v>
      </c>
      <c r="F24" s="6">
        <v>0</v>
      </c>
      <c r="G24" s="7">
        <f t="shared" si="1"/>
        <v>10260.6</v>
      </c>
      <c r="H24" s="14" t="s">
        <v>344</v>
      </c>
      <c r="I24" s="17">
        <v>45958</v>
      </c>
      <c r="J24" s="16" t="s">
        <v>310</v>
      </c>
      <c r="K24" s="16" t="s">
        <v>310</v>
      </c>
      <c r="L24" s="16"/>
      <c r="M24" s="14"/>
    </row>
    <row r="25" spans="1:13" x14ac:dyDescent="0.25">
      <c r="A25" s="5" t="s">
        <v>253</v>
      </c>
      <c r="B25" s="9" t="s">
        <v>252</v>
      </c>
      <c r="C25" s="6">
        <v>0</v>
      </c>
      <c r="D25" s="6">
        <v>10000</v>
      </c>
      <c r="E25" s="6">
        <v>0</v>
      </c>
      <c r="F25" s="6">
        <v>0</v>
      </c>
      <c r="G25" s="7">
        <f t="shared" si="1"/>
        <v>10000</v>
      </c>
      <c r="H25" s="14" t="s">
        <v>345</v>
      </c>
      <c r="I25" s="16" t="s">
        <v>318</v>
      </c>
      <c r="J25" s="16" t="s">
        <v>314</v>
      </c>
      <c r="K25" s="16" t="s">
        <v>314</v>
      </c>
      <c r="L25" s="16"/>
      <c r="M25" s="14"/>
    </row>
    <row r="26" spans="1:13" ht="45" x14ac:dyDescent="0.25">
      <c r="A26" s="5" t="s">
        <v>160</v>
      </c>
      <c r="B26" s="9" t="s">
        <v>159</v>
      </c>
      <c r="C26" s="6">
        <v>0</v>
      </c>
      <c r="D26" s="6">
        <v>4044.86</v>
      </c>
      <c r="E26" s="6">
        <v>6237.59</v>
      </c>
      <c r="F26" s="6">
        <v>-301.97000000000003</v>
      </c>
      <c r="G26" s="7">
        <f t="shared" si="1"/>
        <v>9980.4800000000014</v>
      </c>
      <c r="H26" s="14" t="s">
        <v>346</v>
      </c>
      <c r="I26" s="17">
        <v>45952</v>
      </c>
      <c r="J26" s="16" t="s">
        <v>310</v>
      </c>
      <c r="K26" s="16" t="s">
        <v>314</v>
      </c>
      <c r="L26" s="16"/>
      <c r="M26" s="14" t="s">
        <v>347</v>
      </c>
    </row>
    <row r="27" spans="1:13" x14ac:dyDescent="0.25">
      <c r="A27" s="5" t="s">
        <v>172</v>
      </c>
      <c r="B27" s="9" t="s">
        <v>171</v>
      </c>
      <c r="C27" s="6">
        <v>3496.5</v>
      </c>
      <c r="D27" s="6">
        <v>3201.19</v>
      </c>
      <c r="E27" s="6">
        <v>3090.94</v>
      </c>
      <c r="F27" s="6">
        <v>0</v>
      </c>
      <c r="G27" s="7">
        <f t="shared" si="1"/>
        <v>9788.630000000001</v>
      </c>
      <c r="H27" s="14" t="s">
        <v>348</v>
      </c>
      <c r="I27" s="17">
        <v>45957</v>
      </c>
      <c r="J27" s="16" t="s">
        <v>314</v>
      </c>
      <c r="K27" s="16" t="s">
        <v>314</v>
      </c>
      <c r="L27" s="16"/>
      <c r="M27" s="14"/>
    </row>
    <row r="28" spans="1:13" x14ac:dyDescent="0.25">
      <c r="A28" s="5" t="s">
        <v>140</v>
      </c>
      <c r="B28" s="9" t="s">
        <v>139</v>
      </c>
      <c r="C28" s="6">
        <v>0</v>
      </c>
      <c r="D28" s="6">
        <v>0</v>
      </c>
      <c r="E28" s="6">
        <v>9696.82</v>
      </c>
      <c r="F28" s="6">
        <v>0</v>
      </c>
      <c r="G28" s="7">
        <f t="shared" si="1"/>
        <v>9696.82</v>
      </c>
      <c r="H28" s="14" t="s">
        <v>349</v>
      </c>
      <c r="I28" s="16" t="s">
        <v>318</v>
      </c>
      <c r="J28" s="16" t="s">
        <v>314</v>
      </c>
      <c r="K28" s="16" t="s">
        <v>314</v>
      </c>
      <c r="L28" s="18">
        <v>214222227</v>
      </c>
      <c r="M28" s="14" t="s">
        <v>350</v>
      </c>
    </row>
    <row r="29" spans="1:13" ht="30" x14ac:dyDescent="0.25">
      <c r="A29" s="5" t="s">
        <v>205</v>
      </c>
      <c r="B29" s="9" t="s">
        <v>204</v>
      </c>
      <c r="C29" s="6">
        <v>0</v>
      </c>
      <c r="D29" s="6">
        <v>0</v>
      </c>
      <c r="E29" s="6">
        <v>0</v>
      </c>
      <c r="F29" s="6">
        <v>9282.5499999999993</v>
      </c>
      <c r="G29" s="7">
        <f t="shared" si="1"/>
        <v>9282.5499999999993</v>
      </c>
      <c r="H29" s="14" t="s">
        <v>351</v>
      </c>
      <c r="I29" s="17">
        <v>45936</v>
      </c>
      <c r="J29" s="16" t="s">
        <v>310</v>
      </c>
      <c r="K29" s="16" t="s">
        <v>310</v>
      </c>
      <c r="L29" s="16"/>
      <c r="M29" s="14"/>
    </row>
    <row r="30" spans="1:13" x14ac:dyDescent="0.25">
      <c r="A30" s="5" t="s">
        <v>42</v>
      </c>
      <c r="B30" s="9">
        <v>6069321</v>
      </c>
      <c r="C30" s="6">
        <v>0</v>
      </c>
      <c r="D30" s="6">
        <v>0</v>
      </c>
      <c r="E30" s="6">
        <v>8400</v>
      </c>
      <c r="F30" s="6">
        <v>0</v>
      </c>
      <c r="G30" s="7">
        <f t="shared" si="1"/>
        <v>8400</v>
      </c>
      <c r="H30" s="14" t="s">
        <v>352</v>
      </c>
      <c r="I30" s="16" t="s">
        <v>318</v>
      </c>
      <c r="J30" s="16" t="s">
        <v>310</v>
      </c>
      <c r="K30" s="16" t="s">
        <v>310</v>
      </c>
      <c r="L30" s="16"/>
      <c r="M30" s="14"/>
    </row>
    <row r="31" spans="1:13" ht="30" x14ac:dyDescent="0.25">
      <c r="A31" s="5" t="s">
        <v>100</v>
      </c>
      <c r="B31" s="9" t="s">
        <v>99</v>
      </c>
      <c r="C31" s="6">
        <v>0</v>
      </c>
      <c r="D31" s="6">
        <v>0</v>
      </c>
      <c r="E31" s="6">
        <v>0</v>
      </c>
      <c r="F31" s="6">
        <v>7740.14</v>
      </c>
      <c r="G31" s="7">
        <f t="shared" si="1"/>
        <v>7740.14</v>
      </c>
      <c r="H31" s="14" t="s">
        <v>353</v>
      </c>
      <c r="I31" s="17">
        <v>45953</v>
      </c>
      <c r="J31" s="16" t="s">
        <v>310</v>
      </c>
      <c r="K31" s="16" t="s">
        <v>310</v>
      </c>
      <c r="L31" s="16"/>
      <c r="M31" s="14" t="s">
        <v>354</v>
      </c>
    </row>
    <row r="32" spans="1:13" ht="30" x14ac:dyDescent="0.25">
      <c r="A32" s="5" t="s">
        <v>209</v>
      </c>
      <c r="B32" s="9" t="s">
        <v>208</v>
      </c>
      <c r="C32" s="6">
        <v>0</v>
      </c>
      <c r="D32" s="6">
        <v>0</v>
      </c>
      <c r="E32" s="6">
        <v>7269.8</v>
      </c>
      <c r="F32" s="6">
        <v>0</v>
      </c>
      <c r="G32" s="7">
        <f t="shared" si="1"/>
        <v>7269.8</v>
      </c>
      <c r="H32" s="14" t="s">
        <v>355</v>
      </c>
      <c r="I32" s="16" t="s">
        <v>318</v>
      </c>
      <c r="J32" s="16"/>
      <c r="K32" s="16"/>
      <c r="L32" s="16">
        <v>228</v>
      </c>
      <c r="M32" s="14" t="s">
        <v>356</v>
      </c>
    </row>
    <row r="33" spans="1:13" ht="45" x14ac:dyDescent="0.25">
      <c r="A33" s="5" t="s">
        <v>180</v>
      </c>
      <c r="B33" s="9" t="s">
        <v>179</v>
      </c>
      <c r="C33" s="6">
        <v>545.36</v>
      </c>
      <c r="D33" s="6">
        <v>509.22</v>
      </c>
      <c r="E33" s="6">
        <v>3154.36</v>
      </c>
      <c r="F33" s="6">
        <v>2939.75</v>
      </c>
      <c r="G33" s="7">
        <f t="shared" si="1"/>
        <v>7148.6900000000005</v>
      </c>
      <c r="H33" s="14" t="s">
        <v>357</v>
      </c>
      <c r="I33" s="17">
        <v>45958</v>
      </c>
      <c r="J33" s="16" t="s">
        <v>310</v>
      </c>
      <c r="K33" s="16" t="s">
        <v>310</v>
      </c>
      <c r="L33" s="19" t="s">
        <v>358</v>
      </c>
      <c r="M33" s="14"/>
    </row>
    <row r="34" spans="1:13" x14ac:dyDescent="0.25">
      <c r="A34" s="5" t="s">
        <v>213</v>
      </c>
      <c r="B34" s="9" t="s">
        <v>212</v>
      </c>
      <c r="C34" s="6">
        <v>6930</v>
      </c>
      <c r="D34" s="6">
        <v>0</v>
      </c>
      <c r="E34" s="6">
        <v>0</v>
      </c>
      <c r="F34" s="6">
        <v>0</v>
      </c>
      <c r="G34" s="7">
        <f t="shared" si="1"/>
        <v>6930</v>
      </c>
      <c r="H34" s="14" t="s">
        <v>359</v>
      </c>
      <c r="I34" s="16" t="s">
        <v>318</v>
      </c>
      <c r="J34" s="16" t="s">
        <v>310</v>
      </c>
      <c r="K34" s="16" t="s">
        <v>314</v>
      </c>
      <c r="L34" s="16"/>
      <c r="M34" s="14"/>
    </row>
    <row r="35" spans="1:13" ht="30" x14ac:dyDescent="0.25">
      <c r="A35" s="5" t="s">
        <v>51</v>
      </c>
      <c r="B35" s="9" t="s">
        <v>50</v>
      </c>
      <c r="C35" s="6">
        <v>0</v>
      </c>
      <c r="D35" s="6">
        <v>0</v>
      </c>
      <c r="E35" s="6">
        <v>5830.65</v>
      </c>
      <c r="F35" s="6">
        <v>420</v>
      </c>
      <c r="G35" s="7">
        <f t="shared" ref="G35:G66" si="2">SUM(C35:F35)</f>
        <v>6250.65</v>
      </c>
      <c r="H35" s="14" t="s">
        <v>360</v>
      </c>
      <c r="I35" s="16" t="s">
        <v>318</v>
      </c>
      <c r="J35" s="16" t="s">
        <v>314</v>
      </c>
      <c r="K35" s="16" t="s">
        <v>314</v>
      </c>
      <c r="L35" s="16"/>
      <c r="M35" s="14"/>
    </row>
    <row r="36" spans="1:13" ht="30" x14ac:dyDescent="0.25">
      <c r="A36" s="5" t="s">
        <v>41</v>
      </c>
      <c r="B36" s="9">
        <v>1870351</v>
      </c>
      <c r="C36" s="6">
        <v>0</v>
      </c>
      <c r="D36" s="6">
        <v>0</v>
      </c>
      <c r="E36" s="6">
        <v>5528.53</v>
      </c>
      <c r="F36" s="6">
        <v>0</v>
      </c>
      <c r="G36" s="7">
        <f t="shared" si="2"/>
        <v>5528.53</v>
      </c>
      <c r="H36" s="14" t="s">
        <v>355</v>
      </c>
      <c r="I36" s="16" t="s">
        <v>318</v>
      </c>
      <c r="J36" s="16" t="s">
        <v>314</v>
      </c>
      <c r="K36" s="16" t="s">
        <v>314</v>
      </c>
      <c r="L36" s="16">
        <v>243</v>
      </c>
      <c r="M36" s="14" t="s">
        <v>364</v>
      </c>
    </row>
    <row r="37" spans="1:13" x14ac:dyDescent="0.25">
      <c r="A37" s="5" t="s">
        <v>197</v>
      </c>
      <c r="B37" s="9" t="s">
        <v>196</v>
      </c>
      <c r="C37" s="6">
        <v>0</v>
      </c>
      <c r="D37" s="6">
        <v>0</v>
      </c>
      <c r="E37" s="6">
        <v>0</v>
      </c>
      <c r="F37" s="6">
        <v>5397.42</v>
      </c>
      <c r="G37" s="7">
        <f t="shared" si="2"/>
        <v>5397.42</v>
      </c>
      <c r="H37" s="14" t="s">
        <v>355</v>
      </c>
      <c r="I37" s="16" t="s">
        <v>318</v>
      </c>
      <c r="J37" s="16" t="s">
        <v>314</v>
      </c>
      <c r="K37" s="16" t="s">
        <v>314</v>
      </c>
      <c r="L37" s="16">
        <v>203</v>
      </c>
      <c r="M37" s="14" t="s">
        <v>350</v>
      </c>
    </row>
    <row r="38" spans="1:13" x14ac:dyDescent="0.25">
      <c r="A38" s="5" t="s">
        <v>29</v>
      </c>
      <c r="B38" s="9">
        <v>1181057</v>
      </c>
      <c r="C38" s="6">
        <v>0</v>
      </c>
      <c r="D38" s="6">
        <v>2581.83</v>
      </c>
      <c r="E38" s="6">
        <v>2488.5</v>
      </c>
      <c r="F38" s="6">
        <v>0</v>
      </c>
      <c r="G38" s="7">
        <f t="shared" si="2"/>
        <v>5070.33</v>
      </c>
      <c r="H38" s="14" t="s">
        <v>355</v>
      </c>
      <c r="I38" s="16" t="s">
        <v>318</v>
      </c>
      <c r="J38" s="16" t="s">
        <v>314</v>
      </c>
      <c r="K38" s="16" t="s">
        <v>314</v>
      </c>
      <c r="L38" s="16">
        <v>242</v>
      </c>
      <c r="M38" s="14" t="s">
        <v>350</v>
      </c>
    </row>
    <row r="39" spans="1:13" x14ac:dyDescent="0.25">
      <c r="A39" s="5" t="s">
        <v>255</v>
      </c>
      <c r="B39" s="9" t="s">
        <v>254</v>
      </c>
      <c r="C39" s="6">
        <v>0</v>
      </c>
      <c r="D39" s="6">
        <v>0</v>
      </c>
      <c r="E39" s="6">
        <v>4583.7</v>
      </c>
      <c r="F39" s="6">
        <v>0</v>
      </c>
      <c r="G39" s="7">
        <f t="shared" si="2"/>
        <v>4583.7</v>
      </c>
      <c r="H39" s="14" t="s">
        <v>355</v>
      </c>
      <c r="I39" s="16" t="s">
        <v>318</v>
      </c>
      <c r="J39" s="16" t="s">
        <v>314</v>
      </c>
      <c r="K39" s="16" t="s">
        <v>314</v>
      </c>
      <c r="L39" s="16">
        <v>223</v>
      </c>
      <c r="M39" s="14" t="s">
        <v>350</v>
      </c>
    </row>
    <row r="40" spans="1:13" ht="30" x14ac:dyDescent="0.25">
      <c r="A40" s="5" t="s">
        <v>217</v>
      </c>
      <c r="B40" s="9" t="s">
        <v>216</v>
      </c>
      <c r="C40" s="6">
        <v>992.08</v>
      </c>
      <c r="D40" s="6">
        <v>1631.7</v>
      </c>
      <c r="E40" s="6">
        <v>1379.62</v>
      </c>
      <c r="F40" s="6">
        <v>0</v>
      </c>
      <c r="G40" s="7">
        <f t="shared" si="2"/>
        <v>4003.4</v>
      </c>
      <c r="H40" s="14" t="s">
        <v>365</v>
      </c>
      <c r="I40" s="16" t="s">
        <v>318</v>
      </c>
      <c r="J40" s="16" t="s">
        <v>314</v>
      </c>
      <c r="K40" s="16" t="s">
        <v>314</v>
      </c>
      <c r="L40" s="16"/>
      <c r="M40" s="14" t="s">
        <v>421</v>
      </c>
    </row>
    <row r="41" spans="1:13" x14ac:dyDescent="0.25">
      <c r="A41" s="5" t="s">
        <v>215</v>
      </c>
      <c r="B41" s="9" t="s">
        <v>214</v>
      </c>
      <c r="C41" s="6">
        <v>0</v>
      </c>
      <c r="D41" s="6">
        <v>1986.6</v>
      </c>
      <c r="E41" s="6">
        <v>1986.6</v>
      </c>
      <c r="F41" s="6">
        <v>0</v>
      </c>
      <c r="G41" s="7">
        <f t="shared" si="2"/>
        <v>3973.2</v>
      </c>
      <c r="H41" s="14" t="s">
        <v>366</v>
      </c>
      <c r="I41" s="17">
        <v>45959</v>
      </c>
      <c r="J41" s="16" t="s">
        <v>314</v>
      </c>
      <c r="K41" s="16" t="s">
        <v>314</v>
      </c>
      <c r="L41" s="16"/>
      <c r="M41" s="14"/>
    </row>
    <row r="42" spans="1:13" x14ac:dyDescent="0.25">
      <c r="A42" s="5" t="s">
        <v>174</v>
      </c>
      <c r="B42" s="9" t="s">
        <v>173</v>
      </c>
      <c r="C42" s="6">
        <v>0</v>
      </c>
      <c r="D42" s="6">
        <v>0</v>
      </c>
      <c r="E42" s="6">
        <v>0</v>
      </c>
      <c r="F42" s="6">
        <v>3531.36</v>
      </c>
      <c r="G42" s="7">
        <f t="shared" si="2"/>
        <v>3531.36</v>
      </c>
      <c r="H42" s="14" t="s">
        <v>355</v>
      </c>
      <c r="I42" s="16" t="s">
        <v>318</v>
      </c>
      <c r="J42" s="16" t="s">
        <v>314</v>
      </c>
      <c r="K42" s="16" t="s">
        <v>314</v>
      </c>
      <c r="L42" s="16">
        <v>256</v>
      </c>
      <c r="M42" s="14" t="s">
        <v>350</v>
      </c>
    </row>
    <row r="43" spans="1:13" ht="30" x14ac:dyDescent="0.25">
      <c r="A43" s="5" t="s">
        <v>96</v>
      </c>
      <c r="B43" s="9" t="s">
        <v>95</v>
      </c>
      <c r="C43" s="6">
        <v>0</v>
      </c>
      <c r="D43" s="6">
        <v>0</v>
      </c>
      <c r="E43" s="6">
        <v>958.03</v>
      </c>
      <c r="F43" s="6">
        <v>2403.09</v>
      </c>
      <c r="G43" s="7">
        <f t="shared" si="2"/>
        <v>3361.12</v>
      </c>
      <c r="H43" s="14" t="s">
        <v>367</v>
      </c>
      <c r="I43" s="17">
        <v>45955</v>
      </c>
      <c r="J43" s="16" t="s">
        <v>310</v>
      </c>
      <c r="K43" s="16" t="s">
        <v>310</v>
      </c>
      <c r="L43" s="16">
        <v>237</v>
      </c>
      <c r="M43" s="14" t="s">
        <v>368</v>
      </c>
    </row>
    <row r="44" spans="1:13" ht="60" x14ac:dyDescent="0.25">
      <c r="A44" s="5" t="s">
        <v>291</v>
      </c>
      <c r="B44" s="9" t="s">
        <v>290</v>
      </c>
      <c r="C44" s="6">
        <v>0</v>
      </c>
      <c r="D44" s="6">
        <v>0</v>
      </c>
      <c r="E44" s="6">
        <v>0</v>
      </c>
      <c r="F44" s="6">
        <v>3239.78</v>
      </c>
      <c r="G44" s="7">
        <f t="shared" si="2"/>
        <v>3239.78</v>
      </c>
      <c r="H44" s="14" t="s">
        <v>369</v>
      </c>
      <c r="I44" s="17">
        <v>45944</v>
      </c>
      <c r="J44" s="16" t="s">
        <v>310</v>
      </c>
      <c r="K44" s="16" t="s">
        <v>310</v>
      </c>
      <c r="L44" s="16"/>
      <c r="M44" s="14" t="s">
        <v>422</v>
      </c>
    </row>
    <row r="45" spans="1:13" x14ac:dyDescent="0.25">
      <c r="A45" s="5" t="s">
        <v>297</v>
      </c>
      <c r="B45" s="9" t="s">
        <v>296</v>
      </c>
      <c r="C45" s="6">
        <v>0</v>
      </c>
      <c r="D45" s="6">
        <v>3100</v>
      </c>
      <c r="E45" s="6">
        <v>0</v>
      </c>
      <c r="F45" s="6">
        <v>0</v>
      </c>
      <c r="G45" s="7">
        <f t="shared" si="2"/>
        <v>3100</v>
      </c>
      <c r="H45" s="14" t="s">
        <v>328</v>
      </c>
      <c r="I45" s="16" t="s">
        <v>318</v>
      </c>
      <c r="J45" s="16" t="s">
        <v>314</v>
      </c>
      <c r="K45" s="16" t="s">
        <v>314</v>
      </c>
      <c r="L45" s="16"/>
      <c r="M45" s="14"/>
    </row>
    <row r="46" spans="1:13" x14ac:dyDescent="0.25">
      <c r="A46" s="5" t="s">
        <v>57</v>
      </c>
      <c r="B46" s="9" t="s">
        <v>56</v>
      </c>
      <c r="C46" s="6">
        <v>0</v>
      </c>
      <c r="D46" s="6">
        <v>0</v>
      </c>
      <c r="E46" s="6">
        <v>2930.61</v>
      </c>
      <c r="F46" s="6">
        <v>0</v>
      </c>
      <c r="G46" s="7">
        <f t="shared" si="2"/>
        <v>2930.61</v>
      </c>
      <c r="H46" s="14" t="s">
        <v>355</v>
      </c>
      <c r="I46" s="16" t="s">
        <v>318</v>
      </c>
      <c r="J46" s="16" t="s">
        <v>314</v>
      </c>
      <c r="K46" s="16" t="s">
        <v>314</v>
      </c>
      <c r="L46" s="16">
        <v>219</v>
      </c>
      <c r="M46" s="14" t="s">
        <v>350</v>
      </c>
    </row>
    <row r="47" spans="1:13" x14ac:dyDescent="0.25">
      <c r="A47" s="5" t="s">
        <v>39</v>
      </c>
      <c r="B47" s="9" t="s">
        <v>38</v>
      </c>
      <c r="C47" s="6">
        <v>0</v>
      </c>
      <c r="D47" s="6">
        <v>2897</v>
      </c>
      <c r="E47" s="6">
        <v>0</v>
      </c>
      <c r="F47" s="6">
        <v>0</v>
      </c>
      <c r="G47" s="7">
        <f t="shared" si="2"/>
        <v>2897</v>
      </c>
      <c r="H47" s="14" t="s">
        <v>370</v>
      </c>
      <c r="I47" s="16" t="s">
        <v>318</v>
      </c>
      <c r="J47" s="16" t="s">
        <v>314</v>
      </c>
      <c r="K47" s="16" t="s">
        <v>314</v>
      </c>
      <c r="L47" s="16"/>
      <c r="M47" s="14"/>
    </row>
    <row r="48" spans="1:13" x14ac:dyDescent="0.25">
      <c r="A48" s="5" t="s">
        <v>81</v>
      </c>
      <c r="B48" s="9" t="s">
        <v>80</v>
      </c>
      <c r="C48" s="6">
        <v>0</v>
      </c>
      <c r="D48" s="6">
        <v>0</v>
      </c>
      <c r="E48" s="6">
        <v>196.49</v>
      </c>
      <c r="F48" s="6">
        <v>1967.91</v>
      </c>
      <c r="G48" s="7">
        <f t="shared" si="2"/>
        <v>2164.4</v>
      </c>
      <c r="H48" s="14" t="s">
        <v>371</v>
      </c>
      <c r="I48" s="16" t="s">
        <v>318</v>
      </c>
      <c r="J48" s="16" t="s">
        <v>310</v>
      </c>
      <c r="K48" s="16" t="s">
        <v>310</v>
      </c>
      <c r="L48" s="16">
        <v>301</v>
      </c>
      <c r="M48" s="14" t="s">
        <v>372</v>
      </c>
    </row>
    <row r="49" spans="1:13" ht="30" x14ac:dyDescent="0.25">
      <c r="A49" s="5" t="s">
        <v>46</v>
      </c>
      <c r="B49" s="9" t="s">
        <v>45</v>
      </c>
      <c r="C49" s="6">
        <v>0</v>
      </c>
      <c r="D49" s="6">
        <v>0</v>
      </c>
      <c r="E49" s="6">
        <v>1901.95</v>
      </c>
      <c r="F49" s="6">
        <v>223.65</v>
      </c>
      <c r="G49" s="7">
        <f t="shared" si="2"/>
        <v>2125.6</v>
      </c>
      <c r="H49" s="14" t="s">
        <v>371</v>
      </c>
      <c r="I49" s="16" t="s">
        <v>318</v>
      </c>
      <c r="J49" s="16" t="s">
        <v>310</v>
      </c>
      <c r="K49" s="16" t="s">
        <v>310</v>
      </c>
      <c r="L49" s="16">
        <v>304</v>
      </c>
      <c r="M49" s="14" t="s">
        <v>373</v>
      </c>
    </row>
    <row r="50" spans="1:13" ht="45" x14ac:dyDescent="0.25">
      <c r="A50" s="5" t="s">
        <v>207</v>
      </c>
      <c r="B50" s="9" t="s">
        <v>206</v>
      </c>
      <c r="C50" s="6">
        <v>77.760000000000005</v>
      </c>
      <c r="D50" s="6">
        <v>930.66</v>
      </c>
      <c r="E50" s="6">
        <v>911.14</v>
      </c>
      <c r="F50" s="6">
        <v>0</v>
      </c>
      <c r="G50" s="7">
        <f t="shared" si="2"/>
        <v>1919.56</v>
      </c>
      <c r="H50" s="14" t="s">
        <v>374</v>
      </c>
      <c r="I50" s="16" t="s">
        <v>318</v>
      </c>
      <c r="J50" s="16" t="s">
        <v>310</v>
      </c>
      <c r="K50" s="16" t="s">
        <v>310</v>
      </c>
      <c r="L50" s="16" t="s">
        <v>375</v>
      </c>
      <c r="M50" s="14" t="s">
        <v>428</v>
      </c>
    </row>
    <row r="51" spans="1:13" x14ac:dyDescent="0.25">
      <c r="A51" s="5" t="s">
        <v>126</v>
      </c>
      <c r="B51" s="9" t="s">
        <v>125</v>
      </c>
      <c r="C51" s="6">
        <v>0</v>
      </c>
      <c r="D51" s="6">
        <v>0</v>
      </c>
      <c r="E51" s="6">
        <v>1620.46</v>
      </c>
      <c r="F51" s="6">
        <v>0</v>
      </c>
      <c r="G51" s="7">
        <f t="shared" si="2"/>
        <v>1620.46</v>
      </c>
      <c r="H51" s="14" t="s">
        <v>376</v>
      </c>
      <c r="I51" s="16" t="s">
        <v>318</v>
      </c>
      <c r="J51" s="16" t="s">
        <v>310</v>
      </c>
      <c r="K51" s="16" t="s">
        <v>310</v>
      </c>
      <c r="L51" s="16"/>
      <c r="M51" s="14" t="s">
        <v>377</v>
      </c>
    </row>
    <row r="52" spans="1:13" ht="30" x14ac:dyDescent="0.25">
      <c r="A52" s="5" t="s">
        <v>273</v>
      </c>
      <c r="B52" s="9" t="s">
        <v>272</v>
      </c>
      <c r="C52" s="6">
        <v>0</v>
      </c>
      <c r="D52" s="6">
        <v>760.82</v>
      </c>
      <c r="E52" s="6">
        <v>760.82</v>
      </c>
      <c r="F52" s="6">
        <v>0</v>
      </c>
      <c r="G52" s="7">
        <f t="shared" si="2"/>
        <v>1521.64</v>
      </c>
      <c r="H52" s="14" t="s">
        <v>378</v>
      </c>
      <c r="I52" s="17">
        <v>45960</v>
      </c>
      <c r="J52" s="16" t="s">
        <v>310</v>
      </c>
      <c r="K52" s="16" t="s">
        <v>310</v>
      </c>
      <c r="L52" s="16" t="s">
        <v>379</v>
      </c>
      <c r="M52" s="14" t="s">
        <v>420</v>
      </c>
    </row>
    <row r="53" spans="1:13" ht="75" x14ac:dyDescent="0.25">
      <c r="A53" s="5" t="s">
        <v>257</v>
      </c>
      <c r="B53" s="9" t="s">
        <v>256</v>
      </c>
      <c r="C53" s="6">
        <v>368.52</v>
      </c>
      <c r="D53" s="6">
        <v>0</v>
      </c>
      <c r="E53" s="6">
        <v>368.52</v>
      </c>
      <c r="F53" s="6">
        <v>737.04</v>
      </c>
      <c r="G53" s="7">
        <f t="shared" si="2"/>
        <v>1474.08</v>
      </c>
      <c r="H53" s="14" t="s">
        <v>380</v>
      </c>
      <c r="I53" s="17" t="s">
        <v>396</v>
      </c>
      <c r="J53" s="16" t="s">
        <v>310</v>
      </c>
      <c r="K53" s="16" t="s">
        <v>310</v>
      </c>
      <c r="L53" s="16">
        <v>228</v>
      </c>
      <c r="M53" s="14" t="s">
        <v>397</v>
      </c>
    </row>
    <row r="54" spans="1:13" ht="30" x14ac:dyDescent="0.25">
      <c r="A54" s="5" t="s">
        <v>241</v>
      </c>
      <c r="B54" s="9" t="s">
        <v>240</v>
      </c>
      <c r="C54" s="6">
        <v>0</v>
      </c>
      <c r="D54" s="6">
        <v>0</v>
      </c>
      <c r="E54" s="6">
        <v>0</v>
      </c>
      <c r="F54" s="6">
        <v>1400</v>
      </c>
      <c r="G54" s="7">
        <f t="shared" si="2"/>
        <v>1400</v>
      </c>
      <c r="H54" s="14" t="s">
        <v>381</v>
      </c>
      <c r="I54" s="16" t="s">
        <v>318</v>
      </c>
      <c r="J54" s="16" t="s">
        <v>314</v>
      </c>
      <c r="K54" s="16" t="s">
        <v>314</v>
      </c>
      <c r="L54" s="16"/>
      <c r="M54" s="14" t="s">
        <v>382</v>
      </c>
    </row>
    <row r="55" spans="1:13" x14ac:dyDescent="0.25">
      <c r="A55" s="5" t="s">
        <v>283</v>
      </c>
      <c r="B55" s="9" t="s">
        <v>282</v>
      </c>
      <c r="C55" s="6">
        <v>0</v>
      </c>
      <c r="D55" s="6">
        <v>27.34</v>
      </c>
      <c r="E55" s="6">
        <v>1367.24</v>
      </c>
      <c r="F55" s="6">
        <v>0</v>
      </c>
      <c r="G55" s="7">
        <f t="shared" si="2"/>
        <v>1394.58</v>
      </c>
      <c r="H55" s="14" t="s">
        <v>383</v>
      </c>
      <c r="I55" s="16" t="s">
        <v>318</v>
      </c>
      <c r="J55" s="16" t="s">
        <v>314</v>
      </c>
      <c r="K55" s="16" t="s">
        <v>310</v>
      </c>
      <c r="L55" s="16">
        <v>203</v>
      </c>
      <c r="M55" s="14"/>
    </row>
    <row r="56" spans="1:13" x14ac:dyDescent="0.25">
      <c r="A56" s="5" t="s">
        <v>251</v>
      </c>
      <c r="B56" s="9" t="s">
        <v>250</v>
      </c>
      <c r="C56" s="6">
        <v>168.79</v>
      </c>
      <c r="D56" s="6">
        <v>506.36</v>
      </c>
      <c r="E56" s="6">
        <v>405.09</v>
      </c>
      <c r="F56" s="6">
        <v>0</v>
      </c>
      <c r="G56" s="7">
        <f t="shared" si="2"/>
        <v>1080.24</v>
      </c>
      <c r="H56" s="14" t="s">
        <v>384</v>
      </c>
      <c r="I56" s="16" t="s">
        <v>318</v>
      </c>
      <c r="J56" s="16" t="s">
        <v>310</v>
      </c>
      <c r="K56" s="16" t="s">
        <v>314</v>
      </c>
      <c r="L56" s="16" t="s">
        <v>385</v>
      </c>
      <c r="M56" s="14"/>
    </row>
    <row r="57" spans="1:13" ht="30" x14ac:dyDescent="0.25">
      <c r="A57" s="5" t="s">
        <v>150</v>
      </c>
      <c r="B57" s="9" t="s">
        <v>149</v>
      </c>
      <c r="C57" s="6">
        <v>0</v>
      </c>
      <c r="D57" s="6">
        <v>1000</v>
      </c>
      <c r="E57" s="6">
        <v>0</v>
      </c>
      <c r="F57" s="6">
        <v>29.99</v>
      </c>
      <c r="G57" s="7">
        <f t="shared" si="2"/>
        <v>1029.99</v>
      </c>
      <c r="H57" s="14" t="s">
        <v>381</v>
      </c>
      <c r="I57" s="16" t="s">
        <v>318</v>
      </c>
      <c r="J57" s="16" t="s">
        <v>314</v>
      </c>
      <c r="K57" s="16" t="s">
        <v>314</v>
      </c>
      <c r="L57" s="16"/>
      <c r="M57" s="14" t="s">
        <v>386</v>
      </c>
    </row>
    <row r="58" spans="1:13" x14ac:dyDescent="0.25">
      <c r="A58" s="5" t="s">
        <v>61</v>
      </c>
      <c r="B58" s="9" t="s">
        <v>60</v>
      </c>
      <c r="C58" s="6">
        <v>56.44</v>
      </c>
      <c r="D58" s="6">
        <v>0</v>
      </c>
      <c r="E58" s="6">
        <v>905.63</v>
      </c>
      <c r="F58" s="6">
        <v>0</v>
      </c>
      <c r="G58" s="7">
        <f t="shared" si="2"/>
        <v>962.06999999999994</v>
      </c>
      <c r="H58" s="14" t="s">
        <v>387</v>
      </c>
      <c r="I58" s="16" t="s">
        <v>318</v>
      </c>
      <c r="J58" s="16" t="s">
        <v>310</v>
      </c>
      <c r="K58" s="16" t="s">
        <v>310</v>
      </c>
      <c r="L58" s="16" t="s">
        <v>388</v>
      </c>
      <c r="M58" s="14"/>
    </row>
    <row r="59" spans="1:13" ht="30" x14ac:dyDescent="0.25">
      <c r="A59" s="5" t="s">
        <v>245</v>
      </c>
      <c r="B59" s="9" t="s">
        <v>244</v>
      </c>
      <c r="C59" s="6">
        <v>0</v>
      </c>
      <c r="D59" s="6">
        <v>665.98</v>
      </c>
      <c r="E59" s="6">
        <v>0</v>
      </c>
      <c r="F59" s="6">
        <v>274.86</v>
      </c>
      <c r="G59" s="7">
        <f t="shared" si="2"/>
        <v>940.84</v>
      </c>
      <c r="H59" s="14" t="s">
        <v>389</v>
      </c>
      <c r="I59" s="16" t="s">
        <v>318</v>
      </c>
      <c r="J59" s="16" t="s">
        <v>310</v>
      </c>
      <c r="K59" s="16" t="s">
        <v>310</v>
      </c>
      <c r="L59" s="16" t="s">
        <v>375</v>
      </c>
      <c r="M59" s="14" t="s">
        <v>390</v>
      </c>
    </row>
    <row r="60" spans="1:13" x14ac:dyDescent="0.25">
      <c r="A60" s="5" t="s">
        <v>203</v>
      </c>
      <c r="B60" s="9" t="s">
        <v>202</v>
      </c>
      <c r="C60" s="6">
        <v>0</v>
      </c>
      <c r="D60" s="6">
        <v>0</v>
      </c>
      <c r="E60" s="6">
        <v>338.94</v>
      </c>
      <c r="F60" s="6">
        <v>595.35</v>
      </c>
      <c r="G60" s="7">
        <f t="shared" si="2"/>
        <v>934.29</v>
      </c>
      <c r="H60" s="20" t="s">
        <v>380</v>
      </c>
      <c r="I60" s="21" t="s">
        <v>318</v>
      </c>
      <c r="J60" s="21" t="s">
        <v>310</v>
      </c>
      <c r="K60" s="21" t="s">
        <v>310</v>
      </c>
      <c r="L60" s="21">
        <v>204</v>
      </c>
      <c r="M60" s="20" t="s">
        <v>350</v>
      </c>
    </row>
    <row r="61" spans="1:13" x14ac:dyDescent="0.25">
      <c r="A61" s="5" t="s">
        <v>235</v>
      </c>
      <c r="B61" s="9" t="s">
        <v>234</v>
      </c>
      <c r="C61" s="6">
        <v>0</v>
      </c>
      <c r="D61" s="6">
        <v>0</v>
      </c>
      <c r="E61" s="6">
        <v>0</v>
      </c>
      <c r="F61" s="6">
        <v>892.5</v>
      </c>
      <c r="G61" s="7">
        <f t="shared" si="2"/>
        <v>892.5</v>
      </c>
      <c r="H61" s="20" t="s">
        <v>391</v>
      </c>
      <c r="I61" s="21" t="s">
        <v>318</v>
      </c>
      <c r="J61" s="21" t="s">
        <v>310</v>
      </c>
      <c r="K61" s="21" t="s">
        <v>310</v>
      </c>
      <c r="L61" s="21">
        <v>227</v>
      </c>
      <c r="M61" s="20" t="s">
        <v>350</v>
      </c>
    </row>
    <row r="62" spans="1:13" x14ac:dyDescent="0.25">
      <c r="A62" s="5" t="s">
        <v>201</v>
      </c>
      <c r="B62" s="9" t="s">
        <v>200</v>
      </c>
      <c r="C62" s="6">
        <v>0</v>
      </c>
      <c r="D62" s="6">
        <v>14.19</v>
      </c>
      <c r="E62" s="6">
        <v>821.55</v>
      </c>
      <c r="F62" s="6">
        <v>31.72</v>
      </c>
      <c r="G62" s="7">
        <f t="shared" si="2"/>
        <v>867.46</v>
      </c>
      <c r="H62" s="20" t="s">
        <v>392</v>
      </c>
      <c r="I62" s="21" t="s">
        <v>318</v>
      </c>
      <c r="J62" s="21" t="s">
        <v>310</v>
      </c>
      <c r="K62" s="21" t="s">
        <v>310</v>
      </c>
      <c r="L62" s="21" t="s">
        <v>393</v>
      </c>
      <c r="M62" s="20"/>
    </row>
    <row r="63" spans="1:13" x14ac:dyDescent="0.25">
      <c r="A63" s="5" t="s">
        <v>289</v>
      </c>
      <c r="B63" s="9" t="s">
        <v>288</v>
      </c>
      <c r="C63" s="6">
        <v>0</v>
      </c>
      <c r="D63" s="6">
        <v>211.16</v>
      </c>
      <c r="E63" s="6">
        <v>0</v>
      </c>
      <c r="F63" s="6">
        <v>609.57000000000005</v>
      </c>
      <c r="G63" s="7">
        <f t="shared" si="2"/>
        <v>820.73</v>
      </c>
      <c r="H63" s="20" t="s">
        <v>380</v>
      </c>
      <c r="I63" s="21" t="s">
        <v>331</v>
      </c>
      <c r="J63" s="21" t="s">
        <v>310</v>
      </c>
      <c r="K63" s="21" t="s">
        <v>310</v>
      </c>
      <c r="L63" s="21">
        <v>227</v>
      </c>
      <c r="M63" s="20" t="s">
        <v>350</v>
      </c>
    </row>
    <row r="64" spans="1:13" x14ac:dyDescent="0.25">
      <c r="A64" s="5" t="s">
        <v>90</v>
      </c>
      <c r="B64" s="9" t="s">
        <v>89</v>
      </c>
      <c r="C64" s="6">
        <v>0</v>
      </c>
      <c r="D64" s="6">
        <v>0</v>
      </c>
      <c r="E64" s="6">
        <v>722.4</v>
      </c>
      <c r="F64" s="6">
        <v>0</v>
      </c>
      <c r="G64" s="7">
        <f t="shared" si="2"/>
        <v>722.4</v>
      </c>
      <c r="H64" s="20" t="s">
        <v>394</v>
      </c>
      <c r="I64" s="21" t="s">
        <v>331</v>
      </c>
      <c r="J64" s="21" t="s">
        <v>310</v>
      </c>
      <c r="K64" s="21" t="s">
        <v>310</v>
      </c>
      <c r="L64" s="21">
        <v>102</v>
      </c>
      <c r="M64" s="20" t="s">
        <v>350</v>
      </c>
    </row>
    <row r="65" spans="1:13" x14ac:dyDescent="0.25">
      <c r="A65" s="5" t="s">
        <v>287</v>
      </c>
      <c r="B65" s="9" t="s">
        <v>286</v>
      </c>
      <c r="C65" s="6">
        <v>217.13</v>
      </c>
      <c r="D65" s="6">
        <v>211.16</v>
      </c>
      <c r="E65" s="6">
        <v>219.22</v>
      </c>
      <c r="F65" s="6">
        <v>0</v>
      </c>
      <c r="G65" s="7">
        <f t="shared" si="2"/>
        <v>647.51</v>
      </c>
      <c r="H65" s="20" t="s">
        <v>380</v>
      </c>
      <c r="I65" s="21" t="s">
        <v>331</v>
      </c>
      <c r="J65" s="21" t="s">
        <v>310</v>
      </c>
      <c r="K65" s="21" t="s">
        <v>310</v>
      </c>
      <c r="L65" s="21">
        <v>211</v>
      </c>
      <c r="M65" s="20" t="s">
        <v>350</v>
      </c>
    </row>
    <row r="66" spans="1:13" x14ac:dyDescent="0.25">
      <c r="A66" s="5" t="s">
        <v>247</v>
      </c>
      <c r="B66" s="9" t="s">
        <v>246</v>
      </c>
      <c r="C66" s="6">
        <v>0</v>
      </c>
      <c r="D66" s="6">
        <v>0</v>
      </c>
      <c r="E66" s="6">
        <v>0</v>
      </c>
      <c r="F66" s="6">
        <v>638.48</v>
      </c>
      <c r="G66" s="7">
        <f t="shared" si="2"/>
        <v>638.48</v>
      </c>
      <c r="H66" s="20" t="s">
        <v>395</v>
      </c>
      <c r="I66" s="21" t="s">
        <v>318</v>
      </c>
      <c r="J66" s="21" t="s">
        <v>310</v>
      </c>
      <c r="K66" s="21" t="s">
        <v>310</v>
      </c>
      <c r="L66" s="21">
        <v>259</v>
      </c>
      <c r="M66" s="20" t="s">
        <v>350</v>
      </c>
    </row>
    <row r="67" spans="1:13" x14ac:dyDescent="0.25">
      <c r="A67" s="5" t="s">
        <v>237</v>
      </c>
      <c r="B67" s="9" t="s">
        <v>236</v>
      </c>
      <c r="C67" s="6">
        <v>601.01</v>
      </c>
      <c r="D67" s="6">
        <v>0</v>
      </c>
      <c r="E67" s="6">
        <v>0</v>
      </c>
      <c r="F67" s="6">
        <v>0</v>
      </c>
      <c r="G67" s="7">
        <f t="shared" ref="G67:G98" si="3">SUM(C67:F67)</f>
        <v>601.01</v>
      </c>
      <c r="H67" s="20" t="s">
        <v>401</v>
      </c>
      <c r="I67" s="21" t="s">
        <v>318</v>
      </c>
      <c r="J67" s="21" t="s">
        <v>310</v>
      </c>
      <c r="K67" s="21" t="s">
        <v>310</v>
      </c>
      <c r="L67" s="21"/>
      <c r="M67" s="20"/>
    </row>
    <row r="68" spans="1:13" ht="30" x14ac:dyDescent="0.25">
      <c r="A68" s="5" t="s">
        <v>295</v>
      </c>
      <c r="B68" s="9" t="s">
        <v>294</v>
      </c>
      <c r="C68" s="6">
        <v>0</v>
      </c>
      <c r="D68" s="6">
        <v>0</v>
      </c>
      <c r="E68" s="6">
        <v>0</v>
      </c>
      <c r="F68" s="6">
        <v>475</v>
      </c>
      <c r="G68" s="7">
        <f t="shared" si="3"/>
        <v>475</v>
      </c>
      <c r="H68" s="14" t="s">
        <v>381</v>
      </c>
      <c r="I68" s="21" t="s">
        <v>318</v>
      </c>
      <c r="J68" s="21" t="s">
        <v>314</v>
      </c>
      <c r="K68" s="21" t="s">
        <v>314</v>
      </c>
      <c r="L68" s="21"/>
      <c r="M68" s="14" t="s">
        <v>402</v>
      </c>
    </row>
    <row r="69" spans="1:13" x14ac:dyDescent="0.25">
      <c r="A69" s="5" t="s">
        <v>154</v>
      </c>
      <c r="B69" s="9" t="s">
        <v>153</v>
      </c>
      <c r="C69" s="6">
        <v>442.61</v>
      </c>
      <c r="D69" s="6">
        <v>0</v>
      </c>
      <c r="E69" s="6">
        <v>0</v>
      </c>
      <c r="F69" s="6">
        <v>0</v>
      </c>
      <c r="G69" s="7">
        <f t="shared" si="3"/>
        <v>442.61</v>
      </c>
      <c r="H69" s="20" t="s">
        <v>367</v>
      </c>
      <c r="I69" s="21" t="s">
        <v>318</v>
      </c>
      <c r="J69" s="21" t="s">
        <v>310</v>
      </c>
      <c r="K69" s="21" t="s">
        <v>310</v>
      </c>
      <c r="L69" s="21">
        <v>504</v>
      </c>
      <c r="M69" s="20" t="s">
        <v>403</v>
      </c>
    </row>
    <row r="70" spans="1:13" x14ac:dyDescent="0.25">
      <c r="A70" s="5" t="s">
        <v>128</v>
      </c>
      <c r="B70" s="9" t="s">
        <v>127</v>
      </c>
      <c r="C70" s="6">
        <v>0</v>
      </c>
      <c r="D70" s="6">
        <v>0</v>
      </c>
      <c r="E70" s="6">
        <v>0</v>
      </c>
      <c r="F70" s="6">
        <v>375.73</v>
      </c>
      <c r="G70" s="7">
        <f t="shared" si="3"/>
        <v>375.73</v>
      </c>
      <c r="H70" s="20" t="s">
        <v>404</v>
      </c>
      <c r="I70" s="21" t="s">
        <v>318</v>
      </c>
      <c r="J70" s="21" t="s">
        <v>310</v>
      </c>
      <c r="K70" s="21" t="s">
        <v>310</v>
      </c>
      <c r="L70" s="21">
        <v>501</v>
      </c>
      <c r="M70" s="20"/>
    </row>
    <row r="71" spans="1:13" ht="30" x14ac:dyDescent="0.25">
      <c r="A71" s="5" t="s">
        <v>249</v>
      </c>
      <c r="B71" s="9" t="s">
        <v>248</v>
      </c>
      <c r="C71" s="6">
        <v>162.22999999999999</v>
      </c>
      <c r="D71" s="6">
        <v>161.86000000000001</v>
      </c>
      <c r="E71" s="6">
        <v>0</v>
      </c>
      <c r="F71" s="6">
        <v>0</v>
      </c>
      <c r="G71" s="7">
        <f t="shared" si="3"/>
        <v>324.09000000000003</v>
      </c>
      <c r="H71" s="20" t="s">
        <v>405</v>
      </c>
      <c r="I71" s="22">
        <v>45943</v>
      </c>
      <c r="J71" s="21" t="s">
        <v>310</v>
      </c>
      <c r="K71" s="21" t="s">
        <v>310</v>
      </c>
      <c r="L71" s="21" t="s">
        <v>393</v>
      </c>
      <c r="M71" s="20" t="s">
        <v>427</v>
      </c>
    </row>
    <row r="72" spans="1:13" x14ac:dyDescent="0.25">
      <c r="A72" s="5" t="s">
        <v>275</v>
      </c>
      <c r="B72" s="9" t="s">
        <v>274</v>
      </c>
      <c r="C72" s="6">
        <v>0</v>
      </c>
      <c r="D72" s="6">
        <v>0</v>
      </c>
      <c r="E72" s="6">
        <v>0</v>
      </c>
      <c r="F72" s="6">
        <v>303.52</v>
      </c>
      <c r="G72" s="7">
        <f t="shared" si="3"/>
        <v>303.52</v>
      </c>
      <c r="H72" s="20" t="s">
        <v>406</v>
      </c>
      <c r="I72" s="21" t="s">
        <v>318</v>
      </c>
      <c r="J72" s="21" t="s">
        <v>310</v>
      </c>
      <c r="K72" s="21" t="s">
        <v>314</v>
      </c>
      <c r="L72" s="21"/>
      <c r="M72" s="20" t="s">
        <v>377</v>
      </c>
    </row>
    <row r="73" spans="1:13" x14ac:dyDescent="0.25">
      <c r="A73" s="5" t="s">
        <v>219</v>
      </c>
      <c r="B73" s="9" t="s">
        <v>218</v>
      </c>
      <c r="C73" s="6">
        <v>216.68</v>
      </c>
      <c r="D73" s="6">
        <v>86.78</v>
      </c>
      <c r="E73" s="6">
        <v>0</v>
      </c>
      <c r="F73" s="6">
        <v>0</v>
      </c>
      <c r="G73" s="7">
        <f t="shared" si="3"/>
        <v>303.46000000000004</v>
      </c>
      <c r="H73" s="20" t="s">
        <v>383</v>
      </c>
      <c r="I73" s="21" t="s">
        <v>318</v>
      </c>
      <c r="J73" s="21" t="s">
        <v>310</v>
      </c>
      <c r="K73" s="21" t="s">
        <v>310</v>
      </c>
      <c r="L73" s="21">
        <v>503</v>
      </c>
      <c r="M73" s="20" t="s">
        <v>350</v>
      </c>
    </row>
    <row r="74" spans="1:13" ht="30" x14ac:dyDescent="0.25">
      <c r="A74" s="5" t="s">
        <v>199</v>
      </c>
      <c r="B74" s="9" t="s">
        <v>198</v>
      </c>
      <c r="C74" s="6">
        <v>0</v>
      </c>
      <c r="D74" s="6">
        <v>0</v>
      </c>
      <c r="E74" s="6">
        <v>0</v>
      </c>
      <c r="F74" s="6">
        <v>280</v>
      </c>
      <c r="G74" s="7">
        <f t="shared" si="3"/>
        <v>280</v>
      </c>
      <c r="H74" s="20" t="s">
        <v>328</v>
      </c>
      <c r="I74" s="21" t="s">
        <v>318</v>
      </c>
      <c r="J74" s="21" t="s">
        <v>310</v>
      </c>
      <c r="K74" s="21" t="s">
        <v>310</v>
      </c>
      <c r="L74" s="21"/>
      <c r="M74" s="20" t="s">
        <v>407</v>
      </c>
    </row>
    <row r="75" spans="1:13" ht="30" x14ac:dyDescent="0.25">
      <c r="A75" s="5" t="s">
        <v>227</v>
      </c>
      <c r="B75" s="9" t="s">
        <v>226</v>
      </c>
      <c r="C75" s="6">
        <v>0</v>
      </c>
      <c r="D75" s="6">
        <v>277.45999999999998</v>
      </c>
      <c r="E75" s="6">
        <v>210.28</v>
      </c>
      <c r="F75" s="6">
        <v>-210.28</v>
      </c>
      <c r="G75" s="7">
        <f t="shared" si="3"/>
        <v>277.46000000000004</v>
      </c>
      <c r="H75" s="20" t="s">
        <v>371</v>
      </c>
      <c r="I75" s="22">
        <v>45958</v>
      </c>
      <c r="J75" s="21" t="s">
        <v>310</v>
      </c>
      <c r="K75" s="21" t="s">
        <v>310</v>
      </c>
      <c r="L75" s="21">
        <v>306</v>
      </c>
      <c r="M75" s="20" t="s">
        <v>408</v>
      </c>
    </row>
    <row r="76" spans="1:13" ht="30" x14ac:dyDescent="0.25">
      <c r="A76" s="5" t="s">
        <v>231</v>
      </c>
      <c r="B76" s="9" t="s">
        <v>230</v>
      </c>
      <c r="C76" s="6">
        <v>0</v>
      </c>
      <c r="D76" s="6">
        <v>263.45999999999998</v>
      </c>
      <c r="E76" s="6">
        <v>0</v>
      </c>
      <c r="F76" s="6">
        <v>0</v>
      </c>
      <c r="G76" s="7">
        <f t="shared" si="3"/>
        <v>263.45999999999998</v>
      </c>
      <c r="H76" s="20" t="s">
        <v>409</v>
      </c>
      <c r="I76" s="22">
        <v>45958</v>
      </c>
      <c r="J76" s="21" t="s">
        <v>310</v>
      </c>
      <c r="K76" s="21" t="s">
        <v>310</v>
      </c>
      <c r="L76" s="23">
        <v>303304305306</v>
      </c>
      <c r="M76" s="20" t="s">
        <v>410</v>
      </c>
    </row>
    <row r="77" spans="1:13" ht="30" x14ac:dyDescent="0.25">
      <c r="A77" s="5" t="s">
        <v>66</v>
      </c>
      <c r="B77" s="9" t="s">
        <v>65</v>
      </c>
      <c r="C77" s="6">
        <v>0</v>
      </c>
      <c r="D77" s="6">
        <v>0</v>
      </c>
      <c r="E77" s="6">
        <v>257.25</v>
      </c>
      <c r="F77" s="6">
        <v>0</v>
      </c>
      <c r="G77" s="7">
        <f t="shared" si="3"/>
        <v>257.25</v>
      </c>
      <c r="H77" s="20" t="s">
        <v>411</v>
      </c>
      <c r="I77" s="21" t="s">
        <v>318</v>
      </c>
      <c r="J77" s="21" t="s">
        <v>314</v>
      </c>
      <c r="K77" s="21" t="s">
        <v>314</v>
      </c>
      <c r="L77" s="21"/>
      <c r="M77" s="20" t="s">
        <v>412</v>
      </c>
    </row>
    <row r="78" spans="1:13" ht="30" x14ac:dyDescent="0.25">
      <c r="A78" s="5" t="s">
        <v>285</v>
      </c>
      <c r="B78" s="9" t="s">
        <v>284</v>
      </c>
      <c r="C78" s="6">
        <v>0</v>
      </c>
      <c r="D78" s="6">
        <v>0</v>
      </c>
      <c r="E78" s="6">
        <v>240.28</v>
      </c>
      <c r="F78" s="6">
        <v>0.1</v>
      </c>
      <c r="G78" s="7">
        <f t="shared" si="3"/>
        <v>240.38</v>
      </c>
      <c r="H78" s="20" t="s">
        <v>380</v>
      </c>
      <c r="I78" s="21" t="s">
        <v>318</v>
      </c>
      <c r="J78" s="21" t="s">
        <v>310</v>
      </c>
      <c r="K78" s="21" t="s">
        <v>310</v>
      </c>
      <c r="L78" s="21">
        <v>108</v>
      </c>
      <c r="M78" s="20" t="s">
        <v>413</v>
      </c>
    </row>
    <row r="79" spans="1:13" x14ac:dyDescent="0.25">
      <c r="A79" s="5" t="s">
        <v>122</v>
      </c>
      <c r="B79" s="9" t="s">
        <v>121</v>
      </c>
      <c r="C79" s="6">
        <v>0</v>
      </c>
      <c r="D79" s="6">
        <v>0</v>
      </c>
      <c r="E79" s="6">
        <v>0</v>
      </c>
      <c r="F79" s="6">
        <v>240.03</v>
      </c>
      <c r="G79" s="7">
        <f t="shared" si="3"/>
        <v>240.03</v>
      </c>
      <c r="H79" s="20" t="s">
        <v>371</v>
      </c>
      <c r="I79" s="21" t="s">
        <v>318</v>
      </c>
      <c r="J79" s="21" t="s">
        <v>310</v>
      </c>
      <c r="K79" s="21" t="s">
        <v>310</v>
      </c>
      <c r="L79" s="21">
        <v>214</v>
      </c>
      <c r="M79" s="20" t="s">
        <v>350</v>
      </c>
    </row>
    <row r="80" spans="1:13" x14ac:dyDescent="0.25">
      <c r="A80" s="5" t="s">
        <v>259</v>
      </c>
      <c r="B80" s="9" t="s">
        <v>258</v>
      </c>
      <c r="C80" s="6">
        <v>0</v>
      </c>
      <c r="D80" s="6">
        <v>234.55</v>
      </c>
      <c r="E80" s="6">
        <v>0</v>
      </c>
      <c r="F80" s="6">
        <v>0</v>
      </c>
      <c r="G80" s="7">
        <f t="shared" si="3"/>
        <v>234.55</v>
      </c>
      <c r="H80" s="20" t="s">
        <v>414</v>
      </c>
      <c r="I80" s="21" t="s">
        <v>318</v>
      </c>
      <c r="J80" s="21" t="s">
        <v>310</v>
      </c>
      <c r="K80" s="21" t="s">
        <v>310</v>
      </c>
      <c r="L80" s="21"/>
      <c r="M80" s="20" t="s">
        <v>377</v>
      </c>
    </row>
    <row r="81" spans="1:13" x14ac:dyDescent="0.25">
      <c r="A81" s="5" t="s">
        <v>112</v>
      </c>
      <c r="B81" s="9" t="s">
        <v>111</v>
      </c>
      <c r="C81" s="6">
        <v>93.34</v>
      </c>
      <c r="D81" s="6">
        <v>0</v>
      </c>
      <c r="E81" s="6">
        <v>0</v>
      </c>
      <c r="F81" s="6">
        <v>133.69999999999999</v>
      </c>
      <c r="G81" s="7">
        <f t="shared" si="3"/>
        <v>227.04</v>
      </c>
      <c r="H81" s="20" t="s">
        <v>371</v>
      </c>
      <c r="I81" s="21" t="s">
        <v>318</v>
      </c>
      <c r="J81" s="21" t="s">
        <v>310</v>
      </c>
      <c r="K81" s="21" t="s">
        <v>310</v>
      </c>
      <c r="L81" s="21">
        <v>505</v>
      </c>
      <c r="M81" s="20" t="s">
        <v>415</v>
      </c>
    </row>
    <row r="82" spans="1:13" x14ac:dyDescent="0.25">
      <c r="A82" s="5" t="s">
        <v>233</v>
      </c>
      <c r="B82" s="9" t="s">
        <v>232</v>
      </c>
      <c r="C82" s="6">
        <v>0</v>
      </c>
      <c r="D82" s="6">
        <v>207.38</v>
      </c>
      <c r="E82" s="6">
        <v>0</v>
      </c>
      <c r="F82" s="6">
        <v>0</v>
      </c>
      <c r="G82" s="7">
        <f t="shared" si="3"/>
        <v>207.38</v>
      </c>
      <c r="H82" s="20" t="s">
        <v>416</v>
      </c>
      <c r="I82" s="21" t="s">
        <v>318</v>
      </c>
      <c r="J82" s="21" t="s">
        <v>310</v>
      </c>
      <c r="K82" s="21" t="s">
        <v>310</v>
      </c>
      <c r="L82" s="21" t="s">
        <v>393</v>
      </c>
      <c r="M82" s="20"/>
    </row>
    <row r="83" spans="1:13" x14ac:dyDescent="0.25">
      <c r="A83" s="5" t="s">
        <v>225</v>
      </c>
      <c r="B83" s="9" t="s">
        <v>224</v>
      </c>
      <c r="C83" s="6">
        <v>0</v>
      </c>
      <c r="D83" s="6">
        <v>0</v>
      </c>
      <c r="E83" s="6">
        <v>203.29</v>
      </c>
      <c r="F83" s="6">
        <v>0</v>
      </c>
      <c r="G83" s="7">
        <f t="shared" si="3"/>
        <v>203.29</v>
      </c>
      <c r="H83" s="20" t="s">
        <v>417</v>
      </c>
      <c r="I83" s="22">
        <v>45958</v>
      </c>
      <c r="J83" s="21" t="s">
        <v>310</v>
      </c>
      <c r="K83" s="21" t="s">
        <v>310</v>
      </c>
      <c r="L83" s="21">
        <v>308</v>
      </c>
      <c r="M83" s="20" t="s">
        <v>350</v>
      </c>
    </row>
    <row r="84" spans="1:13" ht="30" x14ac:dyDescent="0.25">
      <c r="A84" s="5" t="s">
        <v>152</v>
      </c>
      <c r="B84" s="9" t="s">
        <v>151</v>
      </c>
      <c r="C84" s="6">
        <v>0</v>
      </c>
      <c r="D84" s="6">
        <v>0</v>
      </c>
      <c r="E84" s="6">
        <v>187.45</v>
      </c>
      <c r="F84" s="6">
        <v>0</v>
      </c>
      <c r="G84" s="7">
        <f t="shared" si="3"/>
        <v>187.45</v>
      </c>
      <c r="H84" s="20" t="s">
        <v>380</v>
      </c>
      <c r="I84" s="22">
        <v>45958</v>
      </c>
      <c r="J84" s="21" t="s">
        <v>310</v>
      </c>
      <c r="K84" s="21" t="s">
        <v>310</v>
      </c>
      <c r="L84" s="21">
        <v>303</v>
      </c>
      <c r="M84" s="20" t="s">
        <v>418</v>
      </c>
    </row>
    <row r="85" spans="1:13" x14ac:dyDescent="0.25">
      <c r="A85" s="5" t="s">
        <v>120</v>
      </c>
      <c r="B85" s="9" t="s">
        <v>119</v>
      </c>
      <c r="C85" s="6">
        <v>0</v>
      </c>
      <c r="D85" s="6">
        <v>0</v>
      </c>
      <c r="E85" s="6">
        <v>0</v>
      </c>
      <c r="F85" s="6">
        <v>185.02</v>
      </c>
      <c r="G85" s="7">
        <f t="shared" si="3"/>
        <v>185.02</v>
      </c>
      <c r="H85" s="20" t="s">
        <v>419</v>
      </c>
      <c r="I85" s="22">
        <v>45959</v>
      </c>
      <c r="J85" s="21" t="s">
        <v>310</v>
      </c>
      <c r="K85" s="21" t="s">
        <v>314</v>
      </c>
      <c r="L85" s="21">
        <v>262</v>
      </c>
      <c r="M85" s="20" t="s">
        <v>350</v>
      </c>
    </row>
    <row r="86" spans="1:13" x14ac:dyDescent="0.25">
      <c r="A86" s="5" t="s">
        <v>53</v>
      </c>
      <c r="B86" s="9" t="s">
        <v>52</v>
      </c>
      <c r="C86" s="6">
        <v>0</v>
      </c>
      <c r="D86" s="6">
        <v>0</v>
      </c>
      <c r="E86" s="6">
        <v>0</v>
      </c>
      <c r="F86" s="6">
        <v>175.96</v>
      </c>
      <c r="G86" s="7">
        <f t="shared" si="3"/>
        <v>175.96</v>
      </c>
      <c r="H86" s="20" t="s">
        <v>371</v>
      </c>
      <c r="I86" s="22">
        <v>45959</v>
      </c>
      <c r="J86" s="21" t="s">
        <v>310</v>
      </c>
      <c r="K86" s="21" t="s">
        <v>310</v>
      </c>
      <c r="L86" s="21">
        <v>103</v>
      </c>
      <c r="M86" s="20" t="s">
        <v>350</v>
      </c>
    </row>
    <row r="87" spans="1:13" x14ac:dyDescent="0.25">
      <c r="A87" s="5" t="s">
        <v>72</v>
      </c>
      <c r="B87" s="9" t="s">
        <v>71</v>
      </c>
      <c r="C87" s="6">
        <v>0</v>
      </c>
      <c r="D87" s="6">
        <v>0</v>
      </c>
      <c r="E87" s="6">
        <v>0</v>
      </c>
      <c r="F87" s="6">
        <v>172.42</v>
      </c>
      <c r="G87" s="7">
        <f t="shared" si="3"/>
        <v>172.42</v>
      </c>
      <c r="H87" s="20" t="s">
        <v>429</v>
      </c>
      <c r="I87" s="21" t="s">
        <v>318</v>
      </c>
      <c r="J87" s="21" t="s">
        <v>314</v>
      </c>
      <c r="K87" s="21" t="s">
        <v>314</v>
      </c>
      <c r="L87" s="21"/>
      <c r="M87" s="20" t="s">
        <v>350</v>
      </c>
    </row>
    <row r="88" spans="1:13" x14ac:dyDescent="0.25">
      <c r="A88" s="5" t="s">
        <v>158</v>
      </c>
      <c r="B88" s="9" t="s">
        <v>157</v>
      </c>
      <c r="C88" s="6">
        <v>161.69999999999999</v>
      </c>
      <c r="D88" s="6">
        <v>0</v>
      </c>
      <c r="E88" s="6">
        <v>0</v>
      </c>
      <c r="F88" s="6">
        <v>0</v>
      </c>
      <c r="G88" s="7">
        <f t="shared" si="3"/>
        <v>161.69999999999999</v>
      </c>
      <c r="H88" s="20" t="s">
        <v>430</v>
      </c>
      <c r="I88" s="22">
        <v>45959</v>
      </c>
      <c r="J88" s="21" t="s">
        <v>310</v>
      </c>
      <c r="K88" s="21" t="s">
        <v>310</v>
      </c>
      <c r="L88" s="23">
        <v>304305306</v>
      </c>
      <c r="M88" s="20" t="s">
        <v>377</v>
      </c>
    </row>
    <row r="89" spans="1:13" x14ac:dyDescent="0.25">
      <c r="A89" s="5" t="s">
        <v>182</v>
      </c>
      <c r="B89" s="9" t="s">
        <v>181</v>
      </c>
      <c r="C89" s="6">
        <v>0</v>
      </c>
      <c r="D89" s="6">
        <v>0</v>
      </c>
      <c r="E89" s="6">
        <v>158.54</v>
      </c>
      <c r="F89" s="6">
        <v>0</v>
      </c>
      <c r="G89" s="7">
        <f t="shared" si="3"/>
        <v>158.54</v>
      </c>
      <c r="H89" s="14" t="s">
        <v>355</v>
      </c>
      <c r="I89" s="16" t="s">
        <v>318</v>
      </c>
      <c r="J89" s="16" t="s">
        <v>314</v>
      </c>
      <c r="K89" s="16" t="s">
        <v>314</v>
      </c>
      <c r="L89" s="16">
        <v>109</v>
      </c>
      <c r="M89" s="14" t="s">
        <v>350</v>
      </c>
    </row>
    <row r="90" spans="1:13" x14ac:dyDescent="0.25">
      <c r="A90" s="5" t="s">
        <v>92</v>
      </c>
      <c r="B90" s="9" t="s">
        <v>91</v>
      </c>
      <c r="C90" s="6">
        <v>53.48</v>
      </c>
      <c r="D90" s="6">
        <v>52.45</v>
      </c>
      <c r="E90" s="6">
        <v>52.45</v>
      </c>
      <c r="F90" s="6">
        <v>0</v>
      </c>
      <c r="G90" s="7">
        <f t="shared" si="3"/>
        <v>158.38</v>
      </c>
      <c r="H90" s="20" t="s">
        <v>431</v>
      </c>
      <c r="I90" s="21" t="s">
        <v>318</v>
      </c>
      <c r="J90" s="21" t="s">
        <v>310</v>
      </c>
      <c r="K90" s="21" t="s">
        <v>310</v>
      </c>
      <c r="L90" s="21" t="s">
        <v>393</v>
      </c>
      <c r="M90" s="20"/>
    </row>
    <row r="91" spans="1:13" x14ac:dyDescent="0.25">
      <c r="A91" s="5" t="s">
        <v>178</v>
      </c>
      <c r="B91" s="9" t="s">
        <v>177</v>
      </c>
      <c r="C91" s="6">
        <v>78.75</v>
      </c>
      <c r="D91" s="6">
        <v>0</v>
      </c>
      <c r="E91" s="6">
        <v>78.75</v>
      </c>
      <c r="F91" s="6">
        <v>0</v>
      </c>
      <c r="G91" s="7">
        <f t="shared" si="3"/>
        <v>157.5</v>
      </c>
      <c r="H91" s="20" t="s">
        <v>432</v>
      </c>
      <c r="I91" s="21" t="s">
        <v>318</v>
      </c>
      <c r="J91" s="21" t="s">
        <v>310</v>
      </c>
      <c r="K91" s="21" t="s">
        <v>310</v>
      </c>
      <c r="L91" s="21" t="s">
        <v>433</v>
      </c>
      <c r="M91" s="20" t="s">
        <v>433</v>
      </c>
    </row>
    <row r="92" spans="1:13" x14ac:dyDescent="0.25">
      <c r="A92" s="5" t="s">
        <v>269</v>
      </c>
      <c r="B92" s="9" t="s">
        <v>268</v>
      </c>
      <c r="C92" s="6">
        <v>0</v>
      </c>
      <c r="D92" s="6">
        <v>0</v>
      </c>
      <c r="E92" s="6">
        <v>151.19999999999999</v>
      </c>
      <c r="F92" s="6">
        <v>0</v>
      </c>
      <c r="G92" s="7">
        <f t="shared" si="3"/>
        <v>151.19999999999999</v>
      </c>
      <c r="H92" s="20" t="s">
        <v>378</v>
      </c>
      <c r="I92" s="22">
        <v>45958</v>
      </c>
      <c r="J92" s="21" t="s">
        <v>310</v>
      </c>
      <c r="K92" s="21" t="s">
        <v>310</v>
      </c>
      <c r="L92" s="21">
        <v>103</v>
      </c>
      <c r="M92" s="20"/>
    </row>
    <row r="93" spans="1:13" x14ac:dyDescent="0.25">
      <c r="A93" s="5" t="s">
        <v>170</v>
      </c>
      <c r="B93" s="9" t="s">
        <v>169</v>
      </c>
      <c r="C93" s="6">
        <v>141.97</v>
      </c>
      <c r="D93" s="6">
        <v>0</v>
      </c>
      <c r="E93" s="6">
        <v>0</v>
      </c>
      <c r="F93" s="6">
        <v>0</v>
      </c>
      <c r="G93" s="7">
        <f t="shared" si="3"/>
        <v>141.97</v>
      </c>
      <c r="H93" s="28" t="s">
        <v>380</v>
      </c>
      <c r="I93" s="29">
        <v>45957</v>
      </c>
      <c r="J93" s="27" t="s">
        <v>310</v>
      </c>
      <c r="K93" s="27" t="s">
        <v>310</v>
      </c>
      <c r="L93" s="27">
        <v>305</v>
      </c>
      <c r="M93" s="28" t="s">
        <v>434</v>
      </c>
    </row>
    <row r="94" spans="1:13" ht="30" x14ac:dyDescent="0.25">
      <c r="A94" s="5" t="s">
        <v>138</v>
      </c>
      <c r="B94" s="9" t="s">
        <v>137</v>
      </c>
      <c r="C94" s="6">
        <v>0</v>
      </c>
      <c r="D94" s="6">
        <v>-13.14</v>
      </c>
      <c r="E94" s="6">
        <v>96.8</v>
      </c>
      <c r="F94" s="6">
        <v>51.11</v>
      </c>
      <c r="G94" s="7">
        <f t="shared" si="3"/>
        <v>134.76999999999998</v>
      </c>
      <c r="H94" s="28" t="s">
        <v>436</v>
      </c>
      <c r="I94" s="27" t="s">
        <v>318</v>
      </c>
      <c r="J94" s="27" t="s">
        <v>310</v>
      </c>
      <c r="K94" s="27" t="s">
        <v>314</v>
      </c>
      <c r="L94" s="27">
        <v>108</v>
      </c>
      <c r="M94" s="28" t="s">
        <v>435</v>
      </c>
    </row>
    <row r="95" spans="1:13" ht="30" x14ac:dyDescent="0.25">
      <c r="A95" s="5" t="s">
        <v>108</v>
      </c>
      <c r="B95" s="9" t="s">
        <v>107</v>
      </c>
      <c r="C95" s="6">
        <v>0</v>
      </c>
      <c r="D95" s="6">
        <v>31.55</v>
      </c>
      <c r="E95" s="6">
        <v>34.020000000000003</v>
      </c>
      <c r="F95" s="6">
        <v>65.849999999999994</v>
      </c>
      <c r="G95" s="7">
        <f t="shared" si="3"/>
        <v>131.42000000000002</v>
      </c>
      <c r="H95" s="28" t="s">
        <v>419</v>
      </c>
      <c r="I95" s="29">
        <v>45959</v>
      </c>
      <c r="J95" s="27" t="s">
        <v>310</v>
      </c>
      <c r="K95" s="27" t="s">
        <v>310</v>
      </c>
      <c r="L95" s="27">
        <v>50</v>
      </c>
      <c r="M95" s="28" t="s">
        <v>426</v>
      </c>
    </row>
    <row r="96" spans="1:13" x14ac:dyDescent="0.25">
      <c r="A96" s="5" t="s">
        <v>118</v>
      </c>
      <c r="B96" s="9" t="s">
        <v>117</v>
      </c>
      <c r="C96" s="6">
        <v>0</v>
      </c>
      <c r="D96" s="6">
        <v>0</v>
      </c>
      <c r="E96" s="6">
        <v>0</v>
      </c>
      <c r="F96" s="6">
        <v>119.86</v>
      </c>
      <c r="G96" s="7">
        <f t="shared" si="3"/>
        <v>119.86</v>
      </c>
      <c r="H96" s="28" t="s">
        <v>367</v>
      </c>
      <c r="I96" s="29">
        <v>45959</v>
      </c>
      <c r="J96" s="27" t="s">
        <v>310</v>
      </c>
      <c r="K96" s="27" t="s">
        <v>314</v>
      </c>
      <c r="L96" s="27">
        <v>211</v>
      </c>
      <c r="M96" s="28" t="s">
        <v>350</v>
      </c>
    </row>
    <row r="97" spans="1:13" x14ac:dyDescent="0.25">
      <c r="A97" s="5" t="s">
        <v>195</v>
      </c>
      <c r="B97" s="9" t="s">
        <v>194</v>
      </c>
      <c r="C97" s="6">
        <v>0</v>
      </c>
      <c r="D97" s="6">
        <v>0</v>
      </c>
      <c r="E97" s="6">
        <v>119.7</v>
      </c>
      <c r="F97" s="6">
        <v>0</v>
      </c>
      <c r="G97" s="7">
        <f t="shared" si="3"/>
        <v>119.7</v>
      </c>
      <c r="H97" s="28" t="s">
        <v>437</v>
      </c>
      <c r="I97" s="27" t="s">
        <v>318</v>
      </c>
      <c r="J97" s="27" t="s">
        <v>310</v>
      </c>
      <c r="K97" s="27" t="s">
        <v>314</v>
      </c>
      <c r="L97" s="27">
        <v>308</v>
      </c>
      <c r="M97" s="28" t="s">
        <v>350</v>
      </c>
    </row>
    <row r="98" spans="1:13" ht="45" x14ac:dyDescent="0.25">
      <c r="A98" s="5" t="s">
        <v>277</v>
      </c>
      <c r="B98" s="9" t="s">
        <v>276</v>
      </c>
      <c r="C98" s="6">
        <v>0</v>
      </c>
      <c r="D98" s="6">
        <v>0</v>
      </c>
      <c r="E98" s="6">
        <v>0</v>
      </c>
      <c r="F98" s="6">
        <v>100</v>
      </c>
      <c r="G98" s="7">
        <f t="shared" si="3"/>
        <v>100</v>
      </c>
      <c r="H98" s="28" t="s">
        <v>438</v>
      </c>
      <c r="I98" s="27"/>
      <c r="J98" s="27"/>
      <c r="K98" s="27"/>
      <c r="L98" s="27">
        <v>260</v>
      </c>
      <c r="M98" s="28" t="s">
        <v>439</v>
      </c>
    </row>
    <row r="99" spans="1:13" x14ac:dyDescent="0.25">
      <c r="A99" s="5" t="s">
        <v>98</v>
      </c>
      <c r="B99" s="9" t="s">
        <v>97</v>
      </c>
      <c r="C99" s="6">
        <v>0</v>
      </c>
      <c r="D99" s="6">
        <v>0</v>
      </c>
      <c r="E99" s="6">
        <v>0</v>
      </c>
      <c r="F99" s="6">
        <v>99.4</v>
      </c>
      <c r="G99" s="7">
        <f t="shared" ref="G99:G130" si="4">SUM(C99:F99)</f>
        <v>99.4</v>
      </c>
      <c r="H99" s="28" t="s">
        <v>367</v>
      </c>
      <c r="I99" s="29">
        <v>45959</v>
      </c>
      <c r="J99" s="27" t="s">
        <v>310</v>
      </c>
      <c r="K99" s="27" t="s">
        <v>314</v>
      </c>
      <c r="L99" s="27">
        <v>214</v>
      </c>
      <c r="M99" s="28" t="s">
        <v>350</v>
      </c>
    </row>
    <row r="100" spans="1:13" x14ac:dyDescent="0.25">
      <c r="A100" s="5" t="s">
        <v>267</v>
      </c>
      <c r="B100" s="9" t="s">
        <v>266</v>
      </c>
      <c r="C100" s="6">
        <v>0</v>
      </c>
      <c r="D100" s="6">
        <v>0</v>
      </c>
      <c r="E100" s="6">
        <v>98.76</v>
      </c>
      <c r="F100" s="6">
        <v>0</v>
      </c>
      <c r="G100" s="7">
        <f t="shared" si="4"/>
        <v>98.76</v>
      </c>
      <c r="H100" s="28" t="s">
        <v>440</v>
      </c>
      <c r="I100" s="29">
        <v>45959</v>
      </c>
      <c r="J100" s="27" t="s">
        <v>310</v>
      </c>
      <c r="K100" s="27" t="s">
        <v>314</v>
      </c>
      <c r="L100" s="27">
        <v>205</v>
      </c>
      <c r="M100" s="28" t="s">
        <v>350</v>
      </c>
    </row>
    <row r="101" spans="1:13" x14ac:dyDescent="0.25">
      <c r="A101" s="5" t="s">
        <v>70</v>
      </c>
      <c r="B101" s="9" t="s">
        <v>69</v>
      </c>
      <c r="C101" s="6">
        <v>0</v>
      </c>
      <c r="D101" s="6">
        <v>0</v>
      </c>
      <c r="E101" s="6">
        <v>0</v>
      </c>
      <c r="F101" s="6">
        <v>92.63</v>
      </c>
      <c r="G101" s="7">
        <f t="shared" si="4"/>
        <v>92.63</v>
      </c>
      <c r="H101" s="28" t="s">
        <v>440</v>
      </c>
      <c r="I101" s="27" t="s">
        <v>318</v>
      </c>
      <c r="J101" s="27" t="s">
        <v>310</v>
      </c>
      <c r="K101" s="27" t="s">
        <v>314</v>
      </c>
      <c r="L101" s="27">
        <v>261</v>
      </c>
      <c r="M101" s="28" t="s">
        <v>441</v>
      </c>
    </row>
    <row r="102" spans="1:13" ht="30" x14ac:dyDescent="0.25">
      <c r="A102" s="5" t="s">
        <v>79</v>
      </c>
      <c r="B102" s="9" t="s">
        <v>78</v>
      </c>
      <c r="C102" s="6">
        <v>79.34</v>
      </c>
      <c r="D102" s="6">
        <v>0</v>
      </c>
      <c r="E102" s="6">
        <v>0</v>
      </c>
      <c r="F102" s="6">
        <v>0</v>
      </c>
      <c r="G102" s="7">
        <f t="shared" si="4"/>
        <v>79.34</v>
      </c>
      <c r="H102" s="28" t="s">
        <v>440</v>
      </c>
      <c r="I102" s="29">
        <v>45959</v>
      </c>
      <c r="J102" s="27" t="s">
        <v>310</v>
      </c>
      <c r="K102" s="27" t="s">
        <v>310</v>
      </c>
      <c r="L102" s="27">
        <v>305</v>
      </c>
      <c r="M102" s="28" t="s">
        <v>442</v>
      </c>
    </row>
    <row r="103" spans="1:13" ht="30" x14ac:dyDescent="0.25">
      <c r="A103" s="5" t="s">
        <v>239</v>
      </c>
      <c r="B103" s="9" t="s">
        <v>238</v>
      </c>
      <c r="C103" s="6">
        <v>0</v>
      </c>
      <c r="D103" s="6">
        <v>0</v>
      </c>
      <c r="E103" s="6">
        <v>0</v>
      </c>
      <c r="F103" s="6">
        <v>76.86</v>
      </c>
      <c r="G103" s="7">
        <f t="shared" si="4"/>
        <v>76.86</v>
      </c>
      <c r="H103" s="14" t="s">
        <v>443</v>
      </c>
      <c r="I103" s="21" t="s">
        <v>318</v>
      </c>
      <c r="J103" s="21" t="s">
        <v>314</v>
      </c>
      <c r="K103" s="21" t="s">
        <v>314</v>
      </c>
      <c r="L103" s="21"/>
      <c r="M103" s="14" t="s">
        <v>402</v>
      </c>
    </row>
    <row r="104" spans="1:13" x14ac:dyDescent="0.25">
      <c r="A104" s="5" t="s">
        <v>263</v>
      </c>
      <c r="B104" s="9" t="s">
        <v>262</v>
      </c>
      <c r="C104" s="6">
        <v>0</v>
      </c>
      <c r="D104" s="6">
        <v>0</v>
      </c>
      <c r="E104" s="6">
        <v>0</v>
      </c>
      <c r="F104" s="6">
        <v>73.5</v>
      </c>
      <c r="G104" s="7">
        <f t="shared" si="4"/>
        <v>73.5</v>
      </c>
      <c r="H104" s="28" t="s">
        <v>444</v>
      </c>
      <c r="I104" s="29">
        <v>45959</v>
      </c>
      <c r="J104" s="27" t="s">
        <v>310</v>
      </c>
      <c r="K104" s="27" t="s">
        <v>310</v>
      </c>
      <c r="L104" s="27" t="s">
        <v>445</v>
      </c>
      <c r="M104" s="28" t="s">
        <v>446</v>
      </c>
    </row>
    <row r="105" spans="1:13" x14ac:dyDescent="0.25">
      <c r="A105" s="5" t="s">
        <v>75</v>
      </c>
      <c r="B105" s="9" t="s">
        <v>74</v>
      </c>
      <c r="C105" s="6">
        <v>0</v>
      </c>
      <c r="D105" s="6">
        <v>0</v>
      </c>
      <c r="E105" s="6">
        <v>0</v>
      </c>
      <c r="F105" s="6">
        <v>54.52</v>
      </c>
      <c r="G105" s="7">
        <f t="shared" si="4"/>
        <v>54.52</v>
      </c>
      <c r="H105" s="28" t="s">
        <v>440</v>
      </c>
      <c r="I105" s="29">
        <v>45957</v>
      </c>
      <c r="J105" s="27" t="s">
        <v>310</v>
      </c>
      <c r="K105" s="27" t="s">
        <v>310</v>
      </c>
      <c r="L105" s="27">
        <v>252</v>
      </c>
      <c r="M105" s="28" t="s">
        <v>350</v>
      </c>
    </row>
    <row r="106" spans="1:13" ht="30" x14ac:dyDescent="0.25">
      <c r="A106" s="5" t="s">
        <v>156</v>
      </c>
      <c r="B106" s="9" t="s">
        <v>155</v>
      </c>
      <c r="C106" s="6">
        <v>0</v>
      </c>
      <c r="D106" s="6">
        <v>49.96</v>
      </c>
      <c r="E106" s="6">
        <v>0</v>
      </c>
      <c r="F106" s="6">
        <v>0</v>
      </c>
      <c r="G106" s="7">
        <f t="shared" si="4"/>
        <v>49.96</v>
      </c>
      <c r="H106" s="28" t="s">
        <v>447</v>
      </c>
      <c r="I106" s="27" t="s">
        <v>318</v>
      </c>
      <c r="J106" s="27" t="s">
        <v>310</v>
      </c>
      <c r="K106" s="27" t="s">
        <v>310</v>
      </c>
      <c r="L106" s="27">
        <v>306</v>
      </c>
      <c r="M106" s="28" t="s">
        <v>448</v>
      </c>
    </row>
    <row r="107" spans="1:13" x14ac:dyDescent="0.25">
      <c r="A107" s="5" t="s">
        <v>136</v>
      </c>
      <c r="B107" s="9" t="s">
        <v>135</v>
      </c>
      <c r="C107" s="6">
        <v>0</v>
      </c>
      <c r="D107" s="6">
        <v>0</v>
      </c>
      <c r="E107" s="6">
        <v>0</v>
      </c>
      <c r="F107" s="6">
        <v>47.26</v>
      </c>
      <c r="G107" s="7">
        <f t="shared" si="4"/>
        <v>47.26</v>
      </c>
      <c r="H107" s="28" t="s">
        <v>367</v>
      </c>
      <c r="I107" s="29">
        <v>45957</v>
      </c>
      <c r="J107" s="27" t="s">
        <v>310</v>
      </c>
      <c r="K107" s="27" t="s">
        <v>314</v>
      </c>
      <c r="L107" s="27">
        <v>105</v>
      </c>
      <c r="M107" s="28" t="s">
        <v>350</v>
      </c>
    </row>
    <row r="108" spans="1:13" x14ac:dyDescent="0.25">
      <c r="A108" s="5" t="s">
        <v>293</v>
      </c>
      <c r="B108" s="9" t="s">
        <v>292</v>
      </c>
      <c r="C108" s="6">
        <v>0</v>
      </c>
      <c r="D108" s="6">
        <v>0</v>
      </c>
      <c r="E108" s="6">
        <v>36.75</v>
      </c>
      <c r="F108" s="6">
        <v>0</v>
      </c>
      <c r="G108" s="7">
        <f t="shared" si="4"/>
        <v>36.75</v>
      </c>
      <c r="H108" s="28" t="s">
        <v>380</v>
      </c>
      <c r="I108" s="27" t="s">
        <v>318</v>
      </c>
      <c r="J108" s="27" t="s">
        <v>310</v>
      </c>
      <c r="K108" s="27" t="s">
        <v>314</v>
      </c>
      <c r="L108" s="27">
        <v>220</v>
      </c>
      <c r="M108" s="28" t="s">
        <v>350</v>
      </c>
    </row>
    <row r="109" spans="1:13" x14ac:dyDescent="0.25">
      <c r="A109" s="5" t="s">
        <v>279</v>
      </c>
      <c r="B109" s="9" t="s">
        <v>278</v>
      </c>
      <c r="C109" s="6">
        <v>0</v>
      </c>
      <c r="D109" s="6">
        <v>0</v>
      </c>
      <c r="E109" s="6">
        <v>32.1</v>
      </c>
      <c r="F109" s="6">
        <v>0</v>
      </c>
      <c r="G109" s="7">
        <f t="shared" si="4"/>
        <v>32.1</v>
      </c>
      <c r="H109" s="28" t="s">
        <v>367</v>
      </c>
      <c r="I109" s="27" t="s">
        <v>318</v>
      </c>
      <c r="J109" s="27" t="s">
        <v>310</v>
      </c>
      <c r="K109" s="27" t="s">
        <v>314</v>
      </c>
      <c r="L109" s="27">
        <v>241</v>
      </c>
      <c r="M109" s="28" t="s">
        <v>350</v>
      </c>
    </row>
    <row r="110" spans="1:13" x14ac:dyDescent="0.25">
      <c r="A110" s="5" t="s">
        <v>110</v>
      </c>
      <c r="B110" s="9" t="s">
        <v>109</v>
      </c>
      <c r="C110" s="6">
        <v>0</v>
      </c>
      <c r="D110" s="6">
        <v>0</v>
      </c>
      <c r="E110" s="6">
        <v>27.39</v>
      </c>
      <c r="F110" s="6">
        <v>0</v>
      </c>
      <c r="G110" s="7">
        <f t="shared" si="4"/>
        <v>27.39</v>
      </c>
      <c r="H110" s="28" t="s">
        <v>367</v>
      </c>
      <c r="I110" s="27" t="s">
        <v>318</v>
      </c>
      <c r="J110" s="27" t="s">
        <v>310</v>
      </c>
      <c r="K110" s="27" t="s">
        <v>314</v>
      </c>
      <c r="L110" s="27">
        <v>501</v>
      </c>
      <c r="M110" s="28" t="s">
        <v>350</v>
      </c>
    </row>
    <row r="111" spans="1:13" ht="30" x14ac:dyDescent="0.25">
      <c r="A111" s="5" t="s">
        <v>221</v>
      </c>
      <c r="B111" s="9" t="s">
        <v>220</v>
      </c>
      <c r="C111" s="6">
        <v>0</v>
      </c>
      <c r="D111" s="6">
        <v>0</v>
      </c>
      <c r="E111" s="6">
        <v>27.3</v>
      </c>
      <c r="F111" s="6">
        <v>0</v>
      </c>
      <c r="G111" s="7">
        <f t="shared" si="4"/>
        <v>27.3</v>
      </c>
      <c r="H111" s="28" t="s">
        <v>449</v>
      </c>
      <c r="I111" s="27"/>
      <c r="J111" s="27"/>
      <c r="K111" s="27"/>
      <c r="L111" s="27">
        <v>304</v>
      </c>
      <c r="M111" s="28" t="s">
        <v>442</v>
      </c>
    </row>
    <row r="112" spans="1:13" x14ac:dyDescent="0.25">
      <c r="A112" s="5" t="s">
        <v>186</v>
      </c>
      <c r="B112" s="9" t="s">
        <v>185</v>
      </c>
      <c r="C112" s="6">
        <v>0</v>
      </c>
      <c r="D112" s="6">
        <v>0</v>
      </c>
      <c r="E112" s="6">
        <v>27.17</v>
      </c>
      <c r="F112" s="6">
        <v>0</v>
      </c>
      <c r="G112" s="7">
        <f t="shared" si="4"/>
        <v>27.17</v>
      </c>
      <c r="H112" s="28" t="s">
        <v>440</v>
      </c>
      <c r="I112" s="27" t="s">
        <v>318</v>
      </c>
      <c r="J112" s="27" t="s">
        <v>310</v>
      </c>
      <c r="K112" s="27" t="s">
        <v>314</v>
      </c>
      <c r="L112" s="27">
        <v>102</v>
      </c>
      <c r="M112" s="28" t="s">
        <v>350</v>
      </c>
    </row>
    <row r="113" spans="1:13" x14ac:dyDescent="0.25">
      <c r="A113" s="5" t="s">
        <v>164</v>
      </c>
      <c r="B113" s="9" t="s">
        <v>163</v>
      </c>
      <c r="C113" s="6">
        <v>0</v>
      </c>
      <c r="D113" s="6">
        <v>0</v>
      </c>
      <c r="E113" s="6">
        <v>0</v>
      </c>
      <c r="F113" s="6">
        <v>20.99</v>
      </c>
      <c r="G113" s="7">
        <f t="shared" si="4"/>
        <v>20.99</v>
      </c>
      <c r="H113" s="28" t="s">
        <v>450</v>
      </c>
      <c r="I113" s="27" t="s">
        <v>318</v>
      </c>
      <c r="J113" s="27" t="s">
        <v>314</v>
      </c>
      <c r="K113" s="27" t="s">
        <v>314</v>
      </c>
      <c r="L113" s="27"/>
      <c r="M113" s="28"/>
    </row>
    <row r="114" spans="1:13" x14ac:dyDescent="0.25">
      <c r="A114" s="5" t="s">
        <v>48</v>
      </c>
      <c r="B114" s="9" t="s">
        <v>47</v>
      </c>
      <c r="C114" s="6">
        <v>0</v>
      </c>
      <c r="D114" s="6">
        <v>0</v>
      </c>
      <c r="E114" s="6">
        <v>0</v>
      </c>
      <c r="F114" s="6">
        <v>1.71</v>
      </c>
      <c r="G114" s="7">
        <f t="shared" si="4"/>
        <v>1.71</v>
      </c>
      <c r="H114" s="28" t="s">
        <v>367</v>
      </c>
      <c r="I114" s="27" t="s">
        <v>318</v>
      </c>
      <c r="J114" s="27" t="s">
        <v>310</v>
      </c>
      <c r="K114" s="27" t="s">
        <v>314</v>
      </c>
      <c r="L114" s="27"/>
      <c r="M114" s="28" t="s">
        <v>451</v>
      </c>
    </row>
    <row r="115" spans="1:13" x14ac:dyDescent="0.25">
      <c r="A115" s="5" t="s">
        <v>193</v>
      </c>
      <c r="B115" s="9" t="s">
        <v>192</v>
      </c>
      <c r="C115" s="6">
        <v>0</v>
      </c>
      <c r="D115" s="6">
        <v>0</v>
      </c>
      <c r="E115" s="6">
        <v>0</v>
      </c>
      <c r="F115" s="6">
        <v>-1.73</v>
      </c>
      <c r="G115" s="7">
        <f t="shared" si="4"/>
        <v>-1.73</v>
      </c>
      <c r="H115" s="28"/>
      <c r="I115" s="27"/>
      <c r="J115" s="27"/>
      <c r="K115" s="27"/>
      <c r="L115" s="27"/>
      <c r="M115" s="28" t="s">
        <v>451</v>
      </c>
    </row>
    <row r="116" spans="1:13" ht="30" x14ac:dyDescent="0.25">
      <c r="A116" s="5" t="s">
        <v>88</v>
      </c>
      <c r="B116" s="9" t="s">
        <v>87</v>
      </c>
      <c r="C116" s="6">
        <v>0</v>
      </c>
      <c r="D116" s="6">
        <v>0</v>
      </c>
      <c r="E116" s="6">
        <v>0</v>
      </c>
      <c r="F116" s="6">
        <v>-1.75</v>
      </c>
      <c r="G116" s="7">
        <f t="shared" si="4"/>
        <v>-1.75</v>
      </c>
      <c r="H116" s="28"/>
      <c r="I116" s="27"/>
      <c r="J116" s="27"/>
      <c r="K116" s="27"/>
      <c r="L116" s="27"/>
      <c r="M116" s="28" t="s">
        <v>452</v>
      </c>
    </row>
    <row r="117" spans="1:13" ht="30" x14ac:dyDescent="0.25">
      <c r="A117" s="5" t="s">
        <v>84</v>
      </c>
      <c r="B117" s="9" t="s">
        <v>83</v>
      </c>
      <c r="C117" s="6">
        <v>0</v>
      </c>
      <c r="D117" s="6">
        <v>0</v>
      </c>
      <c r="E117" s="6">
        <v>0</v>
      </c>
      <c r="F117" s="6">
        <v>-9.35</v>
      </c>
      <c r="G117" s="7">
        <f t="shared" si="4"/>
        <v>-9.35</v>
      </c>
      <c r="H117" s="28"/>
      <c r="I117" s="27"/>
      <c r="J117" s="27"/>
      <c r="K117" s="27"/>
      <c r="L117" s="27"/>
      <c r="M117" s="28" t="s">
        <v>452</v>
      </c>
    </row>
    <row r="118" spans="1:13" ht="30" x14ac:dyDescent="0.25">
      <c r="A118" s="5" t="s">
        <v>86</v>
      </c>
      <c r="B118" s="9" t="s">
        <v>85</v>
      </c>
      <c r="C118" s="6">
        <v>0</v>
      </c>
      <c r="D118" s="6">
        <v>0</v>
      </c>
      <c r="E118" s="6">
        <v>0</v>
      </c>
      <c r="F118" s="6">
        <v>-20.86</v>
      </c>
      <c r="G118" s="7">
        <f t="shared" si="4"/>
        <v>-20.86</v>
      </c>
      <c r="H118" s="28"/>
      <c r="I118" s="27"/>
      <c r="J118" s="27"/>
      <c r="K118" s="27"/>
      <c r="L118" s="27"/>
      <c r="M118" s="28" t="s">
        <v>452</v>
      </c>
    </row>
    <row r="119" spans="1:13" ht="30" x14ac:dyDescent="0.25">
      <c r="A119" s="5" t="s">
        <v>265</v>
      </c>
      <c r="B119" s="9" t="s">
        <v>264</v>
      </c>
      <c r="C119" s="6">
        <v>0</v>
      </c>
      <c r="D119" s="6">
        <v>-26.45</v>
      </c>
      <c r="E119" s="6">
        <v>0</v>
      </c>
      <c r="F119" s="6">
        <v>0</v>
      </c>
      <c r="G119" s="7">
        <f t="shared" si="4"/>
        <v>-26.45</v>
      </c>
      <c r="H119" s="28"/>
      <c r="I119" s="27"/>
      <c r="J119" s="27"/>
      <c r="K119" s="27"/>
      <c r="L119" s="27"/>
      <c r="M119" s="28" t="s">
        <v>452</v>
      </c>
    </row>
    <row r="120" spans="1:13" x14ac:dyDescent="0.25">
      <c r="A120" s="5" t="s">
        <v>59</v>
      </c>
      <c r="B120" s="9" t="s">
        <v>58</v>
      </c>
      <c r="C120" s="6">
        <v>0</v>
      </c>
      <c r="D120" s="6">
        <v>0</v>
      </c>
      <c r="E120" s="6">
        <v>0</v>
      </c>
      <c r="F120" s="6">
        <v>-57.75</v>
      </c>
      <c r="G120" s="7">
        <f t="shared" si="4"/>
        <v>-57.75</v>
      </c>
      <c r="H120" s="28"/>
      <c r="I120" s="27"/>
      <c r="J120" s="27"/>
      <c r="K120" s="27"/>
      <c r="L120" s="27"/>
      <c r="M120" s="28" t="s">
        <v>453</v>
      </c>
    </row>
    <row r="121" spans="1:13" x14ac:dyDescent="0.25">
      <c r="A121" s="5" t="s">
        <v>77</v>
      </c>
      <c r="B121" s="9" t="s">
        <v>76</v>
      </c>
      <c r="C121" s="6">
        <v>0</v>
      </c>
      <c r="D121" s="6">
        <v>0</v>
      </c>
      <c r="E121" s="6">
        <v>0</v>
      </c>
      <c r="F121" s="6">
        <v>-72.33</v>
      </c>
      <c r="G121" s="7">
        <f t="shared" si="4"/>
        <v>-72.33</v>
      </c>
      <c r="H121" s="28"/>
      <c r="I121" s="27"/>
      <c r="J121" s="27"/>
      <c r="K121" s="27"/>
      <c r="L121" s="27"/>
      <c r="M121" s="28" t="s">
        <v>454</v>
      </c>
    </row>
    <row r="122" spans="1:13" x14ac:dyDescent="0.25">
      <c r="A122" s="5" t="s">
        <v>229</v>
      </c>
      <c r="B122" s="9" t="s">
        <v>228</v>
      </c>
      <c r="C122" s="6">
        <v>0</v>
      </c>
      <c r="D122" s="6">
        <v>-114.87</v>
      </c>
      <c r="E122" s="6">
        <v>0</v>
      </c>
      <c r="F122" s="6">
        <v>0</v>
      </c>
      <c r="G122" s="7">
        <f t="shared" si="4"/>
        <v>-114.87</v>
      </c>
      <c r="H122" s="28"/>
      <c r="I122" s="27"/>
      <c r="J122" s="27"/>
      <c r="K122" s="27"/>
      <c r="L122" s="27"/>
      <c r="M122" s="28" t="s">
        <v>455</v>
      </c>
    </row>
    <row r="123" spans="1:13" ht="30" x14ac:dyDescent="0.25">
      <c r="A123" s="5" t="s">
        <v>55</v>
      </c>
      <c r="B123" s="9" t="s">
        <v>54</v>
      </c>
      <c r="C123" s="6">
        <v>0</v>
      </c>
      <c r="D123" s="6">
        <v>0</v>
      </c>
      <c r="E123" s="6">
        <v>0</v>
      </c>
      <c r="F123" s="6">
        <v>-273.12</v>
      </c>
      <c r="G123" s="7">
        <f t="shared" si="4"/>
        <v>-273.12</v>
      </c>
      <c r="H123" s="13"/>
      <c r="I123" s="5"/>
      <c r="J123" s="5"/>
      <c r="K123" s="5"/>
      <c r="L123" s="5"/>
      <c r="M123" s="13" t="s">
        <v>456</v>
      </c>
    </row>
    <row r="124" spans="1:13" ht="30" x14ac:dyDescent="0.25">
      <c r="A124" s="5" t="s">
        <v>223</v>
      </c>
      <c r="B124" s="9" t="s">
        <v>222</v>
      </c>
      <c r="C124" s="6">
        <v>0</v>
      </c>
      <c r="D124" s="6">
        <v>0</v>
      </c>
      <c r="E124" s="6">
        <v>0</v>
      </c>
      <c r="F124" s="6">
        <v>-314.39999999999998</v>
      </c>
      <c r="G124" s="7">
        <f t="shared" si="4"/>
        <v>-314.39999999999998</v>
      </c>
      <c r="H124" s="13"/>
      <c r="I124" s="5"/>
      <c r="J124" s="5"/>
      <c r="K124" s="5"/>
      <c r="L124" s="5"/>
      <c r="M124" s="13" t="s">
        <v>456</v>
      </c>
    </row>
    <row r="125" spans="1:13" ht="30" x14ac:dyDescent="0.25">
      <c r="A125" s="5" t="s">
        <v>106</v>
      </c>
      <c r="B125" s="9" t="s">
        <v>105</v>
      </c>
      <c r="C125" s="6">
        <v>0</v>
      </c>
      <c r="D125" s="6">
        <v>38.090000000000003</v>
      </c>
      <c r="E125" s="6">
        <v>57.43</v>
      </c>
      <c r="F125" s="6">
        <v>-558.61</v>
      </c>
      <c r="G125" s="7">
        <f t="shared" si="4"/>
        <v>-463.09000000000003</v>
      </c>
      <c r="H125" s="13"/>
      <c r="I125" s="5"/>
      <c r="J125" s="5"/>
      <c r="K125" s="5"/>
      <c r="L125" s="5"/>
      <c r="M125" s="13" t="s">
        <v>456</v>
      </c>
    </row>
    <row r="126" spans="1:13" ht="30" x14ac:dyDescent="0.25">
      <c r="A126" s="5" t="s">
        <v>188</v>
      </c>
      <c r="B126" s="9" t="s">
        <v>187</v>
      </c>
      <c r="C126" s="6">
        <v>0</v>
      </c>
      <c r="D126" s="6">
        <v>0</v>
      </c>
      <c r="E126" s="6">
        <v>0</v>
      </c>
      <c r="F126" s="6">
        <v>-595.35</v>
      </c>
      <c r="G126" s="7">
        <f t="shared" si="4"/>
        <v>-595.35</v>
      </c>
      <c r="H126" s="13"/>
      <c r="I126" s="5"/>
      <c r="J126" s="5"/>
      <c r="K126" s="5"/>
      <c r="L126" s="5"/>
      <c r="M126" s="13" t="s">
        <v>456</v>
      </c>
    </row>
    <row r="127" spans="1:13" ht="30" x14ac:dyDescent="0.25">
      <c r="A127" s="5" t="s">
        <v>116</v>
      </c>
      <c r="B127" s="9" t="s">
        <v>115</v>
      </c>
      <c r="C127" s="6">
        <v>0</v>
      </c>
      <c r="D127" s="6">
        <v>0</v>
      </c>
      <c r="E127" s="6">
        <v>0</v>
      </c>
      <c r="F127" s="6">
        <v>-858.33</v>
      </c>
      <c r="G127" s="7">
        <f t="shared" si="4"/>
        <v>-858.33</v>
      </c>
      <c r="H127" s="13"/>
      <c r="I127" s="5"/>
      <c r="J127" s="5"/>
      <c r="K127" s="5"/>
      <c r="L127" s="5"/>
      <c r="M127" s="13" t="s">
        <v>456</v>
      </c>
    </row>
    <row r="128" spans="1:13" ht="30" x14ac:dyDescent="0.25">
      <c r="A128" s="5" t="s">
        <v>114</v>
      </c>
      <c r="B128" s="9" t="s">
        <v>113</v>
      </c>
      <c r="C128" s="6">
        <v>0</v>
      </c>
      <c r="D128" s="6">
        <v>0</v>
      </c>
      <c r="E128" s="6">
        <v>0</v>
      </c>
      <c r="F128" s="6">
        <v>-976</v>
      </c>
      <c r="G128" s="7">
        <f t="shared" si="4"/>
        <v>-976</v>
      </c>
      <c r="H128" s="13"/>
      <c r="I128" s="5"/>
      <c r="J128" s="5"/>
      <c r="K128" s="5"/>
      <c r="L128" s="5"/>
      <c r="M128" s="13" t="s">
        <v>456</v>
      </c>
    </row>
    <row r="129" spans="1:13" ht="30" x14ac:dyDescent="0.25">
      <c r="A129" s="5" t="s">
        <v>68</v>
      </c>
      <c r="B129" s="9" t="s">
        <v>67</v>
      </c>
      <c r="C129" s="6">
        <v>0</v>
      </c>
      <c r="D129" s="6">
        <v>0</v>
      </c>
      <c r="E129" s="6">
        <v>0</v>
      </c>
      <c r="F129" s="6">
        <v>-1257.3599999999999</v>
      </c>
      <c r="G129" s="7">
        <f t="shared" si="4"/>
        <v>-1257.3599999999999</v>
      </c>
      <c r="H129" s="13"/>
      <c r="I129" s="5"/>
      <c r="J129" s="5"/>
      <c r="K129" s="5"/>
      <c r="L129" s="5"/>
      <c r="M129" s="13" t="s">
        <v>456</v>
      </c>
    </row>
    <row r="130" spans="1:13" ht="30" x14ac:dyDescent="0.25">
      <c r="A130" s="5" t="s">
        <v>144</v>
      </c>
      <c r="B130" s="9" t="s">
        <v>143</v>
      </c>
      <c r="C130" s="6">
        <v>0</v>
      </c>
      <c r="D130" s="6">
        <v>0</v>
      </c>
      <c r="E130" s="6">
        <v>0</v>
      </c>
      <c r="F130" s="6">
        <v>-2770.04</v>
      </c>
      <c r="G130" s="7">
        <f t="shared" si="4"/>
        <v>-2770.04</v>
      </c>
      <c r="H130" s="28" t="s">
        <v>398</v>
      </c>
      <c r="I130" s="27" t="s">
        <v>318</v>
      </c>
      <c r="J130" s="27" t="s">
        <v>314</v>
      </c>
      <c r="K130" s="27" t="s">
        <v>314</v>
      </c>
      <c r="L130" s="27" t="s">
        <v>399</v>
      </c>
      <c r="M130" s="28" t="s">
        <v>400</v>
      </c>
    </row>
    <row r="131" spans="1:13" ht="30" x14ac:dyDescent="0.25">
      <c r="A131" s="5" t="s">
        <v>102</v>
      </c>
      <c r="B131" s="9" t="s">
        <v>101</v>
      </c>
      <c r="C131" s="6">
        <v>0</v>
      </c>
      <c r="D131" s="6">
        <v>0</v>
      </c>
      <c r="E131" s="6">
        <v>0</v>
      </c>
      <c r="F131" s="6">
        <v>-15569.96</v>
      </c>
      <c r="G131" s="7">
        <f t="shared" ref="G131" si="5">SUM(C131:F131)</f>
        <v>-15569.96</v>
      </c>
      <c r="H131" s="13"/>
      <c r="I131" s="5"/>
      <c r="J131" s="5"/>
      <c r="K131" s="5"/>
      <c r="L131" s="5"/>
      <c r="M131" s="13" t="s">
        <v>456</v>
      </c>
    </row>
    <row r="132" spans="1:13" ht="30" x14ac:dyDescent="0.25">
      <c r="A132" s="5" t="s">
        <v>423</v>
      </c>
      <c r="B132" s="5" t="s">
        <v>424</v>
      </c>
      <c r="C132" s="25">
        <v>9804</v>
      </c>
      <c r="D132" s="24"/>
      <c r="E132" s="24"/>
      <c r="F132" s="24"/>
      <c r="G132" s="24"/>
      <c r="H132" s="26" t="s">
        <v>425</v>
      </c>
      <c r="I132" s="27"/>
      <c r="J132" s="27"/>
      <c r="K132" s="27"/>
      <c r="L132" s="27">
        <v>105</v>
      </c>
      <c r="M132" s="26"/>
    </row>
  </sheetData>
  <autoFilter ref="A2:M132" xr:uid="{D0956A01-CA5B-4C96-853E-1DC517470BFE}">
    <sortState xmlns:xlrd2="http://schemas.microsoft.com/office/spreadsheetml/2017/richdata2" ref="A3:M131">
      <sortCondition descending="1" ref="G2"/>
    </sortState>
  </autoFilter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a7f14da-9d78-4d9a-95de-590491f3ea51">
      <Terms xmlns="http://schemas.microsoft.com/office/infopath/2007/PartnerControls"/>
    </lcf76f155ced4ddcb4097134ff3c332f>
    <TaxCatchAll xmlns="7fa1637e-887a-45ec-acd3-cc74de41e5d0" xsi:nil="true"/>
    <_Flow_SignoffStatus xmlns="fa7f14da-9d78-4d9a-95de-590491f3ea5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A6DACCAB89FD2479C5A4010B1ADAFD0" ma:contentTypeVersion="20" ma:contentTypeDescription="Create a new document." ma:contentTypeScope="" ma:versionID="da948cdb0f825d2fc223f5b5adc99c7f">
  <xsd:schema xmlns:xsd="http://www.w3.org/2001/XMLSchema" xmlns:xs="http://www.w3.org/2001/XMLSchema" xmlns:p="http://schemas.microsoft.com/office/2006/metadata/properties" xmlns:ns2="fa7f14da-9d78-4d9a-95de-590491f3ea51" xmlns:ns3="7fa1637e-887a-45ec-acd3-cc74de41e5d0" targetNamespace="http://schemas.microsoft.com/office/2006/metadata/properties" ma:root="true" ma:fieldsID="41cc82b0995d2995991a05c3286e8009" ns2:_="" ns3:_="">
    <xsd:import namespace="fa7f14da-9d78-4d9a-95de-590491f3ea51"/>
    <xsd:import namespace="7fa1637e-887a-45ec-acd3-cc74de41e5d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_Flow_SignoffStatu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7f14da-9d78-4d9a-95de-590491f3ea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1" nillable="true" ma:displayName="Sign-off status" ma:format="Dropdown" ma:internalName="Sign_x002d_off_x0020_status">
      <xsd:simpleType>
        <xsd:restriction base="dms:Choice">
          <xsd:enumeration value="Reviewed - HT"/>
          <xsd:enumeration value="Reviewed - PG"/>
        </xsd:restriction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4a2c0ee6-c5f2-4474-adc1-9115af5f700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a1637e-887a-45ec-acd3-cc74de41e5d0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bf1db52d-e7b8-4816-9b60-f13a5c92025b}" ma:internalName="TaxCatchAll" ma:showField="CatchAllData" ma:web="7fa1637e-887a-45ec-acd3-cc74de41e5d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B6A49FA-DB16-4890-B9C0-E4C59C4B75B7}">
  <ds:schemaRefs>
    <ds:schemaRef ds:uri="http://schemas.microsoft.com/office/2006/metadata/properties"/>
    <ds:schemaRef ds:uri="http://schemas.microsoft.com/office/infopath/2007/PartnerControls"/>
    <ds:schemaRef ds:uri="fa7f14da-9d78-4d9a-95de-590491f3ea51"/>
    <ds:schemaRef ds:uri="7fa1637e-887a-45ec-acd3-cc74de41e5d0"/>
  </ds:schemaRefs>
</ds:datastoreItem>
</file>

<file path=customXml/itemProps2.xml><?xml version="1.0" encoding="utf-8"?>
<ds:datastoreItem xmlns:ds="http://schemas.openxmlformats.org/officeDocument/2006/customXml" ds:itemID="{141576B5-AC4E-456C-97E5-56818B18173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D6E8391-4376-42C4-83D1-54610547907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a7f14da-9d78-4d9a-95de-590491f3ea51"/>
    <ds:schemaRef ds:uri="7fa1637e-887a-45ec-acd3-cc74de41e5d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1028 AP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Anya Beckett</cp:lastModifiedBy>
  <dcterms:created xsi:type="dcterms:W3CDTF">2025-10-28T17:43:40Z</dcterms:created>
  <dcterms:modified xsi:type="dcterms:W3CDTF">2025-10-31T19:37:28Z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0x010100DA6DACCAB89FD2479C5A4010B1ADAFD0</vt:lpwstr>
  </property>
  <property fmtid="{D5CDD505-2E9C-101B-9397-08002B2CF9AE}" pid="3" name="MediaServiceImageTags">
    <vt:lpwstr/>
  </property>
</Properties>
</file>