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ACCOUNTING 2023\1. Month End\2023 Fiscal Year\FY23 Forecast\"/>
    </mc:Choice>
  </mc:AlternateContent>
  <xr:revisionPtr revIDLastSave="0" documentId="13_ncr:1_{CE488EAE-9F1C-40D6-9936-C067A2BC4B36}" xr6:coauthVersionLast="47" xr6:coauthVersionMax="47" xr10:uidLastSave="{00000000-0000-0000-0000-000000000000}"/>
  <bookViews>
    <workbookView xWindow="-108" yWindow="-108" windowWidth="23256" windowHeight="13896" xr2:uid="{D85986F9-93A0-4BC5-9489-ED9C29ECB60A}"/>
  </bookViews>
  <sheets>
    <sheet name="IS - Summary" sheetId="1" r:id="rId1"/>
  </sheets>
  <definedNames>
    <definedName name="DURATION">#REF!</definedName>
    <definedName name="TRAT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6" i="1" l="1"/>
  <c r="H140" i="1"/>
  <c r="G137" i="1"/>
  <c r="O126" i="1"/>
  <c r="O125" i="1"/>
  <c r="O124" i="1"/>
  <c r="O123" i="1"/>
  <c r="O122" i="1"/>
  <c r="O121" i="1"/>
  <c r="O120" i="1"/>
  <c r="O119" i="1"/>
  <c r="O118" i="1"/>
  <c r="O117" i="1"/>
  <c r="O110" i="1"/>
  <c r="O109" i="1"/>
  <c r="O92" i="1"/>
  <c r="O45" i="1"/>
  <c r="AG28" i="1"/>
  <c r="N28" i="1" s="1"/>
  <c r="N135" i="1" s="1"/>
  <c r="AF28" i="1"/>
  <c r="M28" i="1" s="1"/>
  <c r="AE28" i="1"/>
  <c r="L28" i="1" s="1"/>
  <c r="AD28" i="1"/>
  <c r="K28" i="1" s="1"/>
  <c r="AC28" i="1"/>
  <c r="J28" i="1" s="1"/>
  <c r="J135" i="1" s="1"/>
  <c r="L145" i="1" s="1"/>
  <c r="AB28" i="1"/>
  <c r="I28" i="1" s="1"/>
  <c r="AA28" i="1"/>
  <c r="H28" i="1" s="1"/>
  <c r="Z28" i="1"/>
  <c r="G28" i="1" s="1"/>
  <c r="G135" i="1" s="1"/>
  <c r="I145" i="1" s="1"/>
  <c r="AG27" i="1"/>
  <c r="N27" i="1" s="1"/>
  <c r="N134" i="1" s="1"/>
  <c r="AF27" i="1"/>
  <c r="M27" i="1" s="1"/>
  <c r="AE27" i="1"/>
  <c r="L27" i="1" s="1"/>
  <c r="AD27" i="1"/>
  <c r="K27" i="1" s="1"/>
  <c r="AC27" i="1"/>
  <c r="J27" i="1" s="1"/>
  <c r="AB27" i="1"/>
  <c r="I27" i="1" s="1"/>
  <c r="AA27" i="1"/>
  <c r="H27" i="1" s="1"/>
  <c r="Z27" i="1"/>
  <c r="G27" i="1" s="1"/>
  <c r="AG26" i="1"/>
  <c r="N26" i="1" s="1"/>
  <c r="N133" i="1" s="1"/>
  <c r="AF26" i="1"/>
  <c r="M26" i="1" s="1"/>
  <c r="M133" i="1" s="1"/>
  <c r="AE26" i="1"/>
  <c r="L26" i="1" s="1"/>
  <c r="AD26" i="1"/>
  <c r="K26" i="1" s="1"/>
  <c r="K133" i="1" s="1"/>
  <c r="M143" i="1" s="1"/>
  <c r="AC26" i="1"/>
  <c r="J26" i="1" s="1"/>
  <c r="AB26" i="1"/>
  <c r="I26" i="1" s="1"/>
  <c r="I133" i="1" s="1"/>
  <c r="K143" i="1" s="1"/>
  <c r="AA26" i="1"/>
  <c r="H26" i="1" s="1"/>
  <c r="H133" i="1" s="1"/>
  <c r="J143" i="1" s="1"/>
  <c r="Z26" i="1"/>
  <c r="G26" i="1" s="1"/>
  <c r="G133" i="1" s="1"/>
  <c r="I143" i="1" s="1"/>
  <c r="AG25" i="1"/>
  <c r="N25" i="1" s="1"/>
  <c r="AF25" i="1"/>
  <c r="M25" i="1" s="1"/>
  <c r="M132" i="1" s="1"/>
  <c r="AE25" i="1"/>
  <c r="L25" i="1" s="1"/>
  <c r="L132" i="1" s="1"/>
  <c r="N142" i="1" s="1"/>
  <c r="AD25" i="1"/>
  <c r="K25" i="1" s="1"/>
  <c r="K132" i="1" s="1"/>
  <c r="M142" i="1" s="1"/>
  <c r="AC25" i="1"/>
  <c r="J25" i="1" s="1"/>
  <c r="AB25" i="1"/>
  <c r="I25" i="1" s="1"/>
  <c r="AA25" i="1"/>
  <c r="H25" i="1" s="1"/>
  <c r="Z25" i="1"/>
  <c r="G25" i="1" s="1"/>
  <c r="AG24" i="1"/>
  <c r="N24" i="1" s="1"/>
  <c r="AF24" i="1"/>
  <c r="M24" i="1" s="1"/>
  <c r="AE24" i="1"/>
  <c r="L24" i="1" s="1"/>
  <c r="AD24" i="1"/>
  <c r="K24" i="1" s="1"/>
  <c r="AC24" i="1"/>
  <c r="J24" i="1" s="1"/>
  <c r="J131" i="1" s="1"/>
  <c r="K141" i="1" s="1"/>
  <c r="AB24" i="1"/>
  <c r="I24" i="1" s="1"/>
  <c r="AA24" i="1"/>
  <c r="H24" i="1" s="1"/>
  <c r="Z24" i="1"/>
  <c r="G24" i="1" s="1"/>
  <c r="AG23" i="1"/>
  <c r="N23" i="1" s="1"/>
  <c r="N130" i="1" s="1"/>
  <c r="AF23" i="1"/>
  <c r="M23" i="1" s="1"/>
  <c r="AE23" i="1"/>
  <c r="L23" i="1" s="1"/>
  <c r="AD23" i="1"/>
  <c r="K23" i="1" s="1"/>
  <c r="AC23" i="1"/>
  <c r="J23" i="1" s="1"/>
  <c r="AB23" i="1"/>
  <c r="I23" i="1" s="1"/>
  <c r="AA23" i="1"/>
  <c r="H23" i="1" s="1"/>
  <c r="Z23" i="1"/>
  <c r="G23" i="1" s="1"/>
  <c r="AG22" i="1"/>
  <c r="N22" i="1" s="1"/>
  <c r="AF22" i="1"/>
  <c r="M22" i="1" s="1"/>
  <c r="AE22" i="1"/>
  <c r="L22" i="1" s="1"/>
  <c r="AD22" i="1"/>
  <c r="K22" i="1" s="1"/>
  <c r="AC22" i="1"/>
  <c r="J22" i="1" s="1"/>
  <c r="AB22" i="1"/>
  <c r="I22" i="1" s="1"/>
  <c r="I129" i="1" s="1"/>
  <c r="AA22" i="1"/>
  <c r="H22" i="1" s="1"/>
  <c r="H129" i="1" s="1"/>
  <c r="Z22" i="1"/>
  <c r="G22" i="1" s="1"/>
  <c r="AG21" i="1"/>
  <c r="N21" i="1" s="1"/>
  <c r="AF21" i="1"/>
  <c r="M21" i="1" s="1"/>
  <c r="AE21" i="1"/>
  <c r="L21" i="1" s="1"/>
  <c r="AD21" i="1"/>
  <c r="K21" i="1" s="1"/>
  <c r="AC21" i="1"/>
  <c r="J21" i="1" s="1"/>
  <c r="AB21" i="1"/>
  <c r="I21" i="1" s="1"/>
  <c r="AA21" i="1"/>
  <c r="H21" i="1" s="1"/>
  <c r="Z21" i="1"/>
  <c r="G21" i="1" s="1"/>
  <c r="H17" i="1"/>
  <c r="I17" i="1" s="1"/>
  <c r="J17" i="1" s="1"/>
  <c r="K17" i="1" s="1"/>
  <c r="L17" i="1" s="1"/>
  <c r="M17" i="1" s="1"/>
  <c r="N17" i="1" s="1"/>
  <c r="N8" i="1"/>
  <c r="M8" i="1"/>
  <c r="L8" i="1"/>
  <c r="K8" i="1"/>
  <c r="J8" i="1"/>
  <c r="I8" i="1"/>
  <c r="H8" i="1"/>
  <c r="G8" i="1"/>
  <c r="O6" i="1"/>
  <c r="O5" i="1"/>
  <c r="E3" i="1"/>
  <c r="C3" i="1"/>
  <c r="B3" i="1"/>
  <c r="K2" i="1"/>
  <c r="J2" i="1"/>
  <c r="O2" i="1" l="1"/>
  <c r="L42" i="1" a="1"/>
  <c r="L42" i="1" s="1"/>
  <c r="O99" i="1"/>
  <c r="O115" i="1"/>
  <c r="O107" i="1"/>
  <c r="O30" i="1"/>
  <c r="F65" i="1"/>
  <c r="O73" i="1"/>
  <c r="O88" i="1"/>
  <c r="G105" i="1"/>
  <c r="O77" i="1"/>
  <c r="O80" i="1"/>
  <c r="N105" i="1"/>
  <c r="N38" i="1"/>
  <c r="O53" i="1"/>
  <c r="O98" i="1"/>
  <c r="G36" i="1"/>
  <c r="O72" i="1"/>
  <c r="C33" i="1"/>
  <c r="C153" i="1" s="1"/>
  <c r="G39" i="1"/>
  <c r="M39" i="1"/>
  <c r="M35" i="1"/>
  <c r="B65" i="1"/>
  <c r="B155" i="1" s="1"/>
  <c r="H65" i="1"/>
  <c r="O51" i="1"/>
  <c r="O57" i="1"/>
  <c r="O68" i="1"/>
  <c r="O79" i="1"/>
  <c r="M105" i="1"/>
  <c r="J105" i="1"/>
  <c r="L35" i="1"/>
  <c r="G35" i="1"/>
  <c r="C65" i="1"/>
  <c r="C155" i="1" s="1"/>
  <c r="I65" i="1"/>
  <c r="O59" i="1"/>
  <c r="O55" i="1"/>
  <c r="H35" i="1"/>
  <c r="D65" i="1"/>
  <c r="D155" i="1" s="1"/>
  <c r="O63" i="1"/>
  <c r="O71" i="1"/>
  <c r="F105" i="1"/>
  <c r="I35" i="1"/>
  <c r="K42" i="1" a="1"/>
  <c r="K42" i="1" s="1"/>
  <c r="O31" i="1"/>
  <c r="E65" i="1"/>
  <c r="E155" i="1" s="1"/>
  <c r="O50" i="1"/>
  <c r="O67" i="1"/>
  <c r="O103" i="1"/>
  <c r="O58" i="1"/>
  <c r="O87" i="1"/>
  <c r="O47" i="1"/>
  <c r="O49" i="1"/>
  <c r="O76" i="1"/>
  <c r="O86" i="1"/>
  <c r="O89" i="1"/>
  <c r="B105" i="1"/>
  <c r="B157" i="1" s="1"/>
  <c r="O97" i="1"/>
  <c r="N65" i="1"/>
  <c r="O75" i="1"/>
  <c r="O84" i="1"/>
  <c r="O85" i="1"/>
  <c r="C105" i="1"/>
  <c r="O102" i="1"/>
  <c r="O104" i="1"/>
  <c r="G65" i="1"/>
  <c r="L105" i="1"/>
  <c r="J35" i="1"/>
  <c r="B33" i="1"/>
  <c r="B153" i="1" s="1"/>
  <c r="O52" i="1"/>
  <c r="O74" i="1"/>
  <c r="O83" i="1"/>
  <c r="D105" i="1"/>
  <c r="D157" i="1" s="1"/>
  <c r="O60" i="1"/>
  <c r="O32" i="1"/>
  <c r="J65" i="1"/>
  <c r="O62" i="1"/>
  <c r="F90" i="1"/>
  <c r="O82" i="1"/>
  <c r="E105" i="1"/>
  <c r="E157" i="1" s="1"/>
  <c r="D33" i="1"/>
  <c r="D153" i="1" s="1"/>
  <c r="K65" i="1"/>
  <c r="O101" i="1"/>
  <c r="B154" i="1"/>
  <c r="L65" i="1"/>
  <c r="B90" i="1"/>
  <c r="O66" i="1"/>
  <c r="K38" i="1"/>
  <c r="F33" i="1"/>
  <c r="F44" i="1" s="1"/>
  <c r="M65" i="1"/>
  <c r="O54" i="1"/>
  <c r="O56" i="1"/>
  <c r="O61" i="1"/>
  <c r="H105" i="1"/>
  <c r="K105" i="1"/>
  <c r="L38" i="1"/>
  <c r="O64" i="1"/>
  <c r="D90" i="1"/>
  <c r="D156" i="1" s="1"/>
  <c r="O70" i="1"/>
  <c r="O81" i="1"/>
  <c r="I105" i="1"/>
  <c r="O114" i="1"/>
  <c r="I9" i="1"/>
  <c r="H9" i="1"/>
  <c r="M38" i="1"/>
  <c r="E90" i="1"/>
  <c r="E156" i="1" s="1"/>
  <c r="O69" i="1"/>
  <c r="O100" i="1"/>
  <c r="H132" i="1"/>
  <c r="J142" i="1" s="1"/>
  <c r="H39" i="1"/>
  <c r="I134" i="1"/>
  <c r="J144" i="1" s="1"/>
  <c r="I41" i="1"/>
  <c r="I132" i="1"/>
  <c r="K142" i="1" s="1"/>
  <c r="I39" i="1"/>
  <c r="J132" i="1"/>
  <c r="L142" i="1" s="1"/>
  <c r="J39" i="1"/>
  <c r="L39" i="1"/>
  <c r="G40" i="1"/>
  <c r="L29" i="1"/>
  <c r="L33" i="1" s="1"/>
  <c r="H40" i="1"/>
  <c r="I40" i="1"/>
  <c r="H36" i="1"/>
  <c r="M40" i="1"/>
  <c r="K29" i="1"/>
  <c r="K33" i="1" s="1"/>
  <c r="I36" i="1"/>
  <c r="J139" i="1"/>
  <c r="K139" i="1"/>
  <c r="I29" i="1"/>
  <c r="I37" i="1"/>
  <c r="I130" i="1"/>
  <c r="K140" i="1" s="1"/>
  <c r="H131" i="1"/>
  <c r="I141" i="1" s="1"/>
  <c r="H38" i="1"/>
  <c r="G41" i="1"/>
  <c r="G134" i="1"/>
  <c r="H144" i="1" s="1"/>
  <c r="I135" i="1"/>
  <c r="K145" i="1" s="1"/>
  <c r="I42" i="1" a="1"/>
  <c r="I42" i="1" s="1"/>
  <c r="H37" i="1"/>
  <c r="H130" i="1"/>
  <c r="J140" i="1" s="1"/>
  <c r="J129" i="1"/>
  <c r="J36" i="1"/>
  <c r="M130" i="1"/>
  <c r="M37" i="1"/>
  <c r="K134" i="1"/>
  <c r="L144" i="1" s="1"/>
  <c r="K41" i="1"/>
  <c r="K36" i="1"/>
  <c r="K129" i="1"/>
  <c r="J133" i="1"/>
  <c r="L143" i="1" s="1"/>
  <c r="J40" i="1"/>
  <c r="L134" i="1"/>
  <c r="M144" i="1" s="1"/>
  <c r="L41" i="1"/>
  <c r="L36" i="1"/>
  <c r="L129" i="1"/>
  <c r="M134" i="1"/>
  <c r="N144" i="1" s="1"/>
  <c r="M41" i="1"/>
  <c r="J41" i="1"/>
  <c r="J134" i="1"/>
  <c r="K144" i="1" s="1"/>
  <c r="M42" i="1" a="1"/>
  <c r="M42" i="1" s="1"/>
  <c r="M135" i="1"/>
  <c r="M29" i="1"/>
  <c r="M36" i="1"/>
  <c r="M129" i="1"/>
  <c r="L40" i="1"/>
  <c r="L133" i="1"/>
  <c r="N143" i="1" s="1"/>
  <c r="G38" i="1"/>
  <c r="G131" i="1"/>
  <c r="H141" i="1" s="1"/>
  <c r="N36" i="1"/>
  <c r="N129" i="1"/>
  <c r="J130" i="1"/>
  <c r="L140" i="1" s="1"/>
  <c r="J37" i="1"/>
  <c r="N29" i="1"/>
  <c r="N35" i="1"/>
  <c r="N132" i="1"/>
  <c r="N39" i="1"/>
  <c r="H135" i="1"/>
  <c r="J145" i="1" s="1"/>
  <c r="H42" i="1" a="1"/>
  <c r="H42" i="1" s="1"/>
  <c r="I131" i="1"/>
  <c r="J141" i="1" s="1"/>
  <c r="I38" i="1"/>
  <c r="L130" i="1"/>
  <c r="N140" i="1" s="1"/>
  <c r="L37" i="1"/>
  <c r="H29" i="1"/>
  <c r="H134" i="1"/>
  <c r="I144" i="1" s="1"/>
  <c r="H41" i="1"/>
  <c r="K130" i="1"/>
  <c r="M140" i="1" s="1"/>
  <c r="K37" i="1"/>
  <c r="J29" i="1"/>
  <c r="G37" i="1"/>
  <c r="G130" i="1"/>
  <c r="I140" i="1" s="1"/>
  <c r="K131" i="1"/>
  <c r="L141" i="1" s="1"/>
  <c r="K135" i="1"/>
  <c r="M145" i="1" s="1"/>
  <c r="C154" i="1"/>
  <c r="L131" i="1"/>
  <c r="M141" i="1" s="1"/>
  <c r="L135" i="1"/>
  <c r="N145" i="1" s="1"/>
  <c r="D154" i="1"/>
  <c r="C90" i="1"/>
  <c r="M131" i="1"/>
  <c r="N141" i="1" s="1"/>
  <c r="E154" i="1"/>
  <c r="D3" i="1"/>
  <c r="M9" i="1"/>
  <c r="K35" i="1"/>
  <c r="K39" i="1"/>
  <c r="K40" i="1"/>
  <c r="N131" i="1"/>
  <c r="L9" i="1"/>
  <c r="G132" i="1"/>
  <c r="I142" i="1" s="1"/>
  <c r="O48" i="1"/>
  <c r="J42" i="1" a="1"/>
  <c r="J42" i="1" s="1"/>
  <c r="O46" i="1"/>
  <c r="N37" i="1"/>
  <c r="N40" i="1"/>
  <c r="N41" i="1"/>
  <c r="O111" i="1"/>
  <c r="O96" i="1"/>
  <c r="G112" i="1"/>
  <c r="E33" i="1"/>
  <c r="E153" i="1" s="1"/>
  <c r="K9" i="1"/>
  <c r="J9" i="1"/>
  <c r="G29" i="1"/>
  <c r="J38" i="1"/>
  <c r="N9" i="1"/>
  <c r="G129" i="1"/>
  <c r="G9" i="1"/>
  <c r="N42" i="1" a="1"/>
  <c r="N42" i="1" s="1"/>
  <c r="G42" i="1" a="1"/>
  <c r="G42" i="1" s="1"/>
  <c r="C106" i="1" l="1"/>
  <c r="D44" i="1"/>
  <c r="D106" i="1"/>
  <c r="B44" i="1"/>
  <c r="B91" i="1"/>
  <c r="O65" i="1"/>
  <c r="K106" i="1"/>
  <c r="E91" i="1"/>
  <c r="F91" i="1"/>
  <c r="F93" i="1" s="1"/>
  <c r="F108" i="1" s="1"/>
  <c r="C44" i="1"/>
  <c r="C157" i="1"/>
  <c r="B156" i="1"/>
  <c r="B158" i="1" s="1"/>
  <c r="B106" i="1"/>
  <c r="M43" i="1"/>
  <c r="N112" i="1" s="1"/>
  <c r="F106" i="1"/>
  <c r="O105" i="1"/>
  <c r="D91" i="1"/>
  <c r="H43" i="1"/>
  <c r="H113" i="1" s="1"/>
  <c r="J43" i="1"/>
  <c r="K112" i="1" s="1"/>
  <c r="I43" i="1"/>
  <c r="I113" i="1" s="1"/>
  <c r="H137" i="1"/>
  <c r="N127" i="1"/>
  <c r="G43" i="1"/>
  <c r="K7" i="1"/>
  <c r="K4" i="1" s="1"/>
  <c r="K3" i="1" s="1"/>
  <c r="K78" i="1" s="1"/>
  <c r="K90" i="1" s="1"/>
  <c r="K156" i="1" s="1"/>
  <c r="D158" i="1"/>
  <c r="L43" i="1"/>
  <c r="L113" i="1" s="1"/>
  <c r="G7" i="1"/>
  <c r="G4" i="1" s="1"/>
  <c r="G33" i="1"/>
  <c r="I139" i="1"/>
  <c r="I137" i="1" s="1"/>
  <c r="G127" i="1"/>
  <c r="E158" i="1"/>
  <c r="K137" i="1"/>
  <c r="K127" i="1"/>
  <c r="M139" i="1"/>
  <c r="M137" i="1" s="1"/>
  <c r="J7" i="1"/>
  <c r="J4" i="1" s="1"/>
  <c r="J33" i="1"/>
  <c r="L7" i="1"/>
  <c r="L4" i="1" s="1"/>
  <c r="N43" i="1"/>
  <c r="L106" i="1"/>
  <c r="H7" i="1"/>
  <c r="H4" i="1" s="1"/>
  <c r="H33" i="1"/>
  <c r="N7" i="1"/>
  <c r="N4" i="1" s="1"/>
  <c r="N33" i="1"/>
  <c r="M33" i="1"/>
  <c r="M7" i="1"/>
  <c r="M4" i="1" s="1"/>
  <c r="I127" i="1"/>
  <c r="O29" i="1"/>
  <c r="K43" i="1"/>
  <c r="I7" i="1"/>
  <c r="I4" i="1" s="1"/>
  <c r="I33" i="1"/>
  <c r="C156" i="1"/>
  <c r="C91" i="1"/>
  <c r="E44" i="1"/>
  <c r="H127" i="1"/>
  <c r="E106" i="1"/>
  <c r="M127" i="1"/>
  <c r="L127" i="1"/>
  <c r="N139" i="1"/>
  <c r="N137" i="1" s="1"/>
  <c r="L139" i="1"/>
  <c r="L137" i="1" s="1"/>
  <c r="J127" i="1"/>
  <c r="J137" i="1"/>
  <c r="D93" i="1" l="1"/>
  <c r="E93" i="1"/>
  <c r="B93" i="1"/>
  <c r="B108" i="1" s="1"/>
  <c r="C93" i="1"/>
  <c r="C158" i="1"/>
  <c r="B94" i="1"/>
  <c r="M113" i="1"/>
  <c r="D94" i="1"/>
  <c r="D108" i="1"/>
  <c r="M154" i="1"/>
  <c r="G44" i="1"/>
  <c r="I112" i="1"/>
  <c r="I116" i="1" s="1"/>
  <c r="M44" i="1"/>
  <c r="K155" i="1"/>
  <c r="J113" i="1"/>
  <c r="I44" i="1"/>
  <c r="O33" i="1"/>
  <c r="O106" i="1" s="1"/>
  <c r="J154" i="1"/>
  <c r="I154" i="1"/>
  <c r="J112" i="1"/>
  <c r="K157" i="1"/>
  <c r="F94" i="1"/>
  <c r="K91" i="1"/>
  <c r="M112" i="1"/>
  <c r="M116" i="1" s="1"/>
  <c r="K153" i="1"/>
  <c r="O43" i="1"/>
  <c r="L44" i="1"/>
  <c r="G154" i="1"/>
  <c r="H112" i="1"/>
  <c r="H116" i="1" s="1"/>
  <c r="G113" i="1"/>
  <c r="G116" i="1" s="1"/>
  <c r="L3" i="1"/>
  <c r="L78" i="1" s="1"/>
  <c r="L90" i="1" s="1"/>
  <c r="L155" i="1"/>
  <c r="L157" i="1"/>
  <c r="M3" i="1"/>
  <c r="M78" i="1" s="1"/>
  <c r="M90" i="1" s="1"/>
  <c r="M155" i="1"/>
  <c r="M157" i="1"/>
  <c r="N153" i="1"/>
  <c r="N106" i="1"/>
  <c r="C108" i="1"/>
  <c r="C94" i="1"/>
  <c r="N3" i="1"/>
  <c r="N78" i="1" s="1"/>
  <c r="N90" i="1" s="1"/>
  <c r="N157" i="1"/>
  <c r="N155" i="1"/>
  <c r="J153" i="1"/>
  <c r="J106" i="1"/>
  <c r="J3" i="1"/>
  <c r="J78" i="1" s="1"/>
  <c r="J90" i="1" s="1"/>
  <c r="J157" i="1"/>
  <c r="J155" i="1"/>
  <c r="H3" i="1"/>
  <c r="H78" i="1" s="1"/>
  <c r="H90" i="1" s="1"/>
  <c r="H155" i="1"/>
  <c r="H157" i="1"/>
  <c r="G153" i="1"/>
  <c r="G106" i="1"/>
  <c r="H154" i="1"/>
  <c r="L153" i="1"/>
  <c r="E94" i="1"/>
  <c r="E108" i="1"/>
  <c r="H153" i="1"/>
  <c r="H106" i="1"/>
  <c r="I3" i="1"/>
  <c r="I78" i="1" s="1"/>
  <c r="I90" i="1" s="1"/>
  <c r="I155" i="1"/>
  <c r="I157" i="1"/>
  <c r="N154" i="1"/>
  <c r="N113" i="1"/>
  <c r="N116" i="1" s="1"/>
  <c r="N44" i="1"/>
  <c r="G3" i="1"/>
  <c r="O4" i="1"/>
  <c r="G155" i="1"/>
  <c r="G157" i="1"/>
  <c r="L154" i="1"/>
  <c r="M153" i="1"/>
  <c r="M106" i="1"/>
  <c r="I153" i="1"/>
  <c r="I106" i="1"/>
  <c r="L112" i="1"/>
  <c r="L116" i="1" s="1"/>
  <c r="K44" i="1"/>
  <c r="K154" i="1"/>
  <c r="K113" i="1"/>
  <c r="K116" i="1" s="1"/>
  <c r="J44" i="1"/>
  <c r="H44" i="1"/>
  <c r="J116" i="1" l="1"/>
  <c r="O44" i="1"/>
  <c r="K158" i="1"/>
  <c r="K93" i="1"/>
  <c r="N91" i="1"/>
  <c r="N156" i="1"/>
  <c r="G78" i="1"/>
  <c r="O3" i="1"/>
  <c r="I156" i="1"/>
  <c r="I91" i="1"/>
  <c r="I93" i="1" s="1"/>
  <c r="O155" i="1"/>
  <c r="O157" i="1"/>
  <c r="N158" i="1"/>
  <c r="K108" i="1"/>
  <c r="K147" i="1" s="1"/>
  <c r="K94" i="1"/>
  <c r="I158" i="1"/>
  <c r="H156" i="1"/>
  <c r="H158" i="1" s="1"/>
  <c r="H91" i="1"/>
  <c r="H93" i="1" s="1"/>
  <c r="J91" i="1"/>
  <c r="J93" i="1" s="1"/>
  <c r="J156" i="1"/>
  <c r="J158" i="1" s="1"/>
  <c r="O113" i="1"/>
  <c r="L91" i="1"/>
  <c r="L93" i="1" s="1"/>
  <c r="L156" i="1"/>
  <c r="O116" i="1"/>
  <c r="O154" i="1"/>
  <c r="L158" i="1"/>
  <c r="N93" i="1"/>
  <c r="O112" i="1"/>
  <c r="M91" i="1"/>
  <c r="M93" i="1" s="1"/>
  <c r="M156" i="1"/>
  <c r="M158" i="1" s="1"/>
  <c r="O153" i="1"/>
  <c r="H108" i="1" l="1"/>
  <c r="H147" i="1" s="1"/>
  <c r="H94" i="1"/>
  <c r="N108" i="1"/>
  <c r="N147" i="1" s="1"/>
  <c r="N94" i="1"/>
  <c r="J108" i="1"/>
  <c r="J147" i="1" s="1"/>
  <c r="J94" i="1"/>
  <c r="I108" i="1"/>
  <c r="I147" i="1" s="1"/>
  <c r="I94" i="1"/>
  <c r="L108" i="1"/>
  <c r="L147" i="1" s="1"/>
  <c r="L94" i="1"/>
  <c r="G90" i="1"/>
  <c r="O78" i="1"/>
  <c r="M108" i="1"/>
  <c r="M147" i="1" s="1"/>
  <c r="M94" i="1"/>
  <c r="G156" i="1" l="1"/>
  <c r="G158" i="1" s="1"/>
  <c r="G91" i="1"/>
  <c r="O90" i="1"/>
  <c r="O156" i="1" s="1"/>
  <c r="O158" i="1" s="1"/>
  <c r="O91" i="1" l="1"/>
  <c r="G93" i="1"/>
  <c r="G108" i="1" l="1"/>
  <c r="G94" i="1"/>
  <c r="O93" i="1"/>
  <c r="O94" i="1" s="1"/>
  <c r="G147" i="1" l="1"/>
  <c r="G149" i="1" s="1"/>
  <c r="H148" i="1" s="1"/>
  <c r="H149" i="1" s="1"/>
  <c r="I148" i="1" s="1"/>
  <c r="I149" i="1" s="1"/>
  <c r="J148" i="1" s="1"/>
  <c r="J149" i="1" s="1"/>
  <c r="K148" i="1" s="1"/>
  <c r="K149" i="1" s="1"/>
  <c r="L148" i="1" s="1"/>
  <c r="L149" i="1" s="1"/>
  <c r="M148" i="1" s="1"/>
  <c r="M149" i="1" s="1"/>
  <c r="N148" i="1" s="1"/>
  <c r="N149" i="1" s="1"/>
  <c r="O10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<sst xmlns="http://schemas.openxmlformats.org/spreadsheetml/2006/main" count="188" uniqueCount="137">
  <si>
    <t>YTD 2023</t>
  </si>
  <si>
    <t>Jan. 2024</t>
  </si>
  <si>
    <t>Feb. 2024</t>
  </si>
  <si>
    <t>Mar. 2024</t>
  </si>
  <si>
    <t>Apr. 2024</t>
  </si>
  <si>
    <t>May. 2024</t>
  </si>
  <si>
    <t>June. 2024</t>
  </si>
  <si>
    <t>July. 2024</t>
  </si>
  <si>
    <t>Aug. 2024</t>
  </si>
  <si>
    <t>Sept. 2024</t>
  </si>
  <si>
    <t>Oct. 2024</t>
  </si>
  <si>
    <t>Nov. 2024</t>
  </si>
  <si>
    <t>Dec. 2024</t>
  </si>
  <si>
    <t>YTD 2024</t>
  </si>
  <si>
    <t>Grams - grown</t>
  </si>
  <si>
    <t>Grams - purchased</t>
  </si>
  <si>
    <t>Grams - sold</t>
  </si>
  <si>
    <t>Grams sold - allocation</t>
  </si>
  <si>
    <t xml:space="preserve"> Product</t>
  </si>
  <si>
    <t xml:space="preserve"> B2B/Export</t>
  </si>
  <si>
    <t xml:space="preserve"> Other</t>
  </si>
  <si>
    <t>Gram - allocation</t>
  </si>
  <si>
    <t>Product -grown</t>
  </si>
  <si>
    <t>Product -purch</t>
  </si>
  <si>
    <t>B2B - grown</t>
  </si>
  <si>
    <t>Export - grown</t>
  </si>
  <si>
    <t>Medical - grown</t>
  </si>
  <si>
    <t>Purchase - price/gram</t>
  </si>
  <si>
    <t>AB</t>
  </si>
  <si>
    <t>ON</t>
  </si>
  <si>
    <t>SK</t>
  </si>
  <si>
    <t>BC</t>
  </si>
  <si>
    <t>MB</t>
  </si>
  <si>
    <t>YK</t>
  </si>
  <si>
    <t>NWT</t>
  </si>
  <si>
    <t>NU</t>
  </si>
  <si>
    <t>Change</t>
  </si>
  <si>
    <t>$ Increase</t>
  </si>
  <si>
    <t xml:space="preserve">ORIGINAL </t>
  </si>
  <si>
    <t>Revenues</t>
  </si>
  <si>
    <t>AB - weekly</t>
  </si>
  <si>
    <t>ON - 45 days</t>
  </si>
  <si>
    <t>SK - 45 days</t>
  </si>
  <si>
    <t>BC - 30 days</t>
  </si>
  <si>
    <t>MB - 45 days</t>
  </si>
  <si>
    <t>YK - 45 days</t>
  </si>
  <si>
    <t>NWT - 30 days</t>
  </si>
  <si>
    <t>NU - 45 days</t>
  </si>
  <si>
    <t>Product</t>
  </si>
  <si>
    <t>Services</t>
  </si>
  <si>
    <t>B2B</t>
  </si>
  <si>
    <t>Other</t>
  </si>
  <si>
    <t xml:space="preserve">            Total revenues</t>
  </si>
  <si>
    <t>Excise Tax</t>
  </si>
  <si>
    <t xml:space="preserve">           Net revenues</t>
  </si>
  <si>
    <t>COS labor - Drying</t>
  </si>
  <si>
    <t>COS labor - Growing</t>
  </si>
  <si>
    <t>COS labor - Health Benefits</t>
  </si>
  <si>
    <t>COS labor - Maint</t>
  </si>
  <si>
    <t>COS labor - Operations</t>
  </si>
  <si>
    <t>COS labor - Packaging</t>
  </si>
  <si>
    <t>COS labor - QA</t>
  </si>
  <si>
    <t>COS labor - Security</t>
  </si>
  <si>
    <t>COS labor - Sanitation</t>
  </si>
  <si>
    <t>COGS - Labor 3PP</t>
  </si>
  <si>
    <t>COGS - labor - Laundry</t>
  </si>
  <si>
    <t>COGS - Consignment</t>
  </si>
  <si>
    <t>COGS - Equipment Costs</t>
  </si>
  <si>
    <t>COGS - Freight</t>
  </si>
  <si>
    <t>COGS - Supplies</t>
  </si>
  <si>
    <t>COGS - Samples</t>
  </si>
  <si>
    <t>COGS - Public Education Fee</t>
  </si>
  <si>
    <t>COGS - Data Subscription Fee</t>
  </si>
  <si>
    <t>COGS - BC Data Fee</t>
  </si>
  <si>
    <t>COGS - Broker fee</t>
  </si>
  <si>
    <t>COGS - Salvage/Damaged</t>
  </si>
  <si>
    <t>COGS - Contracctors</t>
  </si>
  <si>
    <t>COGS - Testing</t>
  </si>
  <si>
    <t>COGS - CTS</t>
  </si>
  <si>
    <t>COGS - Bison Purchases</t>
  </si>
  <si>
    <t>COGS - Facility</t>
  </si>
  <si>
    <t>COGS - Facility Sanitation</t>
  </si>
  <si>
    <t>COGS - Facility Rent</t>
  </si>
  <si>
    <t>COGS - Facility R&amp;M</t>
  </si>
  <si>
    <t>COGS - Facility Utilities</t>
  </si>
  <si>
    <t>COGS - Facility Security/Safety</t>
  </si>
  <si>
    <t>COGS - Facility Equip Fuel/Maint</t>
  </si>
  <si>
    <t>COGS - Propagation Materials</t>
  </si>
  <si>
    <t>COGS - Packaging</t>
  </si>
  <si>
    <t>COS - Growing</t>
  </si>
  <si>
    <t>COS - Purchased Goods</t>
  </si>
  <si>
    <t>COS - Packaging</t>
  </si>
  <si>
    <t>COS - Fulfillment</t>
  </si>
  <si>
    <t xml:space="preserve">    Total COS</t>
  </si>
  <si>
    <t>GROSS MARGIN</t>
  </si>
  <si>
    <t>Opex</t>
  </si>
  <si>
    <t>Sales &amp; Marketing</t>
  </si>
  <si>
    <t>Licenses</t>
  </si>
  <si>
    <t>Office</t>
  </si>
  <si>
    <t>Int &amp; Bank Charges</t>
  </si>
  <si>
    <t>Insurance</t>
  </si>
  <si>
    <t>Travel &amp; M&amp;E</t>
  </si>
  <si>
    <t>Professional fees</t>
  </si>
  <si>
    <t>Wages</t>
  </si>
  <si>
    <t>Utilities</t>
  </si>
  <si>
    <t xml:space="preserve">  Total Opex</t>
  </si>
  <si>
    <t>Other income (exp)</t>
  </si>
  <si>
    <t>NET INCOME (LOSS) - excluding intrest on debt and depn</t>
  </si>
  <si>
    <t>Working capital adjustments:</t>
  </si>
  <si>
    <t>Excise arrears</t>
  </si>
  <si>
    <t>Excise - B300</t>
  </si>
  <si>
    <t>Excise - reverse current month</t>
  </si>
  <si>
    <t>Excise arrears - catchup</t>
  </si>
  <si>
    <t>Excise - B300 - catchup</t>
  </si>
  <si>
    <t>Excise tax/arrears</t>
  </si>
  <si>
    <t>JL Legacy loan</t>
  </si>
  <si>
    <t>Ontario RTV</t>
  </si>
  <si>
    <t>BC Price Protection - ALT</t>
  </si>
  <si>
    <t>Viridis RTVs</t>
  </si>
  <si>
    <t>Phase 2 buildout</t>
  </si>
  <si>
    <t>Viridis buildout</t>
  </si>
  <si>
    <t>Viridis AP arrears</t>
  </si>
  <si>
    <t>AP payments</t>
  </si>
  <si>
    <t>AR collections</t>
  </si>
  <si>
    <t>Defer collection of AR</t>
  </si>
  <si>
    <t>Collection of AR</t>
  </si>
  <si>
    <t>Cash Flow (deficit)</t>
  </si>
  <si>
    <t>Begnning cash</t>
  </si>
  <si>
    <t>Ending cash</t>
  </si>
  <si>
    <t>Average per gram metrics:</t>
  </si>
  <si>
    <t>Avg Sales/gram</t>
  </si>
  <si>
    <t>Avg Excise/gram</t>
  </si>
  <si>
    <t>Avg Grow/gram</t>
  </si>
  <si>
    <t>Avg Fulfillment/gram</t>
  </si>
  <si>
    <t>Avg Opex/gram</t>
  </si>
  <si>
    <t>Profit (loss)/gram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</si>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</sst>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9"/>
      <color indexed="8"/>
      <name val="Arial"/>
      <family val="2"/>
    </font>
    <font>
      <b/>
      <sz val="11"/>
      <color indexed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41">
    <xf numFmtId="0" fontId="0" fillId="0" borderId="0" xfId="0"/>
    <xf numFmtId="0" fontId="4" fillId="2" borderId="1" xfId="4" applyFont="1" applyFill="1" applyBorder="1" applyAlignment="1">
      <alignment horizontal="center"/>
    </xf>
    <xf numFmtId="0" fontId="4" fillId="3" borderId="1" xfId="4" applyFont="1" applyFill="1" applyBorder="1" applyAlignment="1">
      <alignment horizontal="center"/>
    </xf>
    <xf numFmtId="0" fontId="4" fillId="4" borderId="1" xfId="4" applyFont="1" applyFill="1" applyBorder="1" applyAlignment="1">
      <alignment horizontal="center"/>
    </xf>
    <xf numFmtId="9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Fill="1"/>
    <xf numFmtId="164" fontId="0" fillId="5" borderId="0" xfId="1" applyNumberFormat="1" applyFont="1" applyFill="1"/>
    <xf numFmtId="164" fontId="0" fillId="0" borderId="0" xfId="0" applyNumberFormat="1"/>
    <xf numFmtId="0" fontId="2" fillId="0" borderId="0" xfId="0" applyFont="1"/>
    <xf numFmtId="164" fontId="2" fillId="0" borderId="0" xfId="1" applyNumberFormat="1" applyFont="1"/>
    <xf numFmtId="43" fontId="0" fillId="6" borderId="0" xfId="0" applyNumberFormat="1" applyFill="1"/>
    <xf numFmtId="0" fontId="1" fillId="0" borderId="0" xfId="4" applyFont="1"/>
    <xf numFmtId="0" fontId="0" fillId="7" borderId="0" xfId="0" applyFill="1"/>
    <xf numFmtId="0" fontId="2" fillId="0" borderId="0" xfId="4" applyFont="1"/>
    <xf numFmtId="0" fontId="0" fillId="0" borderId="0" xfId="4" applyFont="1"/>
    <xf numFmtId="0" fontId="3" fillId="0" borderId="0" xfId="4" applyAlignment="1">
      <alignment horizontal="left" indent="3"/>
    </xf>
    <xf numFmtId="164" fontId="0" fillId="6" borderId="0" xfId="1" applyNumberFormat="1" applyFont="1" applyFill="1"/>
    <xf numFmtId="164" fontId="0" fillId="8" borderId="0" xfId="1" applyNumberFormat="1" applyFont="1" applyFill="1"/>
    <xf numFmtId="164" fontId="0" fillId="0" borderId="1" xfId="1" applyNumberFormat="1" applyFont="1" applyBorder="1"/>
    <xf numFmtId="164" fontId="0" fillId="6" borderId="1" xfId="1" applyNumberFormat="1" applyFont="1" applyFill="1" applyBorder="1"/>
    <xf numFmtId="0" fontId="5" fillId="0" borderId="0" xfId="4" applyFont="1"/>
    <xf numFmtId="9" fontId="0" fillId="0" borderId="0" xfId="3" applyFont="1" applyFill="1"/>
    <xf numFmtId="9" fontId="0" fillId="9" borderId="0" xfId="3" applyFont="1" applyFill="1"/>
    <xf numFmtId="164" fontId="1" fillId="0" borderId="0" xfId="1" applyNumberFormat="1" applyFont="1"/>
    <xf numFmtId="164" fontId="0" fillId="10" borderId="0" xfId="1" applyNumberFormat="1" applyFont="1" applyFill="1"/>
    <xf numFmtId="0" fontId="2" fillId="5" borderId="0" xfId="0" applyFont="1" applyFill="1"/>
    <xf numFmtId="164" fontId="1" fillId="11" borderId="0" xfId="1" applyNumberFormat="1" applyFont="1" applyFill="1"/>
    <xf numFmtId="164" fontId="1" fillId="5" borderId="0" xfId="1" applyNumberFormat="1" applyFont="1" applyFill="1"/>
    <xf numFmtId="165" fontId="2" fillId="0" borderId="0" xfId="3" applyNumberFormat="1" applyFont="1"/>
    <xf numFmtId="164" fontId="0" fillId="0" borderId="0" xfId="1" applyNumberFormat="1" applyFont="1" applyBorder="1"/>
    <xf numFmtId="164" fontId="2" fillId="0" borderId="0" xfId="0" applyNumberFormat="1" applyFont="1"/>
    <xf numFmtId="165" fontId="2" fillId="5" borderId="0" xfId="3" applyNumberFormat="1" applyFont="1" applyFill="1"/>
    <xf numFmtId="164" fontId="0" fillId="0" borderId="1" xfId="0" applyNumberFormat="1" applyBorder="1"/>
    <xf numFmtId="0" fontId="0" fillId="0" borderId="1" xfId="0" applyBorder="1"/>
    <xf numFmtId="0" fontId="2" fillId="5" borderId="0" xfId="0" applyFont="1" applyFill="1" applyAlignment="1">
      <alignment wrapText="1"/>
    </xf>
    <xf numFmtId="164" fontId="0" fillId="11" borderId="0" xfId="0" applyNumberFormat="1" applyFill="1"/>
    <xf numFmtId="164" fontId="0" fillId="5" borderId="0" xfId="0" applyNumberFormat="1" applyFill="1"/>
    <xf numFmtId="0" fontId="3" fillId="0" borderId="0" xfId="4"/>
    <xf numFmtId="44" fontId="0" fillId="0" borderId="0" xfId="2" applyFont="1"/>
    <xf numFmtId="44" fontId="2" fillId="0" borderId="0" xfId="0" applyNumberFormat="1" applyFont="1"/>
  </cellXfs>
  <cellStyles count="5">
    <cellStyle name="Comma" xfId="1" builtinId="3"/>
    <cellStyle name="Currency" xfId="2" builtinId="4"/>
    <cellStyle name="Normal" xfId="0" builtinId="0"/>
    <cellStyle name="Normal 2" xfId="4" xr:uid="{D1B69538-6E46-43B7-8705-31DD5020D705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1ADC-9EC1-41BB-80FF-C7C433575AA3}">
  <sheetPr>
    <tabColor rgb="FFFFFF00"/>
  </sheetPr>
  <dimension ref="A1:AP158"/>
  <sheetViews>
    <sheetView tabSelected="1" zoomScaleNormal="100" workbookViewId="0">
      <pane xSplit="1" ySplit="1" topLeftCell="B19" activePane="bottomRight" state="frozen"/>
      <selection pane="topRight" activeCell="B1" sqref="B1"/>
      <selection pane="bottomLeft" activeCell="A2" sqref="A2"/>
      <selection pane="bottomRight" activeCell="F44" sqref="F44"/>
    </sheetView>
  </sheetViews>
  <sheetFormatPr defaultRowHeight="15" outlineLevelRow="1" x14ac:dyDescent="0.25"/>
  <cols>
    <col min="1" max="1" width="19.5703125" bestFit="1" customWidth="1"/>
    <col min="2" max="2" width="16.42578125" bestFit="1" customWidth="1"/>
    <col min="3" max="3" width="15" bestFit="1" customWidth="1"/>
    <col min="4" max="5" width="15.140625" bestFit="1" customWidth="1"/>
    <col min="6" max="6" width="13.5703125" bestFit="1" customWidth="1"/>
    <col min="7" max="14" width="14.140625" bestFit="1" customWidth="1"/>
    <col min="15" max="15" width="15.140625" bestFit="1" customWidth="1"/>
    <col min="16" max="16" width="11.42578125" bestFit="1" customWidth="1"/>
    <col min="17" max="17" width="11.7109375" bestFit="1" customWidth="1"/>
    <col min="18" max="18" width="9.7109375" bestFit="1" customWidth="1"/>
  </cols>
  <sheetData>
    <row r="1" spans="1:33" x14ac:dyDescent="0.25"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Q1" s="4"/>
      <c r="R1" s="4"/>
      <c r="S1" s="4"/>
      <c r="T1" s="4"/>
      <c r="U1" s="4"/>
      <c r="V1" s="4"/>
      <c r="W1" s="4"/>
      <c r="X1" s="4"/>
      <c r="Z1" s="4"/>
      <c r="AA1" s="4"/>
      <c r="AB1" s="4"/>
      <c r="AC1" s="4"/>
      <c r="AD1" s="4"/>
      <c r="AE1" s="4"/>
      <c r="AF1" s="4"/>
      <c r="AG1" s="4"/>
    </row>
    <row r="2" spans="1:33" hidden="1" outlineLevel="1" x14ac:dyDescent="0.25">
      <c r="A2" t="s">
        <v>14</v>
      </c>
      <c r="B2" s="5">
        <v>177000</v>
      </c>
      <c r="C2" s="5">
        <v>158000</v>
      </c>
      <c r="D2" s="6">
        <v>158000</v>
      </c>
      <c r="E2" s="6">
        <v>98000</v>
      </c>
      <c r="F2" s="6">
        <v>274000</v>
      </c>
      <c r="G2" s="5">
        <v>117000</v>
      </c>
      <c r="H2" s="5">
        <v>162000</v>
      </c>
      <c r="I2" s="5">
        <v>145000</v>
      </c>
      <c r="J2" s="7">
        <f>207000+80000</f>
        <v>287000</v>
      </c>
      <c r="K2" s="7">
        <f>306000+80000</f>
        <v>386000</v>
      </c>
      <c r="L2" s="5">
        <v>128000</v>
      </c>
      <c r="M2" s="5">
        <v>354000</v>
      </c>
      <c r="N2" s="5">
        <v>149000</v>
      </c>
      <c r="O2" s="8">
        <f>SUM(C2:N2)</f>
        <v>2416000</v>
      </c>
    </row>
    <row r="3" spans="1:33" hidden="1" outlineLevel="1" x14ac:dyDescent="0.25">
      <c r="A3" t="s">
        <v>15</v>
      </c>
      <c r="B3" s="5">
        <f>B4-B2</f>
        <v>3555878</v>
      </c>
      <c r="C3" s="5">
        <f t="shared" ref="C3:E3" si="0">C4-C2</f>
        <v>326197</v>
      </c>
      <c r="D3" s="5">
        <f t="shared" si="0"/>
        <v>230641</v>
      </c>
      <c r="E3" s="5">
        <f t="shared" si="0"/>
        <v>444236</v>
      </c>
      <c r="G3" s="8">
        <f>G4-G2</f>
        <v>646444.68868872698</v>
      </c>
      <c r="H3" s="8">
        <f t="shared" ref="H3:N3" si="1">H4-H2</f>
        <v>792287.87928513507</v>
      </c>
      <c r="I3" s="8">
        <f t="shared" si="1"/>
        <v>853159.14413810987</v>
      </c>
      <c r="J3" s="8">
        <f t="shared" si="1"/>
        <v>812845.45224419516</v>
      </c>
      <c r="K3" s="8">
        <f t="shared" si="1"/>
        <v>679666.40870547062</v>
      </c>
      <c r="L3" s="8">
        <f t="shared" si="1"/>
        <v>1016226.6995103117</v>
      </c>
      <c r="M3" s="8">
        <f t="shared" si="1"/>
        <v>801538.96632074518</v>
      </c>
      <c r="N3" s="8">
        <f t="shared" si="1"/>
        <v>948777.47092877841</v>
      </c>
      <c r="O3" s="8">
        <f t="shared" ref="O3:O6" si="2">SUM(C3:N3)</f>
        <v>7552020.7098214738</v>
      </c>
    </row>
    <row r="4" spans="1:33" hidden="1" outlineLevel="1" x14ac:dyDescent="0.25">
      <c r="A4" s="9" t="s">
        <v>16</v>
      </c>
      <c r="B4" s="10">
        <v>3732878</v>
      </c>
      <c r="C4" s="10">
        <v>484197</v>
      </c>
      <c r="D4" s="10">
        <v>388641</v>
      </c>
      <c r="E4" s="10">
        <v>542236</v>
      </c>
      <c r="F4" s="9"/>
      <c r="G4" s="10">
        <f>SUM(G7:G9)</f>
        <v>763444.68868872698</v>
      </c>
      <c r="H4" s="10">
        <f t="shared" ref="H4:N4" si="3">SUM(H7:H9)</f>
        <v>954287.87928513507</v>
      </c>
      <c r="I4" s="10">
        <f t="shared" si="3"/>
        <v>998159.14413810987</v>
      </c>
      <c r="J4" s="10">
        <f t="shared" si="3"/>
        <v>1099845.4522441952</v>
      </c>
      <c r="K4" s="10">
        <f t="shared" si="3"/>
        <v>1065666.4087054706</v>
      </c>
      <c r="L4" s="10">
        <f t="shared" si="3"/>
        <v>1144226.6995103117</v>
      </c>
      <c r="M4" s="10">
        <f t="shared" si="3"/>
        <v>1155538.9663207452</v>
      </c>
      <c r="N4" s="10">
        <f t="shared" si="3"/>
        <v>1097777.4709287784</v>
      </c>
      <c r="O4" s="8">
        <f t="shared" si="2"/>
        <v>9694020.7098214738</v>
      </c>
    </row>
    <row r="5" spans="1:33" hidden="1" outlineLevel="1" x14ac:dyDescent="0.25">
      <c r="O5" s="8">
        <f t="shared" si="2"/>
        <v>0</v>
      </c>
    </row>
    <row r="6" spans="1:33" hidden="1" outlineLevel="1" x14ac:dyDescent="0.25">
      <c r="A6" s="9" t="s">
        <v>17</v>
      </c>
      <c r="O6" s="8">
        <f t="shared" si="2"/>
        <v>0</v>
      </c>
    </row>
    <row r="7" spans="1:33" hidden="1" outlineLevel="1" x14ac:dyDescent="0.25">
      <c r="A7" t="s">
        <v>18</v>
      </c>
      <c r="G7" s="5">
        <f t="shared" ref="G7:N7" si="4">SUM($C$4:$E$4)/SUM($C$33:$E$33)*G29</f>
        <v>695301.96754398581</v>
      </c>
      <c r="H7" s="5">
        <f t="shared" si="4"/>
        <v>885330.88602591981</v>
      </c>
      <c r="I7" s="5">
        <f t="shared" si="4"/>
        <v>928387.87876442051</v>
      </c>
      <c r="J7" s="5">
        <f t="shared" si="4"/>
        <v>1029259.9147560316</v>
      </c>
      <c r="K7" s="5">
        <f t="shared" si="4"/>
        <v>994266.59910283308</v>
      </c>
      <c r="L7" s="5">
        <f t="shared" si="4"/>
        <v>1072012.6177932001</v>
      </c>
      <c r="M7" s="5">
        <f t="shared" si="4"/>
        <v>1082510.6124891595</v>
      </c>
      <c r="N7" s="5">
        <f t="shared" si="4"/>
        <v>1023934.8449827187</v>
      </c>
      <c r="O7" s="8"/>
    </row>
    <row r="8" spans="1:33" hidden="1" outlineLevel="1" x14ac:dyDescent="0.25">
      <c r="A8" t="s">
        <v>19</v>
      </c>
      <c r="G8" s="5">
        <f>0.5*G31</f>
        <v>60000</v>
      </c>
      <c r="H8" s="5">
        <f t="shared" ref="H8:N8" si="5">0.5*H31</f>
        <v>60000</v>
      </c>
      <c r="I8" s="5">
        <f t="shared" si="5"/>
        <v>60000</v>
      </c>
      <c r="J8" s="5">
        <f t="shared" si="5"/>
        <v>60000</v>
      </c>
      <c r="K8" s="5">
        <f t="shared" si="5"/>
        <v>60000</v>
      </c>
      <c r="L8" s="5">
        <f t="shared" si="5"/>
        <v>60000</v>
      </c>
      <c r="M8" s="5">
        <f t="shared" si="5"/>
        <v>60000</v>
      </c>
      <c r="N8" s="5">
        <f t="shared" si="5"/>
        <v>60000</v>
      </c>
      <c r="O8" s="8"/>
    </row>
    <row r="9" spans="1:33" hidden="1" outlineLevel="1" x14ac:dyDescent="0.25">
      <c r="A9" t="s">
        <v>20</v>
      </c>
      <c r="G9" s="5">
        <f t="shared" ref="G9:N9" si="6">SUM($C$4:$E$4)/SUM($C$29:$E$29)*G32</f>
        <v>8142.7211447411246</v>
      </c>
      <c r="H9" s="5">
        <f t="shared" si="6"/>
        <v>8956.9932592152363</v>
      </c>
      <c r="I9" s="5">
        <f t="shared" si="6"/>
        <v>9771.2653736893499</v>
      </c>
      <c r="J9" s="5">
        <f t="shared" si="6"/>
        <v>10585.537488163462</v>
      </c>
      <c r="K9" s="5">
        <f t="shared" si="6"/>
        <v>11399.809602637575</v>
      </c>
      <c r="L9" s="5">
        <f t="shared" si="6"/>
        <v>12214.081717111687</v>
      </c>
      <c r="M9" s="5">
        <f t="shared" si="6"/>
        <v>13028.353831585799</v>
      </c>
      <c r="N9" s="5">
        <f t="shared" si="6"/>
        <v>13842.625946059912</v>
      </c>
      <c r="O9" s="8"/>
    </row>
    <row r="10" spans="1:33" hidden="1" outlineLevel="1" x14ac:dyDescent="0.25">
      <c r="A10" s="9" t="s">
        <v>21</v>
      </c>
      <c r="O10" s="8"/>
    </row>
    <row r="11" spans="1:33" hidden="1" outlineLevel="1" x14ac:dyDescent="0.25">
      <c r="A11" t="s">
        <v>22</v>
      </c>
      <c r="G11" s="5">
        <v>49397.168323052596</v>
      </c>
      <c r="H11" s="5">
        <v>0</v>
      </c>
      <c r="I11" s="5">
        <v>-14123.398012336896</v>
      </c>
      <c r="J11" s="5">
        <v>127116.31881996838</v>
      </c>
      <c r="K11" s="5">
        <v>225356.03565227363</v>
      </c>
      <c r="L11" s="5">
        <v>-45904.247515421113</v>
      </c>
      <c r="M11" s="5">
        <v>179335.46931688418</v>
      </c>
      <c r="N11" s="5">
        <v>-26424.813850810577</v>
      </c>
      <c r="O11" s="8"/>
    </row>
    <row r="12" spans="1:33" hidden="1" outlineLevel="1" x14ac:dyDescent="0.25">
      <c r="A12" t="s">
        <v>23</v>
      </c>
      <c r="G12" s="5">
        <v>645501.64694994036</v>
      </c>
      <c r="H12" s="5">
        <v>789174.04291178298</v>
      </c>
      <c r="I12" s="5">
        <v>800256.19340869877</v>
      </c>
      <c r="J12" s="5">
        <v>677263.2726010672</v>
      </c>
      <c r="K12" s="5">
        <v>499954.10632850893</v>
      </c>
      <c r="L12" s="5">
        <v>801625.7162039933</v>
      </c>
      <c r="M12" s="5">
        <v>567262.60135935119</v>
      </c>
      <c r="N12" s="5">
        <v>724364.76179458259</v>
      </c>
      <c r="O12" s="8"/>
    </row>
    <row r="13" spans="1:33" hidden="1" outlineLevel="1" x14ac:dyDescent="0.25">
      <c r="A13" t="s">
        <v>24</v>
      </c>
      <c r="G13" s="5">
        <v>60000</v>
      </c>
      <c r="H13" s="5">
        <v>162500</v>
      </c>
      <c r="I13" s="5">
        <v>150000</v>
      </c>
      <c r="J13" s="5">
        <v>150000</v>
      </c>
      <c r="K13" s="5">
        <v>150000</v>
      </c>
      <c r="L13" s="5">
        <v>162500</v>
      </c>
      <c r="M13" s="5">
        <v>162500</v>
      </c>
      <c r="N13" s="5">
        <v>162500</v>
      </c>
      <c r="O13" s="8"/>
    </row>
    <row r="14" spans="1:33" hidden="1" outlineLevel="1" x14ac:dyDescent="0.25">
      <c r="A14" t="s">
        <v>25</v>
      </c>
      <c r="G14" s="5"/>
      <c r="H14" s="5"/>
      <c r="I14" s="5"/>
      <c r="J14" s="5"/>
      <c r="K14" s="5"/>
      <c r="L14" s="5"/>
      <c r="M14" s="5"/>
      <c r="N14" s="5"/>
      <c r="O14" s="8"/>
    </row>
    <row r="15" spans="1:33" hidden="1" outlineLevel="1" x14ac:dyDescent="0.25">
      <c r="A15" t="s">
        <v>26</v>
      </c>
      <c r="G15" s="5">
        <v>7602.8316769474068</v>
      </c>
      <c r="H15" s="5">
        <v>8363.1148446421466</v>
      </c>
      <c r="I15" s="5">
        <v>9123.3980123368874</v>
      </c>
      <c r="J15" s="5">
        <v>9883.6811800316282</v>
      </c>
      <c r="K15" s="5">
        <v>10643.964347726369</v>
      </c>
      <c r="L15" s="5">
        <v>11404.24751542111</v>
      </c>
      <c r="M15" s="5">
        <v>12164.53068311585</v>
      </c>
      <c r="N15" s="5">
        <v>12924.813850810591</v>
      </c>
      <c r="O15" s="8"/>
    </row>
    <row r="16" spans="1:33" hidden="1" outlineLevel="1" x14ac:dyDescent="0.25">
      <c r="O16" s="8"/>
    </row>
    <row r="17" spans="1:42" hidden="1" outlineLevel="1" x14ac:dyDescent="0.25">
      <c r="A17" t="s">
        <v>27</v>
      </c>
      <c r="G17" s="11">
        <v>1.0099445086282739</v>
      </c>
      <c r="H17" s="11">
        <f>G17</f>
        <v>1.0099445086282739</v>
      </c>
      <c r="I17" s="11">
        <f t="shared" ref="I17:N17" si="7">H17</f>
        <v>1.0099445086282739</v>
      </c>
      <c r="J17" s="11">
        <f t="shared" si="7"/>
        <v>1.0099445086282739</v>
      </c>
      <c r="K17" s="11">
        <f t="shared" si="7"/>
        <v>1.0099445086282739</v>
      </c>
      <c r="L17" s="11">
        <f t="shared" si="7"/>
        <v>1.0099445086282739</v>
      </c>
      <c r="M17" s="11">
        <f t="shared" si="7"/>
        <v>1.0099445086282739</v>
      </c>
      <c r="N17" s="11">
        <f t="shared" si="7"/>
        <v>1.0099445086282739</v>
      </c>
      <c r="O17" s="8"/>
    </row>
    <row r="18" spans="1:42" hidden="1" outlineLevel="1" x14ac:dyDescent="0.25"/>
    <row r="19" spans="1:42" collapsed="1" x14ac:dyDescent="0.25">
      <c r="A19" s="12"/>
      <c r="Q19" s="13" t="s">
        <v>36</v>
      </c>
      <c r="Z19" s="13" t="s">
        <v>37</v>
      </c>
      <c r="AI19" s="13" t="s">
        <v>38</v>
      </c>
    </row>
    <row r="20" spans="1:42" x14ac:dyDescent="0.25">
      <c r="A20" s="14" t="s">
        <v>39</v>
      </c>
      <c r="Q20" s="3" t="s">
        <v>5</v>
      </c>
      <c r="R20" s="3" t="s">
        <v>6</v>
      </c>
      <c r="S20" s="3" t="s">
        <v>7</v>
      </c>
      <c r="T20" s="3" t="s">
        <v>8</v>
      </c>
      <c r="U20" s="3" t="s">
        <v>9</v>
      </c>
      <c r="V20" s="3" t="s">
        <v>10</v>
      </c>
      <c r="W20" s="3" t="s">
        <v>11</v>
      </c>
      <c r="X20" s="3" t="s">
        <v>12</v>
      </c>
      <c r="Z20" s="3" t="s">
        <v>5</v>
      </c>
      <c r="AA20" s="3" t="s">
        <v>6</v>
      </c>
      <c r="AB20" s="3" t="s">
        <v>7</v>
      </c>
      <c r="AC20" s="3" t="s">
        <v>8</v>
      </c>
      <c r="AD20" s="3" t="s">
        <v>9</v>
      </c>
      <c r="AE20" s="3" t="s">
        <v>10</v>
      </c>
      <c r="AF20" s="3" t="s">
        <v>11</v>
      </c>
      <c r="AG20" s="3" t="s">
        <v>12</v>
      </c>
      <c r="AI20" s="3" t="s">
        <v>5</v>
      </c>
      <c r="AJ20" s="3" t="s">
        <v>6</v>
      </c>
      <c r="AK20" s="3" t="s">
        <v>7</v>
      </c>
      <c r="AL20" s="3" t="s">
        <v>8</v>
      </c>
      <c r="AM20" s="3" t="s">
        <v>9</v>
      </c>
      <c r="AN20" s="3" t="s">
        <v>10</v>
      </c>
      <c r="AO20" s="3" t="s">
        <v>11</v>
      </c>
      <c r="AP20" s="3" t="s">
        <v>12</v>
      </c>
    </row>
    <row r="21" spans="1:42" outlineLevel="1" x14ac:dyDescent="0.25">
      <c r="A21" s="15" t="s">
        <v>40</v>
      </c>
      <c r="B21" s="5">
        <v>6901373.1900000004</v>
      </c>
      <c r="C21" s="5">
        <v>590343.60000000009</v>
      </c>
      <c r="D21" s="5">
        <v>790971.26</v>
      </c>
      <c r="E21" s="5">
        <v>977260.41999999993</v>
      </c>
      <c r="G21" s="5">
        <f t="shared" ref="G21:N28" si="8">Z21+AI21</f>
        <v>1100000</v>
      </c>
      <c r="H21" s="5">
        <f t="shared" si="8"/>
        <v>1375000</v>
      </c>
      <c r="I21" s="5">
        <f t="shared" si="8"/>
        <v>1495000</v>
      </c>
      <c r="J21" s="5">
        <f t="shared" si="8"/>
        <v>1560000</v>
      </c>
      <c r="K21" s="5">
        <f t="shared" si="8"/>
        <v>1350000</v>
      </c>
      <c r="L21" s="5">
        <f t="shared" si="8"/>
        <v>1400000</v>
      </c>
      <c r="M21" s="5">
        <f t="shared" si="8"/>
        <v>1450000</v>
      </c>
      <c r="N21" s="5">
        <f t="shared" si="8"/>
        <v>1377500</v>
      </c>
      <c r="O21" s="5"/>
      <c r="P21" s="5"/>
      <c r="Q21" s="4">
        <v>0</v>
      </c>
      <c r="R21" s="4">
        <v>0.1</v>
      </c>
      <c r="S21" s="4">
        <v>0.15</v>
      </c>
      <c r="T21" s="4">
        <v>0.2</v>
      </c>
      <c r="U21" s="4">
        <v>0.35</v>
      </c>
      <c r="V21" s="4">
        <v>0.4</v>
      </c>
      <c r="W21" s="4">
        <v>0.45</v>
      </c>
      <c r="X21" s="4">
        <v>0.45</v>
      </c>
      <c r="Y21" s="5"/>
      <c r="Z21" s="5">
        <f>Q21*AI21</f>
        <v>0</v>
      </c>
      <c r="AA21" s="5">
        <f t="shared" ref="AA21:AG28" si="9">R21*AJ21</f>
        <v>125000</v>
      </c>
      <c r="AB21" s="5">
        <f t="shared" si="9"/>
        <v>195000</v>
      </c>
      <c r="AC21" s="5">
        <f t="shared" si="9"/>
        <v>260000</v>
      </c>
      <c r="AD21" s="5">
        <f t="shared" si="9"/>
        <v>350000</v>
      </c>
      <c r="AE21" s="5">
        <f t="shared" si="9"/>
        <v>400000</v>
      </c>
      <c r="AF21" s="5">
        <f t="shared" si="9"/>
        <v>450000</v>
      </c>
      <c r="AG21" s="5">
        <f t="shared" si="9"/>
        <v>427500</v>
      </c>
      <c r="AI21">
        <v>1100000</v>
      </c>
      <c r="AJ21">
        <v>1250000</v>
      </c>
      <c r="AK21">
        <v>1300000</v>
      </c>
      <c r="AL21">
        <v>1300000</v>
      </c>
      <c r="AM21">
        <v>1000000</v>
      </c>
      <c r="AN21">
        <v>1000000</v>
      </c>
      <c r="AO21">
        <v>1000000</v>
      </c>
      <c r="AP21">
        <v>950000</v>
      </c>
    </row>
    <row r="22" spans="1:42" outlineLevel="1" x14ac:dyDescent="0.25">
      <c r="A22" s="15" t="s">
        <v>41</v>
      </c>
      <c r="B22" s="5">
        <v>2103095.7109999997</v>
      </c>
      <c r="C22" s="5">
        <v>324864.48000000004</v>
      </c>
      <c r="D22" s="5">
        <v>273980.68</v>
      </c>
      <c r="E22" s="5">
        <v>333407.28999999998</v>
      </c>
      <c r="G22" s="5">
        <f t="shared" si="8"/>
        <v>650000</v>
      </c>
      <c r="H22" s="5">
        <f t="shared" si="8"/>
        <v>862500</v>
      </c>
      <c r="I22" s="5">
        <f t="shared" si="8"/>
        <v>812500</v>
      </c>
      <c r="J22" s="5">
        <f t="shared" si="8"/>
        <v>1015000</v>
      </c>
      <c r="K22" s="5">
        <f t="shared" si="8"/>
        <v>1087500</v>
      </c>
      <c r="L22" s="5">
        <f t="shared" si="8"/>
        <v>1200000</v>
      </c>
      <c r="M22" s="5">
        <f t="shared" si="8"/>
        <v>1125000</v>
      </c>
      <c r="N22" s="5">
        <f t="shared" si="8"/>
        <v>1085000</v>
      </c>
      <c r="O22" s="5"/>
      <c r="P22" s="5"/>
      <c r="Q22" s="4">
        <v>0</v>
      </c>
      <c r="R22" s="4">
        <v>0.15</v>
      </c>
      <c r="S22" s="4">
        <v>0.25</v>
      </c>
      <c r="T22" s="4">
        <v>0.45</v>
      </c>
      <c r="U22" s="4">
        <v>0.45</v>
      </c>
      <c r="V22" s="4">
        <v>0.5</v>
      </c>
      <c r="W22" s="4">
        <v>0.5</v>
      </c>
      <c r="X22" s="4">
        <v>0.55000000000000004</v>
      </c>
      <c r="Y22" s="5"/>
      <c r="Z22" s="5">
        <f t="shared" ref="Z22:Z28" si="10">Q22*AI22</f>
        <v>0</v>
      </c>
      <c r="AA22" s="5">
        <f t="shared" si="9"/>
        <v>112500</v>
      </c>
      <c r="AB22" s="5">
        <f t="shared" si="9"/>
        <v>162500</v>
      </c>
      <c r="AC22" s="5">
        <f t="shared" si="9"/>
        <v>315000</v>
      </c>
      <c r="AD22" s="5">
        <f t="shared" si="9"/>
        <v>337500</v>
      </c>
      <c r="AE22" s="5">
        <f t="shared" si="9"/>
        <v>400000</v>
      </c>
      <c r="AF22" s="5">
        <f t="shared" si="9"/>
        <v>375000</v>
      </c>
      <c r="AG22" s="5">
        <f t="shared" si="9"/>
        <v>385000.00000000006</v>
      </c>
      <c r="AI22">
        <v>650000</v>
      </c>
      <c r="AJ22">
        <v>750000</v>
      </c>
      <c r="AK22">
        <v>650000</v>
      </c>
      <c r="AL22">
        <v>700000</v>
      </c>
      <c r="AM22">
        <v>750000</v>
      </c>
      <c r="AN22">
        <v>800000</v>
      </c>
      <c r="AO22">
        <v>750000</v>
      </c>
      <c r="AP22">
        <v>700000</v>
      </c>
    </row>
    <row r="23" spans="1:42" outlineLevel="1" x14ac:dyDescent="0.25">
      <c r="A23" s="15" t="s">
        <v>42</v>
      </c>
      <c r="B23" s="5">
        <v>81591.31</v>
      </c>
      <c r="C23" s="5">
        <v>118472.04</v>
      </c>
      <c r="D23" s="5">
        <v>37259.1</v>
      </c>
      <c r="E23" s="5">
        <v>152370</v>
      </c>
      <c r="G23" s="5">
        <f t="shared" si="8"/>
        <v>120000</v>
      </c>
      <c r="H23" s="5">
        <f t="shared" si="8"/>
        <v>172500</v>
      </c>
      <c r="I23" s="5">
        <f t="shared" si="8"/>
        <v>177000</v>
      </c>
      <c r="J23" s="5">
        <f t="shared" si="8"/>
        <v>187500</v>
      </c>
      <c r="K23" s="5">
        <f t="shared" si="8"/>
        <v>162500</v>
      </c>
      <c r="L23" s="5">
        <f t="shared" si="8"/>
        <v>195000</v>
      </c>
      <c r="M23" s="5">
        <f t="shared" si="8"/>
        <v>208000</v>
      </c>
      <c r="N23" s="5">
        <f t="shared" si="8"/>
        <v>182000</v>
      </c>
      <c r="O23" s="5"/>
      <c r="P23" s="5"/>
      <c r="Q23" s="4">
        <v>0</v>
      </c>
      <c r="R23" s="4">
        <v>0.15</v>
      </c>
      <c r="S23" s="4">
        <v>0.18</v>
      </c>
      <c r="T23" s="4">
        <v>0.25</v>
      </c>
      <c r="U23" s="4">
        <v>0.25</v>
      </c>
      <c r="V23" s="4">
        <v>0.3</v>
      </c>
      <c r="W23" s="4">
        <v>0.3</v>
      </c>
      <c r="X23" s="4">
        <v>0.3</v>
      </c>
      <c r="Y23" s="5"/>
      <c r="Z23" s="5">
        <f t="shared" si="10"/>
        <v>0</v>
      </c>
      <c r="AA23" s="5">
        <f t="shared" si="9"/>
        <v>22500</v>
      </c>
      <c r="AB23" s="5">
        <f t="shared" si="9"/>
        <v>27000</v>
      </c>
      <c r="AC23" s="5">
        <f t="shared" si="9"/>
        <v>37500</v>
      </c>
      <c r="AD23" s="5">
        <f t="shared" si="9"/>
        <v>32500</v>
      </c>
      <c r="AE23" s="5">
        <f t="shared" si="9"/>
        <v>45000</v>
      </c>
      <c r="AF23" s="5">
        <f t="shared" si="9"/>
        <v>48000</v>
      </c>
      <c r="AG23" s="5">
        <f t="shared" si="9"/>
        <v>42000</v>
      </c>
      <c r="AI23">
        <v>120000</v>
      </c>
      <c r="AJ23">
        <v>150000</v>
      </c>
      <c r="AK23">
        <v>150000</v>
      </c>
      <c r="AL23">
        <v>150000</v>
      </c>
      <c r="AM23">
        <v>130000</v>
      </c>
      <c r="AN23">
        <v>150000</v>
      </c>
      <c r="AO23">
        <v>160000</v>
      </c>
      <c r="AP23">
        <v>140000</v>
      </c>
    </row>
    <row r="24" spans="1:42" outlineLevel="1" x14ac:dyDescent="0.25">
      <c r="A24" s="15" t="s">
        <v>43</v>
      </c>
      <c r="B24" s="5">
        <v>1857435.06</v>
      </c>
      <c r="C24" s="5">
        <v>295608</v>
      </c>
      <c r="D24" s="5">
        <v>0</v>
      </c>
      <c r="E24" s="5">
        <v>226856.9</v>
      </c>
      <c r="G24" s="5">
        <f t="shared" si="8"/>
        <v>185000</v>
      </c>
      <c r="H24" s="5">
        <f t="shared" si="8"/>
        <v>230000</v>
      </c>
      <c r="I24" s="5">
        <f t="shared" si="8"/>
        <v>275000</v>
      </c>
      <c r="J24" s="5">
        <f t="shared" si="8"/>
        <v>310500</v>
      </c>
      <c r="K24" s="5">
        <f t="shared" si="8"/>
        <v>348000</v>
      </c>
      <c r="L24" s="5">
        <f t="shared" si="8"/>
        <v>362500</v>
      </c>
      <c r="M24" s="5">
        <f t="shared" si="8"/>
        <v>403000</v>
      </c>
      <c r="N24" s="5">
        <f t="shared" si="8"/>
        <v>341000</v>
      </c>
      <c r="O24" s="5"/>
      <c r="P24" s="5"/>
      <c r="Q24" s="4">
        <v>0</v>
      </c>
      <c r="R24" s="4">
        <v>0.15</v>
      </c>
      <c r="S24" s="4">
        <v>0.25</v>
      </c>
      <c r="T24" s="4">
        <v>0.35</v>
      </c>
      <c r="U24" s="4">
        <v>0.45</v>
      </c>
      <c r="V24" s="4">
        <v>0.45</v>
      </c>
      <c r="W24" s="4">
        <v>0.55000000000000004</v>
      </c>
      <c r="X24" s="4">
        <v>0.55000000000000004</v>
      </c>
      <c r="Y24" s="5"/>
      <c r="Z24" s="5">
        <f t="shared" si="10"/>
        <v>0</v>
      </c>
      <c r="AA24" s="5">
        <f t="shared" si="9"/>
        <v>30000</v>
      </c>
      <c r="AB24" s="5">
        <f t="shared" si="9"/>
        <v>55000</v>
      </c>
      <c r="AC24" s="5">
        <f t="shared" si="9"/>
        <v>80500</v>
      </c>
      <c r="AD24" s="5">
        <f t="shared" si="9"/>
        <v>108000</v>
      </c>
      <c r="AE24" s="5">
        <f t="shared" si="9"/>
        <v>112500</v>
      </c>
      <c r="AF24" s="5">
        <f t="shared" si="9"/>
        <v>143000</v>
      </c>
      <c r="AG24" s="5">
        <f t="shared" si="9"/>
        <v>121000.00000000001</v>
      </c>
      <c r="AI24">
        <v>185000</v>
      </c>
      <c r="AJ24">
        <v>200000</v>
      </c>
      <c r="AK24">
        <v>220000</v>
      </c>
      <c r="AL24">
        <v>230000</v>
      </c>
      <c r="AM24">
        <v>240000</v>
      </c>
      <c r="AN24">
        <v>250000</v>
      </c>
      <c r="AO24">
        <v>260000</v>
      </c>
      <c r="AP24">
        <v>220000</v>
      </c>
    </row>
    <row r="25" spans="1:42" outlineLevel="1" x14ac:dyDescent="0.25">
      <c r="A25" s="15" t="s">
        <v>44</v>
      </c>
      <c r="B25" s="5">
        <v>149105.318</v>
      </c>
      <c r="C25" s="5">
        <v>25681.200000000001</v>
      </c>
      <c r="D25" s="5">
        <v>21746.880000000001</v>
      </c>
      <c r="E25" s="5">
        <v>13744.32</v>
      </c>
      <c r="G25" s="5">
        <f t="shared" si="8"/>
        <v>70000</v>
      </c>
      <c r="H25" s="5">
        <f t="shared" si="8"/>
        <v>93500</v>
      </c>
      <c r="I25" s="5">
        <f t="shared" si="8"/>
        <v>110000</v>
      </c>
      <c r="J25" s="5">
        <f t="shared" si="8"/>
        <v>120000</v>
      </c>
      <c r="K25" s="5">
        <f t="shared" si="8"/>
        <v>130000</v>
      </c>
      <c r="L25" s="5">
        <f t="shared" si="8"/>
        <v>168000</v>
      </c>
      <c r="M25" s="5">
        <f t="shared" si="8"/>
        <v>174000</v>
      </c>
      <c r="N25" s="5">
        <f t="shared" si="8"/>
        <v>174000</v>
      </c>
      <c r="O25" s="5"/>
      <c r="P25" s="5"/>
      <c r="Q25" s="4">
        <v>0</v>
      </c>
      <c r="R25" s="4">
        <v>0.1</v>
      </c>
      <c r="S25" s="4">
        <v>0.1</v>
      </c>
      <c r="T25" s="4">
        <v>0.2</v>
      </c>
      <c r="U25" s="4">
        <v>0.3</v>
      </c>
      <c r="V25" s="4">
        <v>0.4</v>
      </c>
      <c r="W25" s="4">
        <v>0.45</v>
      </c>
      <c r="X25" s="4">
        <v>0.45</v>
      </c>
      <c r="Y25" s="5"/>
      <c r="Z25" s="5">
        <f t="shared" si="10"/>
        <v>0</v>
      </c>
      <c r="AA25" s="5">
        <f t="shared" si="9"/>
        <v>8500</v>
      </c>
      <c r="AB25" s="5">
        <f t="shared" si="9"/>
        <v>10000</v>
      </c>
      <c r="AC25" s="5">
        <f t="shared" si="9"/>
        <v>20000</v>
      </c>
      <c r="AD25" s="5">
        <f t="shared" si="9"/>
        <v>30000</v>
      </c>
      <c r="AE25" s="5">
        <f t="shared" si="9"/>
        <v>48000</v>
      </c>
      <c r="AF25" s="5">
        <f t="shared" si="9"/>
        <v>54000</v>
      </c>
      <c r="AG25" s="5">
        <f t="shared" si="9"/>
        <v>54000</v>
      </c>
      <c r="AI25">
        <v>70000</v>
      </c>
      <c r="AJ25">
        <v>85000</v>
      </c>
      <c r="AK25">
        <v>100000</v>
      </c>
      <c r="AL25">
        <v>100000</v>
      </c>
      <c r="AM25">
        <v>100000</v>
      </c>
      <c r="AN25">
        <v>120000</v>
      </c>
      <c r="AO25">
        <v>120000</v>
      </c>
      <c r="AP25">
        <v>120000</v>
      </c>
    </row>
    <row r="26" spans="1:42" outlineLevel="1" x14ac:dyDescent="0.25">
      <c r="A26" s="15" t="s">
        <v>45</v>
      </c>
      <c r="B26" s="5">
        <v>49985.760000000002</v>
      </c>
      <c r="C26" s="5">
        <v>0</v>
      </c>
      <c r="D26" s="5">
        <v>0</v>
      </c>
      <c r="E26" s="5">
        <v>0</v>
      </c>
      <c r="G26" s="5">
        <f t="shared" si="8"/>
        <v>5000</v>
      </c>
      <c r="H26" s="5">
        <f t="shared" si="8"/>
        <v>5500</v>
      </c>
      <c r="I26" s="5">
        <f t="shared" si="8"/>
        <v>5500</v>
      </c>
      <c r="J26" s="5">
        <f t="shared" si="8"/>
        <v>5500</v>
      </c>
      <c r="K26" s="5">
        <f t="shared" si="8"/>
        <v>5500</v>
      </c>
      <c r="L26" s="5">
        <f t="shared" si="8"/>
        <v>5500</v>
      </c>
      <c r="M26" s="5">
        <f t="shared" si="8"/>
        <v>5500</v>
      </c>
      <c r="N26" s="5">
        <f t="shared" si="8"/>
        <v>5500</v>
      </c>
      <c r="O26" s="5"/>
      <c r="P26" s="5"/>
      <c r="Q26" s="4">
        <v>0</v>
      </c>
      <c r="R26" s="4">
        <v>0.1</v>
      </c>
      <c r="S26" s="4">
        <v>0.1</v>
      </c>
      <c r="T26" s="4">
        <v>0.1</v>
      </c>
      <c r="U26" s="4">
        <v>0.1</v>
      </c>
      <c r="V26" s="4">
        <v>0.1</v>
      </c>
      <c r="W26" s="4">
        <v>0.1</v>
      </c>
      <c r="X26" s="4">
        <v>0.1</v>
      </c>
      <c r="Y26" s="5"/>
      <c r="Z26" s="5">
        <f t="shared" si="10"/>
        <v>0</v>
      </c>
      <c r="AA26" s="5">
        <f t="shared" si="9"/>
        <v>500</v>
      </c>
      <c r="AB26" s="5">
        <f t="shared" si="9"/>
        <v>500</v>
      </c>
      <c r="AC26" s="5">
        <f t="shared" si="9"/>
        <v>500</v>
      </c>
      <c r="AD26" s="5">
        <f t="shared" si="9"/>
        <v>500</v>
      </c>
      <c r="AE26" s="5">
        <f t="shared" si="9"/>
        <v>500</v>
      </c>
      <c r="AF26" s="5">
        <f t="shared" si="9"/>
        <v>500</v>
      </c>
      <c r="AG26" s="5">
        <f t="shared" si="9"/>
        <v>500</v>
      </c>
      <c r="AI26">
        <v>5000</v>
      </c>
      <c r="AJ26">
        <v>5000</v>
      </c>
      <c r="AK26">
        <v>5000</v>
      </c>
      <c r="AL26">
        <v>5000</v>
      </c>
      <c r="AM26">
        <v>5000</v>
      </c>
      <c r="AN26">
        <v>5000</v>
      </c>
      <c r="AO26">
        <v>5000</v>
      </c>
      <c r="AP26">
        <v>5000</v>
      </c>
    </row>
    <row r="27" spans="1:42" outlineLevel="1" x14ac:dyDescent="0.25">
      <c r="A27" s="15" t="s">
        <v>46</v>
      </c>
      <c r="B27" s="5">
        <v>448844.82</v>
      </c>
      <c r="C27" s="5">
        <v>129682.8</v>
      </c>
      <c r="D27" s="5">
        <v>129682.8</v>
      </c>
      <c r="E27" s="5">
        <v>78916.680000000008</v>
      </c>
      <c r="G27" s="5">
        <f t="shared" si="8"/>
        <v>115000</v>
      </c>
      <c r="H27" s="5">
        <f t="shared" si="8"/>
        <v>126500</v>
      </c>
      <c r="I27" s="5">
        <f t="shared" si="8"/>
        <v>132000</v>
      </c>
      <c r="J27" s="5">
        <f t="shared" si="8"/>
        <v>138000</v>
      </c>
      <c r="K27" s="5">
        <f t="shared" si="8"/>
        <v>138000</v>
      </c>
      <c r="L27" s="5">
        <f t="shared" si="8"/>
        <v>144000</v>
      </c>
      <c r="M27" s="5">
        <f t="shared" si="8"/>
        <v>144000</v>
      </c>
      <c r="N27" s="5">
        <f t="shared" si="8"/>
        <v>150000</v>
      </c>
      <c r="O27" s="5"/>
      <c r="P27" s="5"/>
      <c r="Q27" s="4">
        <v>0</v>
      </c>
      <c r="R27" s="4">
        <v>0.1</v>
      </c>
      <c r="S27" s="4">
        <v>0.1</v>
      </c>
      <c r="T27" s="4">
        <v>0.15</v>
      </c>
      <c r="U27" s="4">
        <v>0.15</v>
      </c>
      <c r="V27" s="4">
        <v>0.2</v>
      </c>
      <c r="W27" s="4">
        <v>0.2</v>
      </c>
      <c r="X27" s="4">
        <v>0.25</v>
      </c>
      <c r="Y27" s="5"/>
      <c r="Z27" s="5">
        <f t="shared" si="10"/>
        <v>0</v>
      </c>
      <c r="AA27" s="5">
        <f t="shared" si="9"/>
        <v>11500</v>
      </c>
      <c r="AB27" s="5">
        <f t="shared" si="9"/>
        <v>12000</v>
      </c>
      <c r="AC27" s="5">
        <f t="shared" si="9"/>
        <v>18000</v>
      </c>
      <c r="AD27" s="5">
        <f t="shared" si="9"/>
        <v>18000</v>
      </c>
      <c r="AE27" s="5">
        <f t="shared" si="9"/>
        <v>24000</v>
      </c>
      <c r="AF27" s="5">
        <f t="shared" si="9"/>
        <v>24000</v>
      </c>
      <c r="AG27" s="5">
        <f t="shared" si="9"/>
        <v>30000</v>
      </c>
      <c r="AI27">
        <v>115000</v>
      </c>
      <c r="AJ27">
        <v>115000</v>
      </c>
      <c r="AK27">
        <v>120000</v>
      </c>
      <c r="AL27">
        <v>120000</v>
      </c>
      <c r="AM27">
        <v>120000</v>
      </c>
      <c r="AN27">
        <v>120000</v>
      </c>
      <c r="AO27">
        <v>120000</v>
      </c>
      <c r="AP27">
        <v>120000</v>
      </c>
    </row>
    <row r="28" spans="1:42" outlineLevel="1" x14ac:dyDescent="0.25">
      <c r="A28" s="15" t="s">
        <v>47</v>
      </c>
      <c r="B28" s="5">
        <v>190935.87999999998</v>
      </c>
      <c r="C28" s="5">
        <v>28913.64</v>
      </c>
      <c r="D28" s="5">
        <v>11813.16</v>
      </c>
      <c r="E28" s="5">
        <v>0</v>
      </c>
      <c r="G28" s="5">
        <f t="shared" si="8"/>
        <v>40000</v>
      </c>
      <c r="H28" s="5">
        <f t="shared" si="8"/>
        <v>44000</v>
      </c>
      <c r="I28" s="5">
        <f t="shared" si="8"/>
        <v>44000</v>
      </c>
      <c r="J28" s="5">
        <f t="shared" si="8"/>
        <v>46000</v>
      </c>
      <c r="K28" s="5">
        <f t="shared" si="8"/>
        <v>46000</v>
      </c>
      <c r="L28" s="5">
        <f t="shared" si="8"/>
        <v>48000</v>
      </c>
      <c r="M28" s="5">
        <f t="shared" si="8"/>
        <v>48000</v>
      </c>
      <c r="N28" s="5">
        <f t="shared" si="8"/>
        <v>50000</v>
      </c>
      <c r="O28" s="5"/>
      <c r="P28" s="5"/>
      <c r="Q28" s="4">
        <v>0</v>
      </c>
      <c r="R28" s="4">
        <v>0.1</v>
      </c>
      <c r="S28" s="4">
        <v>0.1</v>
      </c>
      <c r="T28" s="4">
        <v>0.15</v>
      </c>
      <c r="U28" s="4">
        <v>0.15</v>
      </c>
      <c r="V28" s="4">
        <v>0.2</v>
      </c>
      <c r="W28" s="4">
        <v>0.2</v>
      </c>
      <c r="X28" s="4">
        <v>0.25</v>
      </c>
      <c r="Y28" s="5"/>
      <c r="Z28" s="5">
        <f t="shared" si="10"/>
        <v>0</v>
      </c>
      <c r="AA28" s="5">
        <f t="shared" si="9"/>
        <v>4000</v>
      </c>
      <c r="AB28" s="5">
        <f t="shared" si="9"/>
        <v>4000</v>
      </c>
      <c r="AC28" s="5">
        <f t="shared" si="9"/>
        <v>6000</v>
      </c>
      <c r="AD28" s="5">
        <f t="shared" si="9"/>
        <v>6000</v>
      </c>
      <c r="AE28" s="5">
        <f t="shared" si="9"/>
        <v>8000</v>
      </c>
      <c r="AF28" s="5">
        <f t="shared" si="9"/>
        <v>8000</v>
      </c>
      <c r="AG28" s="5">
        <f t="shared" si="9"/>
        <v>10000</v>
      </c>
      <c r="AI28">
        <v>40000</v>
      </c>
      <c r="AJ28">
        <v>40000</v>
      </c>
      <c r="AK28">
        <v>40000</v>
      </c>
      <c r="AL28">
        <v>40000</v>
      </c>
      <c r="AM28">
        <v>40000</v>
      </c>
      <c r="AN28">
        <v>40000</v>
      </c>
      <c r="AO28">
        <v>40000</v>
      </c>
      <c r="AP28">
        <v>40000</v>
      </c>
    </row>
    <row r="29" spans="1:42" x14ac:dyDescent="0.25">
      <c r="A29" s="16" t="s">
        <v>48</v>
      </c>
      <c r="B29" s="5">
        <v>11085352</v>
      </c>
      <c r="C29" s="5">
        <v>1557594</v>
      </c>
      <c r="D29" s="5">
        <v>1130166</v>
      </c>
      <c r="E29" s="5">
        <v>1656838</v>
      </c>
      <c r="F29" s="5">
        <v>1710466</v>
      </c>
      <c r="G29" s="17">
        <f>SUM(G21:G28)</f>
        <v>2285000</v>
      </c>
      <c r="H29" s="17">
        <f t="shared" ref="H29:N29" si="11">SUM(H21:H28)</f>
        <v>2909500</v>
      </c>
      <c r="I29" s="17">
        <f t="shared" si="11"/>
        <v>3051000</v>
      </c>
      <c r="J29" s="17">
        <f t="shared" si="11"/>
        <v>3382500</v>
      </c>
      <c r="K29" s="17">
        <f t="shared" si="11"/>
        <v>3267500</v>
      </c>
      <c r="L29" s="17">
        <f t="shared" si="11"/>
        <v>3523000</v>
      </c>
      <c r="M29" s="17">
        <f t="shared" si="11"/>
        <v>3557500</v>
      </c>
      <c r="N29" s="17">
        <f t="shared" si="11"/>
        <v>3365000</v>
      </c>
      <c r="O29" s="5">
        <f>SUM(C29:N29)</f>
        <v>31396064</v>
      </c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42" x14ac:dyDescent="0.25">
      <c r="A30" s="16" t="s">
        <v>49</v>
      </c>
      <c r="B30" s="5">
        <v>916101</v>
      </c>
      <c r="C30" s="5">
        <v>58987</v>
      </c>
      <c r="D30" s="5">
        <v>93508</v>
      </c>
      <c r="E30" s="5">
        <v>82412</v>
      </c>
      <c r="F30" s="5">
        <v>55553</v>
      </c>
      <c r="G30" s="17">
        <v>9324</v>
      </c>
      <c r="H30" s="18">
        <v>50000</v>
      </c>
      <c r="I30" s="18">
        <v>50000</v>
      </c>
      <c r="J30" s="18">
        <v>50000</v>
      </c>
      <c r="K30" s="18">
        <v>50000</v>
      </c>
      <c r="L30" s="18">
        <v>50000</v>
      </c>
      <c r="M30" s="18">
        <v>50000</v>
      </c>
      <c r="N30" s="18">
        <v>50000</v>
      </c>
      <c r="O30" s="5">
        <f t="shared" ref="O30:O33" si="12">SUM(C30:N30)</f>
        <v>649784</v>
      </c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42" x14ac:dyDescent="0.25">
      <c r="A31" s="16" t="s">
        <v>50</v>
      </c>
      <c r="B31" s="5">
        <v>259898</v>
      </c>
      <c r="C31" s="5">
        <v>0</v>
      </c>
      <c r="D31" s="5">
        <v>0</v>
      </c>
      <c r="E31" s="5">
        <v>0</v>
      </c>
      <c r="F31" s="5">
        <v>29604</v>
      </c>
      <c r="G31" s="17">
        <v>120000</v>
      </c>
      <c r="H31" s="17">
        <v>120000</v>
      </c>
      <c r="I31" s="17">
        <v>120000</v>
      </c>
      <c r="J31" s="17">
        <v>120000</v>
      </c>
      <c r="K31" s="17">
        <v>120000</v>
      </c>
      <c r="L31" s="17">
        <v>120000</v>
      </c>
      <c r="M31" s="17">
        <v>120000</v>
      </c>
      <c r="N31" s="17">
        <v>120000</v>
      </c>
      <c r="O31" s="5">
        <f t="shared" si="12"/>
        <v>989604</v>
      </c>
      <c r="P31" s="5"/>
    </row>
    <row r="32" spans="1:42" x14ac:dyDescent="0.25">
      <c r="A32" s="16" t="s">
        <v>51</v>
      </c>
      <c r="B32" s="19">
        <v>372433</v>
      </c>
      <c r="C32" s="19">
        <v>24080</v>
      </c>
      <c r="D32" s="19">
        <v>54285</v>
      </c>
      <c r="E32" s="19">
        <v>-7453</v>
      </c>
      <c r="F32" s="19">
        <v>49481</v>
      </c>
      <c r="G32" s="20">
        <v>25000</v>
      </c>
      <c r="H32" s="20">
        <v>27500</v>
      </c>
      <c r="I32" s="20">
        <v>30000</v>
      </c>
      <c r="J32" s="20">
        <v>32500</v>
      </c>
      <c r="K32" s="20">
        <v>35000</v>
      </c>
      <c r="L32" s="20">
        <v>37500</v>
      </c>
      <c r="M32" s="20">
        <v>40000</v>
      </c>
      <c r="N32" s="20">
        <v>42500</v>
      </c>
      <c r="O32" s="19">
        <f t="shared" si="12"/>
        <v>390393</v>
      </c>
      <c r="P32" s="5"/>
    </row>
    <row r="33" spans="1:19" x14ac:dyDescent="0.25">
      <c r="A33" s="21" t="s">
        <v>52</v>
      </c>
      <c r="B33" s="10">
        <f>SUM(B29:B32)</f>
        <v>12633784</v>
      </c>
      <c r="C33" s="10">
        <f t="shared" ref="C33:N33" si="13">SUM(C29:C32)</f>
        <v>1640661</v>
      </c>
      <c r="D33" s="10">
        <f t="shared" si="13"/>
        <v>1277959</v>
      </c>
      <c r="E33" s="10">
        <f t="shared" si="13"/>
        <v>1731797</v>
      </c>
      <c r="F33" s="10">
        <f t="shared" si="13"/>
        <v>1845104</v>
      </c>
      <c r="G33" s="10">
        <f t="shared" si="13"/>
        <v>2439324</v>
      </c>
      <c r="H33" s="10">
        <f t="shared" si="13"/>
        <v>3107000</v>
      </c>
      <c r="I33" s="10">
        <f t="shared" si="13"/>
        <v>3251000</v>
      </c>
      <c r="J33" s="10">
        <f t="shared" si="13"/>
        <v>3585000</v>
      </c>
      <c r="K33" s="10">
        <f t="shared" si="13"/>
        <v>3472500</v>
      </c>
      <c r="L33" s="10">
        <f t="shared" si="13"/>
        <v>3730500</v>
      </c>
      <c r="M33" s="10">
        <f t="shared" si="13"/>
        <v>3767500</v>
      </c>
      <c r="N33" s="10">
        <f t="shared" si="13"/>
        <v>3577500</v>
      </c>
      <c r="O33" s="5">
        <f t="shared" si="12"/>
        <v>33425845</v>
      </c>
      <c r="P33" s="5"/>
    </row>
    <row r="34" spans="1:19" x14ac:dyDescent="0.25">
      <c r="A34" s="21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5"/>
      <c r="P34" s="5"/>
    </row>
    <row r="35" spans="1:19" hidden="1" outlineLevel="1" x14ac:dyDescent="0.25">
      <c r="A35" s="12" t="s">
        <v>28</v>
      </c>
      <c r="B35" s="22">
        <v>0.43488799460351873</v>
      </c>
      <c r="C35" s="23">
        <v>0.44997273273599553</v>
      </c>
      <c r="D35" s="23">
        <v>0.44433938032154024</v>
      </c>
      <c r="E35" s="23">
        <v>0.39563369315893027</v>
      </c>
      <c r="G35" s="24">
        <f>-AVERAGE($B$35:$E$35)*G21</f>
        <v>-474329.29522549582</v>
      </c>
      <c r="H35" s="24">
        <f t="shared" ref="H35:N35" si="14">-AVERAGE($B$35:$E$35)*H21</f>
        <v>-592911.61903186981</v>
      </c>
      <c r="I35" s="24">
        <f t="shared" si="14"/>
        <v>-644656.63305646938</v>
      </c>
      <c r="J35" s="24">
        <f t="shared" si="14"/>
        <v>-672685.18231979408</v>
      </c>
      <c r="K35" s="24">
        <f t="shared" si="14"/>
        <v>-582131.40777674492</v>
      </c>
      <c r="L35" s="24">
        <f t="shared" si="14"/>
        <v>-603691.83028699469</v>
      </c>
      <c r="M35" s="24">
        <f t="shared" si="14"/>
        <v>-625252.25279724447</v>
      </c>
      <c r="N35" s="24">
        <f t="shared" si="14"/>
        <v>-593989.64015738224</v>
      </c>
      <c r="O35" s="5"/>
      <c r="P35" s="24"/>
      <c r="Q35" s="24"/>
      <c r="R35" s="24"/>
      <c r="S35" s="24"/>
    </row>
    <row r="36" spans="1:19" hidden="1" outlineLevel="1" x14ac:dyDescent="0.25">
      <c r="A36" s="12" t="s">
        <v>29</v>
      </c>
      <c r="B36" s="22">
        <v>0.31681060398122107</v>
      </c>
      <c r="C36" s="23">
        <v>0.37102335312689289</v>
      </c>
      <c r="D36" s="23">
        <v>0.36718064503816328</v>
      </c>
      <c r="E36" s="23">
        <v>0.35520223548598007</v>
      </c>
      <c r="G36" s="24">
        <f>-AVERAGE($B$36:$E$36)*G22</f>
        <v>-229160.2361152418</v>
      </c>
      <c r="H36" s="24">
        <f t="shared" ref="H36:N36" si="15">-AVERAGE($B$36:$E$36)*H22</f>
        <v>-304078.00561445544</v>
      </c>
      <c r="I36" s="24">
        <f t="shared" si="15"/>
        <v>-286450.29514405224</v>
      </c>
      <c r="J36" s="24">
        <f t="shared" si="15"/>
        <v>-357842.52254918526</v>
      </c>
      <c r="K36" s="24">
        <f t="shared" si="15"/>
        <v>-383402.70273126994</v>
      </c>
      <c r="L36" s="24">
        <f t="shared" si="15"/>
        <v>-423065.05128967715</v>
      </c>
      <c r="M36" s="24">
        <f t="shared" si="15"/>
        <v>-396623.48558407236</v>
      </c>
      <c r="N36" s="24">
        <f t="shared" si="15"/>
        <v>-382521.31720774976</v>
      </c>
      <c r="O36" s="5"/>
      <c r="P36" s="24"/>
      <c r="Q36" s="24"/>
      <c r="R36" s="24"/>
      <c r="S36" s="24"/>
    </row>
    <row r="37" spans="1:19" hidden="1" outlineLevel="1" x14ac:dyDescent="0.25">
      <c r="A37" s="12" t="s">
        <v>30</v>
      </c>
      <c r="B37" s="22">
        <v>0.29077719202640651</v>
      </c>
      <c r="C37" s="23">
        <v>0.37312718771080705</v>
      </c>
      <c r="D37" s="23">
        <v>0.38213132832767205</v>
      </c>
      <c r="E37" s="23">
        <v>0.41978311490105003</v>
      </c>
      <c r="G37" s="24">
        <f>-AVERAGE($B$37:$E$37)*G23</f>
        <v>-43974.564688978069</v>
      </c>
      <c r="H37" s="24">
        <f t="shared" ref="H37:N37" si="16">-AVERAGE($B$37:$E$37)*H23</f>
        <v>-63213.436740405974</v>
      </c>
      <c r="I37" s="24">
        <f t="shared" si="16"/>
        <v>-64862.482916242654</v>
      </c>
      <c r="J37" s="24">
        <f t="shared" si="16"/>
        <v>-68710.257326528241</v>
      </c>
      <c r="K37" s="24">
        <f t="shared" si="16"/>
        <v>-59548.889682991139</v>
      </c>
      <c r="L37" s="24">
        <f t="shared" si="16"/>
        <v>-71458.667619589367</v>
      </c>
      <c r="M37" s="24">
        <f t="shared" si="16"/>
        <v>-76222.578794228655</v>
      </c>
      <c r="N37" s="24">
        <f t="shared" si="16"/>
        <v>-66694.756444950079</v>
      </c>
      <c r="O37" s="5"/>
      <c r="P37" s="24"/>
      <c r="Q37" s="24"/>
      <c r="R37" s="24"/>
      <c r="S37" s="24"/>
    </row>
    <row r="38" spans="1:19" hidden="1" outlineLevel="1" x14ac:dyDescent="0.25">
      <c r="A38" s="12" t="s">
        <v>31</v>
      </c>
      <c r="B38" s="22">
        <v>0.37929078392651855</v>
      </c>
      <c r="C38" s="23">
        <v>0.4282698709101242</v>
      </c>
      <c r="D38" s="23" t="s">
        <v>136</v>
      </c>
      <c r="E38" s="23">
        <v>0.45094506713262855</v>
      </c>
      <c r="G38" s="24">
        <f>-SUM($B$38:$E$38)/3*G24</f>
        <v>-77607.852854771729</v>
      </c>
      <c r="H38" s="24">
        <f t="shared" ref="H38:N38" si="17">-SUM($B$38:$E$38)/3*H24</f>
        <v>-96485.438684310793</v>
      </c>
      <c r="I38" s="24">
        <f t="shared" si="17"/>
        <v>-115363.02451384986</v>
      </c>
      <c r="J38" s="24">
        <f t="shared" si="17"/>
        <v>-130255.34222381956</v>
      </c>
      <c r="K38" s="24">
        <f t="shared" si="17"/>
        <v>-145986.66374843544</v>
      </c>
      <c r="L38" s="24">
        <f t="shared" si="17"/>
        <v>-152069.44140462027</v>
      </c>
      <c r="M38" s="24">
        <f t="shared" si="17"/>
        <v>-169059.26865120544</v>
      </c>
      <c r="N38" s="24">
        <f t="shared" si="17"/>
        <v>-143050.15039717383</v>
      </c>
      <c r="O38" s="5"/>
      <c r="P38" s="24"/>
      <c r="Q38" s="24"/>
      <c r="R38" s="24"/>
      <c r="S38" s="24"/>
    </row>
    <row r="39" spans="1:19" hidden="1" outlineLevel="1" x14ac:dyDescent="0.25">
      <c r="A39" s="12" t="s">
        <v>32</v>
      </c>
      <c r="B39" s="22">
        <v>5.9670909926901466E-2</v>
      </c>
      <c r="C39" s="23">
        <v>6.5637937479557026E-2</v>
      </c>
      <c r="D39" s="23">
        <v>6.5861930539001454E-2</v>
      </c>
      <c r="E39" s="23">
        <v>7.7902289818630524E-2</v>
      </c>
      <c r="G39" s="24">
        <f>-AVERAGE($B$39:$E$39)*G25</f>
        <v>-4708.7786858715826</v>
      </c>
      <c r="H39" s="24">
        <f t="shared" ref="H39:N39" si="18">-AVERAGE($B$39:$E$39)*H25</f>
        <v>-6289.5829589856148</v>
      </c>
      <c r="I39" s="24">
        <f t="shared" si="18"/>
        <v>-7399.5093635124877</v>
      </c>
      <c r="J39" s="24">
        <f t="shared" si="18"/>
        <v>-8072.1920329227141</v>
      </c>
      <c r="K39" s="24">
        <f t="shared" si="18"/>
        <v>-8744.8747023329397</v>
      </c>
      <c r="L39" s="24">
        <f t="shared" si="18"/>
        <v>-11301.068846091799</v>
      </c>
      <c r="M39" s="24">
        <f t="shared" si="18"/>
        <v>-11704.678447737935</v>
      </c>
      <c r="N39" s="24">
        <f t="shared" si="18"/>
        <v>-11704.678447737935</v>
      </c>
      <c r="O39" s="5"/>
      <c r="P39" s="24"/>
      <c r="Q39" s="24"/>
      <c r="R39" s="24"/>
      <c r="S39" s="24"/>
    </row>
    <row r="40" spans="1:19" hidden="1" outlineLevel="1" x14ac:dyDescent="0.25">
      <c r="A40" s="12" t="s">
        <v>33</v>
      </c>
      <c r="B40" s="22">
        <v>0.27204111367281036</v>
      </c>
      <c r="C40" s="23" t="s">
        <v>136</v>
      </c>
      <c r="D40" s="23" t="s">
        <v>136</v>
      </c>
      <c r="E40" s="23" t="s">
        <v>136</v>
      </c>
      <c r="G40" s="24">
        <f>-$B$40*G26</f>
        <v>-1360.2055683640517</v>
      </c>
      <c r="H40" s="24">
        <f t="shared" ref="H40:N40" si="19">-$B$40*H26</f>
        <v>-1496.2261252004571</v>
      </c>
      <c r="I40" s="24">
        <f t="shared" si="19"/>
        <v>-1496.2261252004571</v>
      </c>
      <c r="J40" s="24">
        <f t="shared" si="19"/>
        <v>-1496.2261252004571</v>
      </c>
      <c r="K40" s="24">
        <f t="shared" si="19"/>
        <v>-1496.2261252004571</v>
      </c>
      <c r="L40" s="24">
        <f t="shared" si="19"/>
        <v>-1496.2261252004571</v>
      </c>
      <c r="M40" s="24">
        <f t="shared" si="19"/>
        <v>-1496.2261252004571</v>
      </c>
      <c r="N40" s="24">
        <f t="shared" si="19"/>
        <v>-1496.2261252004571</v>
      </c>
      <c r="O40" s="5"/>
      <c r="P40" s="24"/>
      <c r="Q40" s="24"/>
      <c r="R40" s="24"/>
      <c r="S40" s="24"/>
    </row>
    <row r="41" spans="1:19" hidden="1" outlineLevel="1" x14ac:dyDescent="0.25">
      <c r="A41" s="12" t="s">
        <v>34</v>
      </c>
      <c r="B41" s="22">
        <v>0.28205346337738729</v>
      </c>
      <c r="C41" s="23">
        <v>0.30267532779983158</v>
      </c>
      <c r="D41" s="23">
        <v>0.30267532779983158</v>
      </c>
      <c r="E41" s="23">
        <v>0.37483563677539394</v>
      </c>
      <c r="G41" s="24">
        <f>-AVERAGE($B$41:$E$41)*G27</f>
        <v>-36289.392977882781</v>
      </c>
      <c r="H41" s="24">
        <f t="shared" ref="H41:N41" si="20">-AVERAGE($B$41:$E$41)*H27</f>
        <v>-39918.332275671055</v>
      </c>
      <c r="I41" s="24">
        <f t="shared" si="20"/>
        <v>-41653.911939830672</v>
      </c>
      <c r="J41" s="24">
        <f t="shared" si="20"/>
        <v>-43547.271573459337</v>
      </c>
      <c r="K41" s="24">
        <f t="shared" si="20"/>
        <v>-43547.271573459337</v>
      </c>
      <c r="L41" s="24">
        <f t="shared" si="20"/>
        <v>-45440.631207088001</v>
      </c>
      <c r="M41" s="24">
        <f t="shared" si="20"/>
        <v>-45440.631207088001</v>
      </c>
      <c r="N41" s="24">
        <f t="shared" si="20"/>
        <v>-47333.990840716666</v>
      </c>
      <c r="O41" s="5"/>
      <c r="P41" s="24"/>
      <c r="Q41" s="24"/>
      <c r="R41" s="24"/>
      <c r="S41" s="24"/>
    </row>
    <row r="42" spans="1:19" hidden="1" outlineLevel="1" x14ac:dyDescent="0.25">
      <c r="A42" s="12" t="s">
        <v>35</v>
      </c>
      <c r="B42" s="22">
        <v>0.35800703350454466</v>
      </c>
      <c r="C42" s="23">
        <v>0.38827816982327673</v>
      </c>
      <c r="D42" s="23">
        <v>0.30636841242485474</v>
      </c>
      <c r="E42" s="23" t="s">
        <v>136</v>
      </c>
      <c r="G42" s="24" cm="1">
        <f t="array" ref="G42">-SUM($B$42:$D$42/3*G28)</f>
        <v>-14035.381543369014</v>
      </c>
      <c r="H42" s="24" cm="1">
        <f t="array" ref="H42">-SUM($B$42:$D$42/3*H28)</f>
        <v>-15438.919697705916</v>
      </c>
      <c r="I42" s="24" cm="1">
        <f t="array" ref="I42">-SUM($B$42:$D$42/3*I28)</f>
        <v>-15438.919697705916</v>
      </c>
      <c r="J42" s="24" cm="1">
        <f t="array" ref="J42">-SUM($B$42:$D$42/3*J28)</f>
        <v>-16140.688774874367</v>
      </c>
      <c r="K42" s="24" cm="1">
        <f t="array" ref="K42">-SUM($B$42:$D$42/3*K28)</f>
        <v>-16140.688774874367</v>
      </c>
      <c r="L42" s="24" cm="1">
        <f t="array" ref="L42">-SUM($B$42:$D$42/3*L28)</f>
        <v>-16842.457852042819</v>
      </c>
      <c r="M42" s="24" cm="1">
        <f t="array" ref="M42">-SUM($B$42:$D$42/3*M28)</f>
        <v>-16842.457852042819</v>
      </c>
      <c r="N42" s="24" cm="1">
        <f t="array" ref="N42">-SUM($B$42:$D$42/3*N28)</f>
        <v>-17544.226929211269</v>
      </c>
      <c r="O42" s="5"/>
      <c r="P42" s="24"/>
      <c r="Q42" s="24"/>
      <c r="R42" s="24"/>
      <c r="S42" s="24"/>
    </row>
    <row r="43" spans="1:19" collapsed="1" x14ac:dyDescent="0.25">
      <c r="A43" s="16" t="s">
        <v>53</v>
      </c>
      <c r="B43" s="19">
        <v>-4616676</v>
      </c>
      <c r="C43" s="19">
        <v>-609140</v>
      </c>
      <c r="D43" s="19">
        <v>-510601</v>
      </c>
      <c r="E43" s="19">
        <v>-701978</v>
      </c>
      <c r="F43" s="19">
        <v>-735500.38</v>
      </c>
      <c r="G43" s="19">
        <f>SUM(G35:G42)</f>
        <v>-881465.70765997481</v>
      </c>
      <c r="H43" s="19">
        <f t="shared" ref="H43:N43" si="21">SUM(H35:H42)</f>
        <v>-1119831.5611286049</v>
      </c>
      <c r="I43" s="19">
        <f t="shared" si="21"/>
        <v>-1177321.0027568638</v>
      </c>
      <c r="J43" s="19">
        <f t="shared" si="21"/>
        <v>-1298749.682925784</v>
      </c>
      <c r="K43" s="19">
        <f t="shared" si="21"/>
        <v>-1240998.7251153088</v>
      </c>
      <c r="L43" s="19">
        <f t="shared" si="21"/>
        <v>-1325365.3746313045</v>
      </c>
      <c r="M43" s="19">
        <f t="shared" si="21"/>
        <v>-1342641.5794588199</v>
      </c>
      <c r="N43" s="19">
        <f t="shared" si="21"/>
        <v>-1264334.9865501223</v>
      </c>
      <c r="O43" s="19">
        <f t="shared" ref="O43:O65" si="22">SUM(C43:N43)</f>
        <v>-12207928.000226783</v>
      </c>
      <c r="P43" s="10"/>
      <c r="Q43" s="10"/>
      <c r="R43" s="10"/>
      <c r="S43" s="10"/>
    </row>
    <row r="44" spans="1:19" x14ac:dyDescent="0.25">
      <c r="A44" s="21" t="s">
        <v>54</v>
      </c>
      <c r="B44" s="10">
        <f>B43+B33</f>
        <v>8017108</v>
      </c>
      <c r="C44" s="10">
        <f t="shared" ref="C44:O44" si="23">C43+C33</f>
        <v>1031521</v>
      </c>
      <c r="D44" s="10">
        <f t="shared" si="23"/>
        <v>767358</v>
      </c>
      <c r="E44" s="10">
        <f t="shared" si="23"/>
        <v>1029819</v>
      </c>
      <c r="F44" s="10">
        <f t="shared" si="23"/>
        <v>1109603.6200000001</v>
      </c>
      <c r="G44" s="10">
        <f t="shared" si="23"/>
        <v>1557858.2923400253</v>
      </c>
      <c r="H44" s="10">
        <f t="shared" si="23"/>
        <v>1987168.4388713951</v>
      </c>
      <c r="I44" s="10">
        <f t="shared" si="23"/>
        <v>2073678.9972431362</v>
      </c>
      <c r="J44" s="10">
        <f t="shared" si="23"/>
        <v>2286250.317074216</v>
      </c>
      <c r="K44" s="10">
        <f t="shared" si="23"/>
        <v>2231501.2748846915</v>
      </c>
      <c r="L44" s="10">
        <f t="shared" si="23"/>
        <v>2405134.6253686957</v>
      </c>
      <c r="M44" s="10">
        <f t="shared" si="23"/>
        <v>2424858.4205411803</v>
      </c>
      <c r="N44" s="10">
        <f t="shared" si="23"/>
        <v>2313165.0134498775</v>
      </c>
      <c r="O44" s="24">
        <f t="shared" si="23"/>
        <v>21217916.999773219</v>
      </c>
      <c r="P44" s="5"/>
    </row>
    <row r="45" spans="1:19" x14ac:dyDescent="0.25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>
        <f t="shared" si="22"/>
        <v>0</v>
      </c>
      <c r="P45" s="5"/>
    </row>
    <row r="46" spans="1:19" hidden="1" outlineLevel="1" x14ac:dyDescent="0.25">
      <c r="A46" t="s">
        <v>55</v>
      </c>
      <c r="B46" s="5">
        <v>63133</v>
      </c>
      <c r="C46" s="5">
        <v>6817</v>
      </c>
      <c r="D46" s="5">
        <v>6485</v>
      </c>
      <c r="E46" s="5">
        <v>10301</v>
      </c>
      <c r="F46" s="5">
        <v>1229</v>
      </c>
      <c r="G46" s="5">
        <v>6651</v>
      </c>
      <c r="H46" s="5">
        <v>6651</v>
      </c>
      <c r="I46" s="5">
        <v>6651</v>
      </c>
      <c r="J46" s="5">
        <v>9976.5</v>
      </c>
      <c r="K46" s="5">
        <v>6651</v>
      </c>
      <c r="L46" s="5">
        <v>6651</v>
      </c>
      <c r="M46" s="5">
        <v>6651</v>
      </c>
      <c r="N46" s="5">
        <v>6651</v>
      </c>
      <c r="O46" s="5">
        <f t="shared" si="22"/>
        <v>81365.5</v>
      </c>
    </row>
    <row r="47" spans="1:19" hidden="1" outlineLevel="1" x14ac:dyDescent="0.25">
      <c r="A47" t="s">
        <v>56</v>
      </c>
      <c r="B47" s="5">
        <v>878113</v>
      </c>
      <c r="C47" s="5">
        <v>70904</v>
      </c>
      <c r="D47" s="5">
        <v>70845</v>
      </c>
      <c r="E47" s="5">
        <v>110737</v>
      </c>
      <c r="F47" s="5">
        <v>67828</v>
      </c>
      <c r="G47" s="5">
        <v>86474.5</v>
      </c>
      <c r="H47" s="5">
        <v>86474.5</v>
      </c>
      <c r="I47" s="5">
        <v>86474.5</v>
      </c>
      <c r="J47" s="5">
        <v>129711.75</v>
      </c>
      <c r="K47" s="5">
        <v>86474.5</v>
      </c>
      <c r="L47" s="5">
        <v>86474.5</v>
      </c>
      <c r="M47" s="5">
        <v>86474.5</v>
      </c>
      <c r="N47" s="5">
        <v>86474.5</v>
      </c>
      <c r="O47" s="5">
        <f t="shared" si="22"/>
        <v>1055347.25</v>
      </c>
    </row>
    <row r="48" spans="1:19" hidden="1" outlineLevel="1" x14ac:dyDescent="0.25">
      <c r="A48" t="s">
        <v>57</v>
      </c>
      <c r="B48" s="5">
        <v>55495</v>
      </c>
      <c r="C48" s="5">
        <v>4833</v>
      </c>
      <c r="D48" s="5">
        <v>5021</v>
      </c>
      <c r="E48" s="5">
        <v>6719</v>
      </c>
      <c r="F48" s="5">
        <v>5414</v>
      </c>
      <c r="G48" s="5">
        <v>4927</v>
      </c>
      <c r="H48" s="5">
        <v>4927</v>
      </c>
      <c r="I48" s="5">
        <v>4927</v>
      </c>
      <c r="J48" s="5">
        <v>7390.5</v>
      </c>
      <c r="K48" s="5">
        <v>4927</v>
      </c>
      <c r="L48" s="5">
        <v>4927</v>
      </c>
      <c r="M48" s="5">
        <v>4927</v>
      </c>
      <c r="N48" s="5">
        <v>4927</v>
      </c>
      <c r="O48" s="5">
        <f t="shared" si="22"/>
        <v>63866.5</v>
      </c>
    </row>
    <row r="49" spans="1:15" hidden="1" outlineLevel="1" x14ac:dyDescent="0.25">
      <c r="A49" t="s">
        <v>58</v>
      </c>
      <c r="B49" s="5">
        <v>265426</v>
      </c>
      <c r="C49" s="5">
        <v>20514</v>
      </c>
      <c r="D49" s="5">
        <v>21772</v>
      </c>
      <c r="E49" s="5">
        <v>40159</v>
      </c>
      <c r="F49" s="5">
        <v>28829</v>
      </c>
      <c r="G49" s="5">
        <v>21143</v>
      </c>
      <c r="H49" s="5">
        <v>21143</v>
      </c>
      <c r="I49" s="5">
        <v>21143</v>
      </c>
      <c r="J49" s="5">
        <v>31714.5</v>
      </c>
      <c r="K49" s="5">
        <v>21143</v>
      </c>
      <c r="L49" s="5">
        <v>21143</v>
      </c>
      <c r="M49" s="5">
        <v>21143</v>
      </c>
      <c r="N49" s="5">
        <v>21143</v>
      </c>
      <c r="O49" s="5">
        <f t="shared" si="22"/>
        <v>290989.5</v>
      </c>
    </row>
    <row r="50" spans="1:15" hidden="1" outlineLevel="1" x14ac:dyDescent="0.25">
      <c r="A50" t="s">
        <v>59</v>
      </c>
      <c r="B50" s="5">
        <v>34558</v>
      </c>
      <c r="C50" s="5">
        <v>3029</v>
      </c>
      <c r="D50" s="5">
        <v>2547</v>
      </c>
      <c r="E50" s="5">
        <v>4496</v>
      </c>
      <c r="F50" s="5">
        <v>2642</v>
      </c>
      <c r="G50" s="5">
        <v>2788</v>
      </c>
      <c r="H50" s="5">
        <v>2788</v>
      </c>
      <c r="I50" s="5">
        <v>2788</v>
      </c>
      <c r="J50" s="5">
        <v>4182</v>
      </c>
      <c r="K50" s="5">
        <v>2788</v>
      </c>
      <c r="L50" s="5">
        <v>2788</v>
      </c>
      <c r="M50" s="5">
        <v>2788</v>
      </c>
      <c r="N50" s="5">
        <v>2788</v>
      </c>
      <c r="O50" s="5">
        <f t="shared" si="22"/>
        <v>36412</v>
      </c>
    </row>
    <row r="51" spans="1:15" hidden="1" outlineLevel="1" x14ac:dyDescent="0.25">
      <c r="A51" t="s">
        <v>61</v>
      </c>
      <c r="B51" s="5">
        <v>25774.100000000002</v>
      </c>
      <c r="C51" s="5">
        <v>2301.5</v>
      </c>
      <c r="D51" s="5">
        <v>2311.1</v>
      </c>
      <c r="E51" s="5">
        <v>3471.7000000000003</v>
      </c>
      <c r="F51" s="5">
        <v>2308.7000000000003</v>
      </c>
      <c r="G51" s="5">
        <v>2306.3000000000002</v>
      </c>
      <c r="H51" s="5">
        <v>2306.3000000000002</v>
      </c>
      <c r="I51" s="5">
        <v>2306.3000000000002</v>
      </c>
      <c r="J51" s="5">
        <v>3459.4500000000003</v>
      </c>
      <c r="K51" s="5">
        <v>2306.3000000000002</v>
      </c>
      <c r="L51" s="5">
        <v>2306.3000000000002</v>
      </c>
      <c r="M51" s="5">
        <v>2306.3000000000002</v>
      </c>
      <c r="N51" s="5">
        <v>2306.3000000000002</v>
      </c>
      <c r="O51" s="5">
        <f t="shared" si="22"/>
        <v>29996.55</v>
      </c>
    </row>
    <row r="52" spans="1:15" hidden="1" outlineLevel="1" x14ac:dyDescent="0.25">
      <c r="A52" t="s">
        <v>62</v>
      </c>
      <c r="B52" s="5">
        <v>4374</v>
      </c>
      <c r="C52" s="5">
        <v>926.40000000000009</v>
      </c>
      <c r="D52" s="5">
        <v>1187.8</v>
      </c>
      <c r="E52" s="5">
        <v>1723.2</v>
      </c>
      <c r="F52" s="5">
        <v>1157.1000000000001</v>
      </c>
      <c r="G52" s="5">
        <v>1057.1000000000001</v>
      </c>
      <c r="H52" s="5">
        <v>1057.1000000000001</v>
      </c>
      <c r="I52" s="5">
        <v>1057.1000000000001</v>
      </c>
      <c r="J52" s="5">
        <v>1585.65</v>
      </c>
      <c r="K52" s="5">
        <v>1057.1000000000001</v>
      </c>
      <c r="L52" s="5">
        <v>1057.1000000000001</v>
      </c>
      <c r="M52" s="5">
        <v>1057.1000000000001</v>
      </c>
      <c r="N52" s="5">
        <v>1057.1000000000001</v>
      </c>
      <c r="O52" s="5">
        <f t="shared" si="22"/>
        <v>13979.850000000002</v>
      </c>
    </row>
    <row r="53" spans="1:15" hidden="1" outlineLevel="1" x14ac:dyDescent="0.25">
      <c r="A53" t="s">
        <v>63</v>
      </c>
      <c r="B53" s="5">
        <v>0</v>
      </c>
      <c r="C53" s="5">
        <v>0</v>
      </c>
      <c r="D53" s="5">
        <v>2494</v>
      </c>
      <c r="E53" s="5">
        <v>1692</v>
      </c>
      <c r="F53" s="5">
        <v>3295</v>
      </c>
      <c r="G53" s="5">
        <v>1247</v>
      </c>
      <c r="H53" s="5">
        <v>1247</v>
      </c>
      <c r="I53" s="5">
        <v>1247</v>
      </c>
      <c r="J53" s="5">
        <v>1870.5</v>
      </c>
      <c r="K53" s="5">
        <v>1247</v>
      </c>
      <c r="L53" s="5">
        <v>1247</v>
      </c>
      <c r="M53" s="5">
        <v>1247</v>
      </c>
      <c r="N53" s="5">
        <v>1247</v>
      </c>
      <c r="O53" s="5">
        <f t="shared" si="22"/>
        <v>18080.5</v>
      </c>
    </row>
    <row r="54" spans="1:15" hidden="1" outlineLevel="1" x14ac:dyDescent="0.25">
      <c r="A54" t="s">
        <v>65</v>
      </c>
      <c r="B54" s="5">
        <v>5693.5</v>
      </c>
      <c r="C54" s="5">
        <v>1372</v>
      </c>
      <c r="D54" s="5">
        <v>1466.5</v>
      </c>
      <c r="E54" s="5">
        <v>1948</v>
      </c>
      <c r="F54" s="5">
        <v>1361.5</v>
      </c>
      <c r="G54" s="5">
        <v>1419.25</v>
      </c>
      <c r="H54" s="5">
        <v>1419.25</v>
      </c>
      <c r="I54" s="5">
        <v>1419.25</v>
      </c>
      <c r="J54" s="5">
        <v>2128.875</v>
      </c>
      <c r="K54" s="5">
        <v>1419.25</v>
      </c>
      <c r="L54" s="5">
        <v>1419.25</v>
      </c>
      <c r="M54" s="5">
        <v>1419.25</v>
      </c>
      <c r="N54" s="5">
        <v>1419.25</v>
      </c>
      <c r="O54" s="5">
        <f t="shared" si="22"/>
        <v>18211.625</v>
      </c>
    </row>
    <row r="55" spans="1:15" hidden="1" outlineLevel="1" x14ac:dyDescent="0.25">
      <c r="A55" t="s">
        <v>68</v>
      </c>
      <c r="B55" s="5">
        <v>35933.300000000003</v>
      </c>
      <c r="C55" s="5">
        <v>2970.5</v>
      </c>
      <c r="D55" s="5">
        <v>4331.7</v>
      </c>
      <c r="E55" s="5">
        <v>3629.7000000000003</v>
      </c>
      <c r="F55" s="5">
        <v>3196.6000000000004</v>
      </c>
      <c r="G55" s="5">
        <v>3643.9666666666667</v>
      </c>
      <c r="H55" s="5">
        <v>3826.1650000000004</v>
      </c>
      <c r="I55" s="5">
        <v>4017.4732500000009</v>
      </c>
      <c r="J55" s="5">
        <v>4218.3469125000011</v>
      </c>
      <c r="K55" s="5">
        <v>3643.9666666666667</v>
      </c>
      <c r="L55" s="5">
        <v>3643.9666666666667</v>
      </c>
      <c r="M55" s="5">
        <v>3643.9666666666667</v>
      </c>
      <c r="N55" s="5">
        <v>3643.9666666666667</v>
      </c>
      <c r="O55" s="5">
        <f t="shared" si="22"/>
        <v>44410.318495833337</v>
      </c>
    </row>
    <row r="56" spans="1:15" hidden="1" outlineLevel="1" x14ac:dyDescent="0.25">
      <c r="A56" t="s">
        <v>69</v>
      </c>
      <c r="B56" s="5">
        <v>188141</v>
      </c>
      <c r="C56" s="5">
        <v>4923</v>
      </c>
      <c r="D56" s="5">
        <v>6610</v>
      </c>
      <c r="E56" s="5">
        <v>3735</v>
      </c>
      <c r="F56" s="5">
        <v>13930</v>
      </c>
      <c r="G56" s="5">
        <v>7501.989606523458</v>
      </c>
      <c r="H56" s="5">
        <v>10002.926404234287</v>
      </c>
      <c r="I56" s="5">
        <v>10199.751033079399</v>
      </c>
      <c r="J56" s="5">
        <v>10959.799433040091</v>
      </c>
      <c r="K56" s="5">
        <v>10871.48279390859</v>
      </c>
      <c r="L56" s="5">
        <v>11707.864348508963</v>
      </c>
      <c r="M56" s="5">
        <v>11567.345681043227</v>
      </c>
      <c r="N56" s="5">
        <v>10813.206944667543</v>
      </c>
      <c r="O56" s="5">
        <f t="shared" si="22"/>
        <v>112822.36624500559</v>
      </c>
    </row>
    <row r="57" spans="1:15" hidden="1" outlineLevel="1" x14ac:dyDescent="0.25">
      <c r="A57" t="s">
        <v>77</v>
      </c>
      <c r="B57" s="5">
        <v>20213.7</v>
      </c>
      <c r="C57" s="5">
        <v>1747.5</v>
      </c>
      <c r="D57" s="5">
        <v>3020.5</v>
      </c>
      <c r="E57" s="5">
        <v>1380.5</v>
      </c>
      <c r="F57" s="5">
        <v>2396.3000000000002</v>
      </c>
      <c r="G57" s="5">
        <v>1684.4750000000001</v>
      </c>
      <c r="H57" s="5">
        <v>1684.4750000000001</v>
      </c>
      <c r="I57" s="5">
        <v>1684.4750000000001</v>
      </c>
      <c r="J57" s="5">
        <v>1684.4750000000001</v>
      </c>
      <c r="K57" s="5">
        <v>1684.4750000000001</v>
      </c>
      <c r="L57" s="5">
        <v>1684.4750000000001</v>
      </c>
      <c r="M57" s="5">
        <v>1684.4750000000001</v>
      </c>
      <c r="N57" s="5">
        <v>1684.4750000000001</v>
      </c>
      <c r="O57" s="5">
        <f t="shared" si="22"/>
        <v>22020.599999999995</v>
      </c>
    </row>
    <row r="58" spans="1:15" hidden="1" outlineLevel="1" x14ac:dyDescent="0.25">
      <c r="A58" t="s">
        <v>80</v>
      </c>
      <c r="B58" s="5">
        <v>34107</v>
      </c>
      <c r="C58" s="5">
        <v>3137</v>
      </c>
      <c r="D58" s="5">
        <v>3309</v>
      </c>
      <c r="E58" s="5">
        <v>2241</v>
      </c>
      <c r="F58" s="5">
        <v>2240</v>
      </c>
      <c r="G58" s="5">
        <v>2731.75</v>
      </c>
      <c r="H58" s="5">
        <v>2731.75</v>
      </c>
      <c r="I58" s="5">
        <v>2731.75</v>
      </c>
      <c r="J58" s="5">
        <v>2731.75</v>
      </c>
      <c r="K58" s="5">
        <v>2731.75</v>
      </c>
      <c r="L58" s="5">
        <v>2731.75</v>
      </c>
      <c r="M58" s="5">
        <v>2731.75</v>
      </c>
      <c r="N58" s="5">
        <v>2731.75</v>
      </c>
      <c r="O58" s="5">
        <f t="shared" si="22"/>
        <v>32781</v>
      </c>
    </row>
    <row r="59" spans="1:15" hidden="1" outlineLevel="1" x14ac:dyDescent="0.25">
      <c r="A59" t="s">
        <v>81</v>
      </c>
      <c r="B59" s="5">
        <v>2200</v>
      </c>
      <c r="C59" s="5">
        <v>2300</v>
      </c>
      <c r="D59" s="5">
        <v>2512</v>
      </c>
      <c r="E59" s="5">
        <v>0</v>
      </c>
      <c r="F59" s="5">
        <v>0</v>
      </c>
      <c r="G59" s="5">
        <v>2406</v>
      </c>
      <c r="H59" s="5">
        <v>2406</v>
      </c>
      <c r="I59" s="5">
        <v>2406</v>
      </c>
      <c r="J59" s="5">
        <v>2406</v>
      </c>
      <c r="K59" s="5">
        <v>2406</v>
      </c>
      <c r="L59" s="5">
        <v>2406</v>
      </c>
      <c r="M59" s="5">
        <v>2406</v>
      </c>
      <c r="N59" s="5">
        <v>2406</v>
      </c>
      <c r="O59" s="5">
        <f t="shared" si="22"/>
        <v>24060</v>
      </c>
    </row>
    <row r="60" spans="1:15" hidden="1" outlineLevel="1" x14ac:dyDescent="0.25">
      <c r="A60" t="s">
        <v>82</v>
      </c>
      <c r="B60" s="5">
        <v>12203.5</v>
      </c>
      <c r="C60" s="5">
        <v>0</v>
      </c>
      <c r="D60" s="5">
        <v>0</v>
      </c>
      <c r="E60" s="5">
        <v>0</v>
      </c>
      <c r="F60" s="5">
        <v>0</v>
      </c>
      <c r="G60" s="5">
        <v>25000</v>
      </c>
      <c r="H60" s="5">
        <v>50000</v>
      </c>
      <c r="I60" s="5">
        <v>50000</v>
      </c>
      <c r="J60" s="5">
        <v>50000</v>
      </c>
      <c r="K60" s="5">
        <v>50000</v>
      </c>
      <c r="L60" s="5">
        <v>50000</v>
      </c>
      <c r="M60" s="5">
        <v>50000</v>
      </c>
      <c r="N60" s="5">
        <v>50000</v>
      </c>
      <c r="O60" s="5">
        <f t="shared" si="22"/>
        <v>375000</v>
      </c>
    </row>
    <row r="61" spans="1:15" hidden="1" outlineLevel="1" x14ac:dyDescent="0.25">
      <c r="A61" t="s">
        <v>83</v>
      </c>
      <c r="B61" s="5">
        <v>207186</v>
      </c>
      <c r="C61" s="5">
        <v>12659</v>
      </c>
      <c r="D61" s="5">
        <v>11874</v>
      </c>
      <c r="E61" s="5">
        <v>2744</v>
      </c>
      <c r="F61" s="5">
        <v>6515</v>
      </c>
      <c r="G61" s="5">
        <v>13402.657224072593</v>
      </c>
      <c r="H61" s="5">
        <v>17870.698423388698</v>
      </c>
      <c r="I61" s="5">
        <v>18222.334878786136</v>
      </c>
      <c r="J61" s="5">
        <v>19580.197087702025</v>
      </c>
      <c r="K61" s="5">
        <v>19422.415258674653</v>
      </c>
      <c r="L61" s="5">
        <v>20916.650238032416</v>
      </c>
      <c r="M61" s="5">
        <v>20665.607030509309</v>
      </c>
      <c r="N61" s="5">
        <v>19318.302713498597</v>
      </c>
      <c r="O61" s="5">
        <f t="shared" si="22"/>
        <v>183190.86285466442</v>
      </c>
    </row>
    <row r="62" spans="1:15" hidden="1" outlineLevel="1" x14ac:dyDescent="0.25">
      <c r="A62" t="s">
        <v>84</v>
      </c>
      <c r="B62" s="5">
        <v>865608</v>
      </c>
      <c r="C62" s="5">
        <v>70365.600000000006</v>
      </c>
      <c r="D62" s="5">
        <v>79983.200000000012</v>
      </c>
      <c r="E62" s="5">
        <v>69934.400000000009</v>
      </c>
      <c r="F62" s="5">
        <v>66701.600000000006</v>
      </c>
      <c r="G62" s="5">
        <v>77427.733333333337</v>
      </c>
      <c r="H62" s="5">
        <v>77427.733333333337</v>
      </c>
      <c r="I62" s="5">
        <v>77427.733333333337</v>
      </c>
      <c r="J62" s="5">
        <v>77427.733333333337</v>
      </c>
      <c r="K62" s="5">
        <v>77427.733333333337</v>
      </c>
      <c r="L62" s="5">
        <v>77427.733333333337</v>
      </c>
      <c r="M62" s="5">
        <v>77427.733333333337</v>
      </c>
      <c r="N62" s="5">
        <v>77427.733333333337</v>
      </c>
      <c r="O62" s="5">
        <f t="shared" si="22"/>
        <v>906406.66666666698</v>
      </c>
    </row>
    <row r="63" spans="1:15" hidden="1" outlineLevel="1" x14ac:dyDescent="0.25">
      <c r="A63" t="s">
        <v>87</v>
      </c>
      <c r="B63" s="5">
        <v>413997</v>
      </c>
      <c r="C63" s="5">
        <v>29921</v>
      </c>
      <c r="D63" s="5">
        <v>22642</v>
      </c>
      <c r="E63" s="5">
        <v>16126</v>
      </c>
      <c r="F63" s="5">
        <v>19099</v>
      </c>
      <c r="G63" s="5">
        <v>28647</v>
      </c>
      <c r="H63" s="5">
        <v>28647</v>
      </c>
      <c r="I63" s="5">
        <v>28647</v>
      </c>
      <c r="J63" s="5">
        <v>28647</v>
      </c>
      <c r="K63" s="5">
        <v>28647</v>
      </c>
      <c r="L63" s="5">
        <v>28647</v>
      </c>
      <c r="M63" s="5">
        <v>28647</v>
      </c>
      <c r="N63" s="5">
        <v>102347</v>
      </c>
      <c r="O63" s="5">
        <f t="shared" si="22"/>
        <v>390664</v>
      </c>
    </row>
    <row r="64" spans="1:15" hidden="1" outlineLevel="1" x14ac:dyDescent="0.25">
      <c r="A64" t="s">
        <v>88</v>
      </c>
      <c r="B64" s="5">
        <v>0</v>
      </c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f t="shared" si="22"/>
        <v>0</v>
      </c>
    </row>
    <row r="65" spans="1:15" collapsed="1" x14ac:dyDescent="0.25">
      <c r="A65" t="s">
        <v>89</v>
      </c>
      <c r="B65" s="5">
        <f t="shared" ref="B65:N65" si="24">SUM(B46:B64)</f>
        <v>3112156.1</v>
      </c>
      <c r="C65" s="5">
        <f t="shared" si="24"/>
        <v>238720.5</v>
      </c>
      <c r="D65" s="5">
        <f t="shared" si="24"/>
        <v>248411.80000000002</v>
      </c>
      <c r="E65" s="5">
        <f t="shared" si="24"/>
        <v>281037.50000000006</v>
      </c>
      <c r="F65" s="5">
        <f t="shared" si="24"/>
        <v>228142.80000000002</v>
      </c>
      <c r="G65" s="5">
        <f t="shared" si="24"/>
        <v>290458.72183059604</v>
      </c>
      <c r="H65" s="5">
        <f t="shared" si="24"/>
        <v>322609.89816095633</v>
      </c>
      <c r="I65" s="5">
        <f t="shared" si="24"/>
        <v>323349.6674951989</v>
      </c>
      <c r="J65" s="5">
        <f t="shared" si="24"/>
        <v>389675.02676657552</v>
      </c>
      <c r="K65" s="5">
        <f t="shared" si="24"/>
        <v>324847.97305258329</v>
      </c>
      <c r="L65" s="5">
        <f t="shared" si="24"/>
        <v>327178.58958654141</v>
      </c>
      <c r="M65" s="5">
        <f t="shared" si="24"/>
        <v>326787.02771155257</v>
      </c>
      <c r="N65" s="5">
        <f t="shared" si="24"/>
        <v>398385.58465816616</v>
      </c>
      <c r="O65" s="5">
        <f t="shared" si="22"/>
        <v>3699605.0892621698</v>
      </c>
    </row>
    <row r="66" spans="1:15" hidden="1" outlineLevel="1" x14ac:dyDescent="0.25">
      <c r="A66" t="s">
        <v>60</v>
      </c>
      <c r="B66" s="5">
        <v>1103640</v>
      </c>
      <c r="C66" s="5">
        <v>104925</v>
      </c>
      <c r="D66" s="5">
        <v>109736</v>
      </c>
      <c r="E66" s="5">
        <v>171955</v>
      </c>
      <c r="F66" s="5">
        <v>105550</v>
      </c>
      <c r="G66" s="5">
        <v>107330.5</v>
      </c>
      <c r="H66" s="5">
        <v>107330.5</v>
      </c>
      <c r="I66" s="5">
        <v>107330.5</v>
      </c>
      <c r="J66" s="5">
        <v>160995.75</v>
      </c>
      <c r="K66" s="5">
        <v>107330.5</v>
      </c>
      <c r="L66" s="5">
        <v>107330.5</v>
      </c>
      <c r="M66" s="5">
        <v>107330.5</v>
      </c>
      <c r="N66" s="5">
        <v>107330.5</v>
      </c>
      <c r="O66" s="5">
        <f t="shared" ref="O66:O109" si="25">SUM(C66:N66)</f>
        <v>1404475.25</v>
      </c>
    </row>
    <row r="67" spans="1:15" hidden="1" outlineLevel="1" x14ac:dyDescent="0.25">
      <c r="A67" t="s">
        <v>61</v>
      </c>
      <c r="B67" s="5">
        <v>231966.9</v>
      </c>
      <c r="C67" s="5">
        <v>20713.5</v>
      </c>
      <c r="D67" s="5">
        <v>20799.900000000001</v>
      </c>
      <c r="E67" s="5">
        <v>31245.3</v>
      </c>
      <c r="F67" s="5">
        <v>20778.3</v>
      </c>
      <c r="G67" s="5">
        <v>20756.7</v>
      </c>
      <c r="H67" s="5">
        <v>20756.7</v>
      </c>
      <c r="I67" s="5">
        <v>20756.7</v>
      </c>
      <c r="J67" s="5">
        <v>31135.05</v>
      </c>
      <c r="K67" s="5">
        <v>20756.7</v>
      </c>
      <c r="L67" s="5">
        <v>20756.7</v>
      </c>
      <c r="M67" s="5">
        <v>20756.7</v>
      </c>
      <c r="N67" s="5">
        <v>20756.7</v>
      </c>
      <c r="O67" s="5">
        <f t="shared" si="25"/>
        <v>269968.95</v>
      </c>
    </row>
    <row r="68" spans="1:15" hidden="1" outlineLevel="1" x14ac:dyDescent="0.25">
      <c r="A68" t="s">
        <v>62</v>
      </c>
      <c r="B68" s="5">
        <v>39366</v>
      </c>
      <c r="C68" s="5">
        <v>8337.6</v>
      </c>
      <c r="D68" s="5">
        <v>10690.2</v>
      </c>
      <c r="E68" s="5">
        <v>15508.800000000001</v>
      </c>
      <c r="F68" s="5">
        <v>10413.9</v>
      </c>
      <c r="G68" s="5">
        <v>9513.9</v>
      </c>
      <c r="H68" s="5">
        <v>9513.9</v>
      </c>
      <c r="I68" s="5">
        <v>9513.9</v>
      </c>
      <c r="J68" s="5">
        <v>14270.85</v>
      </c>
      <c r="K68" s="5">
        <v>9513.9</v>
      </c>
      <c r="L68" s="5">
        <v>9513.9</v>
      </c>
      <c r="M68" s="5">
        <v>9513.9</v>
      </c>
      <c r="N68" s="5">
        <v>9513.9</v>
      </c>
      <c r="O68" s="5">
        <f t="shared" si="25"/>
        <v>125818.65</v>
      </c>
    </row>
    <row r="69" spans="1:15" hidden="1" outlineLevel="1" x14ac:dyDescent="0.25">
      <c r="A69" t="s">
        <v>64</v>
      </c>
      <c r="B69" s="5">
        <v>12935</v>
      </c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f t="shared" si="25"/>
        <v>0</v>
      </c>
    </row>
    <row r="70" spans="1:15" hidden="1" outlineLevel="1" x14ac:dyDescent="0.25">
      <c r="A70" t="s">
        <v>65</v>
      </c>
      <c r="B70" s="5">
        <v>5693.5</v>
      </c>
      <c r="C70" s="5">
        <v>1372</v>
      </c>
      <c r="D70" s="5">
        <v>1466.5</v>
      </c>
      <c r="E70" s="5">
        <v>1948</v>
      </c>
      <c r="F70" s="5">
        <v>1361.5</v>
      </c>
      <c r="G70" s="5">
        <v>1419.25</v>
      </c>
      <c r="H70" s="5">
        <v>1419.25</v>
      </c>
      <c r="I70" s="5">
        <v>1419.25</v>
      </c>
      <c r="J70" s="5">
        <v>2128.875</v>
      </c>
      <c r="K70" s="5">
        <v>1419.25</v>
      </c>
      <c r="L70" s="5">
        <v>1419.25</v>
      </c>
      <c r="M70" s="5">
        <v>1419.25</v>
      </c>
      <c r="N70" s="5">
        <v>1419.25</v>
      </c>
      <c r="O70" s="5">
        <f t="shared" si="25"/>
        <v>18211.625</v>
      </c>
    </row>
    <row r="71" spans="1:15" hidden="1" outlineLevel="1" x14ac:dyDescent="0.25">
      <c r="A71" t="s">
        <v>66</v>
      </c>
      <c r="B71" s="5">
        <v>19067</v>
      </c>
      <c r="C71" s="5">
        <v>559</v>
      </c>
      <c r="D71" s="5">
        <v>1616</v>
      </c>
      <c r="E71" s="5">
        <v>5849</v>
      </c>
      <c r="F71" s="5">
        <v>0</v>
      </c>
      <c r="G71" s="5">
        <v>2006</v>
      </c>
      <c r="H71" s="5">
        <v>2006</v>
      </c>
      <c r="I71" s="5">
        <v>2006</v>
      </c>
      <c r="J71" s="5">
        <v>2006</v>
      </c>
      <c r="K71" s="5">
        <v>2006</v>
      </c>
      <c r="L71" s="5">
        <v>2006</v>
      </c>
      <c r="M71" s="5">
        <v>2006</v>
      </c>
      <c r="N71" s="5">
        <v>2006</v>
      </c>
      <c r="O71" s="5">
        <f t="shared" si="25"/>
        <v>24072</v>
      </c>
    </row>
    <row r="72" spans="1:15" hidden="1" outlineLevel="1" x14ac:dyDescent="0.25">
      <c r="A72" t="s">
        <v>67</v>
      </c>
      <c r="B72" s="5">
        <v>657</v>
      </c>
      <c r="C72" s="5">
        <v>0</v>
      </c>
      <c r="D72" s="5">
        <v>25000</v>
      </c>
      <c r="E72" s="5">
        <v>25000</v>
      </c>
      <c r="F72" s="5">
        <v>25000</v>
      </c>
      <c r="G72" s="5">
        <v>25000</v>
      </c>
      <c r="H72" s="5">
        <v>25000</v>
      </c>
      <c r="I72" s="5">
        <v>25000</v>
      </c>
      <c r="J72" s="5">
        <v>25000</v>
      </c>
      <c r="K72" s="5">
        <v>25000</v>
      </c>
      <c r="L72" s="5">
        <v>25000</v>
      </c>
      <c r="M72" s="5">
        <v>25000</v>
      </c>
      <c r="N72" s="5">
        <v>25000</v>
      </c>
      <c r="O72" s="5">
        <f t="shared" si="25"/>
        <v>275000</v>
      </c>
    </row>
    <row r="73" spans="1:15" hidden="1" outlineLevel="1" x14ac:dyDescent="0.25">
      <c r="A73" t="s">
        <v>68</v>
      </c>
      <c r="B73" s="5">
        <v>323399.7</v>
      </c>
      <c r="C73" s="5">
        <v>26734.5</v>
      </c>
      <c r="D73" s="5">
        <v>38985.300000000003</v>
      </c>
      <c r="E73" s="5">
        <v>32667.3</v>
      </c>
      <c r="F73" s="5">
        <v>28769.4</v>
      </c>
      <c r="G73" s="5">
        <v>32795.699999999997</v>
      </c>
      <c r="H73" s="5">
        <v>34435.485000000001</v>
      </c>
      <c r="I73" s="5">
        <v>36157.259250000003</v>
      </c>
      <c r="J73" s="5">
        <v>37965.122212500013</v>
      </c>
      <c r="K73" s="5">
        <v>32795.699999999997</v>
      </c>
      <c r="L73" s="5">
        <v>32795.699999999997</v>
      </c>
      <c r="M73" s="5">
        <v>32795.699999999997</v>
      </c>
      <c r="N73" s="5">
        <v>32795.699999999997</v>
      </c>
      <c r="O73" s="5">
        <f t="shared" si="25"/>
        <v>399692.86646250007</v>
      </c>
    </row>
    <row r="74" spans="1:15" hidden="1" outlineLevel="1" x14ac:dyDescent="0.25">
      <c r="A74" t="s">
        <v>70</v>
      </c>
      <c r="B74" s="5">
        <v>54259</v>
      </c>
      <c r="C74" s="5">
        <v>332</v>
      </c>
      <c r="D74" s="5">
        <v>23163</v>
      </c>
      <c r="E74" s="5">
        <v>1059</v>
      </c>
      <c r="F74" s="5">
        <v>517</v>
      </c>
      <c r="G74" s="5">
        <v>4521.583333333333</v>
      </c>
      <c r="H74" s="5">
        <v>4521.583333333333</v>
      </c>
      <c r="I74" s="5">
        <v>4521.583333333333</v>
      </c>
      <c r="J74" s="5">
        <v>4521.583333333333</v>
      </c>
      <c r="K74" s="5">
        <v>4521.583333333333</v>
      </c>
      <c r="L74" s="5">
        <v>4521.583333333333</v>
      </c>
      <c r="M74" s="5">
        <v>4521.583333333333</v>
      </c>
      <c r="N74" s="5">
        <v>4521.583333333333</v>
      </c>
      <c r="O74" s="5">
        <f t="shared" si="25"/>
        <v>61243.666666666679</v>
      </c>
    </row>
    <row r="75" spans="1:15" hidden="1" outlineLevel="1" x14ac:dyDescent="0.25">
      <c r="A75" t="s">
        <v>71</v>
      </c>
      <c r="B75" s="5">
        <v>14195</v>
      </c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f t="shared" si="25"/>
        <v>0</v>
      </c>
    </row>
    <row r="76" spans="1:15" hidden="1" outlineLevel="1" x14ac:dyDescent="0.25">
      <c r="A76" t="s">
        <v>72</v>
      </c>
      <c r="B76" s="5">
        <v>38719</v>
      </c>
      <c r="C76" s="5">
        <v>3437</v>
      </c>
      <c r="D76" s="5">
        <v>873</v>
      </c>
      <c r="E76" s="5">
        <v>1002</v>
      </c>
      <c r="F76" s="5">
        <v>699</v>
      </c>
      <c r="G76" s="5">
        <v>2610.0713118845042</v>
      </c>
      <c r="H76" s="5">
        <v>3480.1902711090211</v>
      </c>
      <c r="I76" s="5">
        <v>3548.6689473223582</v>
      </c>
      <c r="J76" s="5">
        <v>3813.1028679793662</v>
      </c>
      <c r="K76" s="5">
        <v>3782.3759890779688</v>
      </c>
      <c r="L76" s="5">
        <v>4073.3675281162964</v>
      </c>
      <c r="M76" s="5">
        <v>4024.4786650315446</v>
      </c>
      <c r="N76" s="5">
        <v>3762.100818055671</v>
      </c>
      <c r="O76" s="5">
        <f t="shared" si="25"/>
        <v>35105.356398576732</v>
      </c>
    </row>
    <row r="77" spans="1:15" hidden="1" outlineLevel="1" x14ac:dyDescent="0.25">
      <c r="A77" t="s">
        <v>73</v>
      </c>
      <c r="B77" s="5">
        <v>21406</v>
      </c>
      <c r="C77" s="5">
        <v>23625</v>
      </c>
      <c r="D77" s="5">
        <v>28272</v>
      </c>
      <c r="E77" s="5">
        <v>46975</v>
      </c>
      <c r="F77" s="5">
        <v>49162</v>
      </c>
      <c r="G77" s="5">
        <v>49162</v>
      </c>
      <c r="H77" s="5">
        <v>49162</v>
      </c>
      <c r="I77" s="5">
        <v>49162</v>
      </c>
      <c r="J77" s="5">
        <v>49162</v>
      </c>
      <c r="K77" s="5">
        <v>49162</v>
      </c>
      <c r="L77" s="5">
        <v>49162</v>
      </c>
      <c r="M77" s="5">
        <v>49162</v>
      </c>
      <c r="N77" s="5">
        <v>49162</v>
      </c>
      <c r="O77" s="5">
        <f t="shared" si="25"/>
        <v>541330</v>
      </c>
    </row>
    <row r="78" spans="1:15" collapsed="1" x14ac:dyDescent="0.25">
      <c r="A78" t="s">
        <v>90</v>
      </c>
      <c r="B78" s="5">
        <v>380879</v>
      </c>
      <c r="C78" s="5">
        <v>191354</v>
      </c>
      <c r="D78" s="5">
        <v>268757</v>
      </c>
      <c r="E78" s="5">
        <v>352024</v>
      </c>
      <c r="F78" s="5">
        <v>477925</v>
      </c>
      <c r="G78" s="25">
        <f t="shared" ref="G78:N78" si="26">G3*G17</f>
        <v>652873.26347309386</v>
      </c>
      <c r="H78" s="25">
        <f t="shared" si="26"/>
        <v>800166.79293676291</v>
      </c>
      <c r="I78" s="25">
        <f t="shared" si="26"/>
        <v>861643.39260828204</v>
      </c>
      <c r="J78" s="25">
        <f t="shared" si="26"/>
        <v>820928.80085749074</v>
      </c>
      <c r="K78" s="25">
        <f t="shared" si="26"/>
        <v>686425.35717119009</v>
      </c>
      <c r="L78" s="25">
        <f t="shared" si="26"/>
        <v>1026332.5746918743</v>
      </c>
      <c r="M78" s="25">
        <f t="shared" si="26"/>
        <v>809509.87748721952</v>
      </c>
      <c r="N78" s="25">
        <f t="shared" si="26"/>
        <v>958212.59667474148</v>
      </c>
      <c r="O78" s="5">
        <f t="shared" si="25"/>
        <v>7906152.6559006544</v>
      </c>
    </row>
    <row r="79" spans="1:15" hidden="1" outlineLevel="1" x14ac:dyDescent="0.25">
      <c r="A79" t="s">
        <v>74</v>
      </c>
      <c r="B79" s="5">
        <v>33630</v>
      </c>
      <c r="C79" s="5">
        <v>3782</v>
      </c>
      <c r="D79" s="5">
        <v>7884</v>
      </c>
      <c r="E79" s="5">
        <v>9890</v>
      </c>
      <c r="F79" s="5">
        <v>12166</v>
      </c>
      <c r="G79" s="5">
        <v>10591.622213663848</v>
      </c>
      <c r="H79" s="5">
        <v>14122.549225155506</v>
      </c>
      <c r="I79" s="5">
        <v>14400.434455662791</v>
      </c>
      <c r="J79" s="5">
        <v>15473.502526762652</v>
      </c>
      <c r="K79" s="5">
        <v>15348.813407485823</v>
      </c>
      <c r="L79" s="5">
        <v>16529.651814020119</v>
      </c>
      <c r="M79" s="5">
        <v>16331.261691155869</v>
      </c>
      <c r="N79" s="5">
        <v>15266.537129896093</v>
      </c>
      <c r="O79" s="5">
        <f t="shared" si="25"/>
        <v>151786.37246380269</v>
      </c>
    </row>
    <row r="80" spans="1:15" hidden="1" outlineLevel="1" x14ac:dyDescent="0.25">
      <c r="A80" t="s">
        <v>75</v>
      </c>
      <c r="B80" s="5">
        <v>119513</v>
      </c>
      <c r="C80" s="5">
        <v>12299</v>
      </c>
      <c r="D80" s="5">
        <v>16852</v>
      </c>
      <c r="E80" s="5">
        <v>20317</v>
      </c>
      <c r="F80" s="5">
        <v>21043</v>
      </c>
      <c r="G80" s="5">
        <v>16489.333333333332</v>
      </c>
      <c r="H80" s="5">
        <v>16489.333333333332</v>
      </c>
      <c r="I80" s="5">
        <v>16489.333333333332</v>
      </c>
      <c r="J80" s="5">
        <v>16489.333333333332</v>
      </c>
      <c r="K80" s="5">
        <v>16489.333333333332</v>
      </c>
      <c r="L80" s="5">
        <v>16489.333333333332</v>
      </c>
      <c r="M80" s="5">
        <v>16489.333333333332</v>
      </c>
      <c r="N80" s="5">
        <v>16489.333333333332</v>
      </c>
      <c r="O80" s="5">
        <f t="shared" si="25"/>
        <v>202425.66666666669</v>
      </c>
    </row>
    <row r="81" spans="1:15" hidden="1" outlineLevel="1" x14ac:dyDescent="0.25">
      <c r="A81" t="s">
        <v>76</v>
      </c>
      <c r="B81" s="5">
        <v>6714</v>
      </c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f t="shared" si="25"/>
        <v>0</v>
      </c>
    </row>
    <row r="82" spans="1:15" hidden="1" outlineLevel="1" x14ac:dyDescent="0.25">
      <c r="A82" t="s">
        <v>77</v>
      </c>
      <c r="B82" s="5">
        <v>181923.30000000002</v>
      </c>
      <c r="C82" s="5">
        <v>15727.5</v>
      </c>
      <c r="D82" s="5">
        <v>27184.5</v>
      </c>
      <c r="E82" s="5">
        <v>12424.5</v>
      </c>
      <c r="F82" s="5">
        <v>21566.7</v>
      </c>
      <c r="G82" s="5">
        <v>15160.275</v>
      </c>
      <c r="H82" s="5">
        <v>15160.275</v>
      </c>
      <c r="I82" s="5">
        <v>15160.275</v>
      </c>
      <c r="J82" s="5">
        <v>15160.275</v>
      </c>
      <c r="K82" s="5">
        <v>15160.275</v>
      </c>
      <c r="L82" s="5">
        <v>15160.275</v>
      </c>
      <c r="M82" s="5">
        <v>15160.275</v>
      </c>
      <c r="N82" s="5">
        <v>15160.275</v>
      </c>
      <c r="O82" s="5">
        <f t="shared" si="25"/>
        <v>198185.39999999997</v>
      </c>
    </row>
    <row r="83" spans="1:15" hidden="1" outlineLevel="1" x14ac:dyDescent="0.25">
      <c r="A83" t="s">
        <v>78</v>
      </c>
      <c r="B83" s="5">
        <v>276972</v>
      </c>
      <c r="C83" s="5">
        <v>38735</v>
      </c>
      <c r="D83" s="5">
        <v>0</v>
      </c>
      <c r="E83" s="5">
        <v>47664</v>
      </c>
      <c r="F83" s="5">
        <v>38750</v>
      </c>
      <c r="G83" s="5">
        <v>43207</v>
      </c>
      <c r="H83" s="5">
        <v>43207</v>
      </c>
      <c r="I83" s="5">
        <v>43207</v>
      </c>
      <c r="J83" s="5">
        <v>43207</v>
      </c>
      <c r="K83" s="5">
        <v>43207</v>
      </c>
      <c r="L83" s="5">
        <v>43207</v>
      </c>
      <c r="M83" s="5">
        <v>43207</v>
      </c>
      <c r="N83" s="5">
        <v>43207</v>
      </c>
      <c r="O83" s="5">
        <f t="shared" si="25"/>
        <v>470805</v>
      </c>
    </row>
    <row r="84" spans="1:15" hidden="1" outlineLevel="1" x14ac:dyDescent="0.25">
      <c r="A84" t="s">
        <v>79</v>
      </c>
      <c r="B84" s="5">
        <v>54</v>
      </c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f t="shared" si="25"/>
        <v>0</v>
      </c>
    </row>
    <row r="85" spans="1:15" hidden="1" outlineLevel="1" x14ac:dyDescent="0.25">
      <c r="A85" t="s">
        <v>82</v>
      </c>
      <c r="B85" s="5">
        <v>12203.5</v>
      </c>
      <c r="C85" s="5">
        <v>0</v>
      </c>
      <c r="D85" s="5">
        <v>0</v>
      </c>
      <c r="E85" s="5">
        <v>0</v>
      </c>
      <c r="F85" s="5">
        <v>0</v>
      </c>
      <c r="G85" s="5">
        <v>25000</v>
      </c>
      <c r="H85" s="5">
        <v>50000</v>
      </c>
      <c r="I85" s="5">
        <v>50000</v>
      </c>
      <c r="J85" s="5">
        <v>50000</v>
      </c>
      <c r="K85" s="5">
        <v>50000</v>
      </c>
      <c r="L85" s="5">
        <v>50000</v>
      </c>
      <c r="M85" s="5">
        <v>50000</v>
      </c>
      <c r="N85" s="5">
        <v>50000</v>
      </c>
      <c r="O85" s="5">
        <f t="shared" si="25"/>
        <v>375000</v>
      </c>
    </row>
    <row r="86" spans="1:15" hidden="1" outlineLevel="1" x14ac:dyDescent="0.25">
      <c r="A86" t="s">
        <v>84</v>
      </c>
      <c r="B86" s="5">
        <v>216401.99999999994</v>
      </c>
      <c r="C86" s="5">
        <v>17591.399999999998</v>
      </c>
      <c r="D86" s="5">
        <v>19995.799999999996</v>
      </c>
      <c r="E86" s="5">
        <v>17483.599999999995</v>
      </c>
      <c r="F86" s="5">
        <v>16675.399999999998</v>
      </c>
      <c r="G86" s="5">
        <v>19356.933333333331</v>
      </c>
      <c r="H86" s="5">
        <v>19356.933333333331</v>
      </c>
      <c r="I86" s="5">
        <v>19356.933333333331</v>
      </c>
      <c r="J86" s="5">
        <v>19356.933333333331</v>
      </c>
      <c r="K86" s="5">
        <v>19356.933333333331</v>
      </c>
      <c r="L86" s="5">
        <v>19356.933333333331</v>
      </c>
      <c r="M86" s="5">
        <v>19356.933333333331</v>
      </c>
      <c r="N86" s="5">
        <v>19356.933333333331</v>
      </c>
      <c r="O86" s="5">
        <f t="shared" si="25"/>
        <v>226601.6666666666</v>
      </c>
    </row>
    <row r="87" spans="1:15" hidden="1" outlineLevel="1" x14ac:dyDescent="0.25">
      <c r="A87" t="s">
        <v>85</v>
      </c>
      <c r="B87" s="5">
        <v>810</v>
      </c>
      <c r="C87" s="5">
        <v>150</v>
      </c>
      <c r="D87" s="5">
        <v>120</v>
      </c>
      <c r="E87" s="5">
        <v>0</v>
      </c>
      <c r="F87" s="5">
        <v>0</v>
      </c>
      <c r="G87" s="5">
        <v>290</v>
      </c>
      <c r="H87" s="5">
        <v>290</v>
      </c>
      <c r="I87" s="5">
        <v>290</v>
      </c>
      <c r="J87" s="5">
        <v>290</v>
      </c>
      <c r="K87" s="5">
        <v>290</v>
      </c>
      <c r="L87" s="5">
        <v>290</v>
      </c>
      <c r="M87" s="5">
        <v>290</v>
      </c>
      <c r="N87" s="5">
        <v>290</v>
      </c>
      <c r="O87" s="5">
        <f t="shared" si="25"/>
        <v>2590</v>
      </c>
    </row>
    <row r="88" spans="1:15" hidden="1" outlineLevel="1" x14ac:dyDescent="0.25">
      <c r="A88" t="s">
        <v>86</v>
      </c>
      <c r="B88" s="5">
        <v>3225</v>
      </c>
      <c r="C88" s="5">
        <v>677</v>
      </c>
      <c r="D88" s="5">
        <v>11465</v>
      </c>
      <c r="E88" s="5">
        <v>532</v>
      </c>
      <c r="F88" s="5">
        <v>0</v>
      </c>
      <c r="G88" s="5">
        <v>4824.666666666667</v>
      </c>
      <c r="H88" s="5">
        <v>4824.666666666667</v>
      </c>
      <c r="I88" s="5">
        <v>4824.666666666667</v>
      </c>
      <c r="J88" s="5">
        <v>4824.666666666667</v>
      </c>
      <c r="K88" s="5">
        <v>4824.666666666667</v>
      </c>
      <c r="L88" s="5">
        <v>4824.666666666667</v>
      </c>
      <c r="M88" s="5">
        <v>4824.666666666667</v>
      </c>
      <c r="N88" s="5">
        <v>4824.666666666667</v>
      </c>
      <c r="O88" s="5">
        <f t="shared" si="25"/>
        <v>51271.333333333328</v>
      </c>
    </row>
    <row r="89" spans="1:15" collapsed="1" x14ac:dyDescent="0.25">
      <c r="A89" t="s">
        <v>91</v>
      </c>
      <c r="B89" s="5">
        <v>900223</v>
      </c>
      <c r="C89" s="5">
        <v>54497</v>
      </c>
      <c r="D89" s="5">
        <v>65208</v>
      </c>
      <c r="E89" s="5">
        <v>73705</v>
      </c>
      <c r="F89" s="5">
        <v>115973</v>
      </c>
      <c r="G89" s="5">
        <v>95032.735774017681</v>
      </c>
      <c r="H89" s="5">
        <v>126713.78018358353</v>
      </c>
      <c r="I89" s="5">
        <v>129207.08981581651</v>
      </c>
      <c r="J89" s="5">
        <v>138835.13284937674</v>
      </c>
      <c r="K89" s="5">
        <v>137716.36672582265</v>
      </c>
      <c r="L89" s="5">
        <v>148311.37304461084</v>
      </c>
      <c r="M89" s="5">
        <v>146531.32880341698</v>
      </c>
      <c r="N89" s="5">
        <v>136978.14744355183</v>
      </c>
      <c r="O89" s="5">
        <f t="shared" si="25"/>
        <v>1368708.9546401969</v>
      </c>
    </row>
    <row r="90" spans="1:15" x14ac:dyDescent="0.25">
      <c r="A90" t="s">
        <v>92</v>
      </c>
      <c r="B90" s="5">
        <f t="shared" ref="B90:N90" si="27">SUM(B66:B89)</f>
        <v>3997852.8999999994</v>
      </c>
      <c r="C90" s="5">
        <f t="shared" si="27"/>
        <v>524848.5</v>
      </c>
      <c r="D90" s="5">
        <f t="shared" si="27"/>
        <v>678068.20000000007</v>
      </c>
      <c r="E90" s="5">
        <f t="shared" si="27"/>
        <v>867249.49999999988</v>
      </c>
      <c r="F90" s="5">
        <f t="shared" si="27"/>
        <v>946350.2</v>
      </c>
      <c r="G90" s="5">
        <f t="shared" si="27"/>
        <v>1137941.5344393267</v>
      </c>
      <c r="H90" s="5">
        <f t="shared" si="27"/>
        <v>1347956.9392832776</v>
      </c>
      <c r="I90" s="5">
        <f t="shared" si="27"/>
        <v>1413994.9867437503</v>
      </c>
      <c r="J90" s="5">
        <f t="shared" si="27"/>
        <v>1455563.977980776</v>
      </c>
      <c r="K90" s="5">
        <f t="shared" si="27"/>
        <v>1245106.7549602434</v>
      </c>
      <c r="L90" s="5">
        <f t="shared" si="27"/>
        <v>1597080.8087452883</v>
      </c>
      <c r="M90" s="5">
        <f t="shared" si="27"/>
        <v>1378230.7883134906</v>
      </c>
      <c r="N90" s="5">
        <f t="shared" si="27"/>
        <v>1516053.2237329115</v>
      </c>
      <c r="O90" s="5">
        <f t="shared" si="25"/>
        <v>14108445.414199064</v>
      </c>
    </row>
    <row r="91" spans="1:15" x14ac:dyDescent="0.25">
      <c r="A91" s="9" t="s">
        <v>93</v>
      </c>
      <c r="B91" s="10">
        <f t="shared" ref="B91:N91" si="28">B90+B65</f>
        <v>7110009</v>
      </c>
      <c r="C91" s="10">
        <f t="shared" si="28"/>
        <v>763569</v>
      </c>
      <c r="D91" s="10">
        <f t="shared" si="28"/>
        <v>926480.00000000012</v>
      </c>
      <c r="E91" s="10">
        <f t="shared" si="28"/>
        <v>1148287</v>
      </c>
      <c r="F91" s="10">
        <f t="shared" si="28"/>
        <v>1174493</v>
      </c>
      <c r="G91" s="10">
        <f t="shared" si="28"/>
        <v>1428400.2562699227</v>
      </c>
      <c r="H91" s="10">
        <f t="shared" si="28"/>
        <v>1670566.8374442339</v>
      </c>
      <c r="I91" s="10">
        <f t="shared" si="28"/>
        <v>1737344.6542389491</v>
      </c>
      <c r="J91" s="10">
        <f t="shared" si="28"/>
        <v>1845239.0047473516</v>
      </c>
      <c r="K91" s="10">
        <f t="shared" si="28"/>
        <v>1569954.7280128268</v>
      </c>
      <c r="L91" s="10">
        <f t="shared" si="28"/>
        <v>1924259.3983318298</v>
      </c>
      <c r="M91" s="10">
        <f t="shared" si="28"/>
        <v>1705017.8160250431</v>
      </c>
      <c r="N91" s="10">
        <f t="shared" si="28"/>
        <v>1914438.8083910777</v>
      </c>
      <c r="O91" s="10">
        <f t="shared" si="25"/>
        <v>17808050.503461234</v>
      </c>
    </row>
    <row r="92" spans="1:15" x14ac:dyDescent="0.25">
      <c r="B92" s="5"/>
      <c r="C92" s="5"/>
      <c r="D92" s="5"/>
      <c r="E92" s="5"/>
      <c r="F92" s="5"/>
      <c r="O92" s="5">
        <f t="shared" si="25"/>
        <v>0</v>
      </c>
    </row>
    <row r="93" spans="1:15" x14ac:dyDescent="0.25">
      <c r="A93" s="26" t="s">
        <v>94</v>
      </c>
      <c r="B93" s="27">
        <f t="shared" ref="B93:N93" si="29">B44-B91</f>
        <v>907099</v>
      </c>
      <c r="C93" s="27">
        <f t="shared" si="29"/>
        <v>267952</v>
      </c>
      <c r="D93" s="27">
        <f t="shared" si="29"/>
        <v>-159122.00000000012</v>
      </c>
      <c r="E93" s="27">
        <f t="shared" si="29"/>
        <v>-118468</v>
      </c>
      <c r="F93" s="27">
        <f t="shared" si="29"/>
        <v>-64889.379999999888</v>
      </c>
      <c r="G93" s="28">
        <f t="shared" si="29"/>
        <v>129458.03607010259</v>
      </c>
      <c r="H93" s="28">
        <f t="shared" si="29"/>
        <v>316601.60142716113</v>
      </c>
      <c r="I93" s="28">
        <f t="shared" si="29"/>
        <v>336334.3430041871</v>
      </c>
      <c r="J93" s="28">
        <f t="shared" si="29"/>
        <v>441011.31232686434</v>
      </c>
      <c r="K93" s="28">
        <f t="shared" si="29"/>
        <v>661546.5468718647</v>
      </c>
      <c r="L93" s="28">
        <f t="shared" si="29"/>
        <v>480875.22703686589</v>
      </c>
      <c r="M93" s="28">
        <f t="shared" si="29"/>
        <v>719840.60451613716</v>
      </c>
      <c r="N93" s="28">
        <f t="shared" si="29"/>
        <v>398726.20505879982</v>
      </c>
      <c r="O93" s="10">
        <f t="shared" si="25"/>
        <v>3409866.4963119831</v>
      </c>
    </row>
    <row r="94" spans="1:15" x14ac:dyDescent="0.25">
      <c r="B94" s="29">
        <f t="shared" ref="B94:O94" si="30">B93/B33</f>
        <v>7.1799470372455321E-2</v>
      </c>
      <c r="C94" s="29">
        <f t="shared" si="30"/>
        <v>0.1633195401121865</v>
      </c>
      <c r="D94" s="29">
        <f t="shared" si="30"/>
        <v>-0.12451260173448453</v>
      </c>
      <c r="E94" s="29">
        <f t="shared" si="30"/>
        <v>-6.8407555850945573E-2</v>
      </c>
      <c r="F94" s="29">
        <f t="shared" si="30"/>
        <v>-3.5168413271013388E-2</v>
      </c>
      <c r="G94" s="29">
        <f t="shared" si="30"/>
        <v>5.3071275513258014E-2</v>
      </c>
      <c r="H94" s="29">
        <f t="shared" si="30"/>
        <v>0.10189945330774416</v>
      </c>
      <c r="I94" s="29">
        <f t="shared" si="30"/>
        <v>0.10345565764508985</v>
      </c>
      <c r="J94" s="29">
        <f t="shared" si="30"/>
        <v>0.12301570776202632</v>
      </c>
      <c r="K94" s="29">
        <f t="shared" si="30"/>
        <v>0.19051016468592216</v>
      </c>
      <c r="L94" s="29">
        <f t="shared" si="30"/>
        <v>0.12890369308051625</v>
      </c>
      <c r="M94" s="29">
        <f t="shared" si="30"/>
        <v>0.19106585388616779</v>
      </c>
      <c r="N94" s="29">
        <f t="shared" si="30"/>
        <v>0.11145386584452825</v>
      </c>
      <c r="O94" s="29">
        <f t="shared" si="30"/>
        <v>0.10201287346099951</v>
      </c>
    </row>
    <row r="95" spans="1:15" x14ac:dyDescent="0.25">
      <c r="A95" s="9" t="s">
        <v>95</v>
      </c>
      <c r="O95" s="5"/>
    </row>
    <row r="96" spans="1:15" x14ac:dyDescent="0.25">
      <c r="A96" t="s">
        <v>96</v>
      </c>
      <c r="B96" s="30">
        <v>345494</v>
      </c>
      <c r="C96" s="30">
        <v>38177</v>
      </c>
      <c r="D96" s="30">
        <v>33581</v>
      </c>
      <c r="E96" s="30">
        <v>46024</v>
      </c>
      <c r="F96" s="30">
        <v>46568</v>
      </c>
      <c r="G96" s="30">
        <v>46020.75</v>
      </c>
      <c r="H96" s="30">
        <v>46020.75</v>
      </c>
      <c r="I96" s="30">
        <v>46020.75</v>
      </c>
      <c r="J96" s="30">
        <v>55610.75</v>
      </c>
      <c r="K96" s="30">
        <v>46020.75</v>
      </c>
      <c r="L96" s="30">
        <v>46020.75</v>
      </c>
      <c r="M96" s="30">
        <v>46020.75</v>
      </c>
      <c r="N96" s="30">
        <v>46020.75</v>
      </c>
      <c r="O96" s="5">
        <f t="shared" si="25"/>
        <v>542106</v>
      </c>
    </row>
    <row r="97" spans="1:18" x14ac:dyDescent="0.25">
      <c r="A97" t="s">
        <v>97</v>
      </c>
      <c r="B97" s="5">
        <v>644957</v>
      </c>
      <c r="C97" s="5">
        <v>0</v>
      </c>
      <c r="D97" s="5">
        <v>506</v>
      </c>
      <c r="E97" s="5">
        <v>0</v>
      </c>
      <c r="F97" s="5">
        <v>206</v>
      </c>
      <c r="G97" s="5">
        <v>0</v>
      </c>
      <c r="H97" s="5">
        <v>0</v>
      </c>
      <c r="I97" s="5">
        <v>126</v>
      </c>
      <c r="J97" s="5">
        <v>0</v>
      </c>
      <c r="K97" s="5">
        <v>30235</v>
      </c>
      <c r="L97" s="5">
        <v>141173</v>
      </c>
      <c r="M97" s="5">
        <v>0</v>
      </c>
      <c r="N97" s="5">
        <v>0</v>
      </c>
      <c r="O97" s="5">
        <f t="shared" si="25"/>
        <v>172246</v>
      </c>
    </row>
    <row r="98" spans="1:18" x14ac:dyDescent="0.25">
      <c r="A98" t="s">
        <v>98</v>
      </c>
      <c r="B98" s="5">
        <v>299352</v>
      </c>
      <c r="C98" s="5">
        <v>22839</v>
      </c>
      <c r="D98" s="5">
        <v>23241</v>
      </c>
      <c r="E98" s="5">
        <v>16182</v>
      </c>
      <c r="F98" s="5">
        <v>21263</v>
      </c>
      <c r="G98" s="5">
        <v>26464.833333333336</v>
      </c>
      <c r="H98" s="5">
        <v>26464.833333333336</v>
      </c>
      <c r="I98" s="5">
        <v>26464.833333333336</v>
      </c>
      <c r="J98" s="5">
        <v>26464.833333333336</v>
      </c>
      <c r="K98" s="5">
        <v>26464.833333333336</v>
      </c>
      <c r="L98" s="5">
        <v>26464.833333333336</v>
      </c>
      <c r="M98" s="5">
        <v>26464.833333333336</v>
      </c>
      <c r="N98" s="5">
        <v>26464.833333333336</v>
      </c>
      <c r="O98" s="5">
        <f t="shared" si="25"/>
        <v>295243.66666666669</v>
      </c>
    </row>
    <row r="99" spans="1:18" x14ac:dyDescent="0.25">
      <c r="A99" t="s">
        <v>99</v>
      </c>
      <c r="B99" s="5">
        <v>120955</v>
      </c>
      <c r="C99" s="5">
        <v>417</v>
      </c>
      <c r="D99" s="5">
        <v>2360</v>
      </c>
      <c r="E99" s="5">
        <v>406</v>
      </c>
      <c r="F99" s="5">
        <v>17033</v>
      </c>
      <c r="G99" s="5">
        <v>5054</v>
      </c>
      <c r="H99" s="5">
        <v>5054</v>
      </c>
      <c r="I99" s="5">
        <v>5054</v>
      </c>
      <c r="J99" s="5">
        <v>5054</v>
      </c>
      <c r="K99" s="5">
        <v>5054</v>
      </c>
      <c r="L99" s="5">
        <v>5054</v>
      </c>
      <c r="M99" s="5">
        <v>5054</v>
      </c>
      <c r="N99" s="5">
        <v>5054</v>
      </c>
      <c r="O99" s="5">
        <f t="shared" si="25"/>
        <v>60648</v>
      </c>
    </row>
    <row r="100" spans="1:18" x14ac:dyDescent="0.25">
      <c r="A100" t="s">
        <v>100</v>
      </c>
      <c r="B100" s="5">
        <v>540387</v>
      </c>
      <c r="C100" s="5">
        <v>45025</v>
      </c>
      <c r="D100" s="5">
        <v>45855</v>
      </c>
      <c r="E100" s="5">
        <v>46202</v>
      </c>
      <c r="F100" s="5">
        <v>46202</v>
      </c>
      <c r="G100" s="5">
        <v>45821</v>
      </c>
      <c r="H100" s="5">
        <v>45821</v>
      </c>
      <c r="I100" s="5">
        <v>45821</v>
      </c>
      <c r="J100" s="5">
        <v>45821</v>
      </c>
      <c r="K100" s="5">
        <v>45821</v>
      </c>
      <c r="L100" s="5">
        <v>45821</v>
      </c>
      <c r="M100" s="5">
        <v>45821</v>
      </c>
      <c r="N100" s="5">
        <v>45821</v>
      </c>
      <c r="O100" s="5">
        <f t="shared" si="25"/>
        <v>549852</v>
      </c>
    </row>
    <row r="101" spans="1:18" x14ac:dyDescent="0.25">
      <c r="A101" t="s">
        <v>101</v>
      </c>
      <c r="B101" s="5">
        <v>39491</v>
      </c>
      <c r="C101" s="5">
        <v>4416</v>
      </c>
      <c r="D101" s="5">
        <v>2378</v>
      </c>
      <c r="E101" s="5">
        <v>6234</v>
      </c>
      <c r="F101" s="5">
        <v>16577</v>
      </c>
      <c r="G101" s="5">
        <v>8601.9166666666679</v>
      </c>
      <c r="H101" s="5">
        <v>19561.916666666664</v>
      </c>
      <c r="I101" s="5">
        <v>18771.916666666664</v>
      </c>
      <c r="J101" s="5">
        <v>8701.9166666666679</v>
      </c>
      <c r="K101" s="5">
        <v>8601.9166666666679</v>
      </c>
      <c r="L101" s="5">
        <v>13251.916666666666</v>
      </c>
      <c r="M101" s="5">
        <v>8601.9166666666679</v>
      </c>
      <c r="N101" s="5">
        <v>19561.916666666664</v>
      </c>
      <c r="O101" s="5">
        <f t="shared" si="25"/>
        <v>135260.33333333334</v>
      </c>
    </row>
    <row r="102" spans="1:18" x14ac:dyDescent="0.25">
      <c r="A102" t="s">
        <v>102</v>
      </c>
      <c r="B102" s="5">
        <v>212584</v>
      </c>
      <c r="C102" s="5">
        <v>10538</v>
      </c>
      <c r="D102" s="5">
        <v>43462</v>
      </c>
      <c r="E102" s="5">
        <v>20968</v>
      </c>
      <c r="F102" s="5">
        <v>12702</v>
      </c>
      <c r="G102" s="5">
        <v>31917.5</v>
      </c>
      <c r="H102" s="5">
        <v>31917.5</v>
      </c>
      <c r="I102" s="5">
        <v>31917.5</v>
      </c>
      <c r="J102" s="5">
        <v>31917.5</v>
      </c>
      <c r="K102" s="5">
        <v>31917.5</v>
      </c>
      <c r="L102" s="5">
        <v>31917.5</v>
      </c>
      <c r="M102" s="5">
        <v>31917.5</v>
      </c>
      <c r="N102" s="5">
        <v>31917.5</v>
      </c>
      <c r="O102" s="5">
        <f t="shared" si="25"/>
        <v>343010</v>
      </c>
    </row>
    <row r="103" spans="1:18" x14ac:dyDescent="0.25">
      <c r="A103" t="s">
        <v>103</v>
      </c>
      <c r="B103" s="5">
        <v>875049</v>
      </c>
      <c r="C103" s="5">
        <v>66131</v>
      </c>
      <c r="D103" s="5">
        <v>68634</v>
      </c>
      <c r="E103" s="5">
        <v>93063</v>
      </c>
      <c r="F103" s="5">
        <v>64793</v>
      </c>
      <c r="G103" s="5">
        <v>67382.5</v>
      </c>
      <c r="H103" s="5">
        <v>67382.5</v>
      </c>
      <c r="I103" s="5">
        <v>67382.5</v>
      </c>
      <c r="J103" s="5">
        <v>101073.75</v>
      </c>
      <c r="K103" s="5">
        <v>67382.5</v>
      </c>
      <c r="L103" s="5">
        <v>67382.5</v>
      </c>
      <c r="M103" s="5">
        <v>67382.5</v>
      </c>
      <c r="N103" s="5">
        <v>67382.5</v>
      </c>
      <c r="O103" s="5">
        <f t="shared" si="25"/>
        <v>865372.25</v>
      </c>
    </row>
    <row r="104" spans="1:18" x14ac:dyDescent="0.25">
      <c r="A104" t="s">
        <v>104</v>
      </c>
      <c r="B104" s="5">
        <v>164655</v>
      </c>
      <c r="C104" s="5">
        <v>14153</v>
      </c>
      <c r="D104" s="5">
        <v>16953</v>
      </c>
      <c r="E104" s="5">
        <v>13766</v>
      </c>
      <c r="F104" s="5">
        <v>12902</v>
      </c>
      <c r="G104" s="5">
        <v>14957.333333333334</v>
      </c>
      <c r="H104" s="5">
        <v>14957.333333333334</v>
      </c>
      <c r="I104" s="5">
        <v>14957.333333333334</v>
      </c>
      <c r="J104" s="5">
        <v>14957.333333333334</v>
      </c>
      <c r="K104" s="5">
        <v>14957.333333333334</v>
      </c>
      <c r="L104" s="5">
        <v>14957.333333333334</v>
      </c>
      <c r="M104" s="5">
        <v>14957.333333333334</v>
      </c>
      <c r="N104" s="5">
        <v>14957.333333333334</v>
      </c>
      <c r="O104" s="5">
        <f t="shared" si="25"/>
        <v>177432.66666666669</v>
      </c>
    </row>
    <row r="105" spans="1:18" x14ac:dyDescent="0.25">
      <c r="A105" s="9" t="s">
        <v>105</v>
      </c>
      <c r="B105" s="31">
        <f>SUM(B96:B104)</f>
        <v>3242924</v>
      </c>
      <c r="C105" s="31">
        <f t="shared" ref="C105:N105" si="31">SUM(C96:C104)</f>
        <v>201696</v>
      </c>
      <c r="D105" s="31">
        <f t="shared" si="31"/>
        <v>236970</v>
      </c>
      <c r="E105" s="31">
        <f t="shared" si="31"/>
        <v>242845</v>
      </c>
      <c r="F105" s="31">
        <f t="shared" si="31"/>
        <v>238246</v>
      </c>
      <c r="G105" s="31">
        <f t="shared" si="31"/>
        <v>246219.83333333334</v>
      </c>
      <c r="H105" s="31">
        <f t="shared" si="31"/>
        <v>257179.83333333334</v>
      </c>
      <c r="I105" s="31">
        <f t="shared" si="31"/>
        <v>256515.83333333334</v>
      </c>
      <c r="J105" s="31">
        <f t="shared" si="31"/>
        <v>289601.08333333331</v>
      </c>
      <c r="K105" s="31">
        <f t="shared" si="31"/>
        <v>276454.83333333331</v>
      </c>
      <c r="L105" s="31">
        <f t="shared" si="31"/>
        <v>392042.83333333337</v>
      </c>
      <c r="M105" s="31">
        <f t="shared" si="31"/>
        <v>246219.83333333334</v>
      </c>
      <c r="N105" s="31">
        <f t="shared" si="31"/>
        <v>257179.83333333334</v>
      </c>
      <c r="O105" s="5">
        <f t="shared" si="25"/>
        <v>3141170.916666667</v>
      </c>
    </row>
    <row r="106" spans="1:18" x14ac:dyDescent="0.25">
      <c r="B106" s="32">
        <f t="shared" ref="B106:O106" si="32">B105/B33</f>
        <v>0.25668667439620624</v>
      </c>
      <c r="C106" s="32">
        <f t="shared" si="32"/>
        <v>0.12293581672265021</v>
      </c>
      <c r="D106" s="32">
        <f t="shared" si="32"/>
        <v>0.18542848401239789</v>
      </c>
      <c r="E106" s="32">
        <f t="shared" si="32"/>
        <v>0.14022717443210722</v>
      </c>
      <c r="F106" s="32">
        <f t="shared" si="32"/>
        <v>0.1291233448087479</v>
      </c>
      <c r="G106" s="29">
        <f t="shared" si="32"/>
        <v>0.10093773247560937</v>
      </c>
      <c r="H106" s="29">
        <f t="shared" si="32"/>
        <v>8.2774326788971148E-2</v>
      </c>
      <c r="I106" s="29">
        <f t="shared" si="32"/>
        <v>7.8903670665436285E-2</v>
      </c>
      <c r="J106" s="29">
        <f t="shared" si="32"/>
        <v>8.0781334263133414E-2</v>
      </c>
      <c r="K106" s="29">
        <f t="shared" si="32"/>
        <v>7.9612622990160781E-2</v>
      </c>
      <c r="L106" s="29">
        <f t="shared" si="32"/>
        <v>0.10509122995130234</v>
      </c>
      <c r="M106" s="29">
        <f t="shared" si="32"/>
        <v>6.5353638575536388E-2</v>
      </c>
      <c r="N106" s="29">
        <f t="shared" si="32"/>
        <v>7.1888143489401354E-2</v>
      </c>
      <c r="O106" s="29">
        <f t="shared" si="32"/>
        <v>9.397431588241574E-2</v>
      </c>
    </row>
    <row r="107" spans="1:18" x14ac:dyDescent="0.25">
      <c r="A107" t="s">
        <v>106</v>
      </c>
      <c r="B107" s="33">
        <v>335231</v>
      </c>
      <c r="C107" s="33">
        <v>18790</v>
      </c>
      <c r="D107" s="33">
        <v>17279</v>
      </c>
      <c r="E107" s="33">
        <v>74852</v>
      </c>
      <c r="F107" s="33">
        <v>36354</v>
      </c>
      <c r="G107" s="34"/>
      <c r="H107" s="34"/>
      <c r="I107" s="34"/>
      <c r="J107" s="34"/>
      <c r="K107" s="34"/>
      <c r="L107" s="34"/>
      <c r="M107" s="34"/>
      <c r="N107" s="34"/>
      <c r="O107" s="5">
        <f t="shared" si="25"/>
        <v>147275</v>
      </c>
    </row>
    <row r="108" spans="1:18" ht="45" x14ac:dyDescent="0.25">
      <c r="A108" s="35" t="s">
        <v>107</v>
      </c>
      <c r="B108" s="36">
        <f>B93-B105+B107</f>
        <v>-2000594</v>
      </c>
      <c r="C108" s="36">
        <f t="shared" ref="C108:N108" si="33">C93-C105+C107</f>
        <v>85046</v>
      </c>
      <c r="D108" s="36">
        <f t="shared" si="33"/>
        <v>-378813.00000000012</v>
      </c>
      <c r="E108" s="36">
        <f t="shared" si="33"/>
        <v>-286461</v>
      </c>
      <c r="F108" s="36">
        <f t="shared" si="33"/>
        <v>-266781.37999999989</v>
      </c>
      <c r="G108" s="37">
        <f t="shared" si="33"/>
        <v>-116761.79726323075</v>
      </c>
      <c r="H108" s="37">
        <f t="shared" si="33"/>
        <v>59421.768093827792</v>
      </c>
      <c r="I108" s="37">
        <f t="shared" si="33"/>
        <v>79818.50967085376</v>
      </c>
      <c r="J108" s="37">
        <f t="shared" si="33"/>
        <v>151410.22899353103</v>
      </c>
      <c r="K108" s="37">
        <f t="shared" si="33"/>
        <v>385091.71353853139</v>
      </c>
      <c r="L108" s="37">
        <f t="shared" si="33"/>
        <v>88832.393703532522</v>
      </c>
      <c r="M108" s="37">
        <f t="shared" si="33"/>
        <v>473620.77118280379</v>
      </c>
      <c r="N108" s="37">
        <f t="shared" si="33"/>
        <v>141546.37172546648</v>
      </c>
      <c r="O108" s="10">
        <f t="shared" si="25"/>
        <v>415970.579645316</v>
      </c>
    </row>
    <row r="109" spans="1:18" x14ac:dyDescent="0.25">
      <c r="O109" s="5">
        <f t="shared" si="25"/>
        <v>0</v>
      </c>
    </row>
    <row r="110" spans="1:18" x14ac:dyDescent="0.25">
      <c r="A110" s="21" t="s">
        <v>108</v>
      </c>
      <c r="O110" s="5">
        <f t="shared" ref="O110:O146" si="34">SUM(C110:N110)</f>
        <v>0</v>
      </c>
    </row>
    <row r="111" spans="1:18" hidden="1" outlineLevel="1" x14ac:dyDescent="0.25">
      <c r="A111" s="38" t="s">
        <v>109</v>
      </c>
      <c r="C111" s="5"/>
      <c r="D111" s="5"/>
      <c r="E111" s="5"/>
      <c r="F111" s="5"/>
      <c r="G111" s="5">
        <v>-100000</v>
      </c>
      <c r="H111" s="5">
        <v>-200000</v>
      </c>
      <c r="I111" s="5">
        <v>-200000</v>
      </c>
      <c r="J111" s="5">
        <v>-200000</v>
      </c>
      <c r="K111" s="5">
        <v>-200000</v>
      </c>
      <c r="L111" s="5">
        <v>-200000</v>
      </c>
      <c r="M111" s="5">
        <v>-200000</v>
      </c>
      <c r="N111" s="5">
        <v>-200000</v>
      </c>
      <c r="O111" s="5">
        <f t="shared" si="34"/>
        <v>-1500000</v>
      </c>
      <c r="P111" s="5"/>
      <c r="Q111" s="5"/>
      <c r="R111" s="5"/>
    </row>
    <row r="112" spans="1:18" hidden="1" outlineLevel="1" x14ac:dyDescent="0.25">
      <c r="A112" s="38" t="s">
        <v>110</v>
      </c>
      <c r="C112" s="5"/>
      <c r="D112" s="5"/>
      <c r="E112" s="5"/>
      <c r="F112" s="5"/>
      <c r="G112" s="5">
        <f t="shared" ref="G112:N112" si="35">F43</f>
        <v>-735500.38</v>
      </c>
      <c r="H112" s="5">
        <f t="shared" si="35"/>
        <v>-881465.70765997481</v>
      </c>
      <c r="I112" s="5">
        <f t="shared" si="35"/>
        <v>-1119831.5611286049</v>
      </c>
      <c r="J112" s="5">
        <f t="shared" si="35"/>
        <v>-1177321.0027568638</v>
      </c>
      <c r="K112" s="5">
        <f t="shared" si="35"/>
        <v>-1298749.682925784</v>
      </c>
      <c r="L112" s="5">
        <f t="shared" si="35"/>
        <v>-1240998.7251153088</v>
      </c>
      <c r="M112" s="5">
        <f t="shared" si="35"/>
        <v>-1325365.3746313045</v>
      </c>
      <c r="N112" s="5">
        <f t="shared" si="35"/>
        <v>-1342641.5794588199</v>
      </c>
      <c r="O112" s="5">
        <f t="shared" si="34"/>
        <v>-9121874.0136766601</v>
      </c>
      <c r="P112" s="5"/>
      <c r="Q112" s="5"/>
      <c r="R112" s="5"/>
    </row>
    <row r="113" spans="1:18" hidden="1" outlineLevel="1" x14ac:dyDescent="0.25">
      <c r="A113" s="38" t="s">
        <v>111</v>
      </c>
      <c r="C113" s="5"/>
      <c r="D113" s="5"/>
      <c r="E113" s="5"/>
      <c r="F113" s="5"/>
      <c r="G113" s="5">
        <f t="shared" ref="G113:N113" si="36">-G43</f>
        <v>881465.70765997481</v>
      </c>
      <c r="H113" s="5">
        <f t="shared" si="36"/>
        <v>1119831.5611286049</v>
      </c>
      <c r="I113" s="5">
        <f t="shared" si="36"/>
        <v>1177321.0027568638</v>
      </c>
      <c r="J113" s="5">
        <f t="shared" si="36"/>
        <v>1298749.682925784</v>
      </c>
      <c r="K113" s="5">
        <f t="shared" si="36"/>
        <v>1240998.7251153088</v>
      </c>
      <c r="L113" s="5">
        <f t="shared" si="36"/>
        <v>1325365.3746313045</v>
      </c>
      <c r="M113" s="5">
        <f t="shared" si="36"/>
        <v>1342641.5794588199</v>
      </c>
      <c r="N113" s="5">
        <f t="shared" si="36"/>
        <v>1264334.9865501223</v>
      </c>
      <c r="O113" s="5">
        <f t="shared" si="34"/>
        <v>9650708.6202267818</v>
      </c>
      <c r="P113" s="5"/>
      <c r="Q113" s="5"/>
      <c r="R113" s="5"/>
    </row>
    <row r="114" spans="1:18" hidden="1" outlineLevel="1" x14ac:dyDescent="0.25">
      <c r="A114" s="38" t="s">
        <v>112</v>
      </c>
      <c r="C114" s="5"/>
      <c r="D114" s="5"/>
      <c r="E114" s="5"/>
      <c r="F114" s="5"/>
      <c r="G114" s="5">
        <v>-150000</v>
      </c>
      <c r="H114" s="5">
        <v>0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f t="shared" si="34"/>
        <v>-150000</v>
      </c>
      <c r="P114" s="5"/>
      <c r="Q114" s="5"/>
      <c r="R114" s="5"/>
    </row>
    <row r="115" spans="1:18" hidden="1" outlineLevel="1" x14ac:dyDescent="0.25">
      <c r="A115" s="38" t="s">
        <v>113</v>
      </c>
      <c r="C115" s="5"/>
      <c r="D115" s="5"/>
      <c r="E115" s="5"/>
      <c r="F115" s="5"/>
      <c r="G115" s="5"/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f t="shared" si="34"/>
        <v>0</v>
      </c>
      <c r="P115" s="5"/>
      <c r="Q115" s="5"/>
      <c r="R115" s="5"/>
    </row>
    <row r="116" spans="1:18" collapsed="1" x14ac:dyDescent="0.25">
      <c r="A116" s="21" t="s">
        <v>114</v>
      </c>
      <c r="C116" s="10"/>
      <c r="D116" s="10"/>
      <c r="E116" s="10"/>
      <c r="F116" s="10"/>
      <c r="G116" s="10">
        <f t="shared" ref="G116:N116" si="37">SUM(G111:G115)</f>
        <v>-104034.67234002519</v>
      </c>
      <c r="H116" s="10">
        <f t="shared" si="37"/>
        <v>38365.85346863023</v>
      </c>
      <c r="I116" s="10">
        <f t="shared" si="37"/>
        <v>-142510.55837174109</v>
      </c>
      <c r="J116" s="10">
        <f t="shared" si="37"/>
        <v>-78571.319831079803</v>
      </c>
      <c r="K116" s="10">
        <f t="shared" si="37"/>
        <v>-257750.95781047526</v>
      </c>
      <c r="L116" s="10">
        <f t="shared" si="37"/>
        <v>-115633.35048400424</v>
      </c>
      <c r="M116" s="10">
        <f t="shared" si="37"/>
        <v>-182723.79517248459</v>
      </c>
      <c r="N116" s="10">
        <f t="shared" si="37"/>
        <v>-278306.59290869767</v>
      </c>
      <c r="O116" s="5">
        <f t="shared" si="34"/>
        <v>-1121165.3934498776</v>
      </c>
      <c r="P116" s="5"/>
      <c r="Q116" s="5"/>
      <c r="R116" s="5"/>
    </row>
    <row r="117" spans="1:18" x14ac:dyDescent="0.25">
      <c r="A117" s="38" t="s">
        <v>115</v>
      </c>
      <c r="C117" s="5"/>
      <c r="D117" s="5"/>
      <c r="E117" s="5"/>
      <c r="F117" s="5"/>
      <c r="G117" s="5">
        <v>610000</v>
      </c>
      <c r="H117" s="5"/>
      <c r="I117" s="5"/>
      <c r="J117" s="5"/>
      <c r="K117" s="5"/>
      <c r="L117" s="5"/>
      <c r="M117" s="5"/>
      <c r="N117" s="5"/>
      <c r="O117" s="5">
        <f t="shared" si="34"/>
        <v>610000</v>
      </c>
      <c r="P117" s="5"/>
      <c r="Q117" s="5"/>
      <c r="R117" s="5"/>
    </row>
    <row r="118" spans="1:18" hidden="1" outlineLevel="1" x14ac:dyDescent="0.25">
      <c r="A118" s="38" t="s">
        <v>116</v>
      </c>
      <c r="C118" s="5"/>
      <c r="D118" s="5"/>
      <c r="E118" s="5"/>
      <c r="F118" s="5"/>
      <c r="G118" s="5">
        <v>0</v>
      </c>
      <c r="H118" s="5"/>
      <c r="I118" s="5"/>
      <c r="J118" s="5"/>
      <c r="K118" s="5"/>
      <c r="L118" s="5"/>
      <c r="M118" s="5"/>
      <c r="N118" s="5"/>
      <c r="O118" s="5">
        <f t="shared" si="34"/>
        <v>0</v>
      </c>
      <c r="P118" s="5"/>
      <c r="Q118" s="5"/>
      <c r="R118" s="5"/>
    </row>
    <row r="119" spans="1:18" hidden="1" outlineLevel="1" x14ac:dyDescent="0.25">
      <c r="A119" s="38" t="s">
        <v>117</v>
      </c>
      <c r="C119" s="5"/>
      <c r="D119" s="5"/>
      <c r="E119" s="5"/>
      <c r="F119" s="5"/>
      <c r="G119" s="5">
        <v>0</v>
      </c>
      <c r="H119" s="5"/>
      <c r="I119" s="5"/>
      <c r="J119" s="5"/>
      <c r="K119" s="5"/>
      <c r="L119" s="5"/>
      <c r="M119" s="5"/>
      <c r="N119" s="5"/>
      <c r="O119" s="5">
        <f t="shared" si="34"/>
        <v>0</v>
      </c>
      <c r="P119" s="5"/>
      <c r="Q119" s="5"/>
      <c r="R119" s="5"/>
    </row>
    <row r="120" spans="1:18" hidden="1" outlineLevel="1" x14ac:dyDescent="0.25">
      <c r="A120" s="38" t="s">
        <v>118</v>
      </c>
      <c r="C120" s="5"/>
      <c r="D120" s="5"/>
      <c r="E120" s="5"/>
      <c r="F120" s="5"/>
      <c r="G120" s="5">
        <v>0</v>
      </c>
      <c r="H120" s="5"/>
      <c r="I120" s="5"/>
      <c r="J120" s="5"/>
      <c r="K120" s="5"/>
      <c r="L120" s="5"/>
      <c r="M120" s="5"/>
      <c r="N120" s="5"/>
      <c r="O120" s="5">
        <f t="shared" si="34"/>
        <v>0</v>
      </c>
      <c r="P120" s="5"/>
      <c r="Q120" s="5"/>
      <c r="R120" s="5"/>
    </row>
    <row r="121" spans="1:18" hidden="1" outlineLevel="1" x14ac:dyDescent="0.25">
      <c r="A121" s="38" t="s">
        <v>119</v>
      </c>
      <c r="C121" s="5"/>
      <c r="D121" s="5"/>
      <c r="E121" s="5"/>
      <c r="F121" s="5"/>
      <c r="G121" s="5">
        <v>0</v>
      </c>
      <c r="H121" s="5"/>
      <c r="I121" s="5"/>
      <c r="J121" s="5"/>
      <c r="K121" s="5"/>
      <c r="L121" s="5"/>
      <c r="M121" s="5"/>
      <c r="N121" s="5"/>
      <c r="O121" s="5">
        <f t="shared" si="34"/>
        <v>0</v>
      </c>
      <c r="P121" s="5"/>
      <c r="Q121" s="5"/>
      <c r="R121" s="5"/>
    </row>
    <row r="122" spans="1:18" hidden="1" outlineLevel="1" x14ac:dyDescent="0.25">
      <c r="A122" s="38" t="s">
        <v>120</v>
      </c>
      <c r="C122" s="5"/>
      <c r="D122" s="5"/>
      <c r="E122" s="5"/>
      <c r="F122" s="5"/>
      <c r="G122" s="5">
        <v>0</v>
      </c>
      <c r="H122" s="5"/>
      <c r="I122" s="5"/>
      <c r="J122" s="5"/>
      <c r="K122" s="5"/>
      <c r="L122" s="5"/>
      <c r="M122" s="5"/>
      <c r="N122" s="5"/>
      <c r="O122" s="5">
        <f t="shared" si="34"/>
        <v>0</v>
      </c>
      <c r="P122" s="5"/>
      <c r="Q122" s="5"/>
      <c r="R122" s="5"/>
    </row>
    <row r="123" spans="1:18" hidden="1" outlineLevel="1" x14ac:dyDescent="0.25">
      <c r="A123" s="38" t="s">
        <v>121</v>
      </c>
      <c r="C123" s="5"/>
      <c r="D123" s="5"/>
      <c r="E123" s="5"/>
      <c r="F123" s="5"/>
      <c r="G123" s="5">
        <v>0</v>
      </c>
      <c r="H123" s="5"/>
      <c r="I123" s="5"/>
      <c r="J123" s="5"/>
      <c r="K123" s="5"/>
      <c r="L123" s="5"/>
      <c r="M123" s="5"/>
      <c r="N123" s="5"/>
      <c r="O123" s="5">
        <f t="shared" si="34"/>
        <v>0</v>
      </c>
      <c r="P123" s="5"/>
      <c r="Q123" s="5"/>
      <c r="R123" s="5"/>
    </row>
    <row r="124" spans="1:18" collapsed="1" x14ac:dyDescent="0.25">
      <c r="A124" s="21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>
        <f t="shared" si="34"/>
        <v>0</v>
      </c>
      <c r="P124" s="5"/>
      <c r="Q124" s="5"/>
      <c r="R124" s="5"/>
    </row>
    <row r="125" spans="1:18" x14ac:dyDescent="0.25">
      <c r="A125" s="21" t="s">
        <v>122</v>
      </c>
      <c r="C125" s="5"/>
      <c r="D125" s="5"/>
      <c r="E125" s="5"/>
      <c r="F125" s="5"/>
      <c r="G125" s="5">
        <v>-900000</v>
      </c>
      <c r="H125" s="5"/>
      <c r="I125" s="5"/>
      <c r="J125" s="5"/>
      <c r="K125" s="5"/>
      <c r="L125" s="5"/>
      <c r="M125" s="5"/>
      <c r="N125" s="5"/>
      <c r="O125" s="5">
        <f t="shared" si="34"/>
        <v>-900000</v>
      </c>
      <c r="P125" s="5"/>
      <c r="Q125" s="5"/>
      <c r="R125" s="5"/>
    </row>
    <row r="126" spans="1:18" x14ac:dyDescent="0.25">
      <c r="A126" s="21" t="s">
        <v>123</v>
      </c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>
        <f t="shared" si="34"/>
        <v>0</v>
      </c>
      <c r="P126" s="5"/>
      <c r="Q126" s="5"/>
      <c r="R126" s="5"/>
    </row>
    <row r="127" spans="1:18" x14ac:dyDescent="0.25">
      <c r="A127" s="21" t="s">
        <v>124</v>
      </c>
      <c r="C127" s="5"/>
      <c r="D127" s="5"/>
      <c r="E127" s="5"/>
      <c r="F127" s="5"/>
      <c r="G127" s="10">
        <f>SUM(G128:G135)</f>
        <v>-1185000</v>
      </c>
      <c r="H127" s="10">
        <f t="shared" ref="H127:N127" si="38">SUM(H128:H135)</f>
        <v>-1534500</v>
      </c>
      <c r="I127" s="10">
        <f t="shared" si="38"/>
        <v>-1556000</v>
      </c>
      <c r="J127" s="10">
        <f t="shared" si="38"/>
        <v>-1822500</v>
      </c>
      <c r="K127" s="10">
        <f t="shared" si="38"/>
        <v>-1917500</v>
      </c>
      <c r="L127" s="10">
        <f t="shared" si="38"/>
        <v>-2123000</v>
      </c>
      <c r="M127" s="10">
        <f t="shared" si="38"/>
        <v>-2107500</v>
      </c>
      <c r="N127" s="10">
        <f t="shared" si="38"/>
        <v>-1987500</v>
      </c>
      <c r="O127" s="5"/>
      <c r="P127" s="5"/>
      <c r="Q127" s="5"/>
      <c r="R127" s="5"/>
    </row>
    <row r="128" spans="1:18" hidden="1" outlineLevel="1" x14ac:dyDescent="0.25">
      <c r="A128" s="15" t="s">
        <v>40</v>
      </c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</row>
    <row r="129" spans="1:18" hidden="1" outlineLevel="1" x14ac:dyDescent="0.25">
      <c r="A129" s="15" t="s">
        <v>41</v>
      </c>
      <c r="C129" s="5"/>
      <c r="D129" s="5"/>
      <c r="E129" s="5"/>
      <c r="F129" s="5"/>
      <c r="G129" s="5">
        <f t="shared" ref="G129:N135" si="39">-G22</f>
        <v>-650000</v>
      </c>
      <c r="H129" s="5">
        <f t="shared" si="39"/>
        <v>-862500</v>
      </c>
      <c r="I129" s="5">
        <f t="shared" si="39"/>
        <v>-812500</v>
      </c>
      <c r="J129" s="5">
        <f t="shared" si="39"/>
        <v>-1015000</v>
      </c>
      <c r="K129" s="5">
        <f t="shared" si="39"/>
        <v>-1087500</v>
      </c>
      <c r="L129" s="5">
        <f t="shared" si="39"/>
        <v>-1200000</v>
      </c>
      <c r="M129" s="5">
        <f t="shared" si="39"/>
        <v>-1125000</v>
      </c>
      <c r="N129" s="5">
        <f t="shared" si="39"/>
        <v>-1085000</v>
      </c>
      <c r="O129" s="5"/>
      <c r="P129" s="5"/>
      <c r="Q129" s="5"/>
      <c r="R129" s="5"/>
    </row>
    <row r="130" spans="1:18" hidden="1" outlineLevel="1" x14ac:dyDescent="0.25">
      <c r="A130" s="15" t="s">
        <v>42</v>
      </c>
      <c r="C130" s="5"/>
      <c r="D130" s="5"/>
      <c r="E130" s="5"/>
      <c r="F130" s="5"/>
      <c r="G130" s="5">
        <f t="shared" si="39"/>
        <v>-120000</v>
      </c>
      <c r="H130" s="5">
        <f t="shared" si="39"/>
        <v>-172500</v>
      </c>
      <c r="I130" s="5">
        <f t="shared" si="39"/>
        <v>-177000</v>
      </c>
      <c r="J130" s="5">
        <f t="shared" si="39"/>
        <v>-187500</v>
      </c>
      <c r="K130" s="5">
        <f t="shared" si="39"/>
        <v>-162500</v>
      </c>
      <c r="L130" s="5">
        <f t="shared" si="39"/>
        <v>-195000</v>
      </c>
      <c r="M130" s="5">
        <f t="shared" si="39"/>
        <v>-208000</v>
      </c>
      <c r="N130" s="5">
        <f t="shared" si="39"/>
        <v>-182000</v>
      </c>
      <c r="O130" s="5"/>
      <c r="P130" s="5"/>
      <c r="Q130" s="5"/>
      <c r="R130" s="5"/>
    </row>
    <row r="131" spans="1:18" hidden="1" outlineLevel="1" x14ac:dyDescent="0.25">
      <c r="A131" s="15" t="s">
        <v>43</v>
      </c>
      <c r="C131" s="5"/>
      <c r="D131" s="5"/>
      <c r="E131" s="5"/>
      <c r="F131" s="5"/>
      <c r="G131" s="5">
        <f t="shared" si="39"/>
        <v>-185000</v>
      </c>
      <c r="H131" s="5">
        <f t="shared" si="39"/>
        <v>-230000</v>
      </c>
      <c r="I131" s="5">
        <f t="shared" si="39"/>
        <v>-275000</v>
      </c>
      <c r="J131" s="5">
        <f t="shared" si="39"/>
        <v>-310500</v>
      </c>
      <c r="K131" s="5">
        <f t="shared" si="39"/>
        <v>-348000</v>
      </c>
      <c r="L131" s="5">
        <f t="shared" si="39"/>
        <v>-362500</v>
      </c>
      <c r="M131" s="5">
        <f t="shared" si="39"/>
        <v>-403000</v>
      </c>
      <c r="N131" s="5">
        <f t="shared" si="39"/>
        <v>-341000</v>
      </c>
      <c r="O131" s="5"/>
      <c r="P131" s="5"/>
      <c r="Q131" s="5"/>
      <c r="R131" s="5"/>
    </row>
    <row r="132" spans="1:18" hidden="1" outlineLevel="1" x14ac:dyDescent="0.25">
      <c r="A132" s="15" t="s">
        <v>44</v>
      </c>
      <c r="C132" s="5"/>
      <c r="D132" s="5"/>
      <c r="E132" s="5"/>
      <c r="F132" s="5"/>
      <c r="G132" s="5">
        <f t="shared" si="39"/>
        <v>-70000</v>
      </c>
      <c r="H132" s="5">
        <f t="shared" si="39"/>
        <v>-93500</v>
      </c>
      <c r="I132" s="5">
        <f t="shared" si="39"/>
        <v>-110000</v>
      </c>
      <c r="J132" s="5">
        <f t="shared" si="39"/>
        <v>-120000</v>
      </c>
      <c r="K132" s="5">
        <f t="shared" si="39"/>
        <v>-130000</v>
      </c>
      <c r="L132" s="5">
        <f t="shared" si="39"/>
        <v>-168000</v>
      </c>
      <c r="M132" s="5">
        <f t="shared" si="39"/>
        <v>-174000</v>
      </c>
      <c r="N132" s="5">
        <f t="shared" si="39"/>
        <v>-174000</v>
      </c>
      <c r="O132" s="5"/>
      <c r="P132" s="5"/>
      <c r="Q132" s="5"/>
      <c r="R132" s="5"/>
    </row>
    <row r="133" spans="1:18" hidden="1" outlineLevel="1" x14ac:dyDescent="0.25">
      <c r="A133" s="15" t="s">
        <v>45</v>
      </c>
      <c r="C133" s="5"/>
      <c r="D133" s="5"/>
      <c r="E133" s="5"/>
      <c r="F133" s="5"/>
      <c r="G133" s="5">
        <f t="shared" si="39"/>
        <v>-5000</v>
      </c>
      <c r="H133" s="5">
        <f t="shared" si="39"/>
        <v>-5500</v>
      </c>
      <c r="I133" s="5">
        <f t="shared" si="39"/>
        <v>-5500</v>
      </c>
      <c r="J133" s="5">
        <f t="shared" si="39"/>
        <v>-5500</v>
      </c>
      <c r="K133" s="5">
        <f t="shared" si="39"/>
        <v>-5500</v>
      </c>
      <c r="L133" s="5">
        <f t="shared" si="39"/>
        <v>-5500</v>
      </c>
      <c r="M133" s="5">
        <f t="shared" si="39"/>
        <v>-5500</v>
      </c>
      <c r="N133" s="5">
        <f t="shared" si="39"/>
        <v>-5500</v>
      </c>
      <c r="O133" s="5"/>
      <c r="P133" s="5"/>
      <c r="Q133" s="5"/>
      <c r="R133" s="5"/>
    </row>
    <row r="134" spans="1:18" hidden="1" outlineLevel="1" x14ac:dyDescent="0.25">
      <c r="A134" s="15" t="s">
        <v>46</v>
      </c>
      <c r="C134" s="5"/>
      <c r="D134" s="5"/>
      <c r="E134" s="5"/>
      <c r="F134" s="5"/>
      <c r="G134" s="5">
        <f t="shared" si="39"/>
        <v>-115000</v>
      </c>
      <c r="H134" s="5">
        <f t="shared" si="39"/>
        <v>-126500</v>
      </c>
      <c r="I134" s="5">
        <f t="shared" si="39"/>
        <v>-132000</v>
      </c>
      <c r="J134" s="5">
        <f t="shared" si="39"/>
        <v>-138000</v>
      </c>
      <c r="K134" s="5">
        <f t="shared" si="39"/>
        <v>-138000</v>
      </c>
      <c r="L134" s="5">
        <f t="shared" si="39"/>
        <v>-144000</v>
      </c>
      <c r="M134" s="5">
        <f t="shared" si="39"/>
        <v>-144000</v>
      </c>
      <c r="N134" s="5">
        <f t="shared" si="39"/>
        <v>-150000</v>
      </c>
      <c r="O134" s="5"/>
      <c r="P134" s="5"/>
      <c r="Q134" s="5"/>
      <c r="R134" s="5"/>
    </row>
    <row r="135" spans="1:18" hidden="1" outlineLevel="1" x14ac:dyDescent="0.25">
      <c r="A135" s="15" t="s">
        <v>47</v>
      </c>
      <c r="C135" s="5"/>
      <c r="D135" s="5"/>
      <c r="E135" s="5"/>
      <c r="F135" s="5"/>
      <c r="G135" s="5">
        <f t="shared" si="39"/>
        <v>-40000</v>
      </c>
      <c r="H135" s="5">
        <f t="shared" si="39"/>
        <v>-44000</v>
      </c>
      <c r="I135" s="5">
        <f t="shared" si="39"/>
        <v>-44000</v>
      </c>
      <c r="J135" s="5">
        <f t="shared" si="39"/>
        <v>-46000</v>
      </c>
      <c r="K135" s="5">
        <f t="shared" si="39"/>
        <v>-46000</v>
      </c>
      <c r="L135" s="5">
        <f t="shared" si="39"/>
        <v>-48000</v>
      </c>
      <c r="M135" s="5">
        <f t="shared" si="39"/>
        <v>-48000</v>
      </c>
      <c r="N135" s="5">
        <f t="shared" si="39"/>
        <v>-50000</v>
      </c>
      <c r="O135" s="5"/>
      <c r="P135" s="5"/>
      <c r="Q135" s="5"/>
      <c r="R135" s="5"/>
    </row>
    <row r="136" spans="1:18" collapsed="1" x14ac:dyDescent="0.25">
      <c r="A136" s="12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</row>
    <row r="137" spans="1:18" x14ac:dyDescent="0.25">
      <c r="A137" s="21" t="s">
        <v>125</v>
      </c>
      <c r="C137" s="5"/>
      <c r="D137" s="5"/>
      <c r="E137" s="5"/>
      <c r="F137" s="5"/>
      <c r="G137" s="10">
        <f>SUM(G138:G145)</f>
        <v>77842</v>
      </c>
      <c r="H137" s="10">
        <f t="shared" ref="H137:N137" si="40">SUM(H138:H145)</f>
        <v>1015417</v>
      </c>
      <c r="I137" s="10">
        <f t="shared" si="40"/>
        <v>1241500</v>
      </c>
      <c r="J137" s="10">
        <f t="shared" si="40"/>
        <v>1585000</v>
      </c>
      <c r="K137" s="10">
        <f t="shared" si="40"/>
        <v>1597500</v>
      </c>
      <c r="L137" s="10">
        <f t="shared" si="40"/>
        <v>1860000</v>
      </c>
      <c r="M137" s="10">
        <f t="shared" si="40"/>
        <v>1938000</v>
      </c>
      <c r="N137" s="10">
        <f t="shared" si="40"/>
        <v>2163500</v>
      </c>
      <c r="O137" s="5"/>
      <c r="P137" s="5"/>
      <c r="Q137" s="5"/>
      <c r="R137" s="5"/>
    </row>
    <row r="138" spans="1:18" hidden="1" outlineLevel="1" x14ac:dyDescent="0.25">
      <c r="A138" s="15" t="s">
        <v>40</v>
      </c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</row>
    <row r="139" spans="1:18" hidden="1" outlineLevel="1" x14ac:dyDescent="0.25">
      <c r="A139" s="15" t="s">
        <v>41</v>
      </c>
      <c r="C139" s="5"/>
      <c r="D139" s="5"/>
      <c r="E139" s="5"/>
      <c r="F139" s="5"/>
      <c r="G139" s="5">
        <v>77842</v>
      </c>
      <c r="H139" s="5">
        <v>528000</v>
      </c>
      <c r="I139" s="5">
        <f>-G129</f>
        <v>650000</v>
      </c>
      <c r="J139" s="5">
        <f t="shared" ref="J139:N143" si="41">-H129</f>
        <v>862500</v>
      </c>
      <c r="K139" s="5">
        <f t="shared" si="41"/>
        <v>812500</v>
      </c>
      <c r="L139" s="5">
        <f t="shared" si="41"/>
        <v>1015000</v>
      </c>
      <c r="M139" s="5">
        <f t="shared" si="41"/>
        <v>1087500</v>
      </c>
      <c r="N139" s="5">
        <f t="shared" si="41"/>
        <v>1200000</v>
      </c>
      <c r="O139" s="5"/>
      <c r="P139" s="5"/>
      <c r="Q139" s="5"/>
      <c r="R139" s="5"/>
    </row>
    <row r="140" spans="1:18" hidden="1" outlineLevel="1" x14ac:dyDescent="0.25">
      <c r="A140" s="15" t="s">
        <v>42</v>
      </c>
      <c r="C140" s="5"/>
      <c r="D140" s="5"/>
      <c r="E140" s="5"/>
      <c r="F140" s="5"/>
      <c r="G140" s="5"/>
      <c r="H140" s="5">
        <f>14613+68085</f>
        <v>82698</v>
      </c>
      <c r="I140" s="5">
        <f>-G130</f>
        <v>120000</v>
      </c>
      <c r="J140" s="5">
        <f t="shared" si="41"/>
        <v>172500</v>
      </c>
      <c r="K140" s="5">
        <f t="shared" si="41"/>
        <v>177000</v>
      </c>
      <c r="L140" s="5">
        <f t="shared" si="41"/>
        <v>187500</v>
      </c>
      <c r="M140" s="5">
        <f t="shared" si="41"/>
        <v>162500</v>
      </c>
      <c r="N140" s="5">
        <f t="shared" si="41"/>
        <v>195000</v>
      </c>
      <c r="O140" s="5"/>
      <c r="P140" s="5"/>
      <c r="Q140" s="5"/>
      <c r="R140" s="5"/>
    </row>
    <row r="141" spans="1:18" hidden="1" outlineLevel="1" x14ac:dyDescent="0.25">
      <c r="A141" s="15" t="s">
        <v>43</v>
      </c>
      <c r="C141" s="5"/>
      <c r="D141" s="5"/>
      <c r="E141" s="5"/>
      <c r="F141" s="5"/>
      <c r="G141" s="5"/>
      <c r="H141" s="5">
        <f>-G131+104719</f>
        <v>289719</v>
      </c>
      <c r="I141" s="5">
        <f t="shared" ref="I141:N141" si="42">-H131</f>
        <v>230000</v>
      </c>
      <c r="J141" s="5">
        <f t="shared" si="42"/>
        <v>275000</v>
      </c>
      <c r="K141" s="5">
        <f t="shared" si="42"/>
        <v>310500</v>
      </c>
      <c r="L141" s="5">
        <f t="shared" si="42"/>
        <v>348000</v>
      </c>
      <c r="M141" s="5">
        <f t="shared" si="42"/>
        <v>362500</v>
      </c>
      <c r="N141" s="5">
        <f t="shared" si="42"/>
        <v>403000</v>
      </c>
      <c r="O141" s="5"/>
      <c r="P141" s="5"/>
      <c r="Q141" s="5"/>
      <c r="R141" s="5"/>
    </row>
    <row r="142" spans="1:18" hidden="1" outlineLevel="1" x14ac:dyDescent="0.25">
      <c r="A142" s="15" t="s">
        <v>44</v>
      </c>
      <c r="C142" s="5"/>
      <c r="D142" s="5"/>
      <c r="E142" s="5"/>
      <c r="F142" s="5"/>
      <c r="G142" s="5"/>
      <c r="H142" s="5"/>
      <c r="I142" s="5">
        <f>-G132</f>
        <v>70000</v>
      </c>
      <c r="J142" s="5">
        <f t="shared" si="41"/>
        <v>93500</v>
      </c>
      <c r="K142" s="5">
        <f t="shared" si="41"/>
        <v>110000</v>
      </c>
      <c r="L142" s="5">
        <f t="shared" si="41"/>
        <v>120000</v>
      </c>
      <c r="M142" s="5">
        <f t="shared" si="41"/>
        <v>130000</v>
      </c>
      <c r="N142" s="5">
        <f t="shared" si="41"/>
        <v>168000</v>
      </c>
      <c r="O142" s="5"/>
      <c r="P142" s="5"/>
      <c r="Q142" s="5"/>
      <c r="R142" s="5"/>
    </row>
    <row r="143" spans="1:18" hidden="1" outlineLevel="1" x14ac:dyDescent="0.25">
      <c r="A143" s="15" t="s">
        <v>45</v>
      </c>
      <c r="C143" s="5"/>
      <c r="D143" s="5"/>
      <c r="E143" s="5"/>
      <c r="F143" s="5"/>
      <c r="G143" s="5"/>
      <c r="H143" s="5"/>
      <c r="I143" s="5">
        <f>-G133</f>
        <v>5000</v>
      </c>
      <c r="J143" s="5">
        <f t="shared" si="41"/>
        <v>5500</v>
      </c>
      <c r="K143" s="5">
        <f t="shared" si="41"/>
        <v>5500</v>
      </c>
      <c r="L143" s="5">
        <f t="shared" si="41"/>
        <v>5500</v>
      </c>
      <c r="M143" s="5">
        <f t="shared" si="41"/>
        <v>5500</v>
      </c>
      <c r="N143" s="5">
        <f t="shared" si="41"/>
        <v>5500</v>
      </c>
      <c r="O143" s="5"/>
      <c r="P143" s="5"/>
      <c r="Q143" s="5"/>
      <c r="R143" s="5"/>
    </row>
    <row r="144" spans="1:18" hidden="1" outlineLevel="1" x14ac:dyDescent="0.25">
      <c r="A144" s="15" t="s">
        <v>46</v>
      </c>
      <c r="C144" s="5"/>
      <c r="D144" s="5"/>
      <c r="E144" s="5"/>
      <c r="F144" s="5"/>
      <c r="G144" s="5"/>
      <c r="H144" s="5">
        <f>-G134</f>
        <v>115000</v>
      </c>
      <c r="I144" s="5">
        <f t="shared" ref="I144:N144" si="43">-H134</f>
        <v>126500</v>
      </c>
      <c r="J144" s="5">
        <f t="shared" si="43"/>
        <v>132000</v>
      </c>
      <c r="K144" s="5">
        <f t="shared" si="43"/>
        <v>138000</v>
      </c>
      <c r="L144" s="5">
        <f t="shared" si="43"/>
        <v>138000</v>
      </c>
      <c r="M144" s="5">
        <f t="shared" si="43"/>
        <v>144000</v>
      </c>
      <c r="N144" s="5">
        <f t="shared" si="43"/>
        <v>144000</v>
      </c>
      <c r="O144" s="5"/>
      <c r="P144" s="5"/>
      <c r="Q144" s="5"/>
      <c r="R144" s="5"/>
    </row>
    <row r="145" spans="1:20" hidden="1" outlineLevel="1" x14ac:dyDescent="0.25">
      <c r="A145" s="15" t="s">
        <v>47</v>
      </c>
      <c r="C145" s="5"/>
      <c r="D145" s="5"/>
      <c r="E145" s="5"/>
      <c r="F145" s="5"/>
      <c r="G145" s="5"/>
      <c r="H145" s="5"/>
      <c r="I145" s="5">
        <f>-G135</f>
        <v>40000</v>
      </c>
      <c r="J145" s="5">
        <f t="shared" ref="J145:N145" si="44">-H135</f>
        <v>44000</v>
      </c>
      <c r="K145" s="5">
        <f t="shared" si="44"/>
        <v>44000</v>
      </c>
      <c r="L145" s="5">
        <f t="shared" si="44"/>
        <v>46000</v>
      </c>
      <c r="M145" s="5">
        <f t="shared" si="44"/>
        <v>46000</v>
      </c>
      <c r="N145" s="5">
        <f t="shared" si="44"/>
        <v>48000</v>
      </c>
      <c r="O145" s="5"/>
      <c r="P145" s="5"/>
      <c r="Q145" s="5"/>
      <c r="R145" s="5"/>
    </row>
    <row r="146" spans="1:20" collapsed="1" x14ac:dyDescent="0.25">
      <c r="A146" s="38"/>
      <c r="O146" s="5">
        <f t="shared" si="34"/>
        <v>0</v>
      </c>
    </row>
    <row r="147" spans="1:20" x14ac:dyDescent="0.25">
      <c r="A147" s="21" t="s">
        <v>126</v>
      </c>
      <c r="G147" s="8">
        <f>SUM(G108,G116,G117,G125,G127,G137)</f>
        <v>-1617954.4696032559</v>
      </c>
      <c r="H147" s="8">
        <f t="shared" ref="H147:N147" si="45">SUM(H108,H116,H117,H125,H127,H137)</f>
        <v>-421295.37843754189</v>
      </c>
      <c r="I147" s="8">
        <f t="shared" si="45"/>
        <v>-377192.04870088724</v>
      </c>
      <c r="J147" s="8">
        <f t="shared" si="45"/>
        <v>-164661.09083754872</v>
      </c>
      <c r="K147" s="8">
        <f t="shared" si="45"/>
        <v>-192659.24427194381</v>
      </c>
      <c r="L147" s="8">
        <f t="shared" si="45"/>
        <v>-289800.95678047184</v>
      </c>
      <c r="M147" s="8">
        <f t="shared" si="45"/>
        <v>121396.97601031931</v>
      </c>
      <c r="N147" s="8">
        <f t="shared" si="45"/>
        <v>39239.7788167689</v>
      </c>
      <c r="O147" s="5"/>
    </row>
    <row r="148" spans="1:20" x14ac:dyDescent="0.25">
      <c r="A148" s="38" t="s">
        <v>127</v>
      </c>
      <c r="G148" s="19">
        <v>1284264</v>
      </c>
      <c r="H148" s="19">
        <f>G149</f>
        <v>-333690.46960325586</v>
      </c>
      <c r="I148" s="19">
        <f t="shared" ref="I148:N148" si="46">H149</f>
        <v>-754985.84804079775</v>
      </c>
      <c r="J148" s="19">
        <f t="shared" si="46"/>
        <v>-1132177.896741685</v>
      </c>
      <c r="K148" s="19">
        <f t="shared" si="46"/>
        <v>-1296838.9875792337</v>
      </c>
      <c r="L148" s="19">
        <f t="shared" si="46"/>
        <v>-1489498.2318511775</v>
      </c>
      <c r="M148" s="19">
        <f t="shared" si="46"/>
        <v>-1779299.1886316494</v>
      </c>
      <c r="N148" s="19">
        <f t="shared" si="46"/>
        <v>-1657902.2126213301</v>
      </c>
      <c r="O148" s="5"/>
      <c r="P148" s="5"/>
      <c r="Q148" s="5"/>
      <c r="R148" s="5"/>
      <c r="S148" s="5"/>
      <c r="T148" s="5"/>
    </row>
    <row r="149" spans="1:20" x14ac:dyDescent="0.25">
      <c r="A149" s="38" t="s">
        <v>128</v>
      </c>
      <c r="G149" s="5">
        <f>SUM(G147:G148)</f>
        <v>-333690.46960325586</v>
      </c>
      <c r="H149" s="5">
        <f t="shared" ref="H149:N149" si="47">SUM(H147:H148)</f>
        <v>-754985.84804079775</v>
      </c>
      <c r="I149" s="5">
        <f t="shared" si="47"/>
        <v>-1132177.896741685</v>
      </c>
      <c r="J149" s="5">
        <f t="shared" si="47"/>
        <v>-1296838.9875792337</v>
      </c>
      <c r="K149" s="5">
        <f t="shared" si="47"/>
        <v>-1489498.2318511775</v>
      </c>
      <c r="L149" s="5">
        <f t="shared" si="47"/>
        <v>-1779299.1886316494</v>
      </c>
      <c r="M149" s="5">
        <f t="shared" si="47"/>
        <v>-1657902.2126213301</v>
      </c>
      <c r="N149" s="5">
        <f t="shared" si="47"/>
        <v>-1618662.4338045612</v>
      </c>
      <c r="O149" s="5"/>
      <c r="P149" s="5"/>
      <c r="Q149" s="5"/>
      <c r="R149" s="5"/>
      <c r="S149" s="5"/>
      <c r="T149" s="5"/>
    </row>
    <row r="150" spans="1:20" x14ac:dyDescent="0.25">
      <c r="O150" s="5"/>
    </row>
    <row r="151" spans="1:20" x14ac:dyDescent="0.25">
      <c r="O151" s="5"/>
    </row>
    <row r="152" spans="1:20" x14ac:dyDescent="0.25">
      <c r="A152" s="9" t="s">
        <v>129</v>
      </c>
      <c r="O152" s="5"/>
    </row>
    <row r="153" spans="1:20" x14ac:dyDescent="0.25">
      <c r="A153" t="s">
        <v>130</v>
      </c>
      <c r="B153" s="39">
        <f>B33/B4</f>
        <v>3.3844620692130842</v>
      </c>
      <c r="C153" s="39">
        <f>C33/C4</f>
        <v>3.3884162851070947</v>
      </c>
      <c r="D153" s="39">
        <f>D33/D4</f>
        <v>3.2882763269958653</v>
      </c>
      <c r="E153" s="39">
        <f>E33/E4</f>
        <v>3.1938067557299772</v>
      </c>
      <c r="F153" s="39"/>
      <c r="G153" s="39">
        <f t="shared" ref="G153:O153" si="48">G33/G4</f>
        <v>3.1951548503005771</v>
      </c>
      <c r="H153" s="39">
        <f t="shared" si="48"/>
        <v>3.2558309368106815</v>
      </c>
      <c r="I153" s="39">
        <f t="shared" si="48"/>
        <v>3.2569956595520373</v>
      </c>
      <c r="J153" s="39">
        <f t="shared" si="48"/>
        <v>3.2595488690569536</v>
      </c>
      <c r="K153" s="39">
        <f t="shared" si="48"/>
        <v>3.2585244046664243</v>
      </c>
      <c r="L153" s="39">
        <f t="shared" si="48"/>
        <v>3.2602805035020781</v>
      </c>
      <c r="M153" s="39">
        <f t="shared" si="48"/>
        <v>3.260383344748452</v>
      </c>
      <c r="N153" s="39">
        <f t="shared" si="48"/>
        <v>3.2588571862139273</v>
      </c>
      <c r="O153" s="39">
        <f t="shared" si="48"/>
        <v>3.4480888787595312</v>
      </c>
    </row>
    <row r="154" spans="1:20" x14ac:dyDescent="0.25">
      <c r="A154" t="s">
        <v>131</v>
      </c>
      <c r="B154" s="39">
        <f>B43/B4</f>
        <v>-1.2367604834661086</v>
      </c>
      <c r="C154" s="39">
        <f>C43/C4</f>
        <v>-1.2580416648595509</v>
      </c>
      <c r="D154" s="39">
        <f>D43/D4</f>
        <v>-1.3138114609626879</v>
      </c>
      <c r="E154" s="39">
        <f>E43/E4</f>
        <v>-1.2945986618372811</v>
      </c>
      <c r="F154" s="39"/>
      <c r="G154" s="39">
        <f t="shared" ref="G154:O154" si="49">G43/G4</f>
        <v>-1.1545901369409717</v>
      </c>
      <c r="H154" s="39">
        <f t="shared" si="49"/>
        <v>-1.1734735245379833</v>
      </c>
      <c r="I154" s="39">
        <f t="shared" si="49"/>
        <v>-1.1794922780309312</v>
      </c>
      <c r="J154" s="39">
        <f t="shared" si="49"/>
        <v>-1.1808474365882333</v>
      </c>
      <c r="K154" s="39">
        <f t="shared" si="49"/>
        <v>-1.1645283317345294</v>
      </c>
      <c r="L154" s="39">
        <f t="shared" si="49"/>
        <v>-1.1583066320673288</v>
      </c>
      <c r="M154" s="39">
        <f t="shared" si="49"/>
        <v>-1.1619180474145432</v>
      </c>
      <c r="N154" s="39">
        <f t="shared" si="49"/>
        <v>-1.1517224756675206</v>
      </c>
      <c r="O154" s="39">
        <f t="shared" si="49"/>
        <v>-1.2593255539322656</v>
      </c>
    </row>
    <row r="155" spans="1:20" x14ac:dyDescent="0.25">
      <c r="A155" t="s">
        <v>132</v>
      </c>
      <c r="B155" s="39">
        <f>-B65/B4</f>
        <v>-0.83371492451668661</v>
      </c>
      <c r="C155" s="39">
        <f>-C65/C4</f>
        <v>-0.49302350076518442</v>
      </c>
      <c r="D155" s="39">
        <f>-D65/D4</f>
        <v>-0.63918063199713882</v>
      </c>
      <c r="E155" s="39">
        <f>-E65/E4</f>
        <v>-0.51829369499627476</v>
      </c>
      <c r="F155" s="39"/>
      <c r="G155" s="39">
        <f t="shared" ref="G155:O155" si="50">-G65/G4</f>
        <v>-0.38045810801235713</v>
      </c>
      <c r="H155" s="39">
        <f t="shared" si="50"/>
        <v>-0.33806349757122145</v>
      </c>
      <c r="I155" s="39">
        <f t="shared" si="50"/>
        <v>-0.32394600539817203</v>
      </c>
      <c r="J155" s="39">
        <f t="shared" si="50"/>
        <v>-0.35429980273269995</v>
      </c>
      <c r="K155" s="39">
        <f t="shared" si="50"/>
        <v>-0.30483082735731132</v>
      </c>
      <c r="L155" s="39">
        <f t="shared" si="50"/>
        <v>-0.28593860790572551</v>
      </c>
      <c r="M155" s="39">
        <f t="shared" si="50"/>
        <v>-0.28280052619259372</v>
      </c>
      <c r="N155" s="39">
        <f t="shared" si="50"/>
        <v>-0.3629019498105665</v>
      </c>
      <c r="O155" s="39">
        <f t="shared" si="50"/>
        <v>-0.38163783635348786</v>
      </c>
    </row>
    <row r="156" spans="1:20" x14ac:dyDescent="0.25">
      <c r="A156" t="s">
        <v>133</v>
      </c>
      <c r="B156" s="39">
        <f>-B90/B4</f>
        <v>-1.0709840771651256</v>
      </c>
      <c r="C156" s="39">
        <f>-C90/C4</f>
        <v>-1.0839565300900253</v>
      </c>
      <c r="D156" s="39">
        <f>-D90/D4</f>
        <v>-1.7447160747322081</v>
      </c>
      <c r="E156" s="39">
        <f>-E90/E4</f>
        <v>-1.5993949129161471</v>
      </c>
      <c r="F156" s="39"/>
      <c r="G156" s="39">
        <f t="shared" ref="G156:O156" si="51">-G90/G4</f>
        <v>-1.4905356619794237</v>
      </c>
      <c r="H156" s="39">
        <f t="shared" si="51"/>
        <v>-1.4125265221780279</v>
      </c>
      <c r="I156" s="39">
        <f t="shared" si="51"/>
        <v>-1.4166027482167749</v>
      </c>
      <c r="J156" s="39">
        <f t="shared" si="51"/>
        <v>-1.3234259186240667</v>
      </c>
      <c r="K156" s="39">
        <f t="shared" si="51"/>
        <v>-1.1683832246084869</v>
      </c>
      <c r="L156" s="39">
        <f t="shared" si="51"/>
        <v>-1.3957730661492009</v>
      </c>
      <c r="M156" s="39">
        <f t="shared" si="51"/>
        <v>-1.1927168433807125</v>
      </c>
      <c r="N156" s="39">
        <f t="shared" si="51"/>
        <v>-1.3810205290970761</v>
      </c>
      <c r="O156" s="39">
        <f t="shared" si="51"/>
        <v>-1.4553760340026018</v>
      </c>
    </row>
    <row r="157" spans="1:20" x14ac:dyDescent="0.25">
      <c r="A157" t="s">
        <v>134</v>
      </c>
      <c r="B157" s="39">
        <f>-B105/B4</f>
        <v>-0.86874631316640938</v>
      </c>
      <c r="C157" s="39">
        <f>-C105/C4</f>
        <v>-0.41655772340596908</v>
      </c>
      <c r="D157" s="39">
        <f>-D105/D4</f>
        <v>-0.60974009432869924</v>
      </c>
      <c r="E157" s="39">
        <f>-E105/E4</f>
        <v>-0.44785849703819003</v>
      </c>
      <c r="F157" s="39"/>
      <c r="G157" s="39">
        <f t="shared" ref="G157:O157" si="52">-G105/G4</f>
        <v>-0.32251168549778531</v>
      </c>
      <c r="H157" s="39">
        <f t="shared" si="52"/>
        <v>-0.26949921393320941</v>
      </c>
      <c r="I157" s="39">
        <f t="shared" si="52"/>
        <v>-0.25698891288004938</v>
      </c>
      <c r="J157" s="39">
        <f t="shared" si="52"/>
        <v>-0.26331070673830825</v>
      </c>
      <c r="K157" s="39">
        <f t="shared" si="52"/>
        <v>-0.25941967493294615</v>
      </c>
      <c r="L157" s="39">
        <f t="shared" si="52"/>
        <v>-0.34262688809928465</v>
      </c>
      <c r="M157" s="39">
        <f t="shared" si="52"/>
        <v>-0.21307791473038878</v>
      </c>
      <c r="N157" s="39">
        <f t="shared" si="52"/>
        <v>-0.23427319301401353</v>
      </c>
      <c r="O157" s="39">
        <f t="shared" si="52"/>
        <v>-0.32403179348319289</v>
      </c>
    </row>
    <row r="158" spans="1:20" x14ac:dyDescent="0.25">
      <c r="A158" s="9" t="s">
        <v>135</v>
      </c>
      <c r="B158" s="40">
        <f>SUM(B153:B157)</f>
        <v>-0.62574372910124565</v>
      </c>
      <c r="C158" s="40">
        <f t="shared" ref="C158:O158" si="53">SUM(C153:C157)</f>
        <v>0.13683686598636491</v>
      </c>
      <c r="D158" s="40">
        <f t="shared" si="53"/>
        <v>-1.0191719350248687</v>
      </c>
      <c r="E158" s="40">
        <f t="shared" si="53"/>
        <v>-0.66633901105791571</v>
      </c>
      <c r="F158" s="40"/>
      <c r="G158" s="40">
        <f t="shared" si="53"/>
        <v>-0.15294074212996078</v>
      </c>
      <c r="H158" s="40">
        <f t="shared" si="53"/>
        <v>6.2268178590239365E-2</v>
      </c>
      <c r="I158" s="40">
        <f t="shared" si="53"/>
        <v>7.9965715026110107E-2</v>
      </c>
      <c r="J158" s="40">
        <f t="shared" si="53"/>
        <v>0.13766500437364515</v>
      </c>
      <c r="K158" s="40">
        <f t="shared" si="53"/>
        <v>0.36136234603315065</v>
      </c>
      <c r="L158" s="40">
        <f t="shared" si="53"/>
        <v>7.7635309280538189E-2</v>
      </c>
      <c r="M158" s="40">
        <f t="shared" si="53"/>
        <v>0.4098700130302137</v>
      </c>
      <c r="N158" s="40">
        <f t="shared" si="53"/>
        <v>0.12893903862475073</v>
      </c>
      <c r="O158" s="40">
        <f t="shared" si="53"/>
        <v>2.7717660987982784E-2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IS -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Gordon Mah</dc:creator>
  <cp:lastModifiedBy>Gordon Mah</cp:lastModifiedBy>
  <dcterms:created xsi:type="dcterms:W3CDTF">2024-05-24T16:19:18Z</dcterms:created>
  <dcterms:modified xsi:type="dcterms:W3CDTF">2024-05-27T16:03:26Z</dcterms:modified>
</cp:coreProperties>
</file>