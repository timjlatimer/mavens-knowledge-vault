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ordonmah.DOMAIN\Desktop\desktop 9-25-24_copy\1. New files 9-18-24\revised Budget\"/>
    </mc:Choice>
  </mc:AlternateContent>
  <xr:revisionPtr revIDLastSave="0" documentId="13_ncr:1_{53D9FA47-C706-4AB2-9801-5EB2BEA9556A}" xr6:coauthVersionLast="47" xr6:coauthVersionMax="47" xr10:uidLastSave="{00000000-0000-0000-0000-000000000000}"/>
  <bookViews>
    <workbookView xWindow="-120" yWindow="-120" windowWidth="29040" windowHeight="15720" tabRatio="800" xr2:uid="{8A2BCB6D-55E1-4A92-BD39-EDE986CEA94E}"/>
  </bookViews>
  <sheets>
    <sheet name="FREEDOM IS - DETAIL_9-26-24" sheetId="6" r:id="rId1"/>
    <sheet name="Customer Balance Detail_9-20-24" sheetId="2" r:id="rId2"/>
    <sheet name="Supplier Balance Detail_9-20-24" sheetId="3" r:id="rId3"/>
    <sheet name="FREEDOM IS_Sept 26 Actuals" sheetId="7" r:id="rId4"/>
    <sheet name="Customer Balance Detail_9-26-24" sheetId="8" r:id="rId5"/>
    <sheet name="Supplier Balance Detail_9-26-24" sheetId="9" r:id="rId6"/>
  </sheets>
  <definedNames>
    <definedName name="DURATION" localSheetId="0">#REF!</definedName>
    <definedName name="DURATION" localSheetId="3">#REF!</definedName>
    <definedName name="DURATION">#REF!</definedName>
    <definedName name="TRATE" localSheetId="0">#REF!</definedName>
    <definedName name="TRATE" localSheetId="3">#REF!</definedName>
    <definedName name="TRAT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7" i="7" l="1"/>
  <c r="C128" i="7"/>
  <c r="B128" i="7"/>
  <c r="C126" i="7"/>
  <c r="B126" i="7"/>
  <c r="C125" i="7"/>
  <c r="B125" i="7"/>
  <c r="C124" i="7"/>
  <c r="B124" i="7"/>
  <c r="C13" i="7"/>
  <c r="C12" i="7"/>
  <c r="C14" i="7" s="1"/>
  <c r="B12" i="7"/>
  <c r="B14" i="7" s="1"/>
  <c r="B69" i="7" l="1"/>
  <c r="B71" i="7" s="1"/>
  <c r="C69" i="7"/>
  <c r="C71" i="7" s="1"/>
  <c r="B99" i="7"/>
  <c r="B127" i="7"/>
  <c r="C99" i="7"/>
  <c r="B113" i="7"/>
  <c r="C113" i="7"/>
  <c r="C101" i="7" l="1"/>
  <c r="C115" i="7" s="1"/>
  <c r="C119" i="7" s="1"/>
  <c r="C129" i="7" s="1"/>
  <c r="B101" i="7"/>
  <c r="B115" i="7" s="1"/>
  <c r="B119" i="7" s="1"/>
  <c r="B129" i="7" s="1"/>
  <c r="BR192" i="6" l="1"/>
  <c r="CE190" i="6"/>
  <c r="CA189" i="6"/>
  <c r="CA186" i="6"/>
  <c r="BZ186" i="6"/>
  <c r="BW186" i="6"/>
  <c r="BW181" i="6" s="1"/>
  <c r="BZ185" i="6"/>
  <c r="BW185" i="6"/>
  <c r="BV185" i="6"/>
  <c r="CA184" i="6"/>
  <c r="BW184" i="6"/>
  <c r="BY182" i="6"/>
  <c r="BY181" i="6" s="1"/>
  <c r="BL182" i="6"/>
  <c r="AO182" i="6"/>
  <c r="Y182" i="6"/>
  <c r="I182" i="6"/>
  <c r="BX181" i="6"/>
  <c r="BV181" i="6"/>
  <c r="AR181" i="6"/>
  <c r="AB181" i="6"/>
  <c r="L181" i="6"/>
  <c r="CE180" i="6"/>
  <c r="CG180" i="6" s="1"/>
  <c r="BL180" i="6"/>
  <c r="BC180" i="6"/>
  <c r="AM180" i="6"/>
  <c r="W180" i="6"/>
  <c r="G180" i="6"/>
  <c r="BY179" i="6"/>
  <c r="BX179" i="6"/>
  <c r="BW179" i="6"/>
  <c r="BV179" i="6"/>
  <c r="BL179" i="6"/>
  <c r="BY178" i="6"/>
  <c r="BZ188" i="6" s="1"/>
  <c r="BX178" i="6"/>
  <c r="BW178" i="6"/>
  <c r="BV178" i="6"/>
  <c r="BL178" i="6"/>
  <c r="BY177" i="6"/>
  <c r="CA187" i="6" s="1"/>
  <c r="BX177" i="6"/>
  <c r="BZ187" i="6" s="1"/>
  <c r="BW177" i="6"/>
  <c r="BV177" i="6"/>
  <c r="BY176" i="6"/>
  <c r="BX176" i="6"/>
  <c r="BW176" i="6"/>
  <c r="BV176" i="6"/>
  <c r="BX175" i="6"/>
  <c r="BW175" i="6"/>
  <c r="BV175" i="6"/>
  <c r="BX174" i="6"/>
  <c r="BX171" i="6" s="1"/>
  <c r="BW174" i="6"/>
  <c r="BV174" i="6"/>
  <c r="BV171" i="6" s="1"/>
  <c r="BX173" i="6"/>
  <c r="BV173" i="6"/>
  <c r="CE172" i="6"/>
  <c r="CG172" i="6" s="1"/>
  <c r="BF171" i="6"/>
  <c r="S171" i="6"/>
  <c r="CE170" i="6"/>
  <c r="CG170" i="6" s="1"/>
  <c r="BZ169" i="6"/>
  <c r="CE169" i="6" s="1"/>
  <c r="CG169" i="6" s="1"/>
  <c r="CE168" i="6"/>
  <c r="CG168" i="6" s="1"/>
  <c r="CE167" i="6"/>
  <c r="CG167" i="6" s="1"/>
  <c r="CE166" i="6"/>
  <c r="CG166" i="6" s="1"/>
  <c r="CG165" i="6"/>
  <c r="CE165" i="6"/>
  <c r="CE164" i="6"/>
  <c r="CG164" i="6" s="1"/>
  <c r="L164" i="6"/>
  <c r="CG163" i="6"/>
  <c r="CE163" i="6"/>
  <c r="BF163" i="6"/>
  <c r="AS163" i="6"/>
  <c r="S163" i="6"/>
  <c r="CE162" i="6"/>
  <c r="CG162" i="6" s="1"/>
  <c r="AF162" i="6"/>
  <c r="CG161" i="6"/>
  <c r="CE161" i="6"/>
  <c r="BX161" i="6"/>
  <c r="BF161" i="6"/>
  <c r="AS161" i="6"/>
  <c r="S161" i="6"/>
  <c r="CE160" i="6"/>
  <c r="CG160" i="6" s="1"/>
  <c r="BT160" i="6"/>
  <c r="BF160" i="6"/>
  <c r="AS160" i="6"/>
  <c r="AF160" i="6"/>
  <c r="BL181" i="6"/>
  <c r="BF159" i="6"/>
  <c r="BF181" i="6" s="1"/>
  <c r="BE181" i="6"/>
  <c r="BD181" i="6"/>
  <c r="BC181" i="6"/>
  <c r="BB181" i="6"/>
  <c r="BA181" i="6"/>
  <c r="AZ181" i="6"/>
  <c r="AY181" i="6"/>
  <c r="AX181" i="6"/>
  <c r="AW181" i="6"/>
  <c r="AV181" i="6"/>
  <c r="AU181" i="6"/>
  <c r="AT181" i="6"/>
  <c r="AQ181" i="6"/>
  <c r="AO181" i="6"/>
  <c r="AN181" i="6"/>
  <c r="AM181" i="6"/>
  <c r="AL181" i="6"/>
  <c r="AK181" i="6"/>
  <c r="AJ181" i="6"/>
  <c r="AI181" i="6"/>
  <c r="AH181" i="6"/>
  <c r="AG181" i="6"/>
  <c r="AE181" i="6"/>
  <c r="AD181" i="6"/>
  <c r="AC181" i="6"/>
  <c r="AA181" i="6"/>
  <c r="Z181" i="6"/>
  <c r="Y181" i="6"/>
  <c r="X181" i="6"/>
  <c r="W181" i="6"/>
  <c r="V181" i="6"/>
  <c r="U181" i="6"/>
  <c r="T181" i="6"/>
  <c r="R181" i="6"/>
  <c r="Q181" i="6"/>
  <c r="P181" i="6"/>
  <c r="O181" i="6"/>
  <c r="N181" i="6"/>
  <c r="M181" i="6"/>
  <c r="K181" i="6"/>
  <c r="J181" i="6"/>
  <c r="I181" i="6"/>
  <c r="H181" i="6"/>
  <c r="G181" i="6"/>
  <c r="E181" i="6"/>
  <c r="D181" i="6"/>
  <c r="C181" i="6"/>
  <c r="B181" i="6"/>
  <c r="AS158" i="6"/>
  <c r="AF158" i="6"/>
  <c r="BF157" i="6"/>
  <c r="AS157" i="6"/>
  <c r="S157" i="6"/>
  <c r="BE182" i="6"/>
  <c r="BD182" i="6"/>
  <c r="BC182" i="6"/>
  <c r="BB182" i="6"/>
  <c r="BA182" i="6"/>
  <c r="AZ182" i="6"/>
  <c r="AY182" i="6"/>
  <c r="AX182" i="6"/>
  <c r="AW182" i="6"/>
  <c r="AU182" i="6"/>
  <c r="AR182" i="6"/>
  <c r="AQ182" i="6"/>
  <c r="AP182" i="6"/>
  <c r="AN182" i="6"/>
  <c r="AM182" i="6"/>
  <c r="AL182" i="6"/>
  <c r="AK182" i="6"/>
  <c r="AJ182" i="6"/>
  <c r="AI182" i="6"/>
  <c r="AH182" i="6"/>
  <c r="AE182" i="6"/>
  <c r="AD182" i="6"/>
  <c r="AC182" i="6"/>
  <c r="AB182" i="6"/>
  <c r="AA182" i="6"/>
  <c r="Z182" i="6"/>
  <c r="X182" i="6"/>
  <c r="W182" i="6"/>
  <c r="V182" i="6"/>
  <c r="U182" i="6"/>
  <c r="T182" i="6"/>
  <c r="S156" i="6"/>
  <c r="S182" i="6" s="1"/>
  <c r="R182" i="6"/>
  <c r="Q182" i="6"/>
  <c r="P182" i="6"/>
  <c r="O182" i="6"/>
  <c r="N182" i="6"/>
  <c r="M182" i="6"/>
  <c r="L182" i="6"/>
  <c r="K182" i="6"/>
  <c r="J182" i="6"/>
  <c r="H182" i="6"/>
  <c r="G182" i="6"/>
  <c r="E182" i="6"/>
  <c r="D182" i="6"/>
  <c r="C182" i="6"/>
  <c r="B182" i="6"/>
  <c r="BL164" i="6"/>
  <c r="BE164" i="6"/>
  <c r="BD164" i="6"/>
  <c r="BC164" i="6"/>
  <c r="BB164" i="6"/>
  <c r="BA164" i="6"/>
  <c r="BY152" i="6" s="1"/>
  <c r="AZ164" i="6"/>
  <c r="BX152" i="6" s="1"/>
  <c r="AY164" i="6"/>
  <c r="BW152" i="6" s="1"/>
  <c r="AX164" i="6"/>
  <c r="BV152" i="6" s="1"/>
  <c r="AV164" i="6"/>
  <c r="BT152" i="6" s="1"/>
  <c r="BF155" i="6"/>
  <c r="AT164" i="6"/>
  <c r="BR152" i="6" s="1"/>
  <c r="AR164" i="6"/>
  <c r="AQ164" i="6"/>
  <c r="AO164" i="6"/>
  <c r="AN164" i="6"/>
  <c r="AM164" i="6"/>
  <c r="AL164" i="6"/>
  <c r="AK164" i="6"/>
  <c r="AJ164" i="6"/>
  <c r="AE164" i="6"/>
  <c r="AD164" i="6"/>
  <c r="AC164" i="6"/>
  <c r="AB164" i="6"/>
  <c r="AA164" i="6"/>
  <c r="Y164" i="6"/>
  <c r="X164" i="6"/>
  <c r="W164" i="6"/>
  <c r="V164" i="6"/>
  <c r="U164" i="6"/>
  <c r="T164" i="6"/>
  <c r="R164" i="6"/>
  <c r="P164" i="6"/>
  <c r="O164" i="6"/>
  <c r="M164" i="6"/>
  <c r="K164" i="6"/>
  <c r="I164" i="6"/>
  <c r="H164" i="6"/>
  <c r="G164" i="6"/>
  <c r="E164" i="6"/>
  <c r="D164" i="6"/>
  <c r="C164" i="6"/>
  <c r="B164" i="6"/>
  <c r="CG153" i="6"/>
  <c r="CG151" i="6"/>
  <c r="BL150" i="6"/>
  <c r="BY149" i="6"/>
  <c r="BX149" i="6"/>
  <c r="BU149" i="6"/>
  <c r="BT149" i="6"/>
  <c r="BW149" i="6"/>
  <c r="BV149" i="6"/>
  <c r="BS149" i="6"/>
  <c r="BR149" i="6"/>
  <c r="AS149" i="6"/>
  <c r="BQ149" i="6" s="1"/>
  <c r="CB148" i="6"/>
  <c r="BS148" i="6"/>
  <c r="BR148" i="6"/>
  <c r="BY148" i="6"/>
  <c r="BX148" i="6"/>
  <c r="BW148" i="6"/>
  <c r="BV148" i="6"/>
  <c r="BU148" i="6"/>
  <c r="BT148" i="6"/>
  <c r="AS148" i="6"/>
  <c r="AF148" i="6"/>
  <c r="S148" i="6"/>
  <c r="BX147" i="6"/>
  <c r="BV147" i="6"/>
  <c r="BT147" i="6"/>
  <c r="BS147" i="6"/>
  <c r="BY147" i="6"/>
  <c r="BW147" i="6"/>
  <c r="BU147" i="6"/>
  <c r="AS147" i="6"/>
  <c r="BQ147" i="6" s="1"/>
  <c r="AF147" i="6"/>
  <c r="BW146" i="6"/>
  <c r="BV146" i="6"/>
  <c r="BT146" i="6"/>
  <c r="BY146" i="6"/>
  <c r="BX146" i="6"/>
  <c r="BU146" i="6"/>
  <c r="BS146" i="6"/>
  <c r="BR146" i="6"/>
  <c r="AS146" i="6"/>
  <c r="BQ146" i="6" s="1"/>
  <c r="AF146" i="6"/>
  <c r="S146" i="6"/>
  <c r="BY145" i="6"/>
  <c r="BW145" i="6"/>
  <c r="BU145" i="6"/>
  <c r="BS145" i="6"/>
  <c r="BX145" i="6"/>
  <c r="BV145" i="6"/>
  <c r="BT145" i="6"/>
  <c r="BR145" i="6"/>
  <c r="S145" i="6"/>
  <c r="BV144" i="6"/>
  <c r="BU144" i="6"/>
  <c r="BS144" i="6"/>
  <c r="BY144" i="6"/>
  <c r="BX144" i="6"/>
  <c r="BW144" i="6"/>
  <c r="BR144" i="6"/>
  <c r="AS144" i="6"/>
  <c r="BQ144" i="6" s="1"/>
  <c r="AF144" i="6"/>
  <c r="BW143" i="6"/>
  <c r="BT143" i="6"/>
  <c r="BS143" i="6"/>
  <c r="BR143" i="6"/>
  <c r="BY143" i="6"/>
  <c r="BX143" i="6"/>
  <c r="BV143" i="6"/>
  <c r="BU143" i="6"/>
  <c r="CC143" i="6" s="1"/>
  <c r="S143" i="6"/>
  <c r="BY142" i="6"/>
  <c r="BT142" i="6"/>
  <c r="BS142" i="6"/>
  <c r="BX142" i="6"/>
  <c r="BW142" i="6"/>
  <c r="BV142" i="6"/>
  <c r="BU142" i="6"/>
  <c r="AS142" i="6"/>
  <c r="BQ142" i="6" s="1"/>
  <c r="AF142" i="6"/>
  <c r="BW141" i="6"/>
  <c r="BT141" i="6"/>
  <c r="CC141" i="6" s="1"/>
  <c r="BY141" i="6"/>
  <c r="BX141" i="6"/>
  <c r="BV141" i="6"/>
  <c r="BU141" i="6"/>
  <c r="BS141" i="6"/>
  <c r="BR141" i="6"/>
  <c r="AS141" i="6"/>
  <c r="BQ141" i="6" s="1"/>
  <c r="AF141" i="6"/>
  <c r="BY140" i="6"/>
  <c r="BV140" i="6"/>
  <c r="BS140" i="6"/>
  <c r="CC140" i="6" s="1"/>
  <c r="BR140" i="6"/>
  <c r="BX140" i="6"/>
  <c r="BW140" i="6"/>
  <c r="BU140" i="6"/>
  <c r="CD140" i="6" s="1"/>
  <c r="CG140" i="6" s="1"/>
  <c r="BT140" i="6"/>
  <c r="CB140" i="6" s="1"/>
  <c r="AF140" i="6"/>
  <c r="S140" i="6"/>
  <c r="BY139" i="6"/>
  <c r="BX139" i="6"/>
  <c r="BW139" i="6"/>
  <c r="BV139" i="6"/>
  <c r="BR139" i="6"/>
  <c r="BF139" i="6"/>
  <c r="BU139" i="6"/>
  <c r="BT139" i="6"/>
  <c r="BS139" i="6"/>
  <c r="AF139" i="6"/>
  <c r="BU138" i="6"/>
  <c r="BR138" i="6"/>
  <c r="BY138" i="6"/>
  <c r="BX138" i="6"/>
  <c r="BW138" i="6"/>
  <c r="BV138" i="6"/>
  <c r="BT138" i="6"/>
  <c r="AS138" i="6"/>
  <c r="BQ138" i="6" s="1"/>
  <c r="AF138" i="6"/>
  <c r="BW137" i="6"/>
  <c r="BS137" i="6"/>
  <c r="BY137" i="6"/>
  <c r="BX137" i="6"/>
  <c r="BV137" i="6"/>
  <c r="BU137" i="6"/>
  <c r="CB137" i="6" s="1"/>
  <c r="BT137" i="6"/>
  <c r="BR137" i="6"/>
  <c r="AS137" i="6"/>
  <c r="BQ137" i="6" s="1"/>
  <c r="S137" i="6"/>
  <c r="BY136" i="6"/>
  <c r="BT136" i="6"/>
  <c r="BX136" i="6"/>
  <c r="BW136" i="6"/>
  <c r="BV136" i="6"/>
  <c r="BU136" i="6"/>
  <c r="BS136" i="6"/>
  <c r="AS136" i="6"/>
  <c r="BQ136" i="6" s="1"/>
  <c r="S136" i="6"/>
  <c r="CD135" i="6"/>
  <c r="CG135" i="6" s="1"/>
  <c r="S135" i="6"/>
  <c r="BU134" i="6"/>
  <c r="BR134" i="6"/>
  <c r="BY134" i="6"/>
  <c r="BX134" i="6"/>
  <c r="BW134" i="6"/>
  <c r="BV134" i="6"/>
  <c r="BT134" i="6"/>
  <c r="AS134" i="6"/>
  <c r="BQ134" i="6" s="1"/>
  <c r="BZ133" i="6"/>
  <c r="BY133" i="6"/>
  <c r="BW133" i="6"/>
  <c r="BT133" i="6"/>
  <c r="BX133" i="6"/>
  <c r="BV133" i="6"/>
  <c r="BU133" i="6"/>
  <c r="BS133" i="6"/>
  <c r="BR133" i="6"/>
  <c r="AF133" i="6"/>
  <c r="S133" i="6"/>
  <c r="CB132" i="6"/>
  <c r="CC132" i="6" s="1"/>
  <c r="CA132" i="6"/>
  <c r="BX132" i="6"/>
  <c r="BW132" i="6"/>
  <c r="BV132" i="6"/>
  <c r="BY132" i="6"/>
  <c r="BU132" i="6"/>
  <c r="BT132" i="6"/>
  <c r="BS132" i="6"/>
  <c r="AS132" i="6"/>
  <c r="BQ132" i="6" s="1"/>
  <c r="BX131" i="6"/>
  <c r="BV131" i="6"/>
  <c r="BU131" i="6"/>
  <c r="BR131" i="6"/>
  <c r="BY131" i="6"/>
  <c r="BW131" i="6"/>
  <c r="BT131" i="6"/>
  <c r="BS131" i="6"/>
  <c r="BF131" i="6"/>
  <c r="AS131" i="6"/>
  <c r="BQ131" i="6" s="1"/>
  <c r="AF131" i="6"/>
  <c r="BV130" i="6"/>
  <c r="BT130" i="6"/>
  <c r="BR130" i="6"/>
  <c r="BF130" i="6"/>
  <c r="BY130" i="6"/>
  <c r="BX130" i="6"/>
  <c r="BW130" i="6"/>
  <c r="BU130" i="6"/>
  <c r="BS130" i="6"/>
  <c r="CA129" i="6"/>
  <c r="BY129" i="6"/>
  <c r="BX129" i="6"/>
  <c r="BT129" i="6"/>
  <c r="BR129" i="6"/>
  <c r="BF129" i="6"/>
  <c r="BW129" i="6"/>
  <c r="BV129" i="6"/>
  <c r="BU129" i="6"/>
  <c r="BS129" i="6"/>
  <c r="S129" i="6"/>
  <c r="BW128" i="6"/>
  <c r="BU128" i="6"/>
  <c r="BE180" i="6"/>
  <c r="BD180" i="6"/>
  <c r="BB180" i="6"/>
  <c r="BA180" i="6"/>
  <c r="AZ180" i="6"/>
  <c r="AY180" i="6"/>
  <c r="AX180" i="6"/>
  <c r="AW180" i="6"/>
  <c r="AV180" i="6"/>
  <c r="AR180" i="6"/>
  <c r="AQ180" i="6"/>
  <c r="AP180" i="6"/>
  <c r="AO180" i="6"/>
  <c r="AN180" i="6"/>
  <c r="AL180" i="6"/>
  <c r="AK180" i="6"/>
  <c r="AJ180" i="6"/>
  <c r="AI180" i="6"/>
  <c r="AH180" i="6"/>
  <c r="AE180" i="6"/>
  <c r="AD180" i="6"/>
  <c r="AC180" i="6"/>
  <c r="AB180" i="6"/>
  <c r="AA180" i="6"/>
  <c r="Z180" i="6"/>
  <c r="Y180" i="6"/>
  <c r="X180" i="6"/>
  <c r="V180" i="6"/>
  <c r="U180" i="6"/>
  <c r="T180" i="6"/>
  <c r="R180" i="6"/>
  <c r="Q180" i="6"/>
  <c r="P180" i="6"/>
  <c r="O180" i="6"/>
  <c r="N180" i="6"/>
  <c r="M180" i="6"/>
  <c r="L180" i="6"/>
  <c r="K180" i="6"/>
  <c r="J180" i="6"/>
  <c r="I180" i="6"/>
  <c r="H180" i="6"/>
  <c r="E180" i="6"/>
  <c r="D180" i="6"/>
  <c r="C180" i="6"/>
  <c r="B180" i="6"/>
  <c r="BY127" i="6"/>
  <c r="BX127" i="6"/>
  <c r="BR127" i="6"/>
  <c r="BW127" i="6"/>
  <c r="BV127" i="6"/>
  <c r="BU127" i="6"/>
  <c r="BT127" i="6"/>
  <c r="BS127" i="6"/>
  <c r="AS127" i="6"/>
  <c r="BQ127" i="6" s="1"/>
  <c r="AF127" i="6"/>
  <c r="BY126" i="6"/>
  <c r="BV126" i="6"/>
  <c r="BU126" i="6"/>
  <c r="BE179" i="6"/>
  <c r="BC179" i="6"/>
  <c r="BB179" i="6"/>
  <c r="BA179" i="6"/>
  <c r="AZ179" i="6"/>
  <c r="AY179" i="6"/>
  <c r="AX179" i="6"/>
  <c r="AW179" i="6"/>
  <c r="AV179" i="6"/>
  <c r="AU179" i="6"/>
  <c r="AT179" i="6"/>
  <c r="AR179" i="6"/>
  <c r="AQ179" i="6"/>
  <c r="AP179" i="6"/>
  <c r="AO179" i="6"/>
  <c r="AN179" i="6"/>
  <c r="AM179" i="6"/>
  <c r="AL179" i="6"/>
  <c r="AK179" i="6"/>
  <c r="AJ179" i="6"/>
  <c r="AI179" i="6"/>
  <c r="AH179" i="6"/>
  <c r="AG179" i="6"/>
  <c r="AE179" i="6"/>
  <c r="AD179" i="6"/>
  <c r="AC179" i="6"/>
  <c r="AB179" i="6"/>
  <c r="AA179" i="6"/>
  <c r="Z179" i="6"/>
  <c r="Y179" i="6"/>
  <c r="X179" i="6"/>
  <c r="W179" i="6"/>
  <c r="U179" i="6"/>
  <c r="T179" i="6"/>
  <c r="R179" i="6"/>
  <c r="Q179" i="6"/>
  <c r="P179" i="6"/>
  <c r="O179" i="6"/>
  <c r="N179" i="6"/>
  <c r="M179" i="6"/>
  <c r="L179" i="6"/>
  <c r="K179" i="6"/>
  <c r="J179" i="6"/>
  <c r="I179" i="6"/>
  <c r="H179" i="6"/>
  <c r="E179" i="6"/>
  <c r="D179" i="6"/>
  <c r="C179" i="6"/>
  <c r="B179" i="6"/>
  <c r="CG125" i="6"/>
  <c r="BA150" i="6"/>
  <c r="AW150" i="6"/>
  <c r="AV150" i="6"/>
  <c r="BF125" i="6"/>
  <c r="AR150" i="6"/>
  <c r="AQ150" i="6"/>
  <c r="AK150" i="6"/>
  <c r="AG150" i="6"/>
  <c r="AF125" i="6"/>
  <c r="AE150" i="6"/>
  <c r="AC150" i="6"/>
  <c r="AB150" i="6"/>
  <c r="AA150" i="6"/>
  <c r="Z150" i="6"/>
  <c r="U150" i="6"/>
  <c r="Q150" i="6"/>
  <c r="P150" i="6"/>
  <c r="O150" i="6"/>
  <c r="K150" i="6"/>
  <c r="J150" i="6"/>
  <c r="D150" i="6"/>
  <c r="CG124" i="6"/>
  <c r="CG121" i="6"/>
  <c r="BL120" i="6"/>
  <c r="CB119" i="6"/>
  <c r="BW119" i="6"/>
  <c r="BT119" i="6"/>
  <c r="BS119" i="6"/>
  <c r="CA119" i="6" s="1"/>
  <c r="BY119" i="6"/>
  <c r="BX119" i="6"/>
  <c r="BV119" i="6"/>
  <c r="BU119" i="6"/>
  <c r="AS119" i="6"/>
  <c r="AF119" i="6"/>
  <c r="S119" i="6"/>
  <c r="BV118" i="6"/>
  <c r="BU118" i="6"/>
  <c r="BT118" i="6"/>
  <c r="BS118" i="6"/>
  <c r="BY118" i="6"/>
  <c r="BX118" i="6"/>
  <c r="BW118" i="6"/>
  <c r="AS118" i="6"/>
  <c r="AF118" i="6"/>
  <c r="S118" i="6"/>
  <c r="BY117" i="6"/>
  <c r="BV117" i="6"/>
  <c r="BU117" i="6"/>
  <c r="BT117" i="6"/>
  <c r="BX117" i="6"/>
  <c r="BW117" i="6"/>
  <c r="BS117" i="6"/>
  <c r="BR117" i="6"/>
  <c r="AF117" i="6"/>
  <c r="S117" i="6"/>
  <c r="BX116" i="6"/>
  <c r="BW116" i="6"/>
  <c r="BV116" i="6"/>
  <c r="BU116" i="6"/>
  <c r="BR116" i="6"/>
  <c r="BY116" i="6"/>
  <c r="BT116" i="6"/>
  <c r="BS116" i="6"/>
  <c r="AS116" i="6"/>
  <c r="AF116" i="6"/>
  <c r="BX115" i="6"/>
  <c r="BW115" i="6"/>
  <c r="BV115" i="6"/>
  <c r="BY115" i="6"/>
  <c r="BU115" i="6"/>
  <c r="BT115" i="6"/>
  <c r="BS115" i="6"/>
  <c r="BR115" i="6"/>
  <c r="S115" i="6"/>
  <c r="BY114" i="6"/>
  <c r="BX114" i="6"/>
  <c r="BW114" i="6"/>
  <c r="BT114" i="6"/>
  <c r="BV114" i="6"/>
  <c r="BU114" i="6"/>
  <c r="BS114" i="6"/>
  <c r="BR114" i="6"/>
  <c r="AF114" i="6"/>
  <c r="BY113" i="6"/>
  <c r="BX113" i="6"/>
  <c r="BS113" i="6"/>
  <c r="DW113" i="6" s="1"/>
  <c r="BR113" i="6"/>
  <c r="BQ113" i="6"/>
  <c r="BW113" i="6"/>
  <c r="BF113" i="6"/>
  <c r="BU113" i="6"/>
  <c r="BT113" i="6"/>
  <c r="AS113" i="6"/>
  <c r="DY113" i="6" s="1"/>
  <c r="S113" i="6"/>
  <c r="BY112" i="6"/>
  <c r="BV112" i="6"/>
  <c r="BS112" i="6"/>
  <c r="BR112" i="6"/>
  <c r="BX112" i="6"/>
  <c r="BW112" i="6"/>
  <c r="BU112" i="6"/>
  <c r="BT112" i="6"/>
  <c r="CB112" i="6" s="1"/>
  <c r="AF112" i="6"/>
  <c r="S112" i="6"/>
  <c r="CG111" i="6"/>
  <c r="BE178" i="6"/>
  <c r="BD178" i="6"/>
  <c r="BC178" i="6"/>
  <c r="BB178" i="6"/>
  <c r="BA178" i="6"/>
  <c r="AZ178" i="6"/>
  <c r="AY178" i="6"/>
  <c r="AX178" i="6"/>
  <c r="AW178" i="6"/>
  <c r="AU178" i="6"/>
  <c r="AR178" i="6"/>
  <c r="AQ178" i="6"/>
  <c r="AP178" i="6"/>
  <c r="AO178" i="6"/>
  <c r="AN178" i="6"/>
  <c r="AM178" i="6"/>
  <c r="AL178" i="6"/>
  <c r="AK178" i="6"/>
  <c r="AJ178" i="6"/>
  <c r="AI178" i="6"/>
  <c r="AH178" i="6"/>
  <c r="AG178" i="6"/>
  <c r="AE178" i="6"/>
  <c r="AC178" i="6"/>
  <c r="AB178" i="6"/>
  <c r="AA178" i="6"/>
  <c r="Z178" i="6"/>
  <c r="Y178" i="6"/>
  <c r="X178" i="6"/>
  <c r="W178" i="6"/>
  <c r="V178" i="6"/>
  <c r="U178" i="6"/>
  <c r="T178" i="6"/>
  <c r="R178" i="6"/>
  <c r="Q178" i="6"/>
  <c r="O178" i="6"/>
  <c r="N178" i="6"/>
  <c r="M178" i="6"/>
  <c r="L178" i="6"/>
  <c r="K178" i="6"/>
  <c r="J178" i="6"/>
  <c r="I178" i="6"/>
  <c r="H178" i="6"/>
  <c r="G178" i="6"/>
  <c r="E178" i="6"/>
  <c r="D178" i="6"/>
  <c r="C178" i="6"/>
  <c r="B178" i="6"/>
  <c r="BY110" i="6"/>
  <c r="BV110" i="6"/>
  <c r="BU110" i="6"/>
  <c r="BT110" i="6"/>
  <c r="BX110" i="6"/>
  <c r="BW110" i="6"/>
  <c r="BS110" i="6"/>
  <c r="BR110" i="6"/>
  <c r="AS110" i="6"/>
  <c r="S110" i="6"/>
  <c r="BX109" i="6"/>
  <c r="BW109" i="6"/>
  <c r="BV109" i="6"/>
  <c r="BR109" i="6"/>
  <c r="DW109" i="6" s="1"/>
  <c r="BY109" i="6"/>
  <c r="BU109" i="6"/>
  <c r="BT109" i="6"/>
  <c r="BS109" i="6"/>
  <c r="AS109" i="6"/>
  <c r="AF109" i="6"/>
  <c r="S109" i="6"/>
  <c r="DU108" i="6"/>
  <c r="BY108" i="6"/>
  <c r="BT108" i="6"/>
  <c r="BS108" i="6"/>
  <c r="BR108" i="6"/>
  <c r="BX108" i="6"/>
  <c r="BW108" i="6"/>
  <c r="BV108" i="6"/>
  <c r="BU108" i="6"/>
  <c r="BF108" i="6"/>
  <c r="AS108" i="6"/>
  <c r="AF108" i="6"/>
  <c r="S108" i="6"/>
  <c r="DU107" i="6"/>
  <c r="BW107" i="6"/>
  <c r="BV107" i="6"/>
  <c r="BU107" i="6"/>
  <c r="BS107" i="6"/>
  <c r="BY107" i="6"/>
  <c r="BX107" i="6"/>
  <c r="BT107" i="6"/>
  <c r="BR107" i="6"/>
  <c r="DV107" i="6" s="1"/>
  <c r="DW107" i="6" s="1"/>
  <c r="AS107" i="6"/>
  <c r="AF107" i="6"/>
  <c r="DU106" i="6"/>
  <c r="BX106" i="6"/>
  <c r="BT106" i="6"/>
  <c r="BS106" i="6"/>
  <c r="BH106" i="6"/>
  <c r="BY106" i="6"/>
  <c r="BW106" i="6"/>
  <c r="BV106" i="6"/>
  <c r="BU106" i="6"/>
  <c r="BR106" i="6"/>
  <c r="AS106" i="6"/>
  <c r="S106" i="6"/>
  <c r="DU105" i="6"/>
  <c r="BG105" i="6"/>
  <c r="BY105" i="6"/>
  <c r="BX105" i="6"/>
  <c r="BW105" i="6"/>
  <c r="BV105" i="6"/>
  <c r="BU105" i="6"/>
  <c r="BT105" i="6"/>
  <c r="BS105" i="6"/>
  <c r="BR105" i="6"/>
  <c r="AS105" i="6"/>
  <c r="AF105" i="6"/>
  <c r="S105" i="6"/>
  <c r="DU104" i="6"/>
  <c r="BV104" i="6"/>
  <c r="BY104" i="6"/>
  <c r="BX104" i="6"/>
  <c r="BW104" i="6"/>
  <c r="BU104" i="6"/>
  <c r="BT104" i="6"/>
  <c r="BS104" i="6"/>
  <c r="BR104" i="6"/>
  <c r="AF104" i="6"/>
  <c r="DY103" i="6"/>
  <c r="DU103" i="6"/>
  <c r="BZ103" i="6"/>
  <c r="BY103" i="6"/>
  <c r="BX103" i="6"/>
  <c r="BS103" i="6"/>
  <c r="BR103" i="6"/>
  <c r="BQ103" i="6"/>
  <c r="BW103" i="6"/>
  <c r="BV103" i="6"/>
  <c r="BU103" i="6"/>
  <c r="BF103" i="6"/>
  <c r="AS103" i="6"/>
  <c r="DX103" i="6" s="1"/>
  <c r="AF103" i="6"/>
  <c r="DU102" i="6"/>
  <c r="CC102" i="6"/>
  <c r="BV102" i="6"/>
  <c r="BU102" i="6"/>
  <c r="BR102" i="6"/>
  <c r="CA102" i="6" s="1"/>
  <c r="BF102" i="6"/>
  <c r="BY102" i="6"/>
  <c r="BX102" i="6"/>
  <c r="BW102" i="6"/>
  <c r="BT102" i="6"/>
  <c r="BS102" i="6"/>
  <c r="CB102" i="6" s="1"/>
  <c r="BG102" i="6"/>
  <c r="S102" i="6"/>
  <c r="DU101" i="6"/>
  <c r="BW101" i="6"/>
  <c r="BS101" i="6"/>
  <c r="BR101" i="6"/>
  <c r="BY101" i="6"/>
  <c r="BX101" i="6"/>
  <c r="BV101" i="6"/>
  <c r="BU101" i="6"/>
  <c r="BZ101" i="6" s="1"/>
  <c r="BT101" i="6"/>
  <c r="DV101" i="6" s="1"/>
  <c r="DW101" i="6" s="1"/>
  <c r="BG101" i="6"/>
  <c r="AS101" i="6"/>
  <c r="AF101" i="6"/>
  <c r="S101" i="6"/>
  <c r="DU100" i="6"/>
  <c r="BY100" i="6"/>
  <c r="BX100" i="6"/>
  <c r="BW100" i="6"/>
  <c r="BS100" i="6"/>
  <c r="BV100" i="6"/>
  <c r="BU100" i="6"/>
  <c r="BT100" i="6"/>
  <c r="BR100" i="6"/>
  <c r="AS100" i="6"/>
  <c r="AF100" i="6"/>
  <c r="S100" i="6"/>
  <c r="DU99" i="6"/>
  <c r="BU99" i="6"/>
  <c r="BT99" i="6"/>
  <c r="BS99" i="6"/>
  <c r="BY99" i="6"/>
  <c r="BX99" i="6"/>
  <c r="BW99" i="6"/>
  <c r="BV99" i="6"/>
  <c r="BR99" i="6"/>
  <c r="AS99" i="6"/>
  <c r="AF99" i="6"/>
  <c r="S99" i="6"/>
  <c r="DU98" i="6"/>
  <c r="BX98" i="6"/>
  <c r="BW98" i="6"/>
  <c r="CC98" i="6" s="1"/>
  <c r="BV98" i="6"/>
  <c r="BY98" i="6"/>
  <c r="BU98" i="6"/>
  <c r="BT98" i="6"/>
  <c r="BS98" i="6"/>
  <c r="EE74" i="6" s="1"/>
  <c r="EE76" i="6" s="1"/>
  <c r="BR98" i="6"/>
  <c r="AS98" i="6"/>
  <c r="AF98" i="6"/>
  <c r="DU97" i="6"/>
  <c r="BW97" i="6"/>
  <c r="BS97" i="6"/>
  <c r="BR97" i="6"/>
  <c r="DV97" i="6" s="1"/>
  <c r="DW97" i="6" s="1"/>
  <c r="BY97" i="6"/>
  <c r="BX97" i="6"/>
  <c r="BV97" i="6"/>
  <c r="BU97" i="6"/>
  <c r="BT97" i="6"/>
  <c r="AF97" i="6"/>
  <c r="S97" i="6"/>
  <c r="DU96" i="6"/>
  <c r="BY96" i="6"/>
  <c r="BX96" i="6"/>
  <c r="BW96" i="6"/>
  <c r="BS96" i="6"/>
  <c r="BV96" i="6"/>
  <c r="BU96" i="6"/>
  <c r="BT96" i="6"/>
  <c r="BR96" i="6"/>
  <c r="AS96" i="6"/>
  <c r="AF96" i="6"/>
  <c r="S96" i="6"/>
  <c r="DU95" i="6"/>
  <c r="BU95" i="6"/>
  <c r="BT95" i="6"/>
  <c r="BS95" i="6"/>
  <c r="BY95" i="6"/>
  <c r="BX95" i="6"/>
  <c r="BW95" i="6"/>
  <c r="BV95" i="6"/>
  <c r="BR95" i="6"/>
  <c r="AS95" i="6"/>
  <c r="DU94" i="6"/>
  <c r="BX94" i="6"/>
  <c r="BW94" i="6"/>
  <c r="BV94" i="6"/>
  <c r="BY94" i="6"/>
  <c r="BU94" i="6"/>
  <c r="BT94" i="6"/>
  <c r="BS94" i="6"/>
  <c r="BR94" i="6"/>
  <c r="AS94" i="6"/>
  <c r="AF94" i="6"/>
  <c r="DU93" i="6"/>
  <c r="BW93" i="6"/>
  <c r="BS93" i="6"/>
  <c r="BR93" i="6"/>
  <c r="BY93" i="6"/>
  <c r="BX93" i="6"/>
  <c r="BV93" i="6"/>
  <c r="BU93" i="6"/>
  <c r="BT93" i="6"/>
  <c r="AS93" i="6"/>
  <c r="AF93" i="6"/>
  <c r="S93" i="6"/>
  <c r="DU92" i="6"/>
  <c r="BU92" i="6"/>
  <c r="BT92" i="6"/>
  <c r="BS92" i="6"/>
  <c r="BY92" i="6"/>
  <c r="BX92" i="6"/>
  <c r="BW92" i="6"/>
  <c r="BV92" i="6"/>
  <c r="BR92" i="6"/>
  <c r="AS92" i="6"/>
  <c r="AF92" i="6"/>
  <c r="S92" i="6"/>
  <c r="DU91" i="6"/>
  <c r="BX91" i="6"/>
  <c r="BW91" i="6"/>
  <c r="BV91" i="6"/>
  <c r="BY91" i="6"/>
  <c r="BU91" i="6"/>
  <c r="BT91" i="6"/>
  <c r="BS91" i="6"/>
  <c r="BR91" i="6"/>
  <c r="AS91" i="6"/>
  <c r="AF91" i="6"/>
  <c r="DU90" i="6"/>
  <c r="CA90" i="6"/>
  <c r="BW90" i="6"/>
  <c r="BS90" i="6"/>
  <c r="BR90" i="6"/>
  <c r="BY90" i="6"/>
  <c r="BX90" i="6"/>
  <c r="BV90" i="6"/>
  <c r="BU90" i="6"/>
  <c r="BT90" i="6"/>
  <c r="BF90" i="6"/>
  <c r="AF90" i="6"/>
  <c r="S90" i="6"/>
  <c r="DU89" i="6"/>
  <c r="BY89" i="6"/>
  <c r="BX89" i="6"/>
  <c r="BW89" i="6"/>
  <c r="BV89" i="6"/>
  <c r="BS89" i="6"/>
  <c r="BU89" i="6"/>
  <c r="BT89" i="6"/>
  <c r="BR89" i="6"/>
  <c r="AS89" i="6"/>
  <c r="AF89" i="6"/>
  <c r="S89" i="6"/>
  <c r="DU88" i="6"/>
  <c r="BU88" i="6"/>
  <c r="BT88" i="6"/>
  <c r="BS88" i="6"/>
  <c r="BY88" i="6"/>
  <c r="BX88" i="6"/>
  <c r="BW88" i="6"/>
  <c r="BV88" i="6"/>
  <c r="BR88" i="6"/>
  <c r="AS88" i="6"/>
  <c r="DU87" i="6"/>
  <c r="BX87" i="6"/>
  <c r="BW87" i="6"/>
  <c r="BV87" i="6"/>
  <c r="CC87" i="6" s="1"/>
  <c r="BY87" i="6"/>
  <c r="BU87" i="6"/>
  <c r="BT87" i="6"/>
  <c r="BS87" i="6"/>
  <c r="BR87" i="6"/>
  <c r="DU86" i="6"/>
  <c r="BY86" i="6"/>
  <c r="BX86" i="6"/>
  <c r="BW86" i="6"/>
  <c r="BV86" i="6"/>
  <c r="BS86" i="6"/>
  <c r="BU86" i="6"/>
  <c r="BT86" i="6"/>
  <c r="BR86" i="6"/>
  <c r="AS86" i="6"/>
  <c r="AF86" i="6"/>
  <c r="S86" i="6"/>
  <c r="DX85" i="6"/>
  <c r="DY85" i="6" s="1"/>
  <c r="DU85" i="6"/>
  <c r="BU85" i="6"/>
  <c r="BT85" i="6"/>
  <c r="BS85" i="6"/>
  <c r="BQ85" i="6"/>
  <c r="BY85" i="6"/>
  <c r="BX85" i="6"/>
  <c r="BW85" i="6"/>
  <c r="BV85" i="6"/>
  <c r="BR85" i="6"/>
  <c r="DU84" i="6"/>
  <c r="CA84" i="6"/>
  <c r="BY84" i="6"/>
  <c r="BU84" i="6"/>
  <c r="BS84" i="6"/>
  <c r="BR84" i="6"/>
  <c r="BX84" i="6"/>
  <c r="BW84" i="6"/>
  <c r="BV84" i="6"/>
  <c r="BT84" i="6"/>
  <c r="AS84" i="6"/>
  <c r="AF84" i="6"/>
  <c r="S84" i="6"/>
  <c r="DU83" i="6"/>
  <c r="CB83" i="6"/>
  <c r="BZ83" i="6"/>
  <c r="BV83" i="6"/>
  <c r="BS83" i="6"/>
  <c r="BR83" i="6"/>
  <c r="BY83" i="6"/>
  <c r="BX83" i="6"/>
  <c r="BW83" i="6"/>
  <c r="BU83" i="6"/>
  <c r="BT83" i="6"/>
  <c r="AF83" i="6"/>
  <c r="S83" i="6"/>
  <c r="EF82" i="6"/>
  <c r="EE82" i="6"/>
  <c r="ED82" i="6"/>
  <c r="EC82" i="6"/>
  <c r="EB82" i="6"/>
  <c r="DU82" i="6"/>
  <c r="CB82" i="6"/>
  <c r="CA82" i="6"/>
  <c r="BZ82" i="6"/>
  <c r="BW82" i="6"/>
  <c r="BU82" i="6"/>
  <c r="BS82" i="6"/>
  <c r="BR82" i="6"/>
  <c r="BY82" i="6"/>
  <c r="BX82" i="6"/>
  <c r="BV82" i="6"/>
  <c r="CC82" i="6" s="1"/>
  <c r="BT82" i="6"/>
  <c r="AS82" i="6"/>
  <c r="DU81" i="6"/>
  <c r="BY81" i="6"/>
  <c r="BX81" i="6"/>
  <c r="BV81" i="6"/>
  <c r="BU81" i="6"/>
  <c r="BT81" i="6"/>
  <c r="BS81" i="6"/>
  <c r="BR81" i="6"/>
  <c r="DV81" i="6" s="1"/>
  <c r="DW81" i="6" s="1"/>
  <c r="BW81" i="6"/>
  <c r="CC81" i="6" s="1"/>
  <c r="AS81" i="6"/>
  <c r="AF81" i="6"/>
  <c r="S81" i="6"/>
  <c r="EE80" i="6"/>
  <c r="ED80" i="6"/>
  <c r="EC80" i="6"/>
  <c r="EB80" i="6"/>
  <c r="BW80" i="6"/>
  <c r="BU80" i="6"/>
  <c r="CC80" i="6" s="1"/>
  <c r="BY80" i="6"/>
  <c r="BX80" i="6"/>
  <c r="BV80" i="6"/>
  <c r="BT80" i="6"/>
  <c r="BS80" i="6"/>
  <c r="BR80" i="6"/>
  <c r="AS80" i="6"/>
  <c r="AF80" i="6"/>
  <c r="S80" i="6"/>
  <c r="EE79" i="6"/>
  <c r="ED79" i="6"/>
  <c r="EC79" i="6"/>
  <c r="EB79" i="6"/>
  <c r="DU79" i="6"/>
  <c r="BX79" i="6"/>
  <c r="BV79" i="6"/>
  <c r="BR79" i="6"/>
  <c r="BY79" i="6"/>
  <c r="BW79" i="6"/>
  <c r="BU79" i="6"/>
  <c r="BT79" i="6"/>
  <c r="BS79" i="6"/>
  <c r="AS79" i="6"/>
  <c r="AF79" i="6"/>
  <c r="S79" i="6"/>
  <c r="DU78" i="6"/>
  <c r="BY78" i="6"/>
  <c r="BX78" i="6"/>
  <c r="BW78" i="6"/>
  <c r="BT78" i="6"/>
  <c r="BR78" i="6"/>
  <c r="DV78" i="6" s="1"/>
  <c r="DW78" i="6" s="1"/>
  <c r="BV78" i="6"/>
  <c r="BU78" i="6"/>
  <c r="BS78" i="6"/>
  <c r="BF78" i="6"/>
  <c r="AS78" i="6"/>
  <c r="AF78" i="6"/>
  <c r="S78" i="6"/>
  <c r="DU77" i="6"/>
  <c r="BY77" i="6"/>
  <c r="BX77" i="6"/>
  <c r="BT77" i="6"/>
  <c r="BS77" i="6"/>
  <c r="BF77" i="6"/>
  <c r="BW77" i="6"/>
  <c r="BV77" i="6"/>
  <c r="BU77" i="6"/>
  <c r="BR77" i="6"/>
  <c r="AS77" i="6"/>
  <c r="AF77" i="6"/>
  <c r="S77" i="6"/>
  <c r="DU76" i="6"/>
  <c r="BY76" i="6"/>
  <c r="BU76" i="6"/>
  <c r="CC76" i="6" s="1"/>
  <c r="BT76" i="6"/>
  <c r="BX76" i="6"/>
  <c r="BW76" i="6"/>
  <c r="BV76" i="6"/>
  <c r="BS76" i="6"/>
  <c r="BR76" i="6"/>
  <c r="AS76" i="6"/>
  <c r="AF76" i="6"/>
  <c r="S76" i="6"/>
  <c r="EF75" i="6"/>
  <c r="EE75" i="6"/>
  <c r="ED75" i="6"/>
  <c r="EC75" i="6"/>
  <c r="EB75" i="6"/>
  <c r="DU75" i="6"/>
  <c r="BV75" i="6"/>
  <c r="BU75" i="6"/>
  <c r="BR75" i="6"/>
  <c r="BF75" i="6"/>
  <c r="BY75" i="6"/>
  <c r="BX75" i="6"/>
  <c r="BW75" i="6"/>
  <c r="BT75" i="6"/>
  <c r="BS75" i="6"/>
  <c r="AS75" i="6"/>
  <c r="AF75" i="6"/>
  <c r="S75" i="6"/>
  <c r="EF74" i="6"/>
  <c r="EF76" i="6" s="1"/>
  <c r="ED74" i="6"/>
  <c r="ED76" i="6" s="1"/>
  <c r="EB74" i="6"/>
  <c r="EB76" i="6" s="1"/>
  <c r="DU74" i="6"/>
  <c r="BW74" i="6"/>
  <c r="BV74" i="6"/>
  <c r="BS74" i="6"/>
  <c r="BY74" i="6"/>
  <c r="BX74" i="6"/>
  <c r="BU74" i="6"/>
  <c r="BT74" i="6"/>
  <c r="BF74" i="6"/>
  <c r="AS74" i="6"/>
  <c r="AF74" i="6"/>
  <c r="S74" i="6"/>
  <c r="DU73" i="6"/>
  <c r="BY73" i="6"/>
  <c r="BX73" i="6"/>
  <c r="BW73" i="6"/>
  <c r="BS73" i="6"/>
  <c r="BR73" i="6"/>
  <c r="DV73" i="6" s="1"/>
  <c r="DW73" i="6" s="1"/>
  <c r="BV73" i="6"/>
  <c r="BU73" i="6"/>
  <c r="BT73" i="6"/>
  <c r="BF73" i="6"/>
  <c r="AS73" i="6"/>
  <c r="AF73" i="6"/>
  <c r="S73" i="6"/>
  <c r="DU72" i="6"/>
  <c r="BX72" i="6"/>
  <c r="BW72" i="6"/>
  <c r="BV72" i="6"/>
  <c r="BY72" i="6"/>
  <c r="BU72" i="6"/>
  <c r="BT72" i="6"/>
  <c r="BS72" i="6"/>
  <c r="BR72" i="6"/>
  <c r="AS72" i="6"/>
  <c r="AF72" i="6"/>
  <c r="S72" i="6"/>
  <c r="DV71" i="6"/>
  <c r="DW71" i="6" s="1"/>
  <c r="DU71" i="6"/>
  <c r="BX71" i="6"/>
  <c r="BT71" i="6"/>
  <c r="BS71" i="6"/>
  <c r="BR71" i="6"/>
  <c r="BY71" i="6"/>
  <c r="BW71" i="6"/>
  <c r="BV71" i="6"/>
  <c r="BU71" i="6"/>
  <c r="BF71" i="6"/>
  <c r="AS71" i="6"/>
  <c r="AF71" i="6"/>
  <c r="S71" i="6"/>
  <c r="DV70" i="6"/>
  <c r="DW70" i="6" s="1"/>
  <c r="DU70" i="6"/>
  <c r="BY70" i="6"/>
  <c r="BX70" i="6"/>
  <c r="BT70" i="6"/>
  <c r="BS70" i="6"/>
  <c r="BR70" i="6"/>
  <c r="BW70" i="6"/>
  <c r="BV70" i="6"/>
  <c r="BU70" i="6"/>
  <c r="BF70" i="6"/>
  <c r="AS70" i="6"/>
  <c r="AF70" i="6"/>
  <c r="S70" i="6"/>
  <c r="EE69" i="6"/>
  <c r="ED69" i="6"/>
  <c r="EC69" i="6"/>
  <c r="EB69" i="6"/>
  <c r="DU69" i="6"/>
  <c r="BY69" i="6"/>
  <c r="BX69" i="6"/>
  <c r="BT69" i="6"/>
  <c r="BR69" i="6"/>
  <c r="BW69" i="6"/>
  <c r="BV69" i="6"/>
  <c r="BU69" i="6"/>
  <c r="BS69" i="6"/>
  <c r="DV69" i="6" s="1"/>
  <c r="BF69" i="6"/>
  <c r="AS69" i="6"/>
  <c r="AF69" i="6"/>
  <c r="S69" i="6"/>
  <c r="BY68" i="6"/>
  <c r="BW68" i="6"/>
  <c r="BV68" i="6"/>
  <c r="BS68" i="6"/>
  <c r="BR68" i="6"/>
  <c r="BC120" i="6"/>
  <c r="BX68" i="6"/>
  <c r="BU68" i="6"/>
  <c r="BT68" i="6"/>
  <c r="AM120" i="6"/>
  <c r="AS68" i="6"/>
  <c r="AC120" i="6"/>
  <c r="W120" i="6"/>
  <c r="M120" i="6"/>
  <c r="G120" i="6"/>
  <c r="ED67" i="6"/>
  <c r="ED68" i="6" s="1"/>
  <c r="ED70" i="6" s="1"/>
  <c r="EC67" i="6"/>
  <c r="EC68" i="6" s="1"/>
  <c r="EC70" i="6" s="1"/>
  <c r="EB67" i="6"/>
  <c r="EB68" i="6" s="1"/>
  <c r="EB70" i="6" s="1"/>
  <c r="EC72" i="6" s="1"/>
  <c r="EE72" i="6" s="1"/>
  <c r="CC64" i="6"/>
  <c r="CB64" i="6"/>
  <c r="CA64" i="6"/>
  <c r="BW64" i="6"/>
  <c r="BV64" i="6"/>
  <c r="CG37" i="6" s="1" a="1"/>
  <c r="CG37" i="6" s="1"/>
  <c r="BU64" i="6"/>
  <c r="BZ61" i="6"/>
  <c r="BX61" i="6"/>
  <c r="BW61" i="6"/>
  <c r="BV61" i="6"/>
  <c r="BF62" i="6"/>
  <c r="AS62" i="6"/>
  <c r="AF62" i="6"/>
  <c r="S62" i="6"/>
  <c r="BY158" i="6"/>
  <c r="BT61" i="6"/>
  <c r="BT158" i="6" s="1"/>
  <c r="BS61" i="6"/>
  <c r="BS158" i="6" s="1"/>
  <c r="BR61" i="6"/>
  <c r="BR158" i="6" s="1"/>
  <c r="BH61" i="6"/>
  <c r="AR61" i="6"/>
  <c r="AR63" i="6" s="1"/>
  <c r="AQ61" i="6"/>
  <c r="AQ63" i="6" s="1"/>
  <c r="AC61" i="6"/>
  <c r="AC63" i="6" s="1"/>
  <c r="AC122" i="6" s="1"/>
  <c r="AC152" i="6" s="1"/>
  <c r="AC169" i="6" s="1"/>
  <c r="AC173" i="6" s="1"/>
  <c r="AC183" i="6" s="1"/>
  <c r="AB61" i="6"/>
  <c r="AB63" i="6" s="1"/>
  <c r="AA61" i="6"/>
  <c r="AA63" i="6" s="1"/>
  <c r="M61" i="6"/>
  <c r="M63" i="6" s="1"/>
  <c r="M122" i="6" s="1"/>
  <c r="L61" i="6"/>
  <c r="L63" i="6" s="1"/>
  <c r="K61" i="6"/>
  <c r="K63" i="6" s="1"/>
  <c r="BY60" i="6"/>
  <c r="BX60" i="6"/>
  <c r="BW60" i="6"/>
  <c r="BV60" i="6"/>
  <c r="BT48" i="6"/>
  <c r="BS48" i="6"/>
  <c r="BF60" i="6"/>
  <c r="BI60" i="6" s="1"/>
  <c r="BJ60" i="6" s="1"/>
  <c r="AS60" i="6"/>
  <c r="BQ48" i="6" s="1"/>
  <c r="AF60" i="6"/>
  <c r="S60" i="6"/>
  <c r="BZ59" i="6"/>
  <c r="BY59" i="6"/>
  <c r="BX59" i="6"/>
  <c r="BW59" i="6"/>
  <c r="BV59" i="6"/>
  <c r="BY64" i="6"/>
  <c r="BX64" i="6"/>
  <c r="BT64" i="6"/>
  <c r="BS64" i="6"/>
  <c r="BR64" i="6"/>
  <c r="AS59" i="6"/>
  <c r="AF59" i="6"/>
  <c r="S59" i="6"/>
  <c r="BY58" i="6"/>
  <c r="BX58" i="6"/>
  <c r="BW58" i="6"/>
  <c r="BV58" i="6"/>
  <c r="BY63" i="6"/>
  <c r="BX63" i="6"/>
  <c r="BW63" i="6"/>
  <c r="BV63" i="6"/>
  <c r="BU63" i="6"/>
  <c r="BT63" i="6"/>
  <c r="BS63" i="6"/>
  <c r="BF58" i="6"/>
  <c r="AS58" i="6"/>
  <c r="BQ63" i="6" s="1"/>
  <c r="AF58" i="6"/>
  <c r="S58" i="6"/>
  <c r="BY57" i="6"/>
  <c r="BX57" i="6"/>
  <c r="BW57" i="6"/>
  <c r="BV57" i="6"/>
  <c r="BF57" i="6"/>
  <c r="AS57" i="6"/>
  <c r="AF57" i="6"/>
  <c r="S57" i="6"/>
  <c r="BY56" i="6"/>
  <c r="BX56" i="6"/>
  <c r="BW56" i="6"/>
  <c r="BV56" i="6"/>
  <c r="BW47" i="6"/>
  <c r="BV47" i="6"/>
  <c r="BF56" i="6"/>
  <c r="BI56" i="6" s="1"/>
  <c r="BJ56" i="6" s="1"/>
  <c r="AS56" i="6"/>
  <c r="BQ47" i="6" s="1"/>
  <c r="AF56" i="6"/>
  <c r="S56" i="6"/>
  <c r="BY55" i="6"/>
  <c r="BX55" i="6"/>
  <c r="BW55" i="6"/>
  <c r="BV55" i="6"/>
  <c r="BY46" i="6"/>
  <c r="BX46" i="6"/>
  <c r="BF55" i="6"/>
  <c r="BI55" i="6" s="1"/>
  <c r="BJ55" i="6" s="1"/>
  <c r="AS55" i="6"/>
  <c r="BQ46" i="6" s="1"/>
  <c r="AF55" i="6"/>
  <c r="S55" i="6"/>
  <c r="BY54" i="6"/>
  <c r="BX54" i="6"/>
  <c r="BV54" i="6"/>
  <c r="BL62" i="6"/>
  <c r="BE61" i="6"/>
  <c r="BE63" i="6" s="1"/>
  <c r="BD61" i="6"/>
  <c r="BD63" i="6" s="1"/>
  <c r="BC61" i="6"/>
  <c r="BC63" i="6" s="1"/>
  <c r="BC122" i="6" s="1"/>
  <c r="BB61" i="6"/>
  <c r="BB63" i="6" s="1"/>
  <c r="BA61" i="6"/>
  <c r="BA63" i="6" s="1"/>
  <c r="AZ61" i="6"/>
  <c r="AZ63" i="6" s="1"/>
  <c r="AY61" i="6"/>
  <c r="AY63" i="6" s="1"/>
  <c r="AX61" i="6"/>
  <c r="AX63" i="6" s="1"/>
  <c r="AW61" i="6"/>
  <c r="AW63" i="6" s="1"/>
  <c r="AV61" i="6"/>
  <c r="AV63" i="6" s="1"/>
  <c r="AU61" i="6"/>
  <c r="AU63" i="6" s="1"/>
  <c r="AT61" i="6"/>
  <c r="AT63" i="6" s="1"/>
  <c r="AP61" i="6"/>
  <c r="AP63" i="6" s="1"/>
  <c r="AO61" i="6"/>
  <c r="AO63" i="6" s="1"/>
  <c r="AN61" i="6"/>
  <c r="AN63" i="6" s="1"/>
  <c r="AM61" i="6"/>
  <c r="AM63" i="6" s="1"/>
  <c r="AM122" i="6" s="1"/>
  <c r="AL61" i="6"/>
  <c r="AL63" i="6" s="1"/>
  <c r="AK61" i="6"/>
  <c r="AK63" i="6" s="1"/>
  <c r="AJ61" i="6"/>
  <c r="AJ63" i="6" s="1"/>
  <c r="AI61" i="6"/>
  <c r="AI63" i="6" s="1"/>
  <c r="AH61" i="6"/>
  <c r="AH63" i="6" s="1"/>
  <c r="AG61" i="6"/>
  <c r="AG63" i="6" s="1"/>
  <c r="AE61" i="6"/>
  <c r="AE63" i="6" s="1"/>
  <c r="AD61" i="6"/>
  <c r="AD63" i="6" s="1"/>
  <c r="Z61" i="6"/>
  <c r="Z63" i="6" s="1"/>
  <c r="Y61" i="6"/>
  <c r="Y63" i="6" s="1"/>
  <c r="X61" i="6"/>
  <c r="X63" i="6" s="1"/>
  <c r="W61" i="6"/>
  <c r="W63" i="6" s="1"/>
  <c r="W122" i="6" s="1"/>
  <c r="V61" i="6"/>
  <c r="V63" i="6" s="1"/>
  <c r="U61" i="6"/>
  <c r="U63" i="6" s="1"/>
  <c r="T61" i="6"/>
  <c r="T63" i="6" s="1"/>
  <c r="R61" i="6"/>
  <c r="R63" i="6" s="1"/>
  <c r="Q61" i="6"/>
  <c r="Q63" i="6" s="1"/>
  <c r="P61" i="6"/>
  <c r="P63" i="6" s="1"/>
  <c r="O61" i="6"/>
  <c r="O63" i="6" s="1"/>
  <c r="N61" i="6"/>
  <c r="N63" i="6" s="1"/>
  <c r="J61" i="6"/>
  <c r="J63" i="6" s="1"/>
  <c r="I61" i="6"/>
  <c r="I63" i="6" s="1"/>
  <c r="H61" i="6"/>
  <c r="H63" i="6" s="1"/>
  <c r="G61" i="6"/>
  <c r="G63" i="6" s="1"/>
  <c r="G122" i="6" s="1"/>
  <c r="E61" i="6"/>
  <c r="E63" i="6" s="1"/>
  <c r="D61" i="6"/>
  <c r="D63" i="6" s="1"/>
  <c r="C61" i="6"/>
  <c r="C63" i="6" s="1"/>
  <c r="B61" i="6"/>
  <c r="B63" i="6" s="1"/>
  <c r="BY53" i="6"/>
  <c r="BX53" i="6"/>
  <c r="BW53" i="6"/>
  <c r="BV53" i="6"/>
  <c r="CC50" i="6"/>
  <c r="CB50" i="6"/>
  <c r="BY48" i="6"/>
  <c r="BX48" i="6"/>
  <c r="BW48" i="6"/>
  <c r="BV48" i="6"/>
  <c r="BU48" i="6"/>
  <c r="BY47" i="6"/>
  <c r="BX47" i="6"/>
  <c r="BT47" i="6"/>
  <c r="BS47" i="6"/>
  <c r="BR47" i="6"/>
  <c r="BW46" i="6"/>
  <c r="BV46" i="6"/>
  <c r="BU46" i="6"/>
  <c r="BT46" i="6"/>
  <c r="BS46" i="6"/>
  <c r="BR46" i="6"/>
  <c r="CD46" i="6" s="1"/>
  <c r="CC45" i="6"/>
  <c r="CB45" i="6"/>
  <c r="CA45" i="6"/>
  <c r="CA50" i="6" s="1"/>
  <c r="CC42" i="6"/>
  <c r="CC179" i="6" s="1"/>
  <c r="CA42" i="6"/>
  <c r="CA179" i="6" s="1"/>
  <c r="CC189" i="6" s="1"/>
  <c r="CC41" i="6"/>
  <c r="CC178" i="6" s="1"/>
  <c r="CB41" i="6"/>
  <c r="CB178" i="6" s="1"/>
  <c r="CC188" i="6" s="1"/>
  <c r="BZ41" i="6"/>
  <c r="BZ178" i="6" s="1"/>
  <c r="CA188" i="6" s="1"/>
  <c r="CA40" i="6"/>
  <c r="CA177" i="6" s="1"/>
  <c r="CC187" i="6" s="1"/>
  <c r="CC38" i="6"/>
  <c r="CC175" i="6" s="1"/>
  <c r="CB38" i="6"/>
  <c r="CB175" i="6" s="1"/>
  <c r="CC185" i="6" s="1"/>
  <c r="CG36" i="6"/>
  <c r="BY36" i="6"/>
  <c r="BY173" i="6" s="1"/>
  <c r="BW36" i="6"/>
  <c r="BW173" i="6" s="1"/>
  <c r="BW171" i="6" s="1"/>
  <c r="BQ36" i="6"/>
  <c r="BQ26" i="6" s="1"/>
  <c r="BQ45" i="6" s="1"/>
  <c r="CC35" i="6"/>
  <c r="CC95" i="6" s="1"/>
  <c r="BV35" i="6"/>
  <c r="BU35" i="6"/>
  <c r="BT35" i="6"/>
  <c r="BS35" i="6"/>
  <c r="BR35" i="6"/>
  <c r="BQ35" i="6"/>
  <c r="BQ62" i="6" s="1"/>
  <c r="DP32" i="6"/>
  <c r="DO32" i="6"/>
  <c r="CB42" i="6" s="1"/>
  <c r="DN32" i="6"/>
  <c r="DL32" i="6"/>
  <c r="DK32" i="6"/>
  <c r="DJ32" i="6"/>
  <c r="DI32" i="6"/>
  <c r="CT32" i="6"/>
  <c r="DM32" i="6" s="1"/>
  <c r="BZ32" i="6"/>
  <c r="BZ42" i="6" s="1"/>
  <c r="BY32" i="6"/>
  <c r="BX32" i="6"/>
  <c r="BW32" i="6"/>
  <c r="BV32" i="6"/>
  <c r="BU32" i="6"/>
  <c r="BT32" i="6"/>
  <c r="BS32" i="6"/>
  <c r="BR32" i="6"/>
  <c r="BQ32" i="6"/>
  <c r="DP31" i="6"/>
  <c r="DO31" i="6"/>
  <c r="DN31" i="6"/>
  <c r="CA41" i="6" s="1"/>
  <c r="DM31" i="6"/>
  <c r="DL31" i="6"/>
  <c r="DK31" i="6"/>
  <c r="DJ31" i="6"/>
  <c r="DI31" i="6"/>
  <c r="CT31" i="6"/>
  <c r="BY31" i="6"/>
  <c r="BX31" i="6"/>
  <c r="BW31" i="6"/>
  <c r="BW62" i="6" s="1"/>
  <c r="BV31" i="6"/>
  <c r="BU31" i="6"/>
  <c r="BT31" i="6"/>
  <c r="BS31" i="6"/>
  <c r="BR31" i="6"/>
  <c r="BQ31" i="6"/>
  <c r="DP30" i="6"/>
  <c r="CC40" i="6" s="1"/>
  <c r="DO30" i="6"/>
  <c r="CB40" i="6" s="1"/>
  <c r="DN30" i="6"/>
  <c r="DL30" i="6"/>
  <c r="DK30" i="6"/>
  <c r="DJ30" i="6"/>
  <c r="DI30" i="6"/>
  <c r="BZ30" i="6"/>
  <c r="CT30" i="6" s="1"/>
  <c r="DM30" i="6" s="1"/>
  <c r="BY30" i="6"/>
  <c r="BX30" i="6"/>
  <c r="BW30" i="6"/>
  <c r="BV30" i="6"/>
  <c r="BU30" i="6"/>
  <c r="BT30" i="6"/>
  <c r="BS30" i="6"/>
  <c r="BR30" i="6"/>
  <c r="BQ30" i="6"/>
  <c r="DP29" i="6"/>
  <c r="CC39" i="6" s="1"/>
  <c r="DO29" i="6"/>
  <c r="CB39" i="6" s="1"/>
  <c r="DN29" i="6"/>
  <c r="CA39" i="6" s="1"/>
  <c r="DM29" i="6"/>
  <c r="BZ39" i="6" s="1"/>
  <c r="DL29" i="6"/>
  <c r="DK29" i="6"/>
  <c r="DJ29" i="6"/>
  <c r="DI29" i="6"/>
  <c r="CT29" i="6"/>
  <c r="BY29" i="6"/>
  <c r="BX29" i="6"/>
  <c r="BW29" i="6"/>
  <c r="BV29" i="6"/>
  <c r="BU29" i="6"/>
  <c r="BT29" i="6"/>
  <c r="BS29" i="6"/>
  <c r="BR29" i="6"/>
  <c r="BQ29" i="6"/>
  <c r="DP28" i="6"/>
  <c r="DO28" i="6"/>
  <c r="DN28" i="6"/>
  <c r="CA38" i="6" s="1"/>
  <c r="DM28" i="6"/>
  <c r="BZ38" i="6" s="1"/>
  <c r="DL28" i="6"/>
  <c r="DK28" i="6"/>
  <c r="DJ28" i="6"/>
  <c r="DI28" i="6"/>
  <c r="CT28" i="6"/>
  <c r="BY28" i="6"/>
  <c r="BX28" i="6"/>
  <c r="BW28" i="6"/>
  <c r="BV28" i="6"/>
  <c r="BU28" i="6"/>
  <c r="BT28" i="6"/>
  <c r="BS28" i="6"/>
  <c r="BR28" i="6"/>
  <c r="BQ28" i="6"/>
  <c r="DP27" i="6"/>
  <c r="CC37" i="6" s="1"/>
  <c r="DO27" i="6"/>
  <c r="CB37" i="6" s="1"/>
  <c r="DN27" i="6"/>
  <c r="CA37" i="6" s="1"/>
  <c r="DL27" i="6"/>
  <c r="DK27" i="6"/>
  <c r="DJ27" i="6"/>
  <c r="DI27" i="6"/>
  <c r="BZ27" i="6"/>
  <c r="CT27" i="6" s="1"/>
  <c r="DM27" i="6" s="1"/>
  <c r="BZ37" i="6" s="1"/>
  <c r="BY27" i="6"/>
  <c r="BX27" i="6"/>
  <c r="BW27" i="6"/>
  <c r="BW45" i="6" s="1"/>
  <c r="BV27" i="6"/>
  <c r="BU27" i="6"/>
  <c r="BT27" i="6"/>
  <c r="BS27" i="6"/>
  <c r="BR27" i="6"/>
  <c r="BQ27" i="6"/>
  <c r="DP26" i="6"/>
  <c r="CC36" i="6" s="1"/>
  <c r="DO26" i="6"/>
  <c r="CB36" i="6" s="1"/>
  <c r="DN26" i="6"/>
  <c r="CA36" i="6" s="1"/>
  <c r="DL26" i="6"/>
  <c r="DK26" i="6"/>
  <c r="DJ26" i="6"/>
  <c r="DI26" i="6"/>
  <c r="BZ26" i="6"/>
  <c r="BY26" i="6"/>
  <c r="BX26" i="6"/>
  <c r="BW26" i="6"/>
  <c r="BV26" i="6"/>
  <c r="BU26" i="6"/>
  <c r="BT26" i="6"/>
  <c r="BS26" i="6"/>
  <c r="BR26" i="6"/>
  <c r="BM26" i="6"/>
  <c r="DP25" i="6"/>
  <c r="DO25" i="6"/>
  <c r="CB35" i="6" s="1"/>
  <c r="DN25" i="6"/>
  <c r="CA35" i="6" s="1"/>
  <c r="DL25" i="6"/>
  <c r="DK25" i="6"/>
  <c r="DJ25" i="6"/>
  <c r="DI25" i="6"/>
  <c r="BZ25" i="6"/>
  <c r="BZ45" i="6" s="1"/>
  <c r="BZ50" i="6" s="1"/>
  <c r="BY25" i="6"/>
  <c r="BY45" i="6" s="1"/>
  <c r="BY50" i="6" s="1"/>
  <c r="BX25" i="6"/>
  <c r="BX45" i="6" s="1"/>
  <c r="BW25" i="6"/>
  <c r="BQ25" i="6"/>
  <c r="CC16" i="6"/>
  <c r="CB16" i="6"/>
  <c r="CA16" i="6"/>
  <c r="BZ16" i="6"/>
  <c r="BY16" i="6"/>
  <c r="BX16" i="6"/>
  <c r="CC11" i="6"/>
  <c r="CB11" i="6"/>
  <c r="CA11" i="6"/>
  <c r="BZ11" i="6"/>
  <c r="BY11" i="6"/>
  <c r="BX11" i="6"/>
  <c r="BX7" i="6"/>
  <c r="BX6" i="6" s="1"/>
  <c r="BX22" i="6" s="1"/>
  <c r="CA5" i="6"/>
  <c r="CD5" i="6" s="1"/>
  <c r="BX3" i="6"/>
  <c r="BW3" i="6"/>
  <c r="BW7" i="6" s="1"/>
  <c r="BW6" i="6" s="1"/>
  <c r="BW22" i="6" s="1"/>
  <c r="BV3" i="6"/>
  <c r="BV7" i="6" s="1"/>
  <c r="BV6" i="6" s="1"/>
  <c r="BV22" i="6" s="1"/>
  <c r="BU3" i="6"/>
  <c r="BU7" i="6" s="1"/>
  <c r="BU6" i="6" s="1"/>
  <c r="BU22" i="6" s="1"/>
  <c r="BT3" i="6"/>
  <c r="BT7" i="6" s="1"/>
  <c r="BT6" i="6" s="1"/>
  <c r="BT22" i="6" s="1"/>
  <c r="BS3" i="6"/>
  <c r="BS7" i="6" s="1"/>
  <c r="BS6" i="6" s="1"/>
  <c r="BS22" i="6" s="1"/>
  <c r="BF3" i="6"/>
  <c r="AS3" i="6"/>
  <c r="BQ3" i="6" s="1"/>
  <c r="BQ7" i="6" s="1"/>
  <c r="BQ6" i="6" s="1"/>
  <c r="AF3" i="6"/>
  <c r="S3" i="6"/>
  <c r="AZ2" i="6"/>
  <c r="AR2" i="6"/>
  <c r="AQ2" i="6"/>
  <c r="AP2" i="6"/>
  <c r="AS2" i="6" s="1"/>
  <c r="BQ2" i="6" s="1"/>
  <c r="AO2" i="6"/>
  <c r="AN2" i="6"/>
  <c r="DX69" i="6" l="1"/>
  <c r="BQ69" i="6"/>
  <c r="DX75" i="6"/>
  <c r="DY75" i="6" s="1"/>
  <c r="BQ75" i="6"/>
  <c r="CB179" i="6"/>
  <c r="CB60" i="6"/>
  <c r="BZ174" i="6"/>
  <c r="BZ55" i="6"/>
  <c r="CA72" i="6"/>
  <c r="BZ72" i="6"/>
  <c r="CB72" i="6"/>
  <c r="CD72" i="6" s="1"/>
  <c r="CG72" i="6" s="1"/>
  <c r="CC72" i="6"/>
  <c r="DV77" i="6"/>
  <c r="DW77" i="6" s="1"/>
  <c r="DV80" i="6"/>
  <c r="BQ81" i="6"/>
  <c r="DX81" i="6"/>
  <c r="DY81" i="6" s="1"/>
  <c r="AJ122" i="6"/>
  <c r="AJ152" i="6" s="1"/>
  <c r="AJ169" i="6" s="1"/>
  <c r="AJ173" i="6" s="1"/>
  <c r="AJ183" i="6" s="1"/>
  <c r="CA95" i="6"/>
  <c r="CA53" i="6"/>
  <c r="CA62" i="6"/>
  <c r="CC77" i="6"/>
  <c r="CB77" i="6"/>
  <c r="CA77" i="6"/>
  <c r="BZ77" i="6"/>
  <c r="CD77" i="6" s="1"/>
  <c r="CG77" i="6" s="1"/>
  <c r="BA122" i="6"/>
  <c r="BA152" i="6" s="1"/>
  <c r="BA169" i="6" s="1"/>
  <c r="BA173" i="6" s="1"/>
  <c r="BA183" i="6" s="1"/>
  <c r="CB95" i="6"/>
  <c r="CB53" i="6"/>
  <c r="CB62" i="6"/>
  <c r="CA173" i="6"/>
  <c r="CA91" i="6"/>
  <c r="CA54" i="6"/>
  <c r="DX80" i="6"/>
  <c r="BQ80" i="6"/>
  <c r="CB173" i="6"/>
  <c r="CB91" i="6"/>
  <c r="CB54" i="6"/>
  <c r="CA174" i="6"/>
  <c r="CC184" i="6" s="1"/>
  <c r="CA55" i="6"/>
  <c r="BE122" i="6"/>
  <c r="BE152" i="6" s="1"/>
  <c r="BE169" i="6" s="1"/>
  <c r="BE173" i="6" s="1"/>
  <c r="BE183" i="6" s="1"/>
  <c r="BU120" i="6"/>
  <c r="DV79" i="6"/>
  <c r="DW79" i="6" s="1"/>
  <c r="CC173" i="6"/>
  <c r="CC91" i="6"/>
  <c r="CC54" i="6"/>
  <c r="CB174" i="6"/>
  <c r="CB55" i="6"/>
  <c r="BZ175" i="6"/>
  <c r="BZ56" i="6"/>
  <c r="CG45" i="6"/>
  <c r="X122" i="6"/>
  <c r="AO122" i="6"/>
  <c r="BQ68" i="6"/>
  <c r="CC71" i="6"/>
  <c r="CB71" i="6"/>
  <c r="BZ71" i="6"/>
  <c r="CD71" i="6" s="1"/>
  <c r="CG71" i="6" s="1"/>
  <c r="CA71" i="6"/>
  <c r="CC174" i="6"/>
  <c r="CC55" i="6"/>
  <c r="CA175" i="6"/>
  <c r="CB185" i="6" s="1"/>
  <c r="CA56" i="6"/>
  <c r="Y122" i="6"/>
  <c r="DY71" i="6"/>
  <c r="DX71" i="6"/>
  <c r="BQ71" i="6"/>
  <c r="CC79" i="6"/>
  <c r="CB79" i="6"/>
  <c r="CA79" i="6"/>
  <c r="BZ79" i="6"/>
  <c r="CD79" i="6" s="1"/>
  <c r="CG79" i="6" s="1"/>
  <c r="BZ176" i="6"/>
  <c r="CB186" i="6" s="1"/>
  <c r="BZ57" i="6"/>
  <c r="BZ179" i="6"/>
  <c r="CB189" i="6" s="1"/>
  <c r="BZ60" i="6"/>
  <c r="BQ50" i="6"/>
  <c r="I122" i="6"/>
  <c r="I152" i="6" s="1"/>
  <c r="I169" i="6" s="1"/>
  <c r="I173" i="6" s="1"/>
  <c r="I183" i="6" s="1"/>
  <c r="BQ61" i="6"/>
  <c r="EF80" i="6"/>
  <c r="BV158" i="6"/>
  <c r="BX120" i="6"/>
  <c r="CB73" i="6"/>
  <c r="CA73" i="6"/>
  <c r="BZ73" i="6"/>
  <c r="CD73" i="6" s="1"/>
  <c r="CG73" i="6" s="1"/>
  <c r="CC73" i="6"/>
  <c r="CC75" i="6"/>
  <c r="DV76" i="6"/>
  <c r="DW76" i="6" s="1"/>
  <c r="DX79" i="6"/>
  <c r="DY79" i="6" s="1"/>
  <c r="BQ79" i="6"/>
  <c r="CC74" i="6"/>
  <c r="CB74" i="6"/>
  <c r="CA74" i="6"/>
  <c r="BZ74" i="6"/>
  <c r="CA176" i="6"/>
  <c r="CC186" i="6" s="1"/>
  <c r="CA57" i="6"/>
  <c r="CG47" i="6"/>
  <c r="BW158" i="6"/>
  <c r="DY73" i="6"/>
  <c r="DX73" i="6"/>
  <c r="BQ73" i="6"/>
  <c r="CB176" i="6"/>
  <c r="CE176" i="6" s="1"/>
  <c r="CG176" i="6" s="1"/>
  <c r="CB57" i="6"/>
  <c r="BX158" i="6"/>
  <c r="CC176" i="6"/>
  <c r="CC57" i="6"/>
  <c r="CB177" i="6"/>
  <c r="CB58" i="6"/>
  <c r="CD70" i="6"/>
  <c r="CG70" i="6" s="1"/>
  <c r="DX77" i="6"/>
  <c r="DY77" i="6" s="1"/>
  <c r="BQ77" i="6"/>
  <c r="BX50" i="6"/>
  <c r="CC177" i="6"/>
  <c r="CC58" i="6"/>
  <c r="CA178" i="6"/>
  <c r="CB188" i="6" s="1"/>
  <c r="CA59" i="6"/>
  <c r="BZ158" i="6"/>
  <c r="CA159" i="6" s="1"/>
  <c r="DW69" i="6"/>
  <c r="DX70" i="6"/>
  <c r="DY70" i="6" s="1"/>
  <c r="BQ70" i="6"/>
  <c r="DX76" i="6"/>
  <c r="DY76" i="6" s="1"/>
  <c r="BQ76" i="6"/>
  <c r="CC78" i="6"/>
  <c r="CB78" i="6"/>
  <c r="CA78" i="6"/>
  <c r="BZ78" i="6"/>
  <c r="DX72" i="6"/>
  <c r="DY72" i="6" s="1"/>
  <c r="BQ72" i="6"/>
  <c r="BW50" i="6"/>
  <c r="BW65" i="6" s="1"/>
  <c r="BW122" i="6" s="1"/>
  <c r="AE122" i="6"/>
  <c r="AE152" i="6" s="1"/>
  <c r="AE169" i="6" s="1"/>
  <c r="AE173" i="6" s="1"/>
  <c r="AE183" i="6" s="1"/>
  <c r="AW122" i="6"/>
  <c r="AW152" i="6" s="1"/>
  <c r="AW169" i="6" s="1"/>
  <c r="AW173" i="6" s="1"/>
  <c r="AW183" i="6" s="1"/>
  <c r="DV72" i="6"/>
  <c r="DW72" i="6" s="1"/>
  <c r="BQ74" i="6"/>
  <c r="DY74" i="6"/>
  <c r="DX74" i="6"/>
  <c r="BQ78" i="6"/>
  <c r="DY78" i="6"/>
  <c r="DX78" i="6"/>
  <c r="O122" i="6"/>
  <c r="O152" i="6" s="1"/>
  <c r="O169" i="6" s="1"/>
  <c r="O173" i="6" s="1"/>
  <c r="O183" i="6" s="1"/>
  <c r="BR120" i="6"/>
  <c r="BZ69" i="6"/>
  <c r="CC69" i="6"/>
  <c r="CB69" i="6"/>
  <c r="CA69" i="6"/>
  <c r="BR74" i="6"/>
  <c r="DV75" i="6"/>
  <c r="DW75" i="6" s="1"/>
  <c r="BF76" i="6"/>
  <c r="ED83" i="6"/>
  <c r="ED81" i="6"/>
  <c r="ED84" i="6" s="1"/>
  <c r="CA81" i="6"/>
  <c r="CC84" i="6"/>
  <c r="DV91" i="6"/>
  <c r="DW91" i="6" s="1"/>
  <c r="S95" i="6"/>
  <c r="DV98" i="6"/>
  <c r="DW98" i="6" s="1"/>
  <c r="AF102" i="6"/>
  <c r="DV105" i="6"/>
  <c r="DW105" i="6" s="1"/>
  <c r="CD105" i="6"/>
  <c r="CG105" i="6" s="1"/>
  <c r="AF106" i="6"/>
  <c r="AS112" i="6"/>
  <c r="S130" i="6"/>
  <c r="DX106" i="6"/>
  <c r="DY106" i="6" s="1"/>
  <c r="BQ106" i="6"/>
  <c r="BF54" i="6"/>
  <c r="EE83" i="6"/>
  <c r="EE81" i="6"/>
  <c r="EE84" i="6" s="1"/>
  <c r="CB81" i="6"/>
  <c r="DY82" i="6"/>
  <c r="BQ82" i="6"/>
  <c r="DX89" i="6"/>
  <c r="DY89" i="6" s="1"/>
  <c r="BQ89" i="6"/>
  <c r="CC89" i="6"/>
  <c r="CB89" i="6"/>
  <c r="CA89" i="6"/>
  <c r="BZ89" i="6"/>
  <c r="DX101" i="6"/>
  <c r="DY101" i="6" s="1"/>
  <c r="BQ101" i="6"/>
  <c r="CC116" i="6"/>
  <c r="CB116" i="6"/>
  <c r="CA116" i="6"/>
  <c r="BQ119" i="6"/>
  <c r="DY119" i="6"/>
  <c r="G179" i="6"/>
  <c r="S126" i="6"/>
  <c r="S179" i="6" s="1"/>
  <c r="BX62" i="6"/>
  <c r="BX65" i="6" s="1"/>
  <c r="BX122" i="6" s="1"/>
  <c r="CT25" i="6"/>
  <c r="DM25" i="6" s="1"/>
  <c r="BU47" i="6"/>
  <c r="CD47" i="6" s="1"/>
  <c r="CB56" i="6"/>
  <c r="CB59" i="6"/>
  <c r="BL61" i="6"/>
  <c r="BL63" i="6" s="1"/>
  <c r="BL122" i="6" s="1"/>
  <c r="BL152" i="6" s="1"/>
  <c r="BL169" i="6" s="1"/>
  <c r="BL173" i="6" s="1"/>
  <c r="BL183" i="6" s="1"/>
  <c r="BY62" i="6"/>
  <c r="BY65" i="6" s="1"/>
  <c r="BY122" i="6" s="1"/>
  <c r="BR63" i="6"/>
  <c r="J120" i="6"/>
  <c r="J122" i="6" s="1"/>
  <c r="J152" i="6" s="1"/>
  <c r="J169" i="6" s="1"/>
  <c r="J173" i="6" s="1"/>
  <c r="J183" i="6" s="1"/>
  <c r="Z120" i="6"/>
  <c r="Z122" i="6" s="1"/>
  <c r="Z152" i="6" s="1"/>
  <c r="Z169" i="6" s="1"/>
  <c r="Z173" i="6" s="1"/>
  <c r="Z183" i="6" s="1"/>
  <c r="AP120" i="6"/>
  <c r="AP122" i="6" s="1"/>
  <c r="AP152" i="6" s="1"/>
  <c r="AP169" i="6" s="1"/>
  <c r="AP173" i="6" s="1"/>
  <c r="AP183" i="6" s="1"/>
  <c r="BF68" i="6"/>
  <c r="BQ88" i="6"/>
  <c r="DY96" i="6"/>
  <c r="DX96" i="6"/>
  <c r="BQ96" i="6"/>
  <c r="BR118" i="6"/>
  <c r="BF118" i="6"/>
  <c r="CC56" i="6"/>
  <c r="CC59" i="6"/>
  <c r="K120" i="6"/>
  <c r="K122" i="6" s="1"/>
  <c r="K152" i="6" s="1"/>
  <c r="K169" i="6" s="1"/>
  <c r="K173" i="6" s="1"/>
  <c r="K183" i="6" s="1"/>
  <c r="AA120" i="6"/>
  <c r="AA122" i="6" s="1"/>
  <c r="AA152" i="6" s="1"/>
  <c r="AA169" i="6" s="1"/>
  <c r="AA173" i="6" s="1"/>
  <c r="AA183" i="6" s="1"/>
  <c r="AQ120" i="6"/>
  <c r="AQ122" i="6" s="1"/>
  <c r="AQ152" i="6" s="1"/>
  <c r="AQ169" i="6" s="1"/>
  <c r="AQ173" i="6" s="1"/>
  <c r="AQ183" i="6" s="1"/>
  <c r="BF72" i="6"/>
  <c r="DV83" i="6"/>
  <c r="DW83" i="6" s="1"/>
  <c r="BQ86" i="6"/>
  <c r="DY86" i="6"/>
  <c r="DX86" i="6"/>
  <c r="AF87" i="6"/>
  <c r="DV88" i="6"/>
  <c r="DW88" i="6" s="1"/>
  <c r="DX88" i="6"/>
  <c r="DY88" i="6" s="1"/>
  <c r="DV90" i="6"/>
  <c r="DW90" i="6" s="1"/>
  <c r="DV100" i="6"/>
  <c r="DW100" i="6" s="1"/>
  <c r="CC100" i="6"/>
  <c r="CB100" i="6"/>
  <c r="CA100" i="6"/>
  <c r="BZ100" i="6"/>
  <c r="CD100" i="6" s="1"/>
  <c r="CG100" i="6" s="1"/>
  <c r="DY110" i="6"/>
  <c r="BQ110" i="6"/>
  <c r="AF113" i="6"/>
  <c r="AS114" i="6"/>
  <c r="AF115" i="6"/>
  <c r="EC83" i="6"/>
  <c r="EC81" i="6"/>
  <c r="EC84" i="6" s="1"/>
  <c r="BZ40" i="6"/>
  <c r="BZ35" i="6"/>
  <c r="AS54" i="6"/>
  <c r="CA60" i="6"/>
  <c r="BZ64" i="6"/>
  <c r="L120" i="6"/>
  <c r="L122" i="6" s="1"/>
  <c r="L152" i="6" s="1"/>
  <c r="L169" i="6" s="1"/>
  <c r="L173" i="6" s="1"/>
  <c r="L183" i="6" s="1"/>
  <c r="AB120" i="6"/>
  <c r="AB122" i="6" s="1"/>
  <c r="AB152" i="6" s="1"/>
  <c r="AB169" i="6" s="1"/>
  <c r="AB173" i="6" s="1"/>
  <c r="AB183" i="6" s="1"/>
  <c r="AR120" i="6"/>
  <c r="AR122" i="6" s="1"/>
  <c r="AR152" i="6" s="1"/>
  <c r="AR169" i="6" s="1"/>
  <c r="AR173" i="6" s="1"/>
  <c r="AR183" i="6" s="1"/>
  <c r="EC74" i="6"/>
  <c r="EC76" i="6" s="1"/>
  <c r="BZ80" i="6"/>
  <c r="DV84" i="6"/>
  <c r="DW84" i="6" s="1"/>
  <c r="DY91" i="6"/>
  <c r="DX91" i="6"/>
  <c r="BQ91" i="6"/>
  <c r="BQ95" i="6"/>
  <c r="DY98" i="6"/>
  <c r="DX98" i="6"/>
  <c r="BQ98" i="6"/>
  <c r="DY105" i="6"/>
  <c r="DX105" i="6"/>
  <c r="BQ105" i="6"/>
  <c r="DY116" i="6"/>
  <c r="BQ116" i="6"/>
  <c r="AT180" i="6"/>
  <c r="BR128" i="6"/>
  <c r="BF128" i="6"/>
  <c r="BF180" i="6" s="1"/>
  <c r="DY94" i="6"/>
  <c r="DX94" i="6"/>
  <c r="BQ94" i="6"/>
  <c r="X120" i="6"/>
  <c r="BS120" i="6"/>
  <c r="CA80" i="6"/>
  <c r="CD80" i="6" s="1"/>
  <c r="CG80" i="6" s="1"/>
  <c r="DV85" i="6"/>
  <c r="DW85" i="6" s="1"/>
  <c r="CD85" i="6"/>
  <c r="CG85" i="6" s="1"/>
  <c r="DV95" i="6"/>
  <c r="DW95" i="6" s="1"/>
  <c r="DX95" i="6"/>
  <c r="DY95" i="6" s="1"/>
  <c r="DX107" i="6"/>
  <c r="DY107" i="6" s="1"/>
  <c r="BQ107" i="6"/>
  <c r="DV86" i="6"/>
  <c r="DW86" i="6" s="1"/>
  <c r="CD86" i="6"/>
  <c r="CG86" i="6" s="1"/>
  <c r="BQ108" i="6"/>
  <c r="DY108" i="6"/>
  <c r="DX108" i="6"/>
  <c r="CT26" i="6"/>
  <c r="DM26" i="6" s="1"/>
  <c r="BZ36" i="6" s="1"/>
  <c r="CC60" i="6"/>
  <c r="CC62" i="6"/>
  <c r="N120" i="6"/>
  <c r="N122" i="6" s="1"/>
  <c r="N152" i="6" s="1"/>
  <c r="N169" i="6" s="1"/>
  <c r="N173" i="6" s="1"/>
  <c r="N183" i="6" s="1"/>
  <c r="AD120" i="6"/>
  <c r="AD122" i="6" s="1"/>
  <c r="AD152" i="6" s="1"/>
  <c r="AD169" i="6" s="1"/>
  <c r="AD173" i="6" s="1"/>
  <c r="AD183" i="6" s="1"/>
  <c r="AT120" i="6"/>
  <c r="AT122" i="6" s="1"/>
  <c r="AT152" i="6" s="1"/>
  <c r="AT169" i="6" s="1"/>
  <c r="AT173" i="6" s="1"/>
  <c r="AT183" i="6" s="1"/>
  <c r="CB80" i="6"/>
  <c r="BZ84" i="6"/>
  <c r="S87" i="6"/>
  <c r="S104" i="6"/>
  <c r="AF110" i="6"/>
  <c r="AN120" i="6"/>
  <c r="AN122" i="6" s="1"/>
  <c r="AN152" i="6" s="1"/>
  <c r="AN169" i="6" s="1"/>
  <c r="AN173" i="6" s="1"/>
  <c r="AN183" i="6" s="1"/>
  <c r="BE120" i="6"/>
  <c r="AF54" i="6"/>
  <c r="AF61" i="6" s="1"/>
  <c r="AF63" i="6" s="1"/>
  <c r="BW54" i="6"/>
  <c r="BU61" i="6"/>
  <c r="O120" i="6"/>
  <c r="AE120" i="6"/>
  <c r="AU120" i="6"/>
  <c r="AU122" i="6" s="1"/>
  <c r="AU152" i="6" s="1"/>
  <c r="AU169" i="6" s="1"/>
  <c r="AU173" i="6" s="1"/>
  <c r="AU183" i="6" s="1"/>
  <c r="BF83" i="6"/>
  <c r="DX84" i="6"/>
  <c r="DY84" i="6" s="1"/>
  <c r="BQ84" i="6"/>
  <c r="DX93" i="6"/>
  <c r="DY93" i="6" s="1"/>
  <c r="BQ93" i="6"/>
  <c r="DY100" i="6"/>
  <c r="DX100" i="6"/>
  <c r="BQ100" i="6"/>
  <c r="DV106" i="6"/>
  <c r="DW106" i="6" s="1"/>
  <c r="CD106" i="6"/>
  <c r="CG106" i="6" s="1"/>
  <c r="DV108" i="6"/>
  <c r="DW108" i="6" s="1"/>
  <c r="CD108" i="6"/>
  <c r="CG108" i="6" s="1"/>
  <c r="AT178" i="6"/>
  <c r="BF111" i="6"/>
  <c r="BF178" i="6" s="1"/>
  <c r="CC115" i="6"/>
  <c r="CB115" i="6"/>
  <c r="CA115" i="6"/>
  <c r="BZ115" i="6"/>
  <c r="CD115" i="6" s="1"/>
  <c r="CG115" i="6" s="1"/>
  <c r="DW115" i="6"/>
  <c r="CD129" i="6"/>
  <c r="CG129" i="6" s="1"/>
  <c r="BF134" i="6"/>
  <c r="BS134" i="6"/>
  <c r="CA134" i="6" s="1"/>
  <c r="AO120" i="6"/>
  <c r="P120" i="6"/>
  <c r="P122" i="6" s="1"/>
  <c r="P152" i="6" s="1"/>
  <c r="P169" i="6" s="1"/>
  <c r="P173" i="6" s="1"/>
  <c r="P183" i="6" s="1"/>
  <c r="AF68" i="6"/>
  <c r="AV120" i="6"/>
  <c r="AV122" i="6" s="1"/>
  <c r="AV152" i="6" s="1"/>
  <c r="AV169" i="6" s="1"/>
  <c r="AV173" i="6" s="1"/>
  <c r="AV183" i="6" s="1"/>
  <c r="BV120" i="6"/>
  <c r="S94" i="6"/>
  <c r="DW112" i="6"/>
  <c r="Y120" i="6"/>
  <c r="BR25" i="6"/>
  <c r="BR45" i="6" s="1"/>
  <c r="CC53" i="6"/>
  <c r="Q120" i="6"/>
  <c r="Q122" i="6" s="1"/>
  <c r="Q152" i="6" s="1"/>
  <c r="Q169" i="6" s="1"/>
  <c r="Q173" i="6" s="1"/>
  <c r="Q183" i="6" s="1"/>
  <c r="AG120" i="6"/>
  <c r="AG122" i="6" s="1"/>
  <c r="AG152" i="6" s="1"/>
  <c r="AG169" i="6" s="1"/>
  <c r="AG173" i="6" s="1"/>
  <c r="AG183" i="6" s="1"/>
  <c r="AW120" i="6"/>
  <c r="BW120" i="6"/>
  <c r="BZ75" i="6"/>
  <c r="CD75" i="6" s="1"/>
  <c r="CG75" i="6" s="1"/>
  <c r="BF79" i="6"/>
  <c r="AF82" i="6"/>
  <c r="DX82" i="6"/>
  <c r="CD87" i="6"/>
  <c r="CG87" i="6" s="1"/>
  <c r="DV87" i="6"/>
  <c r="DW87" i="6" s="1"/>
  <c r="BZ90" i="6"/>
  <c r="CC90" i="6"/>
  <c r="CB90" i="6"/>
  <c r="BQ92" i="6"/>
  <c r="DY92" i="6"/>
  <c r="DX92" i="6"/>
  <c r="BQ99" i="6"/>
  <c r="AD178" i="6"/>
  <c r="AF111" i="6"/>
  <c r="AF178" i="6" s="1"/>
  <c r="CB117" i="6"/>
  <c r="CA117" i="6"/>
  <c r="BZ117" i="6"/>
  <c r="DW117" i="6"/>
  <c r="CC117" i="6"/>
  <c r="CD117" i="6" s="1"/>
  <c r="CG117" i="6" s="1"/>
  <c r="S127" i="6"/>
  <c r="CC127" i="6"/>
  <c r="I120" i="6"/>
  <c r="BS25" i="6"/>
  <c r="BS45" i="6" s="1"/>
  <c r="BS50" i="6" s="1"/>
  <c r="EE67" i="6"/>
  <c r="EE68" i="6" s="1"/>
  <c r="EE70" i="6" s="1"/>
  <c r="R120" i="6"/>
  <c r="R122" i="6" s="1"/>
  <c r="R152" i="6" s="1"/>
  <c r="R169" i="6" s="1"/>
  <c r="R173" i="6" s="1"/>
  <c r="R183" i="6" s="1"/>
  <c r="AH120" i="6"/>
  <c r="AH122" i="6" s="1"/>
  <c r="AH152" i="6" s="1"/>
  <c r="AH169" i="6" s="1"/>
  <c r="AH173" i="6" s="1"/>
  <c r="AH183" i="6" s="1"/>
  <c r="AX120" i="6"/>
  <c r="AX122" i="6" s="1"/>
  <c r="AX152" i="6" s="1"/>
  <c r="AX169" i="6" s="1"/>
  <c r="AX173" i="6" s="1"/>
  <c r="AX183" i="6" s="1"/>
  <c r="CA75" i="6"/>
  <c r="BZ76" i="6"/>
  <c r="CD76" i="6" s="1"/>
  <c r="CG76" i="6" s="1"/>
  <c r="BF80" i="6"/>
  <c r="CC83" i="6"/>
  <c r="CA83" i="6"/>
  <c r="CD83" i="6" s="1"/>
  <c r="CG83" i="6" s="1"/>
  <c r="AF88" i="6"/>
  <c r="DV92" i="6"/>
  <c r="DW92" i="6" s="1"/>
  <c r="CD92" i="6"/>
  <c r="CG92" i="6" s="1"/>
  <c r="DV99" i="6"/>
  <c r="DW99" i="6" s="1"/>
  <c r="CC99" i="6"/>
  <c r="CB99" i="6"/>
  <c r="CA99" i="6"/>
  <c r="CD99" i="6" s="1"/>
  <c r="CG99" i="6" s="1"/>
  <c r="BZ99" i="6"/>
  <c r="DX99" i="6"/>
  <c r="DY99" i="6" s="1"/>
  <c r="DV104" i="6"/>
  <c r="DW104" i="6" s="1"/>
  <c r="DY109" i="6"/>
  <c r="BQ109" i="6"/>
  <c r="DY118" i="6"/>
  <c r="BQ118" i="6"/>
  <c r="BD150" i="6"/>
  <c r="DV82" i="6"/>
  <c r="DW82" i="6" s="1"/>
  <c r="CD82" i="6"/>
  <c r="CG82" i="6" s="1"/>
  <c r="CC108" i="6"/>
  <c r="CB108" i="6"/>
  <c r="CA108" i="6"/>
  <c r="BZ108" i="6"/>
  <c r="DW114" i="6"/>
  <c r="CC114" i="6"/>
  <c r="CB114" i="6"/>
  <c r="CA114" i="6"/>
  <c r="BZ114" i="6"/>
  <c r="CD114" i="6" s="1"/>
  <c r="CG114" i="6" s="1"/>
  <c r="BD120" i="6"/>
  <c r="BD122" i="6" s="1"/>
  <c r="BD152" i="6" s="1"/>
  <c r="BD169" i="6" s="1"/>
  <c r="BD173" i="6" s="1"/>
  <c r="BD183" i="6" s="1"/>
  <c r="CA183" i="6"/>
  <c r="BY171" i="6"/>
  <c r="BR48" i="6"/>
  <c r="CD48" i="6" s="1"/>
  <c r="S54" i="6"/>
  <c r="S61" i="6" s="1"/>
  <c r="S63" i="6" s="1"/>
  <c r="BR3" i="6"/>
  <c r="BT25" i="6"/>
  <c r="BT45" i="6" s="1"/>
  <c r="BT50" i="6" s="1"/>
  <c r="BF59" i="6"/>
  <c r="BZ159" i="6"/>
  <c r="B120" i="6"/>
  <c r="B122" i="6" s="1"/>
  <c r="B152" i="6" s="1"/>
  <c r="B169" i="6" s="1"/>
  <c r="B173" i="6" s="1"/>
  <c r="B183" i="6" s="1"/>
  <c r="S68" i="6"/>
  <c r="AI120" i="6"/>
  <c r="AI122" i="6" s="1"/>
  <c r="AI152" i="6" s="1"/>
  <c r="AI169" i="6" s="1"/>
  <c r="AI173" i="6" s="1"/>
  <c r="AI183" i="6" s="1"/>
  <c r="AY120" i="6"/>
  <c r="AY122" i="6" s="1"/>
  <c r="AY152" i="6" s="1"/>
  <c r="AY169" i="6" s="1"/>
  <c r="AY173" i="6" s="1"/>
  <c r="AY183" i="6" s="1"/>
  <c r="BY120" i="6"/>
  <c r="CB75" i="6"/>
  <c r="CA76" i="6"/>
  <c r="CD78" i="6"/>
  <c r="CG78" i="6" s="1"/>
  <c r="AS83" i="6"/>
  <c r="CC85" i="6"/>
  <c r="CB85" i="6"/>
  <c r="CA85" i="6"/>
  <c r="BZ85" i="6"/>
  <c r="DV94" i="6"/>
  <c r="DW94" i="6" s="1"/>
  <c r="S114" i="6"/>
  <c r="AS115" i="6"/>
  <c r="S116" i="6"/>
  <c r="S125" i="6"/>
  <c r="X150" i="6"/>
  <c r="AN150" i="6"/>
  <c r="H120" i="6"/>
  <c r="H122" i="6" s="1"/>
  <c r="H152" i="6" s="1"/>
  <c r="H169" i="6" s="1"/>
  <c r="H173" i="6" s="1"/>
  <c r="H183" i="6" s="1"/>
  <c r="BU25" i="6"/>
  <c r="BU45" i="6" s="1"/>
  <c r="BU50" i="6" s="1"/>
  <c r="C120" i="6"/>
  <c r="C122" i="6" s="1"/>
  <c r="C152" i="6" s="1"/>
  <c r="C169" i="6" s="1"/>
  <c r="C173" i="6" s="1"/>
  <c r="C183" i="6" s="1"/>
  <c r="T120" i="6"/>
  <c r="T122" i="6" s="1"/>
  <c r="T152" i="6" s="1"/>
  <c r="T169" i="6" s="1"/>
  <c r="T173" i="6" s="1"/>
  <c r="T183" i="6" s="1"/>
  <c r="AJ120" i="6"/>
  <c r="AZ120" i="6"/>
  <c r="AZ122" i="6" s="1"/>
  <c r="AZ152" i="6" s="1"/>
  <c r="AZ169" i="6" s="1"/>
  <c r="AZ173" i="6" s="1"/>
  <c r="AZ183" i="6" s="1"/>
  <c r="CB76" i="6"/>
  <c r="BF81" i="6"/>
  <c r="BZ81" i="6"/>
  <c r="CD81" i="6" s="1"/>
  <c r="CG81" i="6" s="1"/>
  <c r="AS90" i="6"/>
  <c r="AF95" i="6"/>
  <c r="AS97" i="6"/>
  <c r="BZ112" i="6"/>
  <c r="DW116" i="6"/>
  <c r="H150" i="6"/>
  <c r="AF130" i="6"/>
  <c r="AS130" i="6"/>
  <c r="CC101" i="6"/>
  <c r="CB101" i="6"/>
  <c r="CA101" i="6"/>
  <c r="CD101" i="6" s="1"/>
  <c r="CG101" i="6" s="1"/>
  <c r="CA58" i="6"/>
  <c r="BV25" i="6"/>
  <c r="CG46" i="6"/>
  <c r="D120" i="6"/>
  <c r="D122" i="6" s="1"/>
  <c r="D152" i="6" s="1"/>
  <c r="D169" i="6" s="1"/>
  <c r="D173" i="6" s="1"/>
  <c r="D183" i="6" s="1"/>
  <c r="U120" i="6"/>
  <c r="U122" i="6" s="1"/>
  <c r="U152" i="6" s="1"/>
  <c r="U169" i="6" s="1"/>
  <c r="U173" i="6" s="1"/>
  <c r="U183" i="6" s="1"/>
  <c r="AK120" i="6"/>
  <c r="AK122" i="6" s="1"/>
  <c r="AK152" i="6" s="1"/>
  <c r="AK169" i="6" s="1"/>
  <c r="AK173" i="6" s="1"/>
  <c r="AK183" i="6" s="1"/>
  <c r="BA120" i="6"/>
  <c r="S82" i="6"/>
  <c r="AS87" i="6"/>
  <c r="DV89" i="6"/>
  <c r="DW89" i="6" s="1"/>
  <c r="CD89" i="6"/>
  <c r="CG89" i="6" s="1"/>
  <c r="S91" i="6"/>
  <c r="S98" i="6"/>
  <c r="AS102" i="6"/>
  <c r="S103" i="6"/>
  <c r="BF112" i="6"/>
  <c r="E120" i="6"/>
  <c r="E122" i="6" s="1"/>
  <c r="E152" i="6" s="1"/>
  <c r="E169" i="6" s="1"/>
  <c r="E173" i="6" s="1"/>
  <c r="E183" i="6" s="1"/>
  <c r="V120" i="6"/>
  <c r="V122" i="6" s="1"/>
  <c r="V152" i="6" s="1"/>
  <c r="V169" i="6" s="1"/>
  <c r="V173" i="6" s="1"/>
  <c r="V183" i="6" s="1"/>
  <c r="AL120" i="6"/>
  <c r="AL122" i="6" s="1"/>
  <c r="AL152" i="6" s="1"/>
  <c r="AL169" i="6" s="1"/>
  <c r="AL173" i="6" s="1"/>
  <c r="AL183" i="6" s="1"/>
  <c r="BB120" i="6"/>
  <c r="BB122" i="6" s="1"/>
  <c r="BB152" i="6" s="1"/>
  <c r="BB169" i="6" s="1"/>
  <c r="BB173" i="6" s="1"/>
  <c r="BB183" i="6" s="1"/>
  <c r="EB83" i="6"/>
  <c r="EB81" i="6"/>
  <c r="EB84" i="6" s="1"/>
  <c r="BF82" i="6"/>
  <c r="S88" i="6"/>
  <c r="DV93" i="6"/>
  <c r="DW93" i="6" s="1"/>
  <c r="DV96" i="6"/>
  <c r="DW96" i="6" s="1"/>
  <c r="CD96" i="6"/>
  <c r="CG96" i="6" s="1"/>
  <c r="CC96" i="6"/>
  <c r="CB96" i="6"/>
  <c r="CA96" i="6"/>
  <c r="BZ96" i="6"/>
  <c r="AS104" i="6"/>
  <c r="S107" i="6"/>
  <c r="CB110" i="6"/>
  <c r="CA110" i="6"/>
  <c r="BZ110" i="6"/>
  <c r="DW110" i="6"/>
  <c r="CC110" i="6"/>
  <c r="CD110" i="6" s="1"/>
  <c r="CG110" i="6" s="1"/>
  <c r="AS117" i="6"/>
  <c r="CB127" i="6"/>
  <c r="CA127" i="6"/>
  <c r="CD127" i="6" s="1"/>
  <c r="CG127" i="6" s="1"/>
  <c r="AS129" i="6"/>
  <c r="BQ129" i="6" s="1"/>
  <c r="BF87" i="6"/>
  <c r="BF91" i="6"/>
  <c r="BF94" i="6"/>
  <c r="BF98" i="6"/>
  <c r="BF107" i="6"/>
  <c r="CA112" i="6"/>
  <c r="BF115" i="6"/>
  <c r="CC119" i="6"/>
  <c r="BD179" i="6"/>
  <c r="AU180" i="6"/>
  <c r="BS128" i="6"/>
  <c r="BV128" i="6"/>
  <c r="BV150" i="6" s="1"/>
  <c r="CA137" i="6"/>
  <c r="BZ137" i="6"/>
  <c r="CD137" i="6" s="1"/>
  <c r="CG137" i="6" s="1"/>
  <c r="CC137" i="6"/>
  <c r="S142" i="6"/>
  <c r="CC142" i="6"/>
  <c r="CB142" i="6"/>
  <c r="CA142" i="6"/>
  <c r="BZ142" i="6"/>
  <c r="BF158" i="6"/>
  <c r="AS162" i="6"/>
  <c r="AF171" i="6"/>
  <c r="P178" i="6"/>
  <c r="AV178" i="6"/>
  <c r="R150" i="6"/>
  <c r="AH150" i="6"/>
  <c r="AX150" i="6"/>
  <c r="CB84" i="6"/>
  <c r="CD84" i="6" s="1"/>
  <c r="CG84" i="6" s="1"/>
  <c r="CD90" i="6"/>
  <c r="CG90" i="6" s="1"/>
  <c r="BT103" i="6"/>
  <c r="DV103" i="6" s="1"/>
  <c r="DW103" i="6" s="1"/>
  <c r="BF110" i="6"/>
  <c r="CC112" i="6"/>
  <c r="BF117" i="6"/>
  <c r="B150" i="6"/>
  <c r="AI150" i="6"/>
  <c r="AY150" i="6"/>
  <c r="BF126" i="6"/>
  <c r="AF128" i="6"/>
  <c r="AF180" i="6" s="1"/>
  <c r="BX128" i="6"/>
  <c r="AF136" i="6"/>
  <c r="AS139" i="6"/>
  <c r="BQ139" i="6" s="1"/>
  <c r="AF143" i="6"/>
  <c r="S144" i="6"/>
  <c r="AS145" i="6"/>
  <c r="BQ145" i="6" s="1"/>
  <c r="AF149" i="6"/>
  <c r="N164" i="6"/>
  <c r="AW164" i="6"/>
  <c r="BU152" i="6" s="1"/>
  <c r="AF157" i="6"/>
  <c r="DV102" i="6"/>
  <c r="DW102" i="6" s="1"/>
  <c r="BF106" i="6"/>
  <c r="CD112" i="6"/>
  <c r="CG112" i="6" s="1"/>
  <c r="BZ116" i="6"/>
  <c r="CD116" i="6" s="1"/>
  <c r="CG116" i="6" s="1"/>
  <c r="DW119" i="6"/>
  <c r="C150" i="6"/>
  <c r="T150" i="6"/>
  <c r="AJ150" i="6"/>
  <c r="AZ150" i="6"/>
  <c r="BR126" i="6"/>
  <c r="AG180" i="6"/>
  <c r="AS128" i="6"/>
  <c r="BY128" i="6"/>
  <c r="CC131" i="6"/>
  <c r="CB131" i="6"/>
  <c r="CA131" i="6"/>
  <c r="BZ131" i="6"/>
  <c r="CD131" i="6" s="1"/>
  <c r="CG131" i="6" s="1"/>
  <c r="BR142" i="6"/>
  <c r="CD142" i="6" s="1"/>
  <c r="CG142" i="6" s="1"/>
  <c r="BF142" i="6"/>
  <c r="AG164" i="6"/>
  <c r="AP181" i="6"/>
  <c r="AS159" i="6"/>
  <c r="AS181" i="6" s="1"/>
  <c r="CE188" i="6"/>
  <c r="CG188" i="6" s="1"/>
  <c r="BF93" i="6"/>
  <c r="BF97" i="6"/>
  <c r="BF101" i="6"/>
  <c r="S111" i="6"/>
  <c r="BV113" i="6"/>
  <c r="CD113" i="6" s="1"/>
  <c r="CG113" i="6" s="1"/>
  <c r="BF119" i="6"/>
  <c r="BS126" i="6"/>
  <c r="S138" i="6"/>
  <c r="CC144" i="6"/>
  <c r="CB144" i="6"/>
  <c r="CA144" i="6"/>
  <c r="BZ144" i="6"/>
  <c r="CD146" i="6"/>
  <c r="CG146" i="6" s="1"/>
  <c r="AH164" i="6"/>
  <c r="BF105" i="6"/>
  <c r="E150" i="6"/>
  <c r="V150" i="6"/>
  <c r="AL150" i="6"/>
  <c r="BB150" i="6"/>
  <c r="AS126" i="6"/>
  <c r="BT126" i="6"/>
  <c r="S128" i="6"/>
  <c r="S180" i="6" s="1"/>
  <c r="BG130" i="6"/>
  <c r="S132" i="6"/>
  <c r="AF132" i="6"/>
  <c r="CD133" i="6"/>
  <c r="CG133" i="6" s="1"/>
  <c r="AF134" i="6"/>
  <c r="BF135" i="6"/>
  <c r="AF145" i="6"/>
  <c r="Q164" i="6"/>
  <c r="AI164" i="6"/>
  <c r="BF156" i="6"/>
  <c r="BF164" i="6" s="1"/>
  <c r="BF84" i="6"/>
  <c r="G150" i="6"/>
  <c r="G152" i="6" s="1"/>
  <c r="G169" i="6" s="1"/>
  <c r="G173" i="6" s="1"/>
  <c r="G183" i="6" s="1"/>
  <c r="W150" i="6"/>
  <c r="W152" i="6" s="1"/>
  <c r="W169" i="6" s="1"/>
  <c r="W173" i="6" s="1"/>
  <c r="W183" i="6" s="1"/>
  <c r="AM150" i="6"/>
  <c r="AM152" i="6" s="1"/>
  <c r="AM169" i="6" s="1"/>
  <c r="AM173" i="6" s="1"/>
  <c r="AM183" i="6" s="1"/>
  <c r="BC150" i="6"/>
  <c r="BC152" i="6" s="1"/>
  <c r="BC169" i="6" s="1"/>
  <c r="BC173" i="6" s="1"/>
  <c r="BC183" i="6" s="1"/>
  <c r="BU150" i="6"/>
  <c r="CB143" i="6"/>
  <c r="BT144" i="6"/>
  <c r="CD144" i="6" s="1"/>
  <c r="CG144" i="6" s="1"/>
  <c r="BF144" i="6"/>
  <c r="BF104" i="6"/>
  <c r="BF114" i="6"/>
  <c r="BF127" i="6"/>
  <c r="CA148" i="6"/>
  <c r="BZ148" i="6"/>
  <c r="CD148" i="6" s="1"/>
  <c r="CG148" i="6" s="1"/>
  <c r="BQ148" i="6"/>
  <c r="CC148" i="6"/>
  <c r="CE186" i="6"/>
  <c r="CG186" i="6" s="1"/>
  <c r="BF86" i="6"/>
  <c r="BF89" i="6"/>
  <c r="BF96" i="6"/>
  <c r="BF100" i="6"/>
  <c r="BG104" i="6"/>
  <c r="BZ113" i="6"/>
  <c r="I150" i="6"/>
  <c r="Y150" i="6"/>
  <c r="AO150" i="6"/>
  <c r="BE150" i="6"/>
  <c r="AF126" i="6"/>
  <c r="AF150" i="6" s="1"/>
  <c r="BW126" i="6"/>
  <c r="BW150" i="6" s="1"/>
  <c r="AF137" i="6"/>
  <c r="S160" i="6"/>
  <c r="CD103" i="6"/>
  <c r="CG103" i="6" s="1"/>
  <c r="BF109" i="6"/>
  <c r="CA113" i="6"/>
  <c r="BF116" i="6"/>
  <c r="AP150" i="6"/>
  <c r="BX126" i="6"/>
  <c r="BZ127" i="6"/>
  <c r="BF132" i="6"/>
  <c r="AS133" i="6"/>
  <c r="BQ133" i="6" s="1"/>
  <c r="BS138" i="6"/>
  <c r="CD138" i="6" s="1"/>
  <c r="CG138" i="6" s="1"/>
  <c r="BF138" i="6"/>
  <c r="S147" i="6"/>
  <c r="S149" i="6"/>
  <c r="AS156" i="6"/>
  <c r="AS182" i="6" s="1"/>
  <c r="BZ87" i="6"/>
  <c r="BZ98" i="6"/>
  <c r="CB113" i="6"/>
  <c r="BY150" i="6"/>
  <c r="AF129" i="6"/>
  <c r="S134" i="6"/>
  <c r="BR136" i="6"/>
  <c r="BF136" i="6"/>
  <c r="S139" i="6"/>
  <c r="CC149" i="6"/>
  <c r="CD149" i="6" s="1"/>
  <c r="CG149" i="6" s="1"/>
  <c r="CB149" i="6"/>
  <c r="CA149" i="6"/>
  <c r="BZ149" i="6"/>
  <c r="S162" i="6"/>
  <c r="AF163" i="6"/>
  <c r="CE189" i="6"/>
  <c r="CG189" i="6" s="1"/>
  <c r="CA87" i="6"/>
  <c r="CA98" i="6"/>
  <c r="CD107" i="6"/>
  <c r="CG107" i="6" s="1"/>
  <c r="CC113" i="6"/>
  <c r="L150" i="6"/>
  <c r="CC139" i="6"/>
  <c r="CB139" i="6"/>
  <c r="CA139" i="6"/>
  <c r="CD139" i="6" s="1"/>
  <c r="CG139" i="6" s="1"/>
  <c r="CC145" i="6"/>
  <c r="CD145" i="6" s="1"/>
  <c r="CG145" i="6" s="1"/>
  <c r="CB145" i="6"/>
  <c r="CA145" i="6"/>
  <c r="BZ145" i="6"/>
  <c r="BR147" i="6"/>
  <c r="BG147" i="6"/>
  <c r="BF147" i="6"/>
  <c r="BF85" i="6"/>
  <c r="CB87" i="6"/>
  <c r="BF88" i="6"/>
  <c r="BF92" i="6"/>
  <c r="BF95" i="6"/>
  <c r="CB98" i="6"/>
  <c r="CD98" i="6" s="1"/>
  <c r="CG98" i="6" s="1"/>
  <c r="BF99" i="6"/>
  <c r="BZ102" i="6"/>
  <c r="CD102" i="6" s="1"/>
  <c r="CG102" i="6" s="1"/>
  <c r="M150" i="6"/>
  <c r="M152" i="6" s="1"/>
  <c r="M169" i="6" s="1"/>
  <c r="M173" i="6" s="1"/>
  <c r="M183" i="6" s="1"/>
  <c r="AS125" i="6"/>
  <c r="S131" i="6"/>
  <c r="AS140" i="6"/>
  <c r="BQ140" i="6" s="1"/>
  <c r="AP164" i="6"/>
  <c r="S158" i="6"/>
  <c r="AF161" i="6"/>
  <c r="BF162" i="6"/>
  <c r="AS171" i="6"/>
  <c r="CE179" i="6"/>
  <c r="CG179" i="6" s="1"/>
  <c r="BZ119" i="6"/>
  <c r="CD119" i="6" s="1"/>
  <c r="CG119" i="6" s="1"/>
  <c r="N150" i="6"/>
  <c r="AD150" i="6"/>
  <c r="AT150" i="6"/>
  <c r="AF135" i="6"/>
  <c r="AS135" i="6"/>
  <c r="S141" i="6"/>
  <c r="CA143" i="6"/>
  <c r="Z164" i="6"/>
  <c r="AS111" i="6"/>
  <c r="AU150" i="6"/>
  <c r="V179" i="6"/>
  <c r="BT128" i="6"/>
  <c r="AS143" i="6"/>
  <c r="BQ143" i="6" s="1"/>
  <c r="J164" i="6"/>
  <c r="BR132" i="6"/>
  <c r="CD132" i="6" s="1"/>
  <c r="CG132" i="6" s="1"/>
  <c r="CD143" i="6"/>
  <c r="CG143" i="6" s="1"/>
  <c r="BF145" i="6"/>
  <c r="AS155" i="6"/>
  <c r="AS164" i="6" s="1"/>
  <c r="BQ152" i="6" s="1"/>
  <c r="BG145" i="6"/>
  <c r="CE182" i="6"/>
  <c r="CG182" i="6" s="1"/>
  <c r="BF137" i="6"/>
  <c r="BZ141" i="6"/>
  <c r="CD141" i="6" s="1"/>
  <c r="CG141" i="6" s="1"/>
  <c r="BF143" i="6"/>
  <c r="AU164" i="6"/>
  <c r="BS152" i="6" s="1"/>
  <c r="CD152" i="6" s="1"/>
  <c r="CG152" i="6" s="1"/>
  <c r="BG137" i="6"/>
  <c r="BF140" i="6"/>
  <c r="CA141" i="6"/>
  <c r="BF148" i="6"/>
  <c r="AF155" i="6"/>
  <c r="BZ181" i="6"/>
  <c r="BZ134" i="6"/>
  <c r="CB141" i="6"/>
  <c r="AT182" i="6"/>
  <c r="BF133" i="6"/>
  <c r="AF159" i="6"/>
  <c r="AF181" i="6" s="1"/>
  <c r="BG133" i="6"/>
  <c r="CB134" i="6"/>
  <c r="S155" i="6"/>
  <c r="CE178" i="6"/>
  <c r="CG178" i="6" s="1"/>
  <c r="CC134" i="6"/>
  <c r="AG182" i="6"/>
  <c r="BF141" i="6"/>
  <c r="BF146" i="6"/>
  <c r="S159" i="6"/>
  <c r="S181" i="6" s="1"/>
  <c r="BF149" i="6"/>
  <c r="BZ143" i="6"/>
  <c r="AF156" i="6"/>
  <c r="AF182" i="6" s="1"/>
  <c r="BX123" i="6" l="1"/>
  <c r="CD134" i="6"/>
  <c r="CG134" i="6" s="1"/>
  <c r="BZ173" i="6"/>
  <c r="BZ91" i="6"/>
  <c r="CD91" i="6" s="1"/>
  <c r="CG91" i="6" s="1"/>
  <c r="BZ54" i="6"/>
  <c r="BY154" i="6"/>
  <c r="BY191" i="6" s="1"/>
  <c r="BY123" i="6"/>
  <c r="BW154" i="6"/>
  <c r="BW191" i="6" s="1"/>
  <c r="BW123" i="6"/>
  <c r="AF120" i="6"/>
  <c r="AF122" i="6" s="1"/>
  <c r="AF152" i="6" s="1"/>
  <c r="AF169" i="6" s="1"/>
  <c r="AF173" i="6" s="1"/>
  <c r="AF183" i="6" s="1"/>
  <c r="X152" i="6"/>
  <c r="X169" i="6" s="1"/>
  <c r="X173" i="6" s="1"/>
  <c r="X183" i="6" s="1"/>
  <c r="CD64" i="6"/>
  <c r="BF179" i="6"/>
  <c r="DY117" i="6"/>
  <c r="BQ117" i="6"/>
  <c r="DY87" i="6"/>
  <c r="DX87" i="6"/>
  <c r="BQ87" i="6"/>
  <c r="CD63" i="6"/>
  <c r="CG38" i="6"/>
  <c r="CG39" i="6" s="1"/>
  <c r="Y152" i="6"/>
  <c r="Y169" i="6" s="1"/>
  <c r="Y173" i="6" s="1"/>
  <c r="Y183" i="6" s="1"/>
  <c r="BT120" i="6"/>
  <c r="CE174" i="6"/>
  <c r="CG174" i="6" s="1"/>
  <c r="CB184" i="6"/>
  <c r="CE184" i="6" s="1"/>
  <c r="CG184" i="6" s="1"/>
  <c r="CC136" i="6"/>
  <c r="CD136" i="6" s="1"/>
  <c r="CG136" i="6" s="1"/>
  <c r="CB136" i="6"/>
  <c r="CA136" i="6"/>
  <c r="BZ136" i="6"/>
  <c r="S150" i="6"/>
  <c r="BF61" i="6"/>
  <c r="BI54" i="6"/>
  <c r="BJ54" i="6" s="1"/>
  <c r="AF164" i="6"/>
  <c r="BX150" i="6"/>
  <c r="BX154" i="6" s="1"/>
  <c r="BX191" i="6" s="1"/>
  <c r="BZ97" i="6"/>
  <c r="DX97" i="6"/>
  <c r="DY97" i="6" s="1"/>
  <c r="BQ97" i="6"/>
  <c r="CC97" i="6"/>
  <c r="CB97" i="6"/>
  <c r="CA97" i="6"/>
  <c r="AS61" i="6"/>
  <c r="AS63" i="6" s="1"/>
  <c r="AS122" i="6" s="1"/>
  <c r="AS152" i="6" s="1"/>
  <c r="AS169" i="6" s="1"/>
  <c r="AS173" i="6" s="1"/>
  <c r="AS183" i="6" s="1"/>
  <c r="EF79" i="6"/>
  <c r="DY115" i="6"/>
  <c r="BQ115" i="6"/>
  <c r="S120" i="6"/>
  <c r="BU158" i="6"/>
  <c r="BV159" i="6"/>
  <c r="BZ95" i="6"/>
  <c r="CD95" i="6" s="1"/>
  <c r="CG95" i="6" s="1"/>
  <c r="BZ53" i="6"/>
  <c r="BZ62" i="6"/>
  <c r="BZ65" i="6" s="1"/>
  <c r="CA185" i="6"/>
  <c r="CE185" i="6" s="1"/>
  <c r="CG185" i="6" s="1"/>
  <c r="CE175" i="6"/>
  <c r="CG175" i="6" s="1"/>
  <c r="CA130" i="6"/>
  <c r="BZ130" i="6"/>
  <c r="BQ130" i="6"/>
  <c r="CC130" i="6"/>
  <c r="CB130" i="6"/>
  <c r="BT150" i="6"/>
  <c r="CA126" i="6"/>
  <c r="CC126" i="6"/>
  <c r="CB126" i="6"/>
  <c r="BZ126" i="6"/>
  <c r="BS150" i="6"/>
  <c r="DX90" i="6"/>
  <c r="DY90" i="6" s="1"/>
  <c r="BQ90" i="6"/>
  <c r="BZ177" i="6"/>
  <c r="BZ58" i="6"/>
  <c r="BU62" i="6"/>
  <c r="BU65" i="6" s="1"/>
  <c r="BU122" i="6" s="1"/>
  <c r="BQ126" i="6"/>
  <c r="AS179" i="6"/>
  <c r="DW118" i="6"/>
  <c r="CC118" i="6"/>
  <c r="CB118" i="6"/>
  <c r="CA118" i="6"/>
  <c r="BZ118" i="6"/>
  <c r="CD118" i="6" s="1"/>
  <c r="CG118" i="6" s="1"/>
  <c r="BT62" i="6"/>
  <c r="BT65" i="6" s="1"/>
  <c r="BT122" i="6" s="1"/>
  <c r="AS178" i="6"/>
  <c r="DY111" i="6"/>
  <c r="AS180" i="6"/>
  <c r="BQ128" i="6"/>
  <c r="DY112" i="6"/>
  <c r="BQ112" i="6"/>
  <c r="S178" i="6"/>
  <c r="CC61" i="6"/>
  <c r="BS62" i="6"/>
  <c r="BS65" i="6" s="1"/>
  <c r="BS122" i="6" s="1"/>
  <c r="AO152" i="6"/>
  <c r="AO169" i="6" s="1"/>
  <c r="AO173" i="6" s="1"/>
  <c r="AO183" i="6" s="1"/>
  <c r="S164" i="6"/>
  <c r="CC147" i="6"/>
  <c r="CB147" i="6"/>
  <c r="CA147" i="6"/>
  <c r="BZ147" i="6"/>
  <c r="CD147" i="6" s="1"/>
  <c r="CG147" i="6" s="1"/>
  <c r="BH104" i="6"/>
  <c r="BH105" i="6" s="1"/>
  <c r="BH107" i="6" s="1"/>
  <c r="BR150" i="6"/>
  <c r="DX104" i="6"/>
  <c r="DY104" i="6" s="1"/>
  <c r="BQ104" i="6"/>
  <c r="BV62" i="6"/>
  <c r="BV45" i="6"/>
  <c r="BV50" i="6" s="1"/>
  <c r="BV65" i="6" s="1"/>
  <c r="BV122" i="6" s="1"/>
  <c r="CD45" i="6"/>
  <c r="CD50" i="6" s="1"/>
  <c r="BR50" i="6"/>
  <c r="BR65" i="6" s="1"/>
  <c r="BR122" i="6" s="1"/>
  <c r="CC171" i="6"/>
  <c r="CC183" i="6"/>
  <c r="CC181" i="6" s="1"/>
  <c r="CA171" i="6"/>
  <c r="CC128" i="6"/>
  <c r="CB128" i="6"/>
  <c r="CA128" i="6"/>
  <c r="CD128" i="6" s="1"/>
  <c r="CG128" i="6" s="1"/>
  <c r="BZ128" i="6"/>
  <c r="DY114" i="6"/>
  <c r="BQ114" i="6"/>
  <c r="CB171" i="6"/>
  <c r="CA61" i="6"/>
  <c r="ED72" i="6"/>
  <c r="BR7" i="6"/>
  <c r="BF150" i="6"/>
  <c r="DV74" i="6"/>
  <c r="CD74" i="6"/>
  <c r="CG74" i="6" s="1"/>
  <c r="CB61" i="6"/>
  <c r="CD61" i="6" s="1"/>
  <c r="DY69" i="6"/>
  <c r="CD69" i="6"/>
  <c r="AS150" i="6"/>
  <c r="AF179" i="6"/>
  <c r="DX102" i="6"/>
  <c r="DY102" i="6" s="1"/>
  <c r="BQ102" i="6"/>
  <c r="S122" i="6"/>
  <c r="S152" i="6" s="1"/>
  <c r="BR62" i="6"/>
  <c r="BQ65" i="6"/>
  <c r="DX83" i="6"/>
  <c r="DY83" i="6" s="1"/>
  <c r="BQ83" i="6"/>
  <c r="BQ120" i="6" s="1"/>
  <c r="BF120" i="6"/>
  <c r="AS120" i="6"/>
  <c r="BT154" i="6" l="1"/>
  <c r="BT191" i="6" s="1"/>
  <c r="BT123" i="6"/>
  <c r="BU154" i="6"/>
  <c r="BU191" i="6" s="1"/>
  <c r="BU123" i="6"/>
  <c r="CG69" i="6"/>
  <c r="DY2" i="6"/>
  <c r="DW74" i="6"/>
  <c r="DW2" i="6" s="1"/>
  <c r="DV2" i="6"/>
  <c r="CB187" i="6"/>
  <c r="CE187" i="6" s="1"/>
  <c r="CG187" i="6" s="1"/>
  <c r="CE177" i="6"/>
  <c r="CG177" i="6" s="1"/>
  <c r="BZ150" i="6"/>
  <c r="CD97" i="6"/>
  <c r="CG97" i="6" s="1"/>
  <c r="CG49" i="6"/>
  <c r="CB150" i="6"/>
  <c r="CC150" i="6"/>
  <c r="CB183" i="6"/>
  <c r="BZ171" i="6"/>
  <c r="CE171" i="6" s="1"/>
  <c r="CG171" i="6" s="1"/>
  <c r="CE173" i="6"/>
  <c r="CG173" i="6" s="1"/>
  <c r="DX2" i="6"/>
  <c r="CC158" i="6"/>
  <c r="CC65" i="6"/>
  <c r="CA150" i="6"/>
  <c r="CB158" i="6"/>
  <c r="CC159" i="6" s="1"/>
  <c r="CB65" i="6"/>
  <c r="BR154" i="6"/>
  <c r="BR191" i="6" s="1"/>
  <c r="BR193" i="6" s="1"/>
  <c r="BS192" i="6" s="1"/>
  <c r="BR123" i="6"/>
  <c r="CA158" i="6"/>
  <c r="CA65" i="6"/>
  <c r="BF63" i="6"/>
  <c r="BF122" i="6" s="1"/>
  <c r="BF152" i="6" s="1"/>
  <c r="BF169" i="6" s="1"/>
  <c r="BF173" i="6" s="1"/>
  <c r="BF183" i="6" s="1"/>
  <c r="BI61" i="6"/>
  <c r="BJ61" i="6" s="1"/>
  <c r="BS154" i="6"/>
  <c r="BS191" i="6" s="1"/>
  <c r="BS123" i="6"/>
  <c r="BV154" i="6"/>
  <c r="BV191" i="6" s="1"/>
  <c r="BV123" i="6"/>
  <c r="BR6" i="6"/>
  <c r="CC12" i="6"/>
  <c r="BY10" i="6"/>
  <c r="CB12" i="6"/>
  <c r="BX10" i="6"/>
  <c r="CA12" i="6"/>
  <c r="BY12" i="6"/>
  <c r="BX12" i="6"/>
  <c r="BQ150" i="6"/>
  <c r="CA181" i="6"/>
  <c r="BQ122" i="6"/>
  <c r="CD62" i="6"/>
  <c r="CD65" i="6" s="1"/>
  <c r="S169" i="6"/>
  <c r="S173" i="6" s="1"/>
  <c r="S183" i="6" s="1"/>
  <c r="CD126" i="6"/>
  <c r="CD130" i="6"/>
  <c r="CG130" i="6" s="1"/>
  <c r="EF83" i="6"/>
  <c r="EF81" i="6"/>
  <c r="EF84" i="6" s="1"/>
  <c r="BX13" i="6" l="1"/>
  <c r="BX17" i="6"/>
  <c r="BX18" i="6" s="1"/>
  <c r="BY13" i="6"/>
  <c r="BY3" i="6"/>
  <c r="BY17" i="6"/>
  <c r="BY18" i="6" s="1"/>
  <c r="CD150" i="6"/>
  <c r="CG150" i="6" s="1"/>
  <c r="CG126" i="6"/>
  <c r="CB181" i="6"/>
  <c r="CE181" i="6" s="1"/>
  <c r="CG181" i="6" s="1"/>
  <c r="CE183" i="6"/>
  <c r="CG183" i="6" s="1"/>
  <c r="CB159" i="6"/>
  <c r="CE159" i="6" s="1"/>
  <c r="CG159" i="6" s="1"/>
  <c r="CE158" i="6"/>
  <c r="CG158" i="6" s="1"/>
  <c r="BR22" i="6"/>
  <c r="BQ154" i="6"/>
  <c r="BQ123" i="6"/>
  <c r="BS193" i="6"/>
  <c r="BT192" i="6" s="1"/>
  <c r="BT193" i="6"/>
  <c r="BU192" i="6" s="1"/>
  <c r="BU193" i="6" s="1"/>
  <c r="BV192" i="6" s="1"/>
  <c r="BV193" i="6" s="1"/>
  <c r="BW192" i="6" s="1"/>
  <c r="BW193" i="6" s="1"/>
  <c r="BX192" i="6" s="1"/>
  <c r="BX193" i="6" s="1"/>
  <c r="BY192" i="6" s="1"/>
  <c r="BY193" i="6" l="1"/>
  <c r="BY7" i="6"/>
  <c r="BY6" i="6" l="1"/>
  <c r="BZ12" i="6"/>
  <c r="CB10" i="6"/>
  <c r="CA10" i="6"/>
  <c r="CC10" i="6"/>
  <c r="BZ10" i="6"/>
  <c r="BZ192" i="6"/>
  <c r="CC17" i="6" l="1"/>
  <c r="CC18" i="6" s="1"/>
  <c r="CC13" i="6"/>
  <c r="CC3" i="6"/>
  <c r="CB13" i="6"/>
  <c r="CB17" i="6"/>
  <c r="CB18" i="6" s="1"/>
  <c r="CB3" i="6"/>
  <c r="CA13" i="6"/>
  <c r="CA3" i="6"/>
  <c r="CA17" i="6"/>
  <c r="CA18" i="6" s="1"/>
  <c r="BZ13" i="6"/>
  <c r="BZ3" i="6"/>
  <c r="BZ17" i="6"/>
  <c r="BZ18" i="6" s="1"/>
  <c r="BY22" i="6"/>
  <c r="BZ94" i="6" l="1"/>
  <c r="BZ88" i="6"/>
  <c r="BZ109" i="6"/>
  <c r="BZ104" i="6"/>
  <c r="BZ7" i="6"/>
  <c r="CD3" i="6"/>
  <c r="CA94" i="6"/>
  <c r="CA88" i="6"/>
  <c r="CA109" i="6"/>
  <c r="CA104" i="6"/>
  <c r="CA7" i="6"/>
  <c r="CA6" i="6" s="1"/>
  <c r="CA93" i="6" s="1"/>
  <c r="CB94" i="6"/>
  <c r="CB88" i="6"/>
  <c r="CB109" i="6"/>
  <c r="CB104" i="6"/>
  <c r="CB7" i="6"/>
  <c r="CB6" i="6" s="1"/>
  <c r="CB93" i="6" s="1"/>
  <c r="CC94" i="6"/>
  <c r="CC88" i="6"/>
  <c r="CC109" i="6"/>
  <c r="CC104" i="6"/>
  <c r="CC7" i="6"/>
  <c r="CC6" i="6" s="1"/>
  <c r="CC93" i="6" s="1"/>
  <c r="CA120" i="6" l="1"/>
  <c r="CA122" i="6" s="1"/>
  <c r="BZ6" i="6"/>
  <c r="CD7" i="6"/>
  <c r="CD104" i="6"/>
  <c r="CG104" i="6" s="1"/>
  <c r="CD109" i="6"/>
  <c r="CG109" i="6" s="1"/>
  <c r="CC120" i="6"/>
  <c r="CC122" i="6" s="1"/>
  <c r="CD88" i="6"/>
  <c r="CB120" i="6"/>
  <c r="CB122" i="6" s="1"/>
  <c r="CD94" i="6"/>
  <c r="CG94" i="6" s="1"/>
  <c r="CB154" i="6" l="1"/>
  <c r="CB191" i="6" s="1"/>
  <c r="CB123" i="6"/>
  <c r="CG88" i="6"/>
  <c r="CC154" i="6"/>
  <c r="CC191" i="6" s="1"/>
  <c r="CC123" i="6"/>
  <c r="BZ93" i="6"/>
  <c r="CD6" i="6"/>
  <c r="CA154" i="6"/>
  <c r="CA191" i="6" s="1"/>
  <c r="CA123" i="6"/>
  <c r="CD93" i="6" l="1"/>
  <c r="BZ120" i="6"/>
  <c r="BZ122" i="6" s="1"/>
  <c r="BZ154" i="6" l="1"/>
  <c r="BZ191" i="6" s="1"/>
  <c r="BZ123" i="6"/>
  <c r="CG93" i="6"/>
  <c r="CD120" i="6"/>
  <c r="CG120" i="6" l="1"/>
  <c r="CD122" i="6"/>
  <c r="BZ193" i="6"/>
  <c r="CE191" i="6"/>
  <c r="CA192" i="6" l="1"/>
  <c r="CD154" i="6"/>
  <c r="CG122" i="6"/>
  <c r="CD123" i="6"/>
  <c r="CG123" i="6" s="1"/>
  <c r="CA193" i="6" l="1"/>
  <c r="CB192" i="6" l="1"/>
  <c r="CB193" i="6" l="1"/>
  <c r="CC192" i="6" l="1"/>
  <c r="CC193" i="6" l="1"/>
  <c r="CE193" i="6" s="1"/>
  <c r="CE19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Gordon Mah</author>
  </authors>
  <commentList>
    <comment ref="BP5" authorId="0" shapeId="0" xr:uid="{64EEB971-8560-4AF7-8EF9-5B7164CB793F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Per cultivation plan - Per Nathaniel grams harvested, cured, ready for sale</t>
        </r>
      </text>
    </comment>
    <comment ref="AV54" authorId="0" shapeId="0" xr:uid="{77CE79D2-62CB-41C4-A97C-9D4B5C3DEF9A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Need to up date inovices for rev recognition policy…recognize on passing of control to buyer</t>
        </r>
      </text>
    </comment>
    <comment ref="A91" authorId="0" shapeId="0" xr:uid="{A35F96BD-0C6A-4DC6-93A1-E0EBCBBA5A77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ON 0.003% data fee
</t>
        </r>
      </text>
    </comment>
    <comment ref="BP91" authorId="0" shapeId="0" xr:uid="{332015DE-2FDC-4E4E-9076-25E9DBD57877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ON 0.003% data fee
</t>
        </r>
      </text>
    </comment>
    <comment ref="BZ93" authorId="0" shapeId="0" xr:uid="{923367D6-2E9C-4EFB-8659-C80B30C6C7D9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Includes $25K for purchase of ALT product from BC; includes $300K strategic product purchase to be used over several months; and $143K with Cannara for Oct sales</t>
        </r>
      </text>
    </comment>
    <comment ref="A95" authorId="0" shapeId="0" xr:uid="{0DEED83C-2267-4017-AC55-20EFF278FF4F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AB 2% salvage fee</t>
        </r>
      </text>
    </comment>
    <comment ref="BP95" authorId="0" shapeId="0" xr:uid="{34B45710-E066-40A9-A254-9A81A1E5F106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AB 2% salvage fee</t>
        </r>
      </text>
    </comment>
    <comment ref="BZ103" authorId="0" shapeId="0" xr:uid="{CDCAACC9-7814-4A67-8F77-C0159800E5C9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24/31 * $50K for Aug; Plus $50K for Sept</t>
        </r>
      </text>
    </comment>
    <comment ref="BT105" authorId="0" shapeId="0" xr:uid="{D64A5425-C958-4EE8-B2C6-30D207062439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need to book March Direct energy. Asummed $60K</t>
        </r>
      </text>
    </comment>
    <comment ref="BU105" authorId="0" shapeId="0" xr:uid="{65F09E18-5850-4139-B8F7-5DE2F3DE5641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need to book March Direct energy. Asummed $60K</t>
        </r>
      </text>
    </comment>
    <comment ref="BV105" authorId="0" shapeId="0" xr:uid="{83107BB2-8718-4F0C-8C3C-EC92916AF0F5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need to book March Direct energy. Asummed $60K</t>
        </r>
      </text>
    </comment>
    <comment ref="BW105" authorId="0" shapeId="0" xr:uid="{51AB7D3E-5F8E-4481-B3CC-473E43460BB1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need to book March Direct energy. Asummed $60K</t>
        </r>
      </text>
    </comment>
    <comment ref="BX105" authorId="0" shapeId="0" xr:uid="{A0565499-783D-4FB7-B419-C9AB2E9BC149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need to book March Direct energy. Asummed $60K</t>
        </r>
      </text>
    </comment>
    <comment ref="BY105" authorId="0" shapeId="0" xr:uid="{6A2E70AA-4495-49E1-B4A8-0895383A7494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need to book March Direct energy. Asummed $60K</t>
        </r>
      </text>
    </comment>
    <comment ref="CA105" authorId="0" shapeId="0" xr:uid="{AE94C75F-ED28-4F14-8F94-A5E77F1CDF8C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Includes estimate of $75K of Aug post filing energy costs; split 80% COS and 20% SGA
</t>
        </r>
      </text>
    </comment>
    <comment ref="CA129" authorId="0" shapeId="0" xr:uid="{F6AE570C-9EC9-4911-BCE8-BEA28F876C6B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Health Canada license renewal for Sept 2024 to Aug 2025
Added $93.5K to CRA related to increase in Excise Security (refer to Sept 3 CRA letter)</t>
        </r>
      </text>
    </comment>
    <comment ref="BZ133" authorId="0" shapeId="0" xr:uid="{40BC036E-A23D-43BF-94C0-B89E5C48A0EC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Sept insurance was paid on Aug 29/24</t>
        </r>
      </text>
    </comment>
    <comment ref="BZ139" authorId="0" shapeId="0" xr:uid="{06115A71-C6B0-4858-98F4-13BA9A4D31F7}">
      <text>
        <r>
          <rPr>
            <b/>
            <sz val="9"/>
            <color indexed="81"/>
            <rFont val="Tahoma"/>
            <charset val="1"/>
          </rPr>
          <t>Gordon Mah:</t>
        </r>
        <r>
          <rPr>
            <sz val="9"/>
            <color indexed="81"/>
            <rFont val="Tahoma"/>
            <charset val="1"/>
          </rPr>
          <t xml:space="preserve">
Includes Chaitons and KPMG</t>
        </r>
      </text>
    </comment>
    <comment ref="BZ140" authorId="0" shapeId="0" xr:uid="{C3E5C0AB-5CBC-425E-814B-F6A1AF50305F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CAPEX FOR NEW ROOM</t>
        </r>
      </text>
    </comment>
    <comment ref="CA140" authorId="0" shapeId="0" xr:uid="{C7B5BE3A-84FD-443E-B366-378F35A7E0A6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CAPEX FOR NEW ROOM</t>
        </r>
      </text>
    </comment>
    <comment ref="CA142" authorId="0" shapeId="0" xr:uid="{FE402C2A-E4D0-4648-875F-A6FFF357A548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Includes estimated $20K bonus</t>
        </r>
      </text>
    </comment>
    <comment ref="CA143" authorId="0" shapeId="0" xr:uid="{84D2B395-9922-40BA-8424-B75F684E09EC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Includes estimated $20,600 WCB owing from Aug/Sept</t>
        </r>
      </text>
    </comment>
    <comment ref="BZ145" authorId="0" shapeId="0" xr:uid="{F3F4485D-D36C-47FA-8095-4AEC248395C5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Add Starlink internet</t>
        </r>
      </text>
    </comment>
    <comment ref="CA145" authorId="0" shapeId="0" xr:uid="{882562F6-6CE5-49DE-85EB-26BE1B2003E4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Includes $5K estimate for Aug 8-Aug 31 estimated bill</t>
        </r>
      </text>
    </comment>
    <comment ref="AV147" authorId="0" shapeId="0" xr:uid="{363B01F0-A681-4D0E-9503-244210AF90C1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Need March Direct Energy bill. Assume $21K</t>
        </r>
      </text>
    </comment>
    <comment ref="BT147" authorId="0" shapeId="0" xr:uid="{27A0F0C7-BE0F-4345-BD96-557D9780A776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Need March Direct Energy bill. Assume $21K</t>
        </r>
      </text>
    </comment>
    <comment ref="BU147" authorId="0" shapeId="0" xr:uid="{265E6844-3A07-4348-8876-D7EB4CDA0959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Need March Direct Energy bill. Assume $21K</t>
        </r>
      </text>
    </comment>
    <comment ref="BV147" authorId="0" shapeId="0" xr:uid="{EE5E90DD-E96E-48F4-BD85-D86BA2399E11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Need March Direct Energy bill. Assume $21K</t>
        </r>
      </text>
    </comment>
    <comment ref="BW147" authorId="0" shapeId="0" xr:uid="{654AB3B9-C0A9-43DB-A0CA-2270A44E38FB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Need March Direct Energy bill. Assume $21K</t>
        </r>
      </text>
    </comment>
    <comment ref="BX147" authorId="0" shapeId="0" xr:uid="{970799B5-B425-4BFF-AE48-301FDEF230BE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Need March Direct Energy bill. Assume $21K</t>
        </r>
      </text>
    </comment>
    <comment ref="BY147" authorId="0" shapeId="0" xr:uid="{6CB5D871-0355-4C15-AA55-2E2B74CBF4FB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Need March Direct Energy bill. Assume $21K</t>
        </r>
      </text>
    </comment>
    <comment ref="CA147" authorId="0" shapeId="0" xr:uid="{13036EA6-FAC8-4BE6-A14C-68D49D2D3591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Includes estimate of $75K of Aug post filing energy costs; split 80% COS and 20% SGA</t>
        </r>
      </text>
    </comment>
    <comment ref="BY159" authorId="0" shapeId="0" xr:uid="{C0AD462F-C726-4D86-922E-8C8695A2D9F8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CCAA stay on excise tax for Aug</t>
        </r>
      </text>
    </comment>
    <comment ref="BW161" authorId="0" shapeId="0" xr:uid="{35466AFC-7610-4144-BBE8-0A4DBB53703F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June 24 bank garnishment ATB</t>
        </r>
      </text>
    </comment>
    <comment ref="BX161" authorId="0" shapeId="0" xr:uid="{87E60404-A889-46EA-BB03-0094C46C54A5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CRA redirect cash receipt from NCD and $303,523.20 from AGLC and $166K BC
</t>
        </r>
      </text>
    </comment>
    <comment ref="BZ182" authorId="0" shapeId="0" xr:uid="{15A98D77-2264-4E37-ABE8-98CAD108566D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Received from CTS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Gordon Mah</author>
  </authors>
  <commentList>
    <comment ref="A40" authorId="0" shapeId="0" xr:uid="{7988D8E5-3F25-4399-BA1B-4DE67BC1C4A2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ON 0.003% data fee
</t>
        </r>
      </text>
    </comment>
    <comment ref="A44" authorId="0" shapeId="0" xr:uid="{500AF1A8-26B1-4A55-86B7-643EEEF73869}">
      <text>
        <r>
          <rPr>
            <b/>
            <sz val="9"/>
            <color indexed="81"/>
            <rFont val="Tahoma"/>
            <family val="2"/>
          </rPr>
          <t>Gordon Mah:</t>
        </r>
        <r>
          <rPr>
            <sz val="9"/>
            <color indexed="81"/>
            <rFont val="Tahoma"/>
            <family val="2"/>
          </rPr>
          <t xml:space="preserve">
AB 2% salvage fee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<sst xmlns="http://schemas.openxmlformats.org/spreadsheetml/2006/main" count="4312" uniqueCount="1114">
  <si>
    <t>Actual results</t>
  </si>
  <si>
    <t>FORECAST</t>
  </si>
  <si>
    <t>GRAMS - extracts</t>
  </si>
  <si>
    <t>Aug 2 Cash Flow to KPMG</t>
  </si>
  <si>
    <t>Change</t>
  </si>
  <si>
    <t>Comment</t>
  </si>
  <si>
    <t>GRAMS - w/o extracts</t>
  </si>
  <si>
    <t>BUDGET</t>
  </si>
  <si>
    <t>Fav (unfav)</t>
  </si>
  <si>
    <t>Defer to</t>
  </si>
  <si>
    <t>Grow cost</t>
  </si>
  <si>
    <t>Fulfill Cost</t>
  </si>
  <si>
    <t>Grams grown</t>
  </si>
  <si>
    <t>Row Labels</t>
  </si>
  <si>
    <t>2021</t>
  </si>
  <si>
    <t>2022</t>
  </si>
  <si>
    <t>Jan. 2021</t>
  </si>
  <si>
    <t>Feb. 2021</t>
  </si>
  <si>
    <t>Mar. 2021</t>
  </si>
  <si>
    <t>Apr. 2021</t>
  </si>
  <si>
    <t>Jun. 2021</t>
  </si>
  <si>
    <t>Jul. 2021</t>
  </si>
  <si>
    <t>Aug. 2021</t>
  </si>
  <si>
    <t>Sep. 2021</t>
  </si>
  <si>
    <t>Oct. 2021</t>
  </si>
  <si>
    <t>Nov. 2021</t>
  </si>
  <si>
    <t>Dec. 2021</t>
  </si>
  <si>
    <t>YTD 2021</t>
  </si>
  <si>
    <t>Jan. 2022</t>
  </si>
  <si>
    <t>Feb. 2022</t>
  </si>
  <si>
    <t>Mar. 2022</t>
  </si>
  <si>
    <t>Apr. 2022</t>
  </si>
  <si>
    <t>May 2022</t>
  </si>
  <si>
    <t>Jun. 2022</t>
  </si>
  <si>
    <t>Jul. 2022</t>
  </si>
  <si>
    <t>Aug. 2022</t>
  </si>
  <si>
    <t>Sep. 2022</t>
  </si>
  <si>
    <t>Oct. 2022</t>
  </si>
  <si>
    <t>Nov. 2022</t>
  </si>
  <si>
    <t>Dec. 2022</t>
  </si>
  <si>
    <t>YTD 2022</t>
  </si>
  <si>
    <t>Jan. 2023</t>
  </si>
  <si>
    <t>Feb. 2023</t>
  </si>
  <si>
    <t>Mar. 2023</t>
  </si>
  <si>
    <t>Apr. 2023</t>
  </si>
  <si>
    <t>May. 2023</t>
  </si>
  <si>
    <t>June. 2023</t>
  </si>
  <si>
    <t>July. 2023</t>
  </si>
  <si>
    <t>Aug. 2023</t>
  </si>
  <si>
    <t>Sept. 2023</t>
  </si>
  <si>
    <t>Oct. 2023</t>
  </si>
  <si>
    <t>Nov. 2023</t>
  </si>
  <si>
    <t>Dec. 2023</t>
  </si>
  <si>
    <t>YTD 2023</t>
  </si>
  <si>
    <t>Jan. 2024</t>
  </si>
  <si>
    <t>Feb. 2024</t>
  </si>
  <si>
    <t>Mar. 2024</t>
  </si>
  <si>
    <t>Apr. 2024</t>
  </si>
  <si>
    <t>May. 2024</t>
  </si>
  <si>
    <t>June. 2024</t>
  </si>
  <si>
    <t>July. 2024</t>
  </si>
  <si>
    <t>Aug. 2024</t>
  </si>
  <si>
    <t>Sept. 2024</t>
  </si>
  <si>
    <t>Oct. 2024</t>
  </si>
  <si>
    <t>Nov. 2024</t>
  </si>
  <si>
    <t>Dec. 2024</t>
  </si>
  <si>
    <t>YTD 2024</t>
  </si>
  <si>
    <t>Apr YTD</t>
  </si>
  <si>
    <t>May</t>
  </si>
  <si>
    <t>COS - grow</t>
  </si>
  <si>
    <t>COS - fulfillment</t>
  </si>
  <si>
    <t>Jan - Mar</t>
  </si>
  <si>
    <t>FY 2023</t>
  </si>
  <si>
    <t>Q1'24</t>
  </si>
  <si>
    <t>Grams - grown/ready for sale</t>
  </si>
  <si>
    <t>Grams - purchased</t>
  </si>
  <si>
    <t>Grams - sold</t>
  </si>
  <si>
    <t>Grams sold - allocation</t>
  </si>
  <si>
    <t xml:space="preserve"> Product</t>
  </si>
  <si>
    <t xml:space="preserve"> B2B/Export</t>
  </si>
  <si>
    <t xml:space="preserve"> Other</t>
  </si>
  <si>
    <t xml:space="preserve">    Subtotal</t>
  </si>
  <si>
    <t>Gram - allocation</t>
  </si>
  <si>
    <t>Product grown allocated to prov sales</t>
  </si>
  <si>
    <t>Product -purch</t>
  </si>
  <si>
    <t>B2B - grown</t>
  </si>
  <si>
    <t>Avg Purchase - price/gram</t>
  </si>
  <si>
    <t>$ Increase</t>
  </si>
  <si>
    <t xml:space="preserve">ORIGINAL </t>
  </si>
  <si>
    <t>PST</t>
  </si>
  <si>
    <t>Revenues (including PST &amp; GST)</t>
  </si>
  <si>
    <t>Tax Rate</t>
  </si>
  <si>
    <t>AB - weekly</t>
  </si>
  <si>
    <t>ON - 45 days</t>
  </si>
  <si>
    <t>SK - 45 days</t>
  </si>
  <si>
    <t>BC - 30 days</t>
  </si>
  <si>
    <t>MB - 45 days</t>
  </si>
  <si>
    <t>YK - 45 days</t>
  </si>
  <si>
    <t>NWT - 30 days</t>
  </si>
  <si>
    <t>NU - 45 days</t>
  </si>
  <si>
    <t>Revenues (excluding PST &amp; GST)</t>
  </si>
  <si>
    <t>Avg</t>
  </si>
  <si>
    <t>Revenues</t>
  </si>
  <si>
    <t xml:space="preserve">CRA Excise tax </t>
  </si>
  <si>
    <t>AGLC early payment/Salvage fee</t>
  </si>
  <si>
    <t>RTVs</t>
  </si>
  <si>
    <t xml:space="preserve">   Net revenues</t>
  </si>
  <si>
    <t>Grow costs</t>
  </si>
  <si>
    <t>Purchased cannabis</t>
  </si>
  <si>
    <t>Key account fees</t>
  </si>
  <si>
    <t>Fulfillment fees</t>
  </si>
  <si>
    <t>cost + 5%???????</t>
  </si>
  <si>
    <t>Product (includes PST &amp; GST)</t>
  </si>
  <si>
    <t>Rent - $85K (TBD)</t>
  </si>
  <si>
    <t>Services</t>
  </si>
  <si>
    <t>Equipment leases (Van/pre-roll)</t>
  </si>
  <si>
    <t>B2B</t>
  </si>
  <si>
    <t>SG&amp;A costs</t>
  </si>
  <si>
    <t>Other</t>
  </si>
  <si>
    <t>Net loss</t>
  </si>
  <si>
    <t xml:space="preserve">            Gross revenues</t>
  </si>
  <si>
    <t>AB</t>
  </si>
  <si>
    <t>Product</t>
  </si>
  <si>
    <t>ON</t>
  </si>
  <si>
    <t>SK</t>
  </si>
  <si>
    <t>BC</t>
  </si>
  <si>
    <t/>
  </si>
  <si>
    <t>Consignment</t>
  </si>
  <si>
    <t>MB</t>
  </si>
  <si>
    <t>RTV</t>
  </si>
  <si>
    <t>YK</t>
  </si>
  <si>
    <t>AGLC early payment fee</t>
  </si>
  <si>
    <t>NWT</t>
  </si>
  <si>
    <t>NU</t>
  </si>
  <si>
    <t xml:space="preserve">            Total revenues</t>
  </si>
  <si>
    <t>Excise Tax</t>
  </si>
  <si>
    <t>PST &amp; GST</t>
  </si>
  <si>
    <t xml:space="preserve">           Net revenues</t>
  </si>
  <si>
    <t>COGS</t>
  </si>
  <si>
    <t>CAM - 50%</t>
  </si>
  <si>
    <t>COS labor</t>
  </si>
  <si>
    <t>COS labor - Drying</t>
  </si>
  <si>
    <t>Revised Sept-Dec as discussed on Friday w/ Tim</t>
  </si>
  <si>
    <t>Grams grown/sold</t>
  </si>
  <si>
    <t>COS labor - Growing</t>
  </si>
  <si>
    <t>Cost per gram</t>
  </si>
  <si>
    <t>COS labor - Health Benefits</t>
  </si>
  <si>
    <t>COS labor - Inv Specialist</t>
  </si>
  <si>
    <t>COS labor - Maint</t>
  </si>
  <si>
    <t>Q1</t>
  </si>
  <si>
    <t>COS labor - Operations</t>
  </si>
  <si>
    <t>Cannabis purchased</t>
  </si>
  <si>
    <t>COS labor - Packaging</t>
  </si>
  <si>
    <t>grams purchased</t>
  </si>
  <si>
    <t>COS labor - Pre-roll</t>
  </si>
  <si>
    <t>Avg purchase price/gram</t>
  </si>
  <si>
    <t>COS labor - QA</t>
  </si>
  <si>
    <t>COS labor - Security</t>
  </si>
  <si>
    <t>COS labor - Sanitation</t>
  </si>
  <si>
    <t>Sales - product</t>
  </si>
  <si>
    <t>COS labor - Sales</t>
  </si>
  <si>
    <t>Excise tax</t>
  </si>
  <si>
    <t>COGS - Labor 3PP</t>
  </si>
  <si>
    <t xml:space="preserve">   Net sales</t>
  </si>
  <si>
    <t>COGS - labor - Laundry</t>
  </si>
  <si>
    <t>Grams sold</t>
  </si>
  <si>
    <t>Avg selling price/gram - gross</t>
  </si>
  <si>
    <t>COGS - Consignment</t>
  </si>
  <si>
    <t>Avg selling price/gram - net of tax</t>
  </si>
  <si>
    <t>COGS - Consignment Product Purchases</t>
  </si>
  <si>
    <t>COGS - Equipment Costs</t>
  </si>
  <si>
    <t>updated for July results</t>
  </si>
  <si>
    <t>COGS - Freight</t>
  </si>
  <si>
    <t>Forecast updated due to July actual update</t>
  </si>
  <si>
    <t>COGS - Supplies</t>
  </si>
  <si>
    <t>COGS - Samples</t>
  </si>
  <si>
    <t>COGS - Public Education Fee</t>
  </si>
  <si>
    <t>COGS - Data Subscription Fee</t>
  </si>
  <si>
    <t>COGS - BC Data Fee</t>
  </si>
  <si>
    <t>COGS - Purchased Goods</t>
  </si>
  <si>
    <t>rico to review</t>
  </si>
  <si>
    <t>COGS - Broker fee</t>
  </si>
  <si>
    <t>COGS - Salvage/Damaged</t>
  </si>
  <si>
    <t>COGS - Contracctors</t>
  </si>
  <si>
    <t>COGS - Testing</t>
  </si>
  <si>
    <t>COGS - CTS</t>
  </si>
  <si>
    <t>COGS - Bison Purchases</t>
  </si>
  <si>
    <t>COGS - Veg Plant Purchases</t>
  </si>
  <si>
    <t>COGS - Facility</t>
  </si>
  <si>
    <t>COGS - Facility Sanitation</t>
  </si>
  <si>
    <t>COGS - Facility Rent</t>
  </si>
  <si>
    <t>Rent revised down form $100K/mo to $85K/month</t>
  </si>
  <si>
    <t>COGS - Facility R&amp;M</t>
  </si>
  <si>
    <t>COGS - Facility Utilities</t>
  </si>
  <si>
    <t>COGS - Facility Security/Safety</t>
  </si>
  <si>
    <t>COGS - Facility Equip Fuel/Maint</t>
  </si>
  <si>
    <t>COGS - Propagation Materials</t>
  </si>
  <si>
    <t>COGS - Packaging</t>
  </si>
  <si>
    <t>discuss w/ rico</t>
  </si>
  <si>
    <t>COGS - Commission</t>
  </si>
  <si>
    <t>COGS - Depreciation</t>
  </si>
  <si>
    <t>COGS - Subcontractor</t>
  </si>
  <si>
    <t>COGS - Uniforms</t>
  </si>
  <si>
    <t>COGS - Disposables</t>
  </si>
  <si>
    <t>COGS - Capital Costs Growing</t>
  </si>
  <si>
    <t>COGS - Post Harvest Costs</t>
  </si>
  <si>
    <t>COGS - Chg in FV - Inv Impairment</t>
  </si>
  <si>
    <t>COGS - Change in FV realized through inventory</t>
  </si>
  <si>
    <t>COGS - Realized Chg in FV of inventory</t>
  </si>
  <si>
    <t xml:space="preserve">    Total COGS</t>
  </si>
  <si>
    <t>Gross margin</t>
  </si>
  <si>
    <t>GROSS MARGIN</t>
  </si>
  <si>
    <t>Operating Expenses</t>
  </si>
  <si>
    <t xml:space="preserve"> Amortization</t>
  </si>
  <si>
    <t>Accretion expense</t>
  </si>
  <si>
    <t>Advertising and promotion</t>
  </si>
  <si>
    <t>Bad debts</t>
  </si>
  <si>
    <t>Business taxes and licences</t>
  </si>
  <si>
    <t>Updated for Health Canada license renewal payments from Aug-Dec</t>
  </si>
  <si>
    <t>Computer software</t>
  </si>
  <si>
    <t>Donations</t>
  </si>
  <si>
    <t>Dues and memberships</t>
  </si>
  <si>
    <t>Insurance</t>
  </si>
  <si>
    <t>Revised to actual renewal fee</t>
  </si>
  <si>
    <t>Interest and bank charges</t>
  </si>
  <si>
    <t>Interest on long-term debt</t>
  </si>
  <si>
    <t>Meals and entertainment</t>
  </si>
  <si>
    <t>Office</t>
  </si>
  <si>
    <t>Revsied</t>
  </si>
  <si>
    <t>Professional development</t>
  </si>
  <si>
    <t>Revised down</t>
  </si>
  <si>
    <t>Professional fees</t>
  </si>
  <si>
    <t>Added $100K Aug retainer + increased additional prof fees each month</t>
  </si>
  <si>
    <t>Facility operating ccosts</t>
  </si>
  <si>
    <t>Expected Capex for phase 2 buildout of building</t>
  </si>
  <si>
    <t>Repairs and maintenance</t>
  </si>
  <si>
    <t>Salaries - sales</t>
  </si>
  <si>
    <t>Salaries, wages and benefits</t>
  </si>
  <si>
    <t>Security</t>
  </si>
  <si>
    <t>Telephone and internet</t>
  </si>
  <si>
    <t>Travel</t>
  </si>
  <si>
    <t xml:space="preserve">Reduced travel </t>
  </si>
  <si>
    <t>Utilities</t>
  </si>
  <si>
    <t>Vehicle expenses</t>
  </si>
  <si>
    <t>Share-based compensation</t>
  </si>
  <si>
    <t xml:space="preserve">     Total expenses</t>
  </si>
  <si>
    <t xml:space="preserve">  Total Opex</t>
  </si>
  <si>
    <t>Net loss (inc) before other inc (exp)</t>
  </si>
  <si>
    <t>Other income (exp)</t>
  </si>
  <si>
    <t>Other income (expense)</t>
  </si>
  <si>
    <t>MONTHLY OPERATING CASH FLOW- excluding intrest on debt and depn</t>
  </si>
  <si>
    <t>Disposal of 1. Assets2</t>
  </si>
  <si>
    <t>Gain (Loss) Disposal of Assets</t>
  </si>
  <si>
    <t>Working capital adjustments:</t>
  </si>
  <si>
    <t>Gain (Loss) Convertible Debenture Conversion</t>
  </si>
  <si>
    <t>Excise tax:</t>
  </si>
  <si>
    <t>Gain (Loss) on Extinguishment of Debt</t>
  </si>
  <si>
    <t>- Reverse accrued for current month</t>
  </si>
  <si>
    <t>Gain (Loss) on Settlement of Debt</t>
  </si>
  <si>
    <t xml:space="preserve"> - Payment of B-300 current</t>
  </si>
  <si>
    <t>updated due to revenue update</t>
  </si>
  <si>
    <t>Interest Income</t>
  </si>
  <si>
    <t xml:space="preserve"> - Payment of arrears</t>
  </si>
  <si>
    <t>Removed $200K/month of excise tax arrears payments</t>
  </si>
  <si>
    <t>Other Income</t>
  </si>
  <si>
    <t>- Excise arrears - catchup</t>
  </si>
  <si>
    <t>Rental Income</t>
  </si>
  <si>
    <t>Restructuring fees</t>
  </si>
  <si>
    <t>JL Legacy - loan</t>
  </si>
  <si>
    <t xml:space="preserve">     Total other inc (exp)</t>
  </si>
  <si>
    <t>JL Legacy - payments</t>
  </si>
  <si>
    <t>Intercompany:</t>
  </si>
  <si>
    <t xml:space="preserve">  - Amounts owing to ALT Cosmetics</t>
  </si>
  <si>
    <t>Payments expected to pay ALT consmetics</t>
  </si>
  <si>
    <t>Net income (loss) before taxes</t>
  </si>
  <si>
    <t>W/C adjustments</t>
  </si>
  <si>
    <t>Income Taxes</t>
  </si>
  <si>
    <t>Defer collection of AR</t>
  </si>
  <si>
    <t>Net income (loss) after taxes</t>
  </si>
  <si>
    <t>Addback to calculate Adjusted EBITDA:</t>
  </si>
  <si>
    <t>Amort</t>
  </si>
  <si>
    <t>Interest</t>
  </si>
  <si>
    <t>bad debts</t>
  </si>
  <si>
    <t>Estinguishment of debt</t>
  </si>
  <si>
    <t>Collection of AR</t>
  </si>
  <si>
    <t>Disposal of assets</t>
  </si>
  <si>
    <t>Updated for July 31 sales; expected to collect on 8/9/24</t>
  </si>
  <si>
    <t>Adjusted EBITDA</t>
  </si>
  <si>
    <t>Excise arrears</t>
  </si>
  <si>
    <t>Excise - B300</t>
  </si>
  <si>
    <t>Excise - reverse current month</t>
  </si>
  <si>
    <t>Excise arrears - catchup</t>
  </si>
  <si>
    <t>Excise - B300 - catchup</t>
  </si>
  <si>
    <t>JL Legacy loan</t>
  </si>
  <si>
    <t>Cash Flow (deficit)</t>
  </si>
  <si>
    <t>Ontario RTV</t>
  </si>
  <si>
    <t>Begnning cash</t>
  </si>
  <si>
    <t>BC Price Protection - ALT</t>
  </si>
  <si>
    <t>Ending cash</t>
  </si>
  <si>
    <t>Viridis RTVs</t>
  </si>
  <si>
    <t>Phase 2 buildout</t>
  </si>
  <si>
    <t>Viridis buildout</t>
  </si>
  <si>
    <t>Viridis AP arrears</t>
  </si>
  <si>
    <t>Pre-roll machine</t>
  </si>
  <si>
    <t>AP payments</t>
  </si>
  <si>
    <t>AR collections</t>
  </si>
  <si>
    <t>Inventory purcahses</t>
  </si>
  <si>
    <t>NON - AGLC AR deferred</t>
  </si>
  <si>
    <t>NON - AGLC AR collected - in 30 days</t>
  </si>
  <si>
    <t>NON - AGLC AR collected - in 45 days</t>
  </si>
  <si>
    <t>Period</t>
  </si>
  <si>
    <t>2022 - 12 month average</t>
  </si>
  <si>
    <t>Jan 2023</t>
  </si>
  <si>
    <t>Feb 2023</t>
  </si>
  <si>
    <t>Mar 2023</t>
  </si>
  <si>
    <t>Apr 2023</t>
  </si>
  <si>
    <t>May 2023</t>
  </si>
  <si>
    <t>June 2023</t>
  </si>
  <si>
    <t>Freedom Cannabis Inc.</t>
  </si>
  <si>
    <t>Customer Balance Detail</t>
  </si>
  <si>
    <t>As of September 20, 2024</t>
  </si>
  <si>
    <t>Date</t>
  </si>
  <si>
    <t>Transaction Type</t>
  </si>
  <si>
    <t>#</t>
  </si>
  <si>
    <t>Location</t>
  </si>
  <si>
    <t>Due Date</t>
  </si>
  <si>
    <t>Amount</t>
  </si>
  <si>
    <t>Open Balance</t>
  </si>
  <si>
    <t>Balance</t>
  </si>
  <si>
    <t>2447946 AB Ltd.</t>
  </si>
  <si>
    <t>04.24.2023</t>
  </si>
  <si>
    <t>Invoice</t>
  </si>
  <si>
    <t>05.24.2023</t>
  </si>
  <si>
    <t>Total for 2447946 AB Ltd.</t>
  </si>
  <si>
    <t>2563138 Alberta Ltd. (Alt Cosmetics)</t>
  </si>
  <si>
    <t>11.30.2023</t>
  </si>
  <si>
    <t>12.30.2023</t>
  </si>
  <si>
    <t>12.31.2023</t>
  </si>
  <si>
    <t>01.30.2024</t>
  </si>
  <si>
    <t>01.31.2024</t>
  </si>
  <si>
    <t>03.01.2024</t>
  </si>
  <si>
    <t>02.29.2024</t>
  </si>
  <si>
    <t>03.30.2024</t>
  </si>
  <si>
    <t>03.31.2024</t>
  </si>
  <si>
    <t>04.30.2024</t>
  </si>
  <si>
    <t>05.30.2024</t>
  </si>
  <si>
    <t>05.31.2024</t>
  </si>
  <si>
    <t>06.30.2024</t>
  </si>
  <si>
    <t>07.30.2024</t>
  </si>
  <si>
    <t>07.31.2024</t>
  </si>
  <si>
    <t>08.30.2024</t>
  </si>
  <si>
    <t>08.31.2024</t>
  </si>
  <si>
    <t>09.30.2024</t>
  </si>
  <si>
    <t>09.01.2024</t>
  </si>
  <si>
    <t>10.01.2024</t>
  </si>
  <si>
    <t>Total for 2563138 Alberta Ltd. (Alt Cosmetics)</t>
  </si>
  <si>
    <t>Airgraft inc.</t>
  </si>
  <si>
    <t>Journal Entry</t>
  </si>
  <si>
    <t>PP0711</t>
  </si>
  <si>
    <t>PP0710</t>
  </si>
  <si>
    <t>PP0709</t>
  </si>
  <si>
    <t>Airgraft 07.31.2024</t>
  </si>
  <si>
    <t>Airgraft 08.31.2024</t>
  </si>
  <si>
    <t>Total for Airgraft inc.</t>
  </si>
  <si>
    <t>Alberta Bud</t>
  </si>
  <si>
    <t>09.08.2023</t>
  </si>
  <si>
    <t>Total for Alberta Bud</t>
  </si>
  <si>
    <t>Alberta Gaming, Liquor &amp; Cannabis Commission (AGLC )</t>
  </si>
  <si>
    <t>09.19.2024</t>
  </si>
  <si>
    <t>10.03.2024</t>
  </si>
  <si>
    <t>Total for Alberta Gaming, Liquor &amp; Cannabis Commission (AGLC )</t>
  </si>
  <si>
    <t>British Columbia Liquor Distribution Branch</t>
  </si>
  <si>
    <t>09.20.2024</t>
  </si>
  <si>
    <t>10.20.2024</t>
  </si>
  <si>
    <t>Total for British Columbia Liquor Distribution Branch</t>
  </si>
  <si>
    <t>Cannabis Yukon</t>
  </si>
  <si>
    <t>09.02.2024</t>
  </si>
  <si>
    <t>YT</t>
  </si>
  <si>
    <t>10.02.2024</t>
  </si>
  <si>
    <t>Total for Cannabis Yukon</t>
  </si>
  <si>
    <t>Chase Elliot</t>
  </si>
  <si>
    <t>08.04.2023</t>
  </si>
  <si>
    <t>Total for Chase Elliot</t>
  </si>
  <si>
    <t>Edgewood Products Inc.</t>
  </si>
  <si>
    <t>11.16.2023</t>
  </si>
  <si>
    <t>12.01.2023</t>
  </si>
  <si>
    <t>Total for Edgewood Products Inc.</t>
  </si>
  <si>
    <t>Endless Sky Inc.</t>
  </si>
  <si>
    <t>11.28.2022</t>
  </si>
  <si>
    <t>CCM-50006618-4916674</t>
  </si>
  <si>
    <t>01.27.2023</t>
  </si>
  <si>
    <t>01.04.2023</t>
  </si>
  <si>
    <t>RE:2538</t>
  </si>
  <si>
    <t>Total for Endless Sky Inc.</t>
  </si>
  <si>
    <t>Enterprise Teedy Inc.</t>
  </si>
  <si>
    <t>01.10.2024</t>
  </si>
  <si>
    <t>QC</t>
  </si>
  <si>
    <t>01.25.2024</t>
  </si>
  <si>
    <t>Total for Enterprise Teedy Inc.</t>
  </si>
  <si>
    <t>Helios Cultivation Corp</t>
  </si>
  <si>
    <t>08.07.2024</t>
  </si>
  <si>
    <t>09.06.2024</t>
  </si>
  <si>
    <t>Total for Helios Cultivation Corp</t>
  </si>
  <si>
    <t>Joint Venture Craft Cannabis</t>
  </si>
  <si>
    <t>02.17.2023</t>
  </si>
  <si>
    <t>RE 2594</t>
  </si>
  <si>
    <t>03.22.2024</t>
  </si>
  <si>
    <t>03.25.2024</t>
  </si>
  <si>
    <t>Total for Joint Venture Craft Cannabis</t>
  </si>
  <si>
    <t>Loud Lion Supply Ltd.</t>
  </si>
  <si>
    <t>03.26.2024</t>
  </si>
  <si>
    <t>03.27.2024</t>
  </si>
  <si>
    <t>Total for Loud Lion Supply Ltd.</t>
  </si>
  <si>
    <t>Manitoba Liquor &amp; Lotteries</t>
  </si>
  <si>
    <t>01.01.2024</t>
  </si>
  <si>
    <t>01.03.2024</t>
  </si>
  <si>
    <t>02.02.2024</t>
  </si>
  <si>
    <t>01.16.2024</t>
  </si>
  <si>
    <t>02.15.2024</t>
  </si>
  <si>
    <t>03.12.2024</t>
  </si>
  <si>
    <t>04.11.2024</t>
  </si>
  <si>
    <t>05.09.2024</t>
  </si>
  <si>
    <t>06.08.2024</t>
  </si>
  <si>
    <t>06.12.2024</t>
  </si>
  <si>
    <t>07.12.2024</t>
  </si>
  <si>
    <t>06.24.2024</t>
  </si>
  <si>
    <t>07.24.2024</t>
  </si>
  <si>
    <t>Total for Manitoba Liquor &amp; Lotteries</t>
  </si>
  <si>
    <t>Medicibis</t>
  </si>
  <si>
    <t>04.24.2024</t>
  </si>
  <si>
    <t>Credit Memo</t>
  </si>
  <si>
    <t>Total for Medicibis</t>
  </si>
  <si>
    <t>National Cannabis Distribution Inc</t>
  </si>
  <si>
    <t>04.01.2024</t>
  </si>
  <si>
    <t>05.12.2024</t>
  </si>
  <si>
    <t>05.01.2024</t>
  </si>
  <si>
    <t>06.10.2024</t>
  </si>
  <si>
    <t>05.08.2024</t>
  </si>
  <si>
    <t>06.22.2024</t>
  </si>
  <si>
    <t>07.19.2024</t>
  </si>
  <si>
    <t>09.14.2024</t>
  </si>
  <si>
    <t>09.13.2024</t>
  </si>
  <si>
    <t>10.28.2024</t>
  </si>
  <si>
    <t>09.17.2024</t>
  </si>
  <si>
    <t>11.04.2024</t>
  </si>
  <si>
    <t>Total for National Cannabis Distribution Inc</t>
  </si>
  <si>
    <t>Nektar Inc. (Fab)</t>
  </si>
  <si>
    <t>Deposit</t>
  </si>
  <si>
    <t>Total for Nektar Inc. (Fab)</t>
  </si>
  <si>
    <t>Nuna Cannabis Store Inc</t>
  </si>
  <si>
    <t>Total for Nuna Cannabis Store Inc</t>
  </si>
  <si>
    <t>NWT Liquor and Cannabis Commission</t>
  </si>
  <si>
    <t>12.07.2021</t>
  </si>
  <si>
    <t>Payment</t>
  </si>
  <si>
    <t>LC 029883</t>
  </si>
  <si>
    <t>08.23.2024</t>
  </si>
  <si>
    <t>1675 - 4</t>
  </si>
  <si>
    <t>Total for NWT Liquor and Cannabis Commission</t>
  </si>
  <si>
    <t>Ontario Cannabis Retail Corporation/ OCRC</t>
  </si>
  <si>
    <t>07.26.2024</t>
  </si>
  <si>
    <t>09.24.2024</t>
  </si>
  <si>
    <t>08.02.2024</t>
  </si>
  <si>
    <t>08.09.2024</t>
  </si>
  <si>
    <t>10.08.2024</t>
  </si>
  <si>
    <t>10.22.2024</t>
  </si>
  <si>
    <t>11.05.2024</t>
  </si>
  <si>
    <t>11.12.2024</t>
  </si>
  <si>
    <t>11.19.2024</t>
  </si>
  <si>
    <t>Total for Ontario Cannabis Retail Corporation/ OCRC</t>
  </si>
  <si>
    <t>Partake Cannabis</t>
  </si>
  <si>
    <t>05.17.2024</t>
  </si>
  <si>
    <t>06.16.2024</t>
  </si>
  <si>
    <t>08.03.2024</t>
  </si>
  <si>
    <t>08.16.2024</t>
  </si>
  <si>
    <t>08.26.2024</t>
  </si>
  <si>
    <t>09.09.2024</t>
  </si>
  <si>
    <t>09.12.2024</t>
  </si>
  <si>
    <t>09.22.2024</t>
  </si>
  <si>
    <t>Total for Partake Cannabis</t>
  </si>
  <si>
    <t>PBG Bio Pharma</t>
  </si>
  <si>
    <t>Total for PBG Bio Pharma</t>
  </si>
  <si>
    <t>Pistol And Paris Supply Co.</t>
  </si>
  <si>
    <t>10.05.2022</t>
  </si>
  <si>
    <t>RE-2263</t>
  </si>
  <si>
    <t>11.04.2022</t>
  </si>
  <si>
    <t>Total for Pistol And Paris Supply Co.</t>
  </si>
  <si>
    <t>RoyalMax Biotechnology</t>
  </si>
  <si>
    <t>09.22.2023</t>
  </si>
  <si>
    <t>09.25.2023</t>
  </si>
  <si>
    <t>Total for RoyalMax Biotechnology</t>
  </si>
  <si>
    <t>Running Leaf Corporation</t>
  </si>
  <si>
    <t>Total for Running Leaf Corporation</t>
  </si>
  <si>
    <t>Saskatchewan Coughy Shop</t>
  </si>
  <si>
    <t>12.01.2022</t>
  </si>
  <si>
    <t>Total for Saskatchewan Coughy Shop</t>
  </si>
  <si>
    <t>The Greenhouse Cannabis</t>
  </si>
  <si>
    <t>11.30.2022</t>
  </si>
  <si>
    <t>RE:2412</t>
  </si>
  <si>
    <t>12.30.2022</t>
  </si>
  <si>
    <t>01.31.2023</t>
  </si>
  <si>
    <t>RE 2544</t>
  </si>
  <si>
    <t>03.02.2023</t>
  </si>
  <si>
    <t>Total for The Greenhouse Cannabis</t>
  </si>
  <si>
    <t>Tim Latimer.</t>
  </si>
  <si>
    <t>Total for Tim Latimer.</t>
  </si>
  <si>
    <t>Under the Sun Groweries Inc.BANKRUPT</t>
  </si>
  <si>
    <t>07.20.2023</t>
  </si>
  <si>
    <t>07.21.2023</t>
  </si>
  <si>
    <t>07.28.2023</t>
  </si>
  <si>
    <t>08.01.2023</t>
  </si>
  <si>
    <t>10.18.2023</t>
  </si>
  <si>
    <t>10.20.2023</t>
  </si>
  <si>
    <t>10.26.2023</t>
  </si>
  <si>
    <t>10.27.2023</t>
  </si>
  <si>
    <t>Total for Under the Sun Groweries Inc.BANKRUPT</t>
  </si>
  <si>
    <t>TOTAL</t>
  </si>
  <si>
    <t>Thursday, Sep. 26, 2024 10:06:56 a.m. GMT-7</t>
  </si>
  <si>
    <t>Supplier Balance Detail</t>
  </si>
  <si>
    <t>1269537 Alberta Ltd.</t>
  </si>
  <si>
    <t>03.15.2023</t>
  </si>
  <si>
    <t>Bill</t>
  </si>
  <si>
    <t>03.25.2023</t>
  </si>
  <si>
    <t>11.01.2023</t>
  </si>
  <si>
    <t>Total for 1269537 Alberta Ltd.</t>
  </si>
  <si>
    <t>4C Cannabis</t>
  </si>
  <si>
    <t>05.16.2024</t>
  </si>
  <si>
    <t>05.26.2024</t>
  </si>
  <si>
    <t>Total for 4C Cannabis</t>
  </si>
  <si>
    <t>Alt Cosmetics</t>
  </si>
  <si>
    <t>03.11.2024</t>
  </si>
  <si>
    <t>03.21.2024</t>
  </si>
  <si>
    <t>07.16.2024</t>
  </si>
  <si>
    <t>ALT AP PMT July</t>
  </si>
  <si>
    <t>Total for Alt Cosmetics</t>
  </si>
  <si>
    <t>Ample Organics Inc. - DO NOT PAY</t>
  </si>
  <si>
    <t>03.01.2022</t>
  </si>
  <si>
    <t>03.31.2022</t>
  </si>
  <si>
    <t>INV00042158</t>
  </si>
  <si>
    <t>12.31.2022</t>
  </si>
  <si>
    <t>01.01.2023</t>
  </si>
  <si>
    <t>INV00042532</t>
  </si>
  <si>
    <t>02.01.2023</t>
  </si>
  <si>
    <t>INV00042926.</t>
  </si>
  <si>
    <t>03.03.2023</t>
  </si>
  <si>
    <t>03.01.2023</t>
  </si>
  <si>
    <t>INV00043297</t>
  </si>
  <si>
    <t>03.31.2023</t>
  </si>
  <si>
    <t>Total for Ample Organics Inc. - DO NOT PAY</t>
  </si>
  <si>
    <t>Auxly Leamington Inc.</t>
  </si>
  <si>
    <t>09.26.2022</t>
  </si>
  <si>
    <t>SON00000081</t>
  </si>
  <si>
    <t>Total for Auxly Leamington Inc.</t>
  </si>
  <si>
    <t>Bean Grinding Inc</t>
  </si>
  <si>
    <t>08.01.2024</t>
  </si>
  <si>
    <t>09.29.2024</t>
  </si>
  <si>
    <t>Total for Bean Grinding Inc</t>
  </si>
  <si>
    <t>Bennett Jones LLP</t>
  </si>
  <si>
    <t>Expense</t>
  </si>
  <si>
    <t>02.05.2024</t>
  </si>
  <si>
    <t>Total for Bennett Jones LLP</t>
  </si>
  <si>
    <t>BIOSCISION PHARMA INC.</t>
  </si>
  <si>
    <t>03.18.2024</t>
  </si>
  <si>
    <t>PSI0004206</t>
  </si>
  <si>
    <t>04.17.2024</t>
  </si>
  <si>
    <t>PSI0004292</t>
  </si>
  <si>
    <t>04.20.2024</t>
  </si>
  <si>
    <t>PSI0004342</t>
  </si>
  <si>
    <t>04.25.2024</t>
  </si>
  <si>
    <t>04.16.2024</t>
  </si>
  <si>
    <t>PSI0004547</t>
  </si>
  <si>
    <t>PSI0004679</t>
  </si>
  <si>
    <t>05.24.2024</t>
  </si>
  <si>
    <t>04.26.2024</t>
  </si>
  <si>
    <t>PSI0004709</t>
  </si>
  <si>
    <t>PSI0004720</t>
  </si>
  <si>
    <t>05.03.2024</t>
  </si>
  <si>
    <t>PSI0004756</t>
  </si>
  <si>
    <t>06.02.2024</t>
  </si>
  <si>
    <t>PSI0004819</t>
  </si>
  <si>
    <t>06.07.2024</t>
  </si>
  <si>
    <t>PSI0004824</t>
  </si>
  <si>
    <t>05.10.2024</t>
  </si>
  <si>
    <t>PSI0004850</t>
  </si>
  <si>
    <t>06.09.2024</t>
  </si>
  <si>
    <t>05.13.2024</t>
  </si>
  <si>
    <t>PSI0004861</t>
  </si>
  <si>
    <t>05.14.2024</t>
  </si>
  <si>
    <t>PSI0004870</t>
  </si>
  <si>
    <t>06.13.2024</t>
  </si>
  <si>
    <t>PSI0004899</t>
  </si>
  <si>
    <t>06.15.2024</t>
  </si>
  <si>
    <t>PSI0004906</t>
  </si>
  <si>
    <t>05.21.2024</t>
  </si>
  <si>
    <t>PSI0004912</t>
  </si>
  <si>
    <t>06.20.2024</t>
  </si>
  <si>
    <t>05.22.2024</t>
  </si>
  <si>
    <t>PSI0004918</t>
  </si>
  <si>
    <t>06.21.2024</t>
  </si>
  <si>
    <t>06.03.2024</t>
  </si>
  <si>
    <t>PSI0005064</t>
  </si>
  <si>
    <t>07.03.2024</t>
  </si>
  <si>
    <t>06.04.2024</t>
  </si>
  <si>
    <t>PSI0005071</t>
  </si>
  <si>
    <t>07.04.2024</t>
  </si>
  <si>
    <t>Total for BIOSCISION PHARMA INC.</t>
  </si>
  <si>
    <t>Canadian Bank Note Company</t>
  </si>
  <si>
    <t>09.11.2024</t>
  </si>
  <si>
    <t>10.11.2024</t>
  </si>
  <si>
    <t>CV-0010217</t>
  </si>
  <si>
    <t>10.13.2024</t>
  </si>
  <si>
    <t>Total for Canadian Bank Note Company</t>
  </si>
  <si>
    <t>Canadian Cannabis Exchange Ltd</t>
  </si>
  <si>
    <t>07.23.2024</t>
  </si>
  <si>
    <t>Total for Canadian Cannabis Exchange Ltd</t>
  </si>
  <si>
    <t>CRB Advisory Corp</t>
  </si>
  <si>
    <t>09.18.2024</t>
  </si>
  <si>
    <t>09.28.2024</t>
  </si>
  <si>
    <t>Total for CRB Advisory Corp</t>
  </si>
  <si>
    <t>Diamond &amp; Diamond Law</t>
  </si>
  <si>
    <t>Retainer Diamond &amp; Di</t>
  </si>
  <si>
    <t>01.05.2024</t>
  </si>
  <si>
    <t>Total for Diamond &amp; Diamond Law</t>
  </si>
  <si>
    <t>Direct Energy Electricity (Business)</t>
  </si>
  <si>
    <t>242040050818099</t>
  </si>
  <si>
    <t>242360050833331</t>
  </si>
  <si>
    <t>Total for Direct Energy Electricity (Business)</t>
  </si>
  <si>
    <t>Direct Energy Gas (Regulated Services)</t>
  </si>
  <si>
    <t>304002513227</t>
  </si>
  <si>
    <t>09.03.2024</t>
  </si>
  <si>
    <t>309002224099</t>
  </si>
  <si>
    <t>Total for Direct Energy Gas (Regulated Services)</t>
  </si>
  <si>
    <t>Enmax Energy Corporation</t>
  </si>
  <si>
    <t>03'24 Accrual</t>
  </si>
  <si>
    <t>06'24 Accrual</t>
  </si>
  <si>
    <t>07.01.2024</t>
  </si>
  <si>
    <t>07'24 Accrual</t>
  </si>
  <si>
    <t>08'25 Accrual</t>
  </si>
  <si>
    <t>Total for Enmax Energy Corporation</t>
  </si>
  <si>
    <t>Epcor - DO NOT PAY - WAIT FOR PAYMENT PLAN</t>
  </si>
  <si>
    <t>12.13.2022</t>
  </si>
  <si>
    <t>December 13, 2022</t>
  </si>
  <si>
    <t>01.03.2023</t>
  </si>
  <si>
    <t>01.17.2023</t>
  </si>
  <si>
    <t>January 17 2023</t>
  </si>
  <si>
    <t>07.25.2024</t>
  </si>
  <si>
    <t>Supplier Credit</t>
  </si>
  <si>
    <t>Bill ADJ</t>
  </si>
  <si>
    <t>Total for Epcor - DO NOT PAY - WAIT FOR PAYMENT PLAN</t>
  </si>
  <si>
    <t>Flow Scientific LTD</t>
  </si>
  <si>
    <t>Total for Flow Scientific LTD</t>
  </si>
  <si>
    <t>General Signs And Fabrication</t>
  </si>
  <si>
    <t>03.04.2024</t>
  </si>
  <si>
    <t>04.03.2024</t>
  </si>
  <si>
    <t>Total for General Signs And Fabrication</t>
  </si>
  <si>
    <t>Greenpaths Software</t>
  </si>
  <si>
    <t>INV-1339</t>
  </si>
  <si>
    <t>INV-1381</t>
  </si>
  <si>
    <t>08.06.2024</t>
  </si>
  <si>
    <t>Total for Greenpaths Software</t>
  </si>
  <si>
    <t>Gripon 420</t>
  </si>
  <si>
    <t>08.10.2022</t>
  </si>
  <si>
    <t>08.20.2022</t>
  </si>
  <si>
    <t>Total for Gripon 420</t>
  </si>
  <si>
    <t>Half-Time AI</t>
  </si>
  <si>
    <t>09.07.2024</t>
  </si>
  <si>
    <t>Total for Half-Time AI</t>
  </si>
  <si>
    <t>Health Canada</t>
  </si>
  <si>
    <t>07.02.2024</t>
  </si>
  <si>
    <t>RB14056838470</t>
  </si>
  <si>
    <t>2025-8</t>
  </si>
  <si>
    <t>04.28.2025</t>
  </si>
  <si>
    <t>2025-1</t>
  </si>
  <si>
    <t>2025-3</t>
  </si>
  <si>
    <t>11.28.2024</t>
  </si>
  <si>
    <t>2025-4</t>
  </si>
  <si>
    <t>12.28.2024</t>
  </si>
  <si>
    <t>2025-12</t>
  </si>
  <si>
    <t>08.28.2025</t>
  </si>
  <si>
    <t>2025-11</t>
  </si>
  <si>
    <t>07.28.2025</t>
  </si>
  <si>
    <t>2025-10</t>
  </si>
  <si>
    <t>06.28.2025</t>
  </si>
  <si>
    <t>2025-9</t>
  </si>
  <si>
    <t>05.28.2025</t>
  </si>
  <si>
    <t>2025-7</t>
  </si>
  <si>
    <t>03.28.2025</t>
  </si>
  <si>
    <t>2025-6</t>
  </si>
  <si>
    <t>02.28.2025</t>
  </si>
  <si>
    <t>2025-5</t>
  </si>
  <si>
    <t>01.28.2025</t>
  </si>
  <si>
    <t>2024-12</t>
  </si>
  <si>
    <t>08.28.2024</t>
  </si>
  <si>
    <t>Total for Health Canada</t>
  </si>
  <si>
    <t>Heritage Cannabis East,</t>
  </si>
  <si>
    <t>12.06.2023</t>
  </si>
  <si>
    <t>SI00005666</t>
  </si>
  <si>
    <t>12.13.2023</t>
  </si>
  <si>
    <t>Total for Heritage Cannabis East,</t>
  </si>
  <si>
    <t>High North Laboratories Inc</t>
  </si>
  <si>
    <t>Total for High North Laboratories Inc</t>
  </si>
  <si>
    <t>Highdeal Solutions - ON HOLD UNTIL OCTOBER - CHECK WITH RICO</t>
  </si>
  <si>
    <t>06.12.2023</t>
  </si>
  <si>
    <t>Total for Highdeal Solutions - ON HOLD UNTIL OCTOBER - CHECK WITH RICO</t>
  </si>
  <si>
    <t>Icon Elevator</t>
  </si>
  <si>
    <t>08.15.2024</t>
  </si>
  <si>
    <t>2024-0809</t>
  </si>
  <si>
    <t>Total for Icon Elevator</t>
  </si>
  <si>
    <t>Incan Transportation (Octave Logistics)</t>
  </si>
  <si>
    <t>02.14.2024</t>
  </si>
  <si>
    <t>03.15.2024</t>
  </si>
  <si>
    <t>Total for Incan Transportation (Octave Logistics)</t>
  </si>
  <si>
    <t>Innovation's Hospitality consulting</t>
  </si>
  <si>
    <t>11.27.2023</t>
  </si>
  <si>
    <t>Bill Payment (Cheque)</t>
  </si>
  <si>
    <t>Etransfer</t>
  </si>
  <si>
    <t>12.11.2023</t>
  </si>
  <si>
    <t>12.18.2023</t>
  </si>
  <si>
    <t>12.20.2023</t>
  </si>
  <si>
    <t>etransfer</t>
  </si>
  <si>
    <t>01.15.2024</t>
  </si>
  <si>
    <t>FINAL INVOICE BOX 1</t>
  </si>
  <si>
    <t>05.19.2024</t>
  </si>
  <si>
    <t>box 6</t>
  </si>
  <si>
    <t>Total for Innovation's Hospitality consulting</t>
  </si>
  <si>
    <t>Integrity Waste Solutions</t>
  </si>
  <si>
    <t>08.27.2024</t>
  </si>
  <si>
    <t>Total for Integrity Waste Solutions</t>
  </si>
  <si>
    <t>Joffre`s water</t>
  </si>
  <si>
    <t>Total for Joffre`s water</t>
  </si>
  <si>
    <t>JSS Barristers</t>
  </si>
  <si>
    <t>03.06.2024</t>
  </si>
  <si>
    <t>03.13.2024</t>
  </si>
  <si>
    <t>Total for JSS Barristers</t>
  </si>
  <si>
    <t>Julie Potestio - Expense Report</t>
  </si>
  <si>
    <t>08.08.2024</t>
  </si>
  <si>
    <t>Total for Julie Potestio - Expense Report</t>
  </si>
  <si>
    <t>Labstat</t>
  </si>
  <si>
    <t>08.20.2024</t>
  </si>
  <si>
    <t>EDM-0842729</t>
  </si>
  <si>
    <t>EDM-0844997</t>
  </si>
  <si>
    <t>09.27.2024</t>
  </si>
  <si>
    <t>09.05.2024</t>
  </si>
  <si>
    <t>EDM-0845535</t>
  </si>
  <si>
    <t>10.05.2024</t>
  </si>
  <si>
    <t>09.08.2024</t>
  </si>
  <si>
    <t>EDM-0846392</t>
  </si>
  <si>
    <t>EDM-0848375</t>
  </si>
  <si>
    <t>EDM-0847377</t>
  </si>
  <si>
    <t>EDM-0849637</t>
  </si>
  <si>
    <t>10.14.2024</t>
  </si>
  <si>
    <t>EDM-0850639</t>
  </si>
  <si>
    <t>09.26.2024</t>
  </si>
  <si>
    <t>EDM-0851393</t>
  </si>
  <si>
    <t>Total for Labstat</t>
  </si>
  <si>
    <t>LD Distributors Ltd (L&amp;D Filtration)</t>
  </si>
  <si>
    <t>Total for LD Distributors Ltd (L&amp;D Filtration)</t>
  </si>
  <si>
    <t>Linde Canada Inc</t>
  </si>
  <si>
    <t>07.13.2024</t>
  </si>
  <si>
    <t>07.20.2024</t>
  </si>
  <si>
    <t>07.28.2024</t>
  </si>
  <si>
    <t>08.12.2024</t>
  </si>
  <si>
    <t>08.10.2024</t>
  </si>
  <si>
    <t>08.14.2024</t>
  </si>
  <si>
    <t>Total for Linde Canada Inc</t>
  </si>
  <si>
    <t>Loud Lion Supply ltd</t>
  </si>
  <si>
    <t>08.29.2024</t>
  </si>
  <si>
    <t>Total for Loud Lion Supply ltd</t>
  </si>
  <si>
    <t>MacEwan Print Services</t>
  </si>
  <si>
    <t>Total for MacEwan Print Services</t>
  </si>
  <si>
    <t>MacKay CEO Forums</t>
  </si>
  <si>
    <t>INV-0000013475</t>
  </si>
  <si>
    <t>12.04.2023</t>
  </si>
  <si>
    <t>02.20.2024</t>
  </si>
  <si>
    <t>INV-0000014181</t>
  </si>
  <si>
    <t>02.27.2024</t>
  </si>
  <si>
    <t>Total for MacKay CEO Forums</t>
  </si>
  <si>
    <t>Marigold Marketing &amp; PR</t>
  </si>
  <si>
    <t>06.17.2024</t>
  </si>
  <si>
    <t>Total for Marigold Marketing &amp; PR</t>
  </si>
  <si>
    <t>McCann Print solutiions DONT Pay until we are asked</t>
  </si>
  <si>
    <t>02.23.2023</t>
  </si>
  <si>
    <t># 00008332</t>
  </si>
  <si>
    <t>03.10.2023</t>
  </si>
  <si>
    <t>04.09.2023</t>
  </si>
  <si>
    <t>Total for McCann Print solutiions DONT Pay until we are asked</t>
  </si>
  <si>
    <t>McLennan Ross LLP</t>
  </si>
  <si>
    <t>11.22.2023</t>
  </si>
  <si>
    <t>11.29.2023</t>
  </si>
  <si>
    <t>04.10.2024</t>
  </si>
  <si>
    <t>Total for McLennan Ross LLP</t>
  </si>
  <si>
    <t>MNP LLP - DO NOT PAY</t>
  </si>
  <si>
    <t>09.30.2022</t>
  </si>
  <si>
    <t>10.01.2022</t>
  </si>
  <si>
    <t>11.01.2022</t>
  </si>
  <si>
    <t>11.29.2022</t>
  </si>
  <si>
    <t>01.30.2023</t>
  </si>
  <si>
    <t>02.28.2023</t>
  </si>
  <si>
    <t>Stmt FEB23</t>
  </si>
  <si>
    <t>06.30.2023</t>
  </si>
  <si>
    <t>Stmt JUN23</t>
  </si>
  <si>
    <t>07.30.2023</t>
  </si>
  <si>
    <t>07.31.2023</t>
  </si>
  <si>
    <t>Stmt JUL23</t>
  </si>
  <si>
    <t>08.31.2023</t>
  </si>
  <si>
    <t>Stmt AUG23</t>
  </si>
  <si>
    <t>09.30.2023</t>
  </si>
  <si>
    <t>Stmt SEP23</t>
  </si>
  <si>
    <t>10.31.2023</t>
  </si>
  <si>
    <t>Stmt OCT23</t>
  </si>
  <si>
    <t>Stmt NOV23</t>
  </si>
  <si>
    <t>Stmt DEC23</t>
  </si>
  <si>
    <t>Statement Jan 2024</t>
  </si>
  <si>
    <t>02.01.2024</t>
  </si>
  <si>
    <t>Total for MNP LLP - DO NOT PAY</t>
  </si>
  <si>
    <t>Navaya Inc. - DO NOT PAY (BANKRUPTCY)</t>
  </si>
  <si>
    <t>NAV-S-0002258</t>
  </si>
  <si>
    <t>Total for Navaya Inc. - DO NOT PAY (BANKRUPTCY)</t>
  </si>
  <si>
    <t>ND Supplies Inc</t>
  </si>
  <si>
    <t>07.08.2024</t>
  </si>
  <si>
    <t>07.18.2024</t>
  </si>
  <si>
    <t>Total for ND Supplies Inc</t>
  </si>
  <si>
    <t>Neobi Technology Corp</t>
  </si>
  <si>
    <t>Total for Neobi Technology Corp</t>
  </si>
  <si>
    <t>Neogen</t>
  </si>
  <si>
    <t>04.18.2024</t>
  </si>
  <si>
    <t>Total for Neogen</t>
  </si>
  <si>
    <t>Neptune Solutions On Hold read comments</t>
  </si>
  <si>
    <t>07.25.2022</t>
  </si>
  <si>
    <t>CCE-550029</t>
  </si>
  <si>
    <t>CCE-550026</t>
  </si>
  <si>
    <t>Total for Neptune Solutions On Hold read comments</t>
  </si>
  <si>
    <t>Nighthawk Cannabis Inc</t>
  </si>
  <si>
    <t>05.19.2023</t>
  </si>
  <si>
    <t>2023-INV-0029</t>
  </si>
  <si>
    <t>05.29.2023</t>
  </si>
  <si>
    <t>Total for Nighthawk Cannabis Inc</t>
  </si>
  <si>
    <t>Nine Lions Bioscience Corp</t>
  </si>
  <si>
    <t>12.15.2023</t>
  </si>
  <si>
    <t>12.22.2023</t>
  </si>
  <si>
    <t>Total for Nine Lions Bioscience Corp</t>
  </si>
  <si>
    <t>Origine Nature</t>
  </si>
  <si>
    <t>Feb 24 2023</t>
  </si>
  <si>
    <t>Total for Origine Nature</t>
  </si>
  <si>
    <t>Parkland County Utilities</t>
  </si>
  <si>
    <t>03.29.2024</t>
  </si>
  <si>
    <t>06.01.2024</t>
  </si>
  <si>
    <t>06/30/24</t>
  </si>
  <si>
    <t>06.11.2024</t>
  </si>
  <si>
    <t>Total for Parkland County Utilities</t>
  </si>
  <si>
    <t>Parkland Courier Services</t>
  </si>
  <si>
    <t>10.06.2024</t>
  </si>
  <si>
    <t>10.19.2024</t>
  </si>
  <si>
    <t>Total for Parkland Courier Services</t>
  </si>
  <si>
    <t>Pathogenia Inc</t>
  </si>
  <si>
    <t>07.15.2024</t>
  </si>
  <si>
    <t>INV9452</t>
  </si>
  <si>
    <t>Total for Pathogenia Inc</t>
  </si>
  <si>
    <t>PrinterWorks West CHANGE OF ACCT FOR BANK</t>
  </si>
  <si>
    <t>07.27.2023</t>
  </si>
  <si>
    <t>EFT490065</t>
  </si>
  <si>
    <t>01.11.2024</t>
  </si>
  <si>
    <t>EFT 639519</t>
  </si>
  <si>
    <t>Total for PrinterWorks West CHANGE OF ACCT FOR BANK</t>
  </si>
  <si>
    <t>Pure life Carbon</t>
  </si>
  <si>
    <t>07.10.2024</t>
  </si>
  <si>
    <t>PP0714</t>
  </si>
  <si>
    <t>07.17.2024</t>
  </si>
  <si>
    <t>IN000108</t>
  </si>
  <si>
    <t>Total for Pure life Carbon</t>
  </si>
  <si>
    <t>Purolator Inc</t>
  </si>
  <si>
    <t>02.23.2024</t>
  </si>
  <si>
    <t>EFT675800</t>
  </si>
  <si>
    <t>04.12.2024</t>
  </si>
  <si>
    <t>EFT</t>
  </si>
  <si>
    <t>05.18.2024</t>
  </si>
  <si>
    <t>EFT751873</t>
  </si>
  <si>
    <t>Total for Purolator Inc</t>
  </si>
  <si>
    <t>Quality Wholesale</t>
  </si>
  <si>
    <t>RC 3505</t>
  </si>
  <si>
    <t>Total for Quality Wholesale</t>
  </si>
  <si>
    <t>Rancho Realty (Edmonton) Ltd.</t>
  </si>
  <si>
    <t>01.01.2022</t>
  </si>
  <si>
    <t>01.11.2022</t>
  </si>
  <si>
    <t>03.11.2022</t>
  </si>
  <si>
    <t>04.01.2022</t>
  </si>
  <si>
    <t>04.11.2022</t>
  </si>
  <si>
    <t>05.01.2022</t>
  </si>
  <si>
    <t>05.11.2022</t>
  </si>
  <si>
    <t>06.01.2022</t>
  </si>
  <si>
    <t>06.11.2022</t>
  </si>
  <si>
    <t>07.01.2022</t>
  </si>
  <si>
    <t>07.11.2022</t>
  </si>
  <si>
    <t>08.01.2022</t>
  </si>
  <si>
    <t>08.11.2022</t>
  </si>
  <si>
    <t>09.01.2022</t>
  </si>
  <si>
    <t>09.11.2022</t>
  </si>
  <si>
    <t>10.11.2022</t>
  </si>
  <si>
    <t>11.11.2022</t>
  </si>
  <si>
    <t>12.11.2022</t>
  </si>
  <si>
    <t>01.11.2023</t>
  </si>
  <si>
    <t>02.11.2023</t>
  </si>
  <si>
    <t>03.11.2023</t>
  </si>
  <si>
    <t>04.01.2023</t>
  </si>
  <si>
    <t>04.11.2023</t>
  </si>
  <si>
    <t>05.01.2023</t>
  </si>
  <si>
    <t>05.11.2023</t>
  </si>
  <si>
    <t>06.01.2023</t>
  </si>
  <si>
    <t>06.11.2023</t>
  </si>
  <si>
    <t>07.01.2023</t>
  </si>
  <si>
    <t>07.11.2023</t>
  </si>
  <si>
    <t>08.11.2023</t>
  </si>
  <si>
    <t>09.01.2023</t>
  </si>
  <si>
    <t>09.11.2023</t>
  </si>
  <si>
    <t>10.01.2023</t>
  </si>
  <si>
    <t>10.11.2023</t>
  </si>
  <si>
    <t>11.11.2023</t>
  </si>
  <si>
    <t>02.11.2024</t>
  </si>
  <si>
    <t>05.11.2024</t>
  </si>
  <si>
    <t>07.11.2024</t>
  </si>
  <si>
    <t>08.11.2024</t>
  </si>
  <si>
    <t>Total for Rancho Realty (Edmonton) Ltd.</t>
  </si>
  <si>
    <t>Randy Molofy &amp; Janice Nichols</t>
  </si>
  <si>
    <t>08'24 Accrual</t>
  </si>
  <si>
    <t>Total for Randy Molofy &amp; Janice Nichols</t>
  </si>
  <si>
    <t>Robert Shields</t>
  </si>
  <si>
    <t>CHQ0999</t>
  </si>
  <si>
    <t>Total for Robert Shields</t>
  </si>
  <si>
    <t>Sani Marc Inc</t>
  </si>
  <si>
    <t>09.04.2024</t>
  </si>
  <si>
    <t>10.04.2024</t>
  </si>
  <si>
    <t>Total for Sani Marc Inc</t>
  </si>
  <si>
    <t>Scott Sinclair - Expense Report</t>
  </si>
  <si>
    <t>RB14584737160</t>
  </si>
  <si>
    <t>Total for Scott Sinclair - Expense Report</t>
  </si>
  <si>
    <t>Sharek Logan &amp; Van Leenen</t>
  </si>
  <si>
    <t>INV01-3077</t>
  </si>
  <si>
    <t>05.07.2024</t>
  </si>
  <si>
    <t>INV01-3091</t>
  </si>
  <si>
    <t>Total for Sharek Logan &amp; Van Leenen</t>
  </si>
  <si>
    <t>Staples Professional</t>
  </si>
  <si>
    <t>Total for Staples Professional</t>
  </si>
  <si>
    <t>STRAINS LIMITED</t>
  </si>
  <si>
    <t>06.28.2022</t>
  </si>
  <si>
    <t>07.08.2022</t>
  </si>
  <si>
    <t>Total for STRAINS LIMITED</t>
  </si>
  <si>
    <t>Telus  - Mobility (2948)</t>
  </si>
  <si>
    <t>July</t>
  </si>
  <si>
    <t>09.10.2024</t>
  </si>
  <si>
    <t>Total for Telus  - Mobility (2948)</t>
  </si>
  <si>
    <t>Telus  - Select (2625)</t>
  </si>
  <si>
    <t>07.07.2024</t>
  </si>
  <si>
    <t>10.07.2024</t>
  </si>
  <si>
    <t>Total for Telus  - Select (2625)</t>
  </si>
  <si>
    <t>Telus - Connect (7352)</t>
  </si>
  <si>
    <t>Total for Telus - Connect (7352)</t>
  </si>
  <si>
    <t>Telus - Land Line (1766)</t>
  </si>
  <si>
    <t>Total for Telus - Land Line (1766)</t>
  </si>
  <si>
    <t>Telus - Land Line (3445)</t>
  </si>
  <si>
    <t>06.28.2024</t>
  </si>
  <si>
    <t>Total for Telus - Land Line (3445)</t>
  </si>
  <si>
    <t>Telus - Services (5626)</t>
  </si>
  <si>
    <t>Total for Telus - Services (5626)</t>
  </si>
  <si>
    <t>Terrascend Canada - ON HOLD - CONFIRM BANKRUPTCY</t>
  </si>
  <si>
    <t>10.26.2022</t>
  </si>
  <si>
    <t>2022-11092-00</t>
  </si>
  <si>
    <t>12.25.2022</t>
  </si>
  <si>
    <t>Total for Terrascend Canada - ON HOLD - CONFIRM BANKRUPTCY</t>
  </si>
  <si>
    <t>The Flowr Group</t>
  </si>
  <si>
    <t>09.22.2022</t>
  </si>
  <si>
    <t>R7110</t>
  </si>
  <si>
    <t>Total for The Flowr Group</t>
  </si>
  <si>
    <t>Token Naturals Ltd</t>
  </si>
  <si>
    <t>07.09.2024</t>
  </si>
  <si>
    <t>Total for Token Naturals Ltd</t>
  </si>
  <si>
    <t>Trail Appliances</t>
  </si>
  <si>
    <t>RB14535697870</t>
  </si>
  <si>
    <t>Total for Trail Appliances</t>
  </si>
  <si>
    <t>Trans-Pro Logistics Inc. /TPL</t>
  </si>
  <si>
    <t>07.29.2024</t>
  </si>
  <si>
    <t>LD-437311-157088</t>
  </si>
  <si>
    <t>08.05.2024</t>
  </si>
  <si>
    <t>LD-438081-157227</t>
  </si>
  <si>
    <t>LD-438363-157411</t>
  </si>
  <si>
    <t>LD-438509-157413</t>
  </si>
  <si>
    <t>LD-439280-158155</t>
  </si>
  <si>
    <t>08.13.2024</t>
  </si>
  <si>
    <t>LD-439292-158157</t>
  </si>
  <si>
    <t>LD-439174-158152</t>
  </si>
  <si>
    <t>LD-439326-158445</t>
  </si>
  <si>
    <t>LD-439967-158473</t>
  </si>
  <si>
    <t>LD-439982-158474</t>
  </si>
  <si>
    <t>LD-445768-162884</t>
  </si>
  <si>
    <t>09.25.2024</t>
  </si>
  <si>
    <t>LD-445754</t>
  </si>
  <si>
    <t>Total for Trans-Pro Logistics Inc. /TPL</t>
  </si>
  <si>
    <t>Turning Leaf Greenhouse   DO NOT PAY IN COURT</t>
  </si>
  <si>
    <t>12.08.2021</t>
  </si>
  <si>
    <t>01.07.2022</t>
  </si>
  <si>
    <t>12.20.2021</t>
  </si>
  <si>
    <t>12.30.2021</t>
  </si>
  <si>
    <t>02.18.2022</t>
  </si>
  <si>
    <t>03.20.2022</t>
  </si>
  <si>
    <t>Total for Turning Leaf Greenhouse   DO NOT PAY IN COURT</t>
  </si>
  <si>
    <t>Uline</t>
  </si>
  <si>
    <t>08.22.2024</t>
  </si>
  <si>
    <t>Total for Uline</t>
  </si>
  <si>
    <t>UniFirst - ON HOLD</t>
  </si>
  <si>
    <t>03.20.2023</t>
  </si>
  <si>
    <t>758 3893133</t>
  </si>
  <si>
    <t>04.19.2023</t>
  </si>
  <si>
    <t>03.27.2023</t>
  </si>
  <si>
    <t>758 3894944</t>
  </si>
  <si>
    <t>04.26.2023</t>
  </si>
  <si>
    <t>04.03.2023</t>
  </si>
  <si>
    <t>7583896698</t>
  </si>
  <si>
    <t>05.03.2023</t>
  </si>
  <si>
    <t>04.10.2023</t>
  </si>
  <si>
    <t>7583898498</t>
  </si>
  <si>
    <t>05.10.2023</t>
  </si>
  <si>
    <t>04.17.2023</t>
  </si>
  <si>
    <t>758 3900290</t>
  </si>
  <si>
    <t>758 3902090</t>
  </si>
  <si>
    <t>758 3903837</t>
  </si>
  <si>
    <t>05.08.2023</t>
  </si>
  <si>
    <t>758 3905652</t>
  </si>
  <si>
    <t>05.15.2023</t>
  </si>
  <si>
    <t>05.22.2023</t>
  </si>
  <si>
    <t>758 3909212</t>
  </si>
  <si>
    <t>758 3910904</t>
  </si>
  <si>
    <t>06.05.2023</t>
  </si>
  <si>
    <t>06.19.2023</t>
  </si>
  <si>
    <t>758 3916300</t>
  </si>
  <si>
    <t>07.19.2023</t>
  </si>
  <si>
    <t>06.26.2023</t>
  </si>
  <si>
    <t>07.03.2023</t>
  </si>
  <si>
    <t>758 3919773</t>
  </si>
  <si>
    <t>07.10.2023</t>
  </si>
  <si>
    <t>758-3921487</t>
  </si>
  <si>
    <t>08.09.2023</t>
  </si>
  <si>
    <t>12.08.2023</t>
  </si>
  <si>
    <t>A-2183377</t>
  </si>
  <si>
    <t>Total for UniFirst - ON HOLD</t>
  </si>
  <si>
    <t>Urban Planning and Economy Development Services</t>
  </si>
  <si>
    <t>06.26.2024</t>
  </si>
  <si>
    <t>RB13820919920</t>
  </si>
  <si>
    <t>Total for Urban Planning and Economy Development Services</t>
  </si>
  <si>
    <t>Valitech Engineering Inc</t>
  </si>
  <si>
    <t>02.21.2024</t>
  </si>
  <si>
    <t>021624-9</t>
  </si>
  <si>
    <t>02.28.2024</t>
  </si>
  <si>
    <t>071024-10</t>
  </si>
  <si>
    <t>Total for Valitech Engineering Inc</t>
  </si>
  <si>
    <t>Viridis Natural Health Products Ltd.</t>
  </si>
  <si>
    <t>Total for Viridis Natural Health Products Ltd.</t>
  </si>
  <si>
    <t>VistaPrint.ca</t>
  </si>
  <si>
    <t>08.14.2023</t>
  </si>
  <si>
    <t>RB11919461780</t>
  </si>
  <si>
    <t>Total for VistaPrint.ca</t>
  </si>
  <si>
    <t>WBM Technologies</t>
  </si>
  <si>
    <t>02.10.2024</t>
  </si>
  <si>
    <t>INP-113865</t>
  </si>
  <si>
    <t>02.17.2024</t>
  </si>
  <si>
    <t>03.10.2024</t>
  </si>
  <si>
    <t>INP-119578</t>
  </si>
  <si>
    <t>03.17.2024</t>
  </si>
  <si>
    <t>INP-122176</t>
  </si>
  <si>
    <t>INP-126033</t>
  </si>
  <si>
    <t>INP-129899</t>
  </si>
  <si>
    <t>INP-133673</t>
  </si>
  <si>
    <t>INP-136722</t>
  </si>
  <si>
    <t>Total for WBM Technologies</t>
  </si>
  <si>
    <t>WCB</t>
  </si>
  <si>
    <t>09.21.2024</t>
  </si>
  <si>
    <t>Total for WCB</t>
  </si>
  <si>
    <t>We Share Supply Inc.</t>
  </si>
  <si>
    <t>07.05.2024</t>
  </si>
  <si>
    <t>CN-14531</t>
  </si>
  <si>
    <t>08.17.2024</t>
  </si>
  <si>
    <t>Total for We Share Supply Inc.</t>
  </si>
  <si>
    <t>WeighPack Systems Inc.</t>
  </si>
  <si>
    <t>FC2409</t>
  </si>
  <si>
    <t>Total for WeighPack Systems Inc.</t>
  </si>
  <si>
    <t>Thursday, Sep. 26, 2024 10:08:13 a.m. GMT-7</t>
  </si>
  <si>
    <t>All Dates</t>
  </si>
  <si>
    <t>Joi Botanicals Ltd.</t>
  </si>
  <si>
    <t>Total for Joi Botanicals Ltd.</t>
  </si>
  <si>
    <t>11.24.2024</t>
  </si>
  <si>
    <t>Thursday, Sep. 26, 2024 12:18:53 p.m. GMT-7</t>
  </si>
  <si>
    <t>Anatis Bioprotection</t>
  </si>
  <si>
    <t>09.23.2024</t>
  </si>
  <si>
    <t>10.21.2024</t>
  </si>
  <si>
    <t>Total for Anatis Bioprotection</t>
  </si>
  <si>
    <t>Automatic Controls</t>
  </si>
  <si>
    <t>10.24.2024</t>
  </si>
  <si>
    <t>Total for Automatic Controls</t>
  </si>
  <si>
    <t>BRNT Group</t>
  </si>
  <si>
    <t>Total for BRNT Group</t>
  </si>
  <si>
    <t>Green Mountain Health Alliance</t>
  </si>
  <si>
    <t>Total for Green Mountain Health Alliance</t>
  </si>
  <si>
    <t>EDM-0852475</t>
  </si>
  <si>
    <t>EDM-0853354</t>
  </si>
  <si>
    <t>Microcannabi Inc</t>
  </si>
  <si>
    <t>Total for Microcannabi Inc</t>
  </si>
  <si>
    <t>Numo Cannabis</t>
  </si>
  <si>
    <t>Total for Numo Cannabis</t>
  </si>
  <si>
    <t>10.15.2024</t>
  </si>
  <si>
    <t>Sterigenics Radiation Tech Canada</t>
  </si>
  <si>
    <t>4231309 RI</t>
  </si>
  <si>
    <t>Total for Sterigenics Radiation Tech Canada</t>
  </si>
  <si>
    <t>Surreal Growers</t>
  </si>
  <si>
    <t>Total for Surreal Growers</t>
  </si>
  <si>
    <t>LD-445694</t>
  </si>
  <si>
    <t>LD-446217-163613</t>
  </si>
  <si>
    <t>Thursday, Sep. 26, 2024 12:19:39 p.m. GMT-7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</si>
</sst>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0.0%"/>
    <numFmt numFmtId="167" formatCode="#,##0.00\ _€"/>
    <numFmt numFmtId="168" formatCode="&quot;$&quot;* #,##0.00\ _€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9"/>
      <color indexed="8"/>
      <name val="Arial"/>
      <family val="2"/>
    </font>
    <font>
      <i/>
      <sz val="8"/>
      <color theme="1"/>
      <name val="Aptos Narrow"/>
      <family val="2"/>
      <scheme val="minor"/>
    </font>
    <font>
      <sz val="9"/>
      <color indexed="8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i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4"/>
      <color indexed="8"/>
      <name val="Arial"/>
      <family val="2"/>
    </font>
    <font>
      <b/>
      <sz val="10"/>
      <color indexed="8"/>
      <name val="Arial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</cellStyleXfs>
  <cellXfs count="149">
    <xf numFmtId="0" fontId="0" fillId="0" borderId="0" xfId="0"/>
    <xf numFmtId="0" fontId="3" fillId="0" borderId="0" xfId="4"/>
    <xf numFmtId="0" fontId="3" fillId="2" borderId="0" xfId="4" applyFill="1"/>
    <xf numFmtId="164" fontId="3" fillId="3" borderId="0" xfId="1" applyNumberFormat="1" applyFont="1" applyFill="1"/>
    <xf numFmtId="0" fontId="3" fillId="0" borderId="0" xfId="4" applyAlignment="1">
      <alignment horizontal="right"/>
    </xf>
    <xf numFmtId="1" fontId="3" fillId="0" borderId="0" xfId="4" applyNumberFormat="1"/>
    <xf numFmtId="164" fontId="3" fillId="0" borderId="0" xfId="1" applyNumberFormat="1" applyFont="1"/>
    <xf numFmtId="164" fontId="3" fillId="2" borderId="0" xfId="1" applyNumberFormat="1" applyFont="1" applyFill="1"/>
    <xf numFmtId="164" fontId="3" fillId="3" borderId="0" xfId="4" applyNumberFormat="1" applyFill="1"/>
    <xf numFmtId="0" fontId="4" fillId="0" borderId="0" xfId="4" applyFont="1"/>
    <xf numFmtId="165" fontId="3" fillId="0" borderId="0" xfId="2" applyNumberFormat="1" applyFont="1"/>
    <xf numFmtId="165" fontId="3" fillId="0" borderId="0" xfId="2" applyNumberFormat="1" applyFont="1" applyFill="1"/>
    <xf numFmtId="44" fontId="3" fillId="0" borderId="0" xfId="2" applyFont="1"/>
    <xf numFmtId="0" fontId="3" fillId="4" borderId="0" xfId="4" applyFill="1" applyAlignment="1">
      <alignment horizontal="right"/>
    </xf>
    <xf numFmtId="164" fontId="4" fillId="5" borderId="0" xfId="1" applyNumberFormat="1" applyFont="1" applyFill="1"/>
    <xf numFmtId="164" fontId="3" fillId="5" borderId="0" xfId="1" applyNumberFormat="1" applyFont="1" applyFill="1"/>
    <xf numFmtId="164" fontId="3" fillId="0" borderId="0" xfId="1" applyNumberFormat="1" applyFont="1" applyFill="1"/>
    <xf numFmtId="0" fontId="3" fillId="6" borderId="0" xfId="4" applyFill="1"/>
    <xf numFmtId="0" fontId="3" fillId="7" borderId="0" xfId="4" applyFill="1" applyAlignment="1">
      <alignment horizontal="center"/>
    </xf>
    <xf numFmtId="164" fontId="3" fillId="2" borderId="0" xfId="4" applyNumberFormat="1" applyFill="1" applyAlignment="1">
      <alignment horizontal="center"/>
    </xf>
    <xf numFmtId="164" fontId="2" fillId="0" borderId="0" xfId="1" applyNumberFormat="1" applyFont="1"/>
    <xf numFmtId="0" fontId="3" fillId="5" borderId="0" xfId="4" applyFill="1"/>
    <xf numFmtId="0" fontId="3" fillId="8" borderId="0" xfId="4" applyFill="1"/>
    <xf numFmtId="0" fontId="2" fillId="9" borderId="1" xfId="4" applyFont="1" applyFill="1" applyBorder="1"/>
    <xf numFmtId="0" fontId="2" fillId="9" borderId="1" xfId="4" applyFont="1" applyFill="1" applyBorder="1" applyAlignment="1">
      <alignment horizontal="center"/>
    </xf>
    <xf numFmtId="0" fontId="5" fillId="2" borderId="2" xfId="4" applyFont="1" applyFill="1" applyBorder="1" applyAlignment="1">
      <alignment horizontal="center"/>
    </xf>
    <xf numFmtId="17" fontId="5" fillId="2" borderId="2" xfId="4" applyNumberFormat="1" applyFont="1" applyFill="1" applyBorder="1" applyAlignment="1">
      <alignment horizontal="center"/>
    </xf>
    <xf numFmtId="0" fontId="5" fillId="5" borderId="2" xfId="4" applyFont="1" applyFill="1" applyBorder="1" applyAlignment="1">
      <alignment horizontal="center"/>
    </xf>
    <xf numFmtId="0" fontId="5" fillId="0" borderId="2" xfId="4" applyFont="1" applyBorder="1" applyAlignment="1">
      <alignment horizontal="center"/>
    </xf>
    <xf numFmtId="0" fontId="5" fillId="2" borderId="0" xfId="4" applyFont="1" applyFill="1" applyAlignment="1">
      <alignment horizontal="center"/>
    </xf>
    <xf numFmtId="0" fontId="5" fillId="3" borderId="2" xfId="4" applyFont="1" applyFill="1" applyBorder="1" applyAlignment="1">
      <alignment horizontal="center"/>
    </xf>
    <xf numFmtId="0" fontId="3" fillId="0" borderId="0" xfId="4" applyAlignment="1">
      <alignment horizontal="center"/>
    </xf>
    <xf numFmtId="16" fontId="4" fillId="0" borderId="0" xfId="4" applyNumberFormat="1" applyFont="1"/>
    <xf numFmtId="0" fontId="4" fillId="0" borderId="0" xfId="4" applyFont="1" applyAlignment="1">
      <alignment horizontal="center"/>
    </xf>
    <xf numFmtId="0" fontId="2" fillId="0" borderId="0" xfId="4" applyFont="1" applyAlignment="1">
      <alignment horizontal="center"/>
    </xf>
    <xf numFmtId="0" fontId="5" fillId="0" borderId="0" xfId="4" applyFont="1" applyAlignment="1">
      <alignment horizontal="center"/>
    </xf>
    <xf numFmtId="17" fontId="5" fillId="0" borderId="0" xfId="4" applyNumberFormat="1" applyFont="1" applyAlignment="1">
      <alignment horizontal="center"/>
    </xf>
    <xf numFmtId="164" fontId="0" fillId="6" borderId="0" xfId="1" applyNumberFormat="1" applyFont="1" applyFill="1"/>
    <xf numFmtId="164" fontId="0" fillId="0" borderId="0" xfId="1" applyNumberFormat="1" applyFont="1"/>
    <xf numFmtId="164" fontId="0" fillId="0" borderId="0" xfId="1" applyNumberFormat="1" applyFont="1" applyFill="1"/>
    <xf numFmtId="164" fontId="0" fillId="4" borderId="0" xfId="1" applyNumberFormat="1" applyFont="1" applyFill="1"/>
    <xf numFmtId="164" fontId="0" fillId="0" borderId="0" xfId="0" applyNumberFormat="1"/>
    <xf numFmtId="0" fontId="2" fillId="0" borderId="0" xfId="0" applyFont="1"/>
    <xf numFmtId="164" fontId="5" fillId="0" borderId="0" xfId="4" applyNumberFormat="1" applyFont="1" applyAlignment="1">
      <alignment horizontal="center"/>
    </xf>
    <xf numFmtId="164" fontId="2" fillId="0" borderId="0" xfId="0" applyNumberFormat="1" applyFont="1"/>
    <xf numFmtId="0" fontId="2" fillId="0" borderId="0" xfId="4" applyFont="1"/>
    <xf numFmtId="164" fontId="0" fillId="5" borderId="0" xfId="1" applyNumberFormat="1" applyFont="1" applyFill="1"/>
    <xf numFmtId="164" fontId="0" fillId="0" borderId="2" xfId="1" applyNumberFormat="1" applyFont="1" applyBorder="1"/>
    <xf numFmtId="0" fontId="6" fillId="0" borderId="0" xfId="0" applyFont="1"/>
    <xf numFmtId="164" fontId="6" fillId="0" borderId="0" xfId="1" applyNumberFormat="1" applyFont="1"/>
    <xf numFmtId="164" fontId="0" fillId="5" borderId="2" xfId="1" applyNumberFormat="1" applyFont="1" applyFill="1" applyBorder="1"/>
    <xf numFmtId="43" fontId="5" fillId="0" borderId="0" xfId="1" applyFont="1" applyAlignment="1">
      <alignment horizontal="center"/>
    </xf>
    <xf numFmtId="43" fontId="0" fillId="10" borderId="0" xfId="0" applyNumberFormat="1" applyFill="1"/>
    <xf numFmtId="0" fontId="0" fillId="11" borderId="0" xfId="0" applyFill="1"/>
    <xf numFmtId="0" fontId="5" fillId="12" borderId="2" xfId="4" applyFont="1" applyFill="1" applyBorder="1" applyAlignment="1">
      <alignment horizontal="center"/>
    </xf>
    <xf numFmtId="0" fontId="5" fillId="5" borderId="0" xfId="4" applyFont="1" applyFill="1" applyAlignment="1">
      <alignment horizontal="center"/>
    </xf>
    <xf numFmtId="164" fontId="3" fillId="0" borderId="0" xfId="1" applyNumberFormat="1" applyFont="1" applyAlignment="1">
      <alignment horizontal="center"/>
    </xf>
    <xf numFmtId="0" fontId="0" fillId="0" borderId="0" xfId="4" applyFont="1"/>
    <xf numFmtId="9" fontId="0" fillId="0" borderId="0" xfId="0" applyNumberFormat="1"/>
    <xf numFmtId="166" fontId="0" fillId="0" borderId="0" xfId="0" applyNumberFormat="1"/>
    <xf numFmtId="43" fontId="3" fillId="0" borderId="0" xfId="1" applyFont="1"/>
    <xf numFmtId="43" fontId="3" fillId="0" borderId="0" xfId="1" applyFont="1" applyBorder="1"/>
    <xf numFmtId="43" fontId="3" fillId="0" borderId="2" xfId="1" applyFont="1" applyBorder="1"/>
    <xf numFmtId="43" fontId="4" fillId="0" borderId="0" xfId="1" applyFont="1"/>
    <xf numFmtId="43" fontId="3" fillId="5" borderId="0" xfId="4" applyNumberFormat="1" applyFill="1"/>
    <xf numFmtId="43" fontId="3" fillId="0" borderId="0" xfId="4" applyNumberFormat="1"/>
    <xf numFmtId="0" fontId="3" fillId="7" borderId="0" xfId="4" applyFill="1"/>
    <xf numFmtId="0" fontId="3" fillId="0" borderId="0" xfId="4" applyAlignment="1">
      <alignment horizontal="left" indent="3"/>
    </xf>
    <xf numFmtId="164" fontId="2" fillId="13" borderId="0" xfId="1" applyNumberFormat="1" applyFont="1" applyFill="1"/>
    <xf numFmtId="164" fontId="0" fillId="0" borderId="0" xfId="5" applyNumberFormat="1" applyFont="1" applyAlignment="1">
      <alignment horizontal="left"/>
    </xf>
    <xf numFmtId="164" fontId="0" fillId="0" borderId="0" xfId="5" applyNumberFormat="1" applyFont="1" applyFill="1" applyAlignment="1">
      <alignment horizontal="left"/>
    </xf>
    <xf numFmtId="164" fontId="0" fillId="5" borderId="0" xfId="5" applyNumberFormat="1" applyFont="1" applyFill="1" applyAlignment="1">
      <alignment horizontal="left"/>
    </xf>
    <xf numFmtId="164" fontId="0" fillId="0" borderId="0" xfId="1" applyNumberFormat="1" applyFont="1" applyBorder="1"/>
    <xf numFmtId="164" fontId="0" fillId="6" borderId="0" xfId="5" applyNumberFormat="1" applyFont="1" applyFill="1" applyAlignment="1">
      <alignment horizontal="left"/>
    </xf>
    <xf numFmtId="164" fontId="7" fillId="0" borderId="0" xfId="4" applyNumberFormat="1" applyFont="1" applyAlignment="1">
      <alignment horizontal="center"/>
    </xf>
    <xf numFmtId="0" fontId="5" fillId="13" borderId="0" xfId="4" applyFont="1" applyFill="1" applyAlignment="1">
      <alignment horizontal="center"/>
    </xf>
    <xf numFmtId="0" fontId="0" fillId="0" borderId="2" xfId="0" applyBorder="1"/>
    <xf numFmtId="43" fontId="4" fillId="0" borderId="0" xfId="4" applyNumberFormat="1" applyFont="1"/>
    <xf numFmtId="164" fontId="1" fillId="0" borderId="0" xfId="1" applyNumberFormat="1" applyFont="1"/>
    <xf numFmtId="0" fontId="1" fillId="0" borderId="0" xfId="4" applyFont="1"/>
    <xf numFmtId="9" fontId="0" fillId="0" borderId="0" xfId="3" applyFont="1" applyFill="1"/>
    <xf numFmtId="9" fontId="0" fillId="8" borderId="0" xfId="3" applyFont="1" applyFill="1"/>
    <xf numFmtId="38" fontId="3" fillId="0" borderId="0" xfId="4" applyNumberFormat="1"/>
    <xf numFmtId="9" fontId="0" fillId="0" borderId="0" xfId="3" applyFont="1" applyAlignment="1">
      <alignment horizontal="left"/>
    </xf>
    <xf numFmtId="38" fontId="3" fillId="0" borderId="2" xfId="4" applyNumberFormat="1" applyBorder="1"/>
    <xf numFmtId="164" fontId="0" fillId="0" borderId="2" xfId="5" applyNumberFormat="1" applyFont="1" applyBorder="1" applyAlignment="1">
      <alignment horizontal="left"/>
    </xf>
    <xf numFmtId="164" fontId="0" fillId="0" borderId="0" xfId="5" applyNumberFormat="1" applyFont="1" applyBorder="1" applyAlignment="1">
      <alignment horizontal="left"/>
    </xf>
    <xf numFmtId="38" fontId="4" fillId="0" borderId="0" xfId="4" applyNumberFormat="1" applyFont="1"/>
    <xf numFmtId="164" fontId="4" fillId="0" borderId="3" xfId="5" applyNumberFormat="1" applyFont="1" applyBorder="1" applyAlignment="1">
      <alignment horizontal="left"/>
    </xf>
    <xf numFmtId="164" fontId="4" fillId="0" borderId="0" xfId="5" applyNumberFormat="1" applyFont="1" applyBorder="1" applyAlignment="1">
      <alignment horizontal="left"/>
    </xf>
    <xf numFmtId="164" fontId="0" fillId="5" borderId="0" xfId="1" applyNumberFormat="1" applyFont="1" applyFill="1" applyBorder="1"/>
    <xf numFmtId="164" fontId="0" fillId="5" borderId="2" xfId="5" applyNumberFormat="1" applyFont="1" applyFill="1" applyBorder="1" applyAlignment="1">
      <alignment horizontal="left"/>
    </xf>
    <xf numFmtId="164" fontId="0" fillId="10" borderId="0" xfId="1" applyNumberFormat="1" applyFont="1" applyFill="1"/>
    <xf numFmtId="164" fontId="7" fillId="0" borderId="2" xfId="4" applyNumberFormat="1" applyFont="1" applyBorder="1" applyAlignment="1">
      <alignment horizontal="center"/>
    </xf>
    <xf numFmtId="164" fontId="0" fillId="10" borderId="2" xfId="1" applyNumberFormat="1" applyFont="1" applyFill="1" applyBorder="1"/>
    <xf numFmtId="164" fontId="3" fillId="0" borderId="0" xfId="4" applyNumberFormat="1"/>
    <xf numFmtId="165" fontId="3" fillId="0" borderId="2" xfId="2" applyNumberFormat="1" applyFont="1" applyBorder="1"/>
    <xf numFmtId="165" fontId="3" fillId="0" borderId="2" xfId="4" applyNumberFormat="1" applyBorder="1"/>
    <xf numFmtId="165" fontId="3" fillId="11" borderId="0" xfId="4" applyNumberFormat="1" applyFill="1"/>
    <xf numFmtId="43" fontId="0" fillId="0" borderId="0" xfId="1" applyFont="1" applyAlignment="1">
      <alignment horizontal="left"/>
    </xf>
    <xf numFmtId="9" fontId="3" fillId="0" borderId="0" xfId="4" applyNumberFormat="1"/>
    <xf numFmtId="164" fontId="0" fillId="2" borderId="0" xfId="5" applyNumberFormat="1" applyFont="1" applyFill="1" applyAlignment="1">
      <alignment horizontal="left"/>
    </xf>
    <xf numFmtId="44" fontId="3" fillId="11" borderId="0" xfId="2" applyFont="1" applyFill="1"/>
    <xf numFmtId="44" fontId="3" fillId="0" borderId="0" xfId="4" applyNumberFormat="1"/>
    <xf numFmtId="0" fontId="0" fillId="5" borderId="0" xfId="0" applyFill="1"/>
    <xf numFmtId="164" fontId="0" fillId="3" borderId="0" xfId="5" applyNumberFormat="1" applyFont="1" applyFill="1" applyAlignment="1">
      <alignment horizontal="left"/>
    </xf>
    <xf numFmtId="164" fontId="3" fillId="6" borderId="0" xfId="4" applyNumberFormat="1" applyFill="1"/>
    <xf numFmtId="164" fontId="3" fillId="0" borderId="2" xfId="4" applyNumberFormat="1" applyBorder="1"/>
    <xf numFmtId="165" fontId="4" fillId="0" borderId="0" xfId="4" applyNumberFormat="1" applyFont="1"/>
    <xf numFmtId="0" fontId="8" fillId="0" borderId="0" xfId="4" applyFont="1" applyAlignment="1">
      <alignment horizontal="left"/>
    </xf>
    <xf numFmtId="164" fontId="0" fillId="14" borderId="0" xfId="5" applyNumberFormat="1" applyFont="1" applyFill="1" applyAlignment="1">
      <alignment horizontal="left"/>
    </xf>
    <xf numFmtId="0" fontId="0" fillId="15" borderId="0" xfId="0" applyFill="1"/>
    <xf numFmtId="164" fontId="0" fillId="4" borderId="0" xfId="5" applyNumberFormat="1" applyFont="1" applyFill="1" applyAlignment="1">
      <alignment horizontal="left"/>
    </xf>
    <xf numFmtId="164" fontId="0" fillId="8" borderId="0" xfId="5" applyNumberFormat="1" applyFont="1" applyFill="1" applyAlignment="1">
      <alignment horizontal="left"/>
    </xf>
    <xf numFmtId="0" fontId="9" fillId="5" borderId="0" xfId="0" applyFont="1" applyFill="1" applyAlignment="1">
      <alignment horizontal="left"/>
    </xf>
    <xf numFmtId="164" fontId="0" fillId="7" borderId="0" xfId="5" applyNumberFormat="1" applyFont="1" applyFill="1" applyAlignment="1">
      <alignment horizontal="left"/>
    </xf>
    <xf numFmtId="0" fontId="4" fillId="0" borderId="0" xfId="4" applyFont="1" applyAlignment="1">
      <alignment horizontal="left" indent="3"/>
    </xf>
    <xf numFmtId="0" fontId="2" fillId="4" borderId="0" xfId="0" applyFont="1" applyFill="1"/>
    <xf numFmtId="166" fontId="2" fillId="0" borderId="0" xfId="3" applyNumberFormat="1" applyFont="1"/>
    <xf numFmtId="0" fontId="4" fillId="0" borderId="0" xfId="4" applyFont="1" applyAlignment="1">
      <alignment horizontal="left" indent="2"/>
    </xf>
    <xf numFmtId="164" fontId="0" fillId="16" borderId="0" xfId="5" applyNumberFormat="1" applyFont="1" applyFill="1" applyAlignment="1">
      <alignment horizontal="left"/>
    </xf>
    <xf numFmtId="0" fontId="3" fillId="5" borderId="0" xfId="4" applyFill="1" applyAlignment="1">
      <alignment horizontal="left" indent="3"/>
    </xf>
    <xf numFmtId="164" fontId="3" fillId="0" borderId="2" xfId="1" applyNumberFormat="1" applyFont="1" applyBorder="1"/>
    <xf numFmtId="166" fontId="10" fillId="0" borderId="0" xfId="3" applyNumberFormat="1" applyFont="1" applyAlignment="1">
      <alignment horizontal="right"/>
    </xf>
    <xf numFmtId="0" fontId="2" fillId="0" borderId="0" xfId="4" applyFont="1" applyAlignment="1">
      <alignment horizontal="left" indent="1"/>
    </xf>
    <xf numFmtId="0" fontId="2" fillId="4" borderId="0" xfId="0" applyFont="1" applyFill="1" applyAlignment="1">
      <alignment wrapText="1"/>
    </xf>
    <xf numFmtId="164" fontId="3" fillId="15" borderId="0" xfId="1" applyNumberFormat="1" applyFont="1" applyFill="1"/>
    <xf numFmtId="164" fontId="3" fillId="4" borderId="0" xfId="1" applyNumberFormat="1" applyFont="1" applyFill="1"/>
    <xf numFmtId="0" fontId="3" fillId="0" borderId="0" xfId="4" quotePrefix="1"/>
    <xf numFmtId="164" fontId="4" fillId="0" borderId="0" xfId="5" applyNumberFormat="1" applyFont="1" applyAlignment="1">
      <alignment horizontal="left"/>
    </xf>
    <xf numFmtId="0" fontId="4" fillId="4" borderId="0" xfId="4" applyFont="1" applyFill="1"/>
    <xf numFmtId="164" fontId="2" fillId="4" borderId="0" xfId="1" applyNumberFormat="1" applyFont="1" applyFill="1"/>
    <xf numFmtId="38" fontId="3" fillId="0" borderId="4" xfId="4" applyNumberFormat="1" applyBorder="1"/>
    <xf numFmtId="38" fontId="3" fillId="11" borderId="2" xfId="4" applyNumberFormat="1" applyFill="1" applyBorder="1"/>
    <xf numFmtId="164" fontId="3" fillId="0" borderId="0" xfId="1" applyNumberFormat="1" applyFont="1" applyBorder="1"/>
    <xf numFmtId="164" fontId="2" fillId="0" borderId="0" xfId="5" applyNumberFormat="1" applyFont="1" applyAlignment="1">
      <alignment horizontal="left"/>
    </xf>
    <xf numFmtId="165" fontId="2" fillId="0" borderId="0" xfId="2" applyNumberFormat="1" applyFont="1" applyAlignment="1">
      <alignment horizontal="left"/>
    </xf>
    <xf numFmtId="165" fontId="0" fillId="0" borderId="0" xfId="2" applyNumberFormat="1" applyFont="1" applyAlignment="1">
      <alignment horizontal="left"/>
    </xf>
    <xf numFmtId="164" fontId="0" fillId="0" borderId="0" xfId="5" quotePrefix="1" applyNumberFormat="1" applyFont="1" applyAlignment="1">
      <alignment horizontal="left"/>
    </xf>
    <xf numFmtId="0" fontId="13" fillId="0" borderId="0" xfId="4" applyFont="1" applyAlignment="1">
      <alignment horizontal="center"/>
    </xf>
    <xf numFmtId="0" fontId="14" fillId="0" borderId="0" xfId="4" applyFont="1" applyAlignment="1">
      <alignment horizontal="center"/>
    </xf>
    <xf numFmtId="0" fontId="5" fillId="0" borderId="2" xfId="4" applyFont="1" applyBorder="1" applyAlignment="1">
      <alignment horizontal="center" wrapText="1"/>
    </xf>
    <xf numFmtId="0" fontId="9" fillId="0" borderId="0" xfId="4" applyFont="1" applyAlignment="1">
      <alignment horizontal="left"/>
    </xf>
    <xf numFmtId="0" fontId="8" fillId="0" borderId="0" xfId="4" applyFont="1" applyAlignment="1">
      <alignment horizontal="left" wrapText="1"/>
    </xf>
    <xf numFmtId="167" fontId="8" fillId="0" borderId="0" xfId="4" applyNumberFormat="1" applyFont="1" applyAlignment="1">
      <alignment horizontal="right" wrapText="1"/>
    </xf>
    <xf numFmtId="168" fontId="9" fillId="0" borderId="3" xfId="4" applyNumberFormat="1" applyFont="1" applyBorder="1" applyAlignment="1">
      <alignment horizontal="right" wrapText="1"/>
    </xf>
    <xf numFmtId="0" fontId="8" fillId="0" borderId="0" xfId="4" applyFont="1" applyAlignment="1">
      <alignment horizontal="center"/>
    </xf>
    <xf numFmtId="0" fontId="2" fillId="17" borderId="1" xfId="4" applyFont="1" applyFill="1" applyBorder="1"/>
    <xf numFmtId="15" fontId="5" fillId="0" borderId="2" xfId="4" applyNumberFormat="1" applyFont="1" applyBorder="1" applyAlignment="1">
      <alignment horizontal="center"/>
    </xf>
  </cellXfs>
  <cellStyles count="6">
    <cellStyle name="Comma" xfId="1" builtinId="3"/>
    <cellStyle name="Comma 2" xfId="5" xr:uid="{8F4A5E3D-2FCA-44D0-B073-CE47A03604F9}"/>
    <cellStyle name="Currency" xfId="2" builtinId="4"/>
    <cellStyle name="Normal" xfId="0" builtinId="0"/>
    <cellStyle name="Normal 2" xfId="4" xr:uid="{114C616B-4F92-4C4C-BA65-1E10827C6BF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D545B-24D7-47A8-80ED-E2008CB9A7BB}">
  <sheetPr>
    <tabColor rgb="FFFFC000"/>
  </sheetPr>
  <dimension ref="A1:FT244"/>
  <sheetViews>
    <sheetView tabSelected="1" topLeftCell="BP1" zoomScale="85" zoomScaleNormal="85" workbookViewId="0">
      <selection activeCell="BV19" sqref="BV19"/>
    </sheetView>
  </sheetViews>
  <sheetFormatPr defaultColWidth="8.85546875" defaultRowHeight="15" outlineLevelCol="4" x14ac:dyDescent="0.25"/>
  <cols>
    <col min="1" max="1" width="43" style="1" hidden="1" customWidth="1" outlineLevel="1"/>
    <col min="2" max="3" width="11" style="1" hidden="1" customWidth="1" outlineLevel="2"/>
    <col min="4" max="4" width="11.42578125" style="1" hidden="1" customWidth="1" outlineLevel="2"/>
    <col min="5" max="5" width="11.5703125" style="1" hidden="1" customWidth="1" outlineLevel="2"/>
    <col min="6" max="6" width="8.85546875" style="1" hidden="1" customWidth="1" outlineLevel="2"/>
    <col min="7" max="14" width="9.5703125" style="1" hidden="1" customWidth="1" outlineLevel="3"/>
    <col min="15" max="15" width="8.85546875" style="1" hidden="1" customWidth="1" outlineLevel="3"/>
    <col min="16" max="17" width="9.5703125" style="1" hidden="1" customWidth="1" outlineLevel="3"/>
    <col min="18" max="18" width="11.140625" style="1" hidden="1" customWidth="1" outlineLevel="3"/>
    <col min="19" max="19" width="12.28515625" style="1" hidden="1" customWidth="1" outlineLevel="2"/>
    <col min="20" max="21" width="12.28515625" style="1" hidden="1" customWidth="1" outlineLevel="3"/>
    <col min="22" max="22" width="13" style="1" hidden="1" customWidth="1" outlineLevel="3"/>
    <col min="23" max="23" width="12.28515625" style="1" hidden="1" customWidth="1" outlineLevel="3"/>
    <col min="24" max="24" width="11.140625" style="1" hidden="1" customWidth="1" outlineLevel="3"/>
    <col min="25" max="26" width="13" style="1" hidden="1" customWidth="1" outlineLevel="3"/>
    <col min="27" max="27" width="12.28515625" style="1" hidden="1" customWidth="1" outlineLevel="3"/>
    <col min="28" max="28" width="13" style="1" hidden="1" customWidth="1" outlineLevel="3"/>
    <col min="29" max="30" width="12.28515625" style="1" hidden="1" customWidth="1" outlineLevel="3"/>
    <col min="31" max="31" width="24.42578125" style="1" hidden="1" customWidth="1" outlineLevel="3"/>
    <col min="32" max="32" width="13.5703125" style="1" hidden="1" customWidth="1" outlineLevel="2"/>
    <col min="33" max="33" width="11.140625" style="1" hidden="1" customWidth="1" outlineLevel="3"/>
    <col min="34" max="34" width="12.28515625" style="1" hidden="1" customWidth="1" outlineLevel="3"/>
    <col min="35" max="35" width="13" style="1" hidden="1" customWidth="1" outlineLevel="3"/>
    <col min="36" max="36" width="12.28515625" style="1" hidden="1" customWidth="1" outlineLevel="3"/>
    <col min="37" max="37" width="11.140625" style="1" hidden="1" customWidth="1" outlineLevel="3"/>
    <col min="38" max="38" width="10.140625" style="1" hidden="1" customWidth="1" outlineLevel="3"/>
    <col min="39" max="40" width="11.140625" style="1" hidden="1" customWidth="1" outlineLevel="3"/>
    <col min="41" max="41" width="11" style="1" hidden="1" customWidth="1" outlineLevel="3"/>
    <col min="42" max="42" width="10.5703125" style="1" hidden="1" customWidth="1" outlineLevel="2" collapsed="1"/>
    <col min="43" max="43" width="10.5703125" style="1" hidden="1" customWidth="1" outlineLevel="2"/>
    <col min="44" max="44" width="11.140625" style="1" hidden="1" customWidth="1" outlineLevel="2"/>
    <col min="45" max="45" width="12.28515625" style="1" hidden="1" customWidth="1" outlineLevel="2"/>
    <col min="46" max="46" width="11.140625" style="1" hidden="1" customWidth="1" outlineLevel="3"/>
    <col min="47" max="47" width="12.28515625" style="1" hidden="1" customWidth="1" outlineLevel="3"/>
    <col min="48" max="48" width="13" style="1" hidden="1" customWidth="1" outlineLevel="3"/>
    <col min="49" max="49" width="11" style="1" hidden="1" customWidth="1" outlineLevel="3"/>
    <col min="50" max="50" width="13.7109375" style="1" hidden="1" customWidth="1" outlineLevel="3"/>
    <col min="51" max="51" width="11.28515625" style="1" hidden="1" customWidth="1" outlineLevel="3"/>
    <col min="52" max="52" width="11.7109375" style="1" hidden="1" customWidth="1" outlineLevel="4"/>
    <col min="53" max="53" width="11.5703125" style="1" hidden="1" customWidth="1" outlineLevel="4"/>
    <col min="54" max="54" width="11" style="1" hidden="1" customWidth="1" outlineLevel="4"/>
    <col min="55" max="55" width="10.5703125" style="1" hidden="1" customWidth="1" outlineLevel="4"/>
    <col min="56" max="56" width="10.5703125" style="1" hidden="1" customWidth="1" outlineLevel="4" collapsed="1"/>
    <col min="57" max="57" width="10.7109375" style="1" hidden="1" customWidth="1" outlineLevel="4"/>
    <col min="58" max="62" width="11.5703125" style="1" hidden="1" customWidth="1" outlineLevel="3"/>
    <col min="63" max="63" width="3.5703125" style="1" hidden="1" customWidth="1" outlineLevel="3"/>
    <col min="64" max="64" width="10.42578125" style="1" hidden="1" customWidth="1" outlineLevel="3"/>
    <col min="65" max="65" width="12" style="1" hidden="1" customWidth="1" outlineLevel="3"/>
    <col min="66" max="66" width="10.42578125" style="1" hidden="1" customWidth="1" outlineLevel="3"/>
    <col min="67" max="67" width="10.42578125" style="1" hidden="1" customWidth="1" outlineLevel="1"/>
    <col min="68" max="68" width="30.5703125" style="1" bestFit="1" customWidth="1" collapsed="1"/>
    <col min="69" max="69" width="12.28515625" style="1" customWidth="1" outlineLevel="1"/>
    <col min="70" max="70" width="12" style="1" customWidth="1" outlineLevel="1"/>
    <col min="71" max="71" width="11.140625" style="1" customWidth="1" outlineLevel="1"/>
    <col min="72" max="73" width="15.28515625" style="1" customWidth="1" outlineLevel="1"/>
    <col min="74" max="74" width="14.5703125" style="1" customWidth="1"/>
    <col min="75" max="75" width="11.85546875" style="1" customWidth="1"/>
    <col min="76" max="76" width="12.28515625" style="1" bestFit="1" customWidth="1"/>
    <col min="77" max="77" width="11.5703125" style="1" customWidth="1"/>
    <col min="78" max="78" width="14.5703125" style="1" customWidth="1"/>
    <col min="79" max="81" width="11.5703125" style="1" customWidth="1"/>
    <col min="82" max="82" width="12.42578125" style="1" customWidth="1"/>
    <col min="83" max="83" width="13.42578125" style="1" bestFit="1" customWidth="1"/>
    <col min="84" max="84" width="30" style="1" customWidth="1"/>
    <col min="85" max="85" width="14.42578125" style="1" customWidth="1"/>
    <col min="86" max="86" width="30.140625" style="1" customWidth="1"/>
    <col min="87" max="97" width="8.85546875" style="1"/>
    <col min="98" max="98" width="11.140625" style="1" bestFit="1" customWidth="1"/>
    <col min="99" max="105" width="8.85546875" style="1"/>
    <col min="106" max="110" width="13.5703125" style="1" bestFit="1" customWidth="1"/>
    <col min="111" max="116" width="8.85546875" style="1"/>
    <col min="117" max="117" width="12.140625" style="1" bestFit="1" customWidth="1"/>
    <col min="118" max="123" width="8.85546875" style="1"/>
    <col min="124" max="124" width="11.7109375" style="1" bestFit="1" customWidth="1"/>
    <col min="125" max="125" width="11.7109375" style="1" customWidth="1"/>
    <col min="126" max="126" width="12.5703125" style="1" bestFit="1" customWidth="1"/>
    <col min="127" max="127" width="18.140625" style="1" customWidth="1"/>
    <col min="128" max="128" width="12.5703125" style="1" bestFit="1" customWidth="1"/>
    <col min="129" max="129" width="12.5703125" style="1" customWidth="1"/>
    <col min="130" max="130" width="2" style="1" customWidth="1"/>
    <col min="131" max="131" width="31.42578125" style="1" bestFit="1" customWidth="1"/>
    <col min="132" max="132" width="14.28515625" style="1" bestFit="1" customWidth="1"/>
    <col min="133" max="133" width="13.85546875" style="1" bestFit="1" customWidth="1"/>
    <col min="134" max="134" width="16" style="1" bestFit="1" customWidth="1"/>
    <col min="135" max="136" width="16.7109375" style="1" bestFit="1" customWidth="1"/>
    <col min="137" max="137" width="20.7109375" style="1" bestFit="1" customWidth="1"/>
    <col min="138" max="16384" width="8.85546875" style="1"/>
  </cols>
  <sheetData>
    <row r="1" spans="1:136" x14ac:dyDescent="0.25">
      <c r="BQ1" s="2" t="s">
        <v>0</v>
      </c>
      <c r="BR1" s="2"/>
      <c r="BS1" s="2"/>
      <c r="BT1" s="2"/>
      <c r="BU1" s="2"/>
      <c r="BV1" s="2"/>
      <c r="BW1" s="2"/>
      <c r="BX1" s="2"/>
      <c r="BY1" s="2"/>
      <c r="BZ1" s="3" t="s">
        <v>1</v>
      </c>
      <c r="CA1" s="3"/>
      <c r="CB1" s="3"/>
      <c r="CC1" s="3"/>
      <c r="CD1" s="3"/>
    </row>
    <row r="2" spans="1:136" x14ac:dyDescent="0.25">
      <c r="A2" s="4" t="s">
        <v>2</v>
      </c>
      <c r="AL2" s="1">
        <v>4140.4799999999996</v>
      </c>
      <c r="AM2" s="1">
        <v>1536</v>
      </c>
      <c r="AN2" s="5">
        <f>3361821.7/1000</f>
        <v>3361.8217</v>
      </c>
      <c r="AO2" s="5">
        <f>5900018.4/1000</f>
        <v>5900.0183999999999</v>
      </c>
      <c r="AP2" s="5">
        <f>5879431.8/1000</f>
        <v>5879.4317999999994</v>
      </c>
      <c r="AQ2" s="5">
        <f>2776852.2/1000</f>
        <v>2776.8522000000003</v>
      </c>
      <c r="AR2" s="5">
        <f>3484801.4/1000</f>
        <v>3484.8013999999998</v>
      </c>
      <c r="AS2" s="6">
        <f>SUM(AG2:AR2)</f>
        <v>27079.405500000001</v>
      </c>
      <c r="AT2" s="5">
        <v>5521.2116000000005</v>
      </c>
      <c r="AU2" s="5">
        <v>4450.4714000000004</v>
      </c>
      <c r="AV2" s="5">
        <v>4567.3164000000006</v>
      </c>
      <c r="AW2" s="5">
        <v>8363.467200000001</v>
      </c>
      <c r="AX2" s="1">
        <v>8171</v>
      </c>
      <c r="AY2" s="6">
        <v>13056</v>
      </c>
      <c r="AZ2" s="6">
        <f>32911818.6/1000</f>
        <v>32911.818599999999</v>
      </c>
      <c r="BQ2" s="7">
        <f>AS2</f>
        <v>27079.405500000001</v>
      </c>
      <c r="BR2" s="2"/>
      <c r="BS2" s="2"/>
      <c r="BT2" s="2"/>
      <c r="BU2" s="2"/>
      <c r="BV2" s="7"/>
      <c r="BW2" s="7"/>
      <c r="BX2" s="7"/>
      <c r="BY2" s="7"/>
      <c r="BZ2" s="3"/>
      <c r="CA2" s="3"/>
      <c r="CB2" s="3"/>
      <c r="CC2" s="3"/>
      <c r="CD2" s="8"/>
      <c r="CF2" s="9" t="s">
        <v>3</v>
      </c>
      <c r="CG2" s="9" t="s">
        <v>4</v>
      </c>
      <c r="CH2" s="9" t="s">
        <v>5</v>
      </c>
      <c r="DV2" s="10">
        <f>SUM(DV69:DV119)</f>
        <v>768344.89999999991</v>
      </c>
      <c r="DW2" s="10">
        <f>SUM(DW69:DW119)</f>
        <v>2052986.1</v>
      </c>
      <c r="DX2" s="10">
        <f>SUM(DX69:DX119)</f>
        <v>3109856.1000000006</v>
      </c>
      <c r="DY2" s="10">
        <f>SUM(DY69:DY119)</f>
        <v>6505919.8999999994</v>
      </c>
      <c r="DZ2" s="11"/>
      <c r="EC2" s="12"/>
    </row>
    <row r="3" spans="1:136" x14ac:dyDescent="0.25">
      <c r="A3" s="13" t="s">
        <v>6</v>
      </c>
      <c r="I3" s="6">
        <v>31920</v>
      </c>
      <c r="J3" s="6">
        <v>18420</v>
      </c>
      <c r="K3" s="6">
        <v>7128</v>
      </c>
      <c r="L3" s="6">
        <v>26880</v>
      </c>
      <c r="M3" s="6">
        <v>7792.8</v>
      </c>
      <c r="N3" s="6">
        <v>56880</v>
      </c>
      <c r="O3" s="6">
        <v>161600</v>
      </c>
      <c r="P3" s="6">
        <v>151160</v>
      </c>
      <c r="Q3" s="6">
        <v>173420</v>
      </c>
      <c r="R3" s="6">
        <v>340490</v>
      </c>
      <c r="S3" s="14">
        <f>SUM(H3:R3)</f>
        <v>975690.8</v>
      </c>
      <c r="T3" s="6">
        <v>447911</v>
      </c>
      <c r="U3" s="6">
        <v>137900</v>
      </c>
      <c r="V3" s="6">
        <v>425380</v>
      </c>
      <c r="W3" s="6">
        <v>887120</v>
      </c>
      <c r="X3" s="6">
        <v>532698</v>
      </c>
      <c r="Y3" s="6">
        <v>308874</v>
      </c>
      <c r="Z3" s="6">
        <v>471606</v>
      </c>
      <c r="AA3" s="6">
        <v>516666</v>
      </c>
      <c r="AB3" s="6">
        <v>270672</v>
      </c>
      <c r="AC3" s="6">
        <v>681798</v>
      </c>
      <c r="AD3" s="6">
        <v>265863</v>
      </c>
      <c r="AE3" s="6">
        <v>356886</v>
      </c>
      <c r="AF3" s="15">
        <f>SUM(T3:AE3)</f>
        <v>5303374</v>
      </c>
      <c r="AG3" s="6">
        <v>278640</v>
      </c>
      <c r="AH3" s="6">
        <v>346038</v>
      </c>
      <c r="AI3" s="6">
        <v>280422</v>
      </c>
      <c r="AJ3" s="6">
        <v>207534</v>
      </c>
      <c r="AK3" s="6">
        <v>194145</v>
      </c>
      <c r="AL3" s="3">
        <v>274512</v>
      </c>
      <c r="AM3" s="3">
        <v>175236</v>
      </c>
      <c r="AN3" s="3">
        <v>336726</v>
      </c>
      <c r="AO3" s="3">
        <v>436542</v>
      </c>
      <c r="AP3" s="3">
        <v>601524</v>
      </c>
      <c r="AQ3" s="3">
        <v>242760</v>
      </c>
      <c r="AR3" s="3">
        <v>358799</v>
      </c>
      <c r="AS3" s="16">
        <f>SUM(AG3:AR3)</f>
        <v>3732878</v>
      </c>
      <c r="AT3" s="6">
        <v>484197</v>
      </c>
      <c r="AU3" s="6">
        <v>388640.99999999994</v>
      </c>
      <c r="AV3" s="6">
        <v>542236</v>
      </c>
      <c r="AW3" s="6">
        <v>526757</v>
      </c>
      <c r="AX3" s="6">
        <v>726637</v>
      </c>
      <c r="AY3" s="6">
        <v>385701</v>
      </c>
      <c r="AZ3" s="6">
        <v>959942</v>
      </c>
      <c r="BA3" s="6"/>
      <c r="BB3" s="6"/>
      <c r="BC3" s="6"/>
      <c r="BD3" s="6"/>
      <c r="BE3" s="17"/>
      <c r="BF3" s="15">
        <f>SUM(AT3:BE3)</f>
        <v>4014111</v>
      </c>
      <c r="BG3" s="15"/>
      <c r="BH3" s="15" t="s">
        <v>7</v>
      </c>
      <c r="BI3" s="15" t="s">
        <v>8</v>
      </c>
      <c r="BJ3" s="15"/>
      <c r="BL3" s="18" t="s">
        <v>9</v>
      </c>
      <c r="BQ3" s="7">
        <f>AS3</f>
        <v>3732878</v>
      </c>
      <c r="BR3" s="19">
        <f t="shared" ref="BR3:BX3" si="0">AT3</f>
        <v>484197</v>
      </c>
      <c r="BS3" s="19">
        <f t="shared" si="0"/>
        <v>388640.99999999994</v>
      </c>
      <c r="BT3" s="19">
        <f t="shared" si="0"/>
        <v>542236</v>
      </c>
      <c r="BU3" s="19">
        <f t="shared" si="0"/>
        <v>526757</v>
      </c>
      <c r="BV3" s="19">
        <f t="shared" si="0"/>
        <v>726637</v>
      </c>
      <c r="BW3" s="19">
        <f t="shared" si="0"/>
        <v>385701</v>
      </c>
      <c r="BX3" s="19">
        <f t="shared" si="0"/>
        <v>959942</v>
      </c>
      <c r="BY3" s="20">
        <f t="shared" ref="BY3:CC3" si="1">SUM(BY10:BY12)</f>
        <v>1023189.2059159449</v>
      </c>
      <c r="BZ3" s="20">
        <f t="shared" si="1"/>
        <v>456300.47862502647</v>
      </c>
      <c r="CA3" s="20">
        <f t="shared" si="1"/>
        <v>858071.08419008506</v>
      </c>
      <c r="CB3" s="20">
        <f t="shared" si="1"/>
        <v>969898.40065987746</v>
      </c>
      <c r="CC3" s="20">
        <f t="shared" si="1"/>
        <v>791615.30456947768</v>
      </c>
      <c r="CD3" s="8">
        <f>SUM(BR3:CC3)</f>
        <v>8113185.4739604108</v>
      </c>
      <c r="DV3" s="21" t="s">
        <v>10</v>
      </c>
      <c r="DW3" s="2" t="s">
        <v>11</v>
      </c>
      <c r="DX3" s="21" t="s">
        <v>10</v>
      </c>
      <c r="DY3" s="2" t="s">
        <v>11</v>
      </c>
      <c r="EB3" s="22" t="s">
        <v>12</v>
      </c>
      <c r="EC3" s="22"/>
      <c r="ED3" s="22"/>
    </row>
    <row r="4" spans="1:136" x14ac:dyDescent="0.25">
      <c r="A4" s="23" t="s">
        <v>13</v>
      </c>
      <c r="B4" s="24">
        <v>2020</v>
      </c>
      <c r="C4" s="24" t="s">
        <v>14</v>
      </c>
      <c r="D4" s="24" t="s">
        <v>15</v>
      </c>
      <c r="E4" s="24">
        <v>2023</v>
      </c>
      <c r="G4" s="25" t="s">
        <v>16</v>
      </c>
      <c r="H4" s="25" t="s">
        <v>17</v>
      </c>
      <c r="I4" s="25" t="s">
        <v>18</v>
      </c>
      <c r="J4" s="25" t="s">
        <v>19</v>
      </c>
      <c r="K4" s="26">
        <v>44317</v>
      </c>
      <c r="L4" s="25" t="s">
        <v>20</v>
      </c>
      <c r="M4" s="25" t="s">
        <v>21</v>
      </c>
      <c r="N4" s="25" t="s">
        <v>22</v>
      </c>
      <c r="O4" s="25" t="s">
        <v>23</v>
      </c>
      <c r="P4" s="25" t="s">
        <v>24</v>
      </c>
      <c r="Q4" s="25" t="s">
        <v>25</v>
      </c>
      <c r="R4" s="25" t="s">
        <v>26</v>
      </c>
      <c r="S4" s="25" t="s">
        <v>27</v>
      </c>
      <c r="T4" s="27" t="s">
        <v>28</v>
      </c>
      <c r="U4" s="27" t="s">
        <v>29</v>
      </c>
      <c r="V4" s="27" t="s">
        <v>30</v>
      </c>
      <c r="W4" s="27" t="s">
        <v>31</v>
      </c>
      <c r="X4" s="27" t="s">
        <v>32</v>
      </c>
      <c r="Y4" s="27" t="s">
        <v>33</v>
      </c>
      <c r="Z4" s="27" t="s">
        <v>34</v>
      </c>
      <c r="AA4" s="27" t="s">
        <v>35</v>
      </c>
      <c r="AB4" s="27" t="s">
        <v>36</v>
      </c>
      <c r="AC4" s="27" t="s">
        <v>37</v>
      </c>
      <c r="AD4" s="27" t="s">
        <v>38</v>
      </c>
      <c r="AE4" s="27" t="s">
        <v>39</v>
      </c>
      <c r="AF4" s="27" t="s">
        <v>40</v>
      </c>
      <c r="AG4" s="28" t="s">
        <v>41</v>
      </c>
      <c r="AH4" s="28" t="s">
        <v>42</v>
      </c>
      <c r="AI4" s="28" t="s">
        <v>43</v>
      </c>
      <c r="AJ4" s="28" t="s">
        <v>44</v>
      </c>
      <c r="AK4" s="28" t="s">
        <v>45</v>
      </c>
      <c r="AL4" s="28" t="s">
        <v>46</v>
      </c>
      <c r="AM4" s="28" t="s">
        <v>47</v>
      </c>
      <c r="AN4" s="28" t="s">
        <v>48</v>
      </c>
      <c r="AO4" s="28" t="s">
        <v>49</v>
      </c>
      <c r="AP4" s="28" t="s">
        <v>50</v>
      </c>
      <c r="AQ4" s="28" t="s">
        <v>51</v>
      </c>
      <c r="AR4" s="25" t="s">
        <v>52</v>
      </c>
      <c r="AS4" s="25" t="s">
        <v>53</v>
      </c>
      <c r="AT4" s="28" t="s">
        <v>54</v>
      </c>
      <c r="AU4" s="28" t="s">
        <v>55</v>
      </c>
      <c r="AV4" s="28" t="s">
        <v>56</v>
      </c>
      <c r="AW4" s="28" t="s">
        <v>57</v>
      </c>
      <c r="AX4" s="28" t="s">
        <v>58</v>
      </c>
      <c r="AY4" s="28" t="s">
        <v>59</v>
      </c>
      <c r="AZ4" s="28" t="s">
        <v>60</v>
      </c>
      <c r="BA4" s="28" t="s">
        <v>61</v>
      </c>
      <c r="BB4" s="28" t="s">
        <v>62</v>
      </c>
      <c r="BC4" s="28" t="s">
        <v>63</v>
      </c>
      <c r="BD4" s="28" t="s">
        <v>64</v>
      </c>
      <c r="BE4" s="25" t="s">
        <v>65</v>
      </c>
      <c r="BF4" s="25" t="s">
        <v>66</v>
      </c>
      <c r="BG4" s="29"/>
      <c r="BH4" s="29" t="s">
        <v>67</v>
      </c>
      <c r="BI4" s="29" t="s">
        <v>67</v>
      </c>
      <c r="BJ4" s="29"/>
      <c r="BL4" s="18" t="s">
        <v>68</v>
      </c>
      <c r="BQ4" s="25" t="s">
        <v>53</v>
      </c>
      <c r="BR4" s="25" t="s">
        <v>54</v>
      </c>
      <c r="BS4" s="25" t="s">
        <v>55</v>
      </c>
      <c r="BT4" s="25" t="s">
        <v>56</v>
      </c>
      <c r="BU4" s="25" t="s">
        <v>57</v>
      </c>
      <c r="BV4" s="25" t="s">
        <v>58</v>
      </c>
      <c r="BW4" s="25" t="s">
        <v>59</v>
      </c>
      <c r="BX4" s="25" t="s">
        <v>60</v>
      </c>
      <c r="BY4" s="25" t="s">
        <v>61</v>
      </c>
      <c r="BZ4" s="30" t="s">
        <v>62</v>
      </c>
      <c r="CA4" s="30" t="s">
        <v>63</v>
      </c>
      <c r="CB4" s="30" t="s">
        <v>64</v>
      </c>
      <c r="CC4" s="30" t="s">
        <v>65</v>
      </c>
      <c r="CD4" s="30" t="s">
        <v>66</v>
      </c>
      <c r="DT4" t="s">
        <v>69</v>
      </c>
      <c r="DU4" t="s">
        <v>70</v>
      </c>
      <c r="DV4" s="31" t="s">
        <v>71</v>
      </c>
      <c r="DW4" s="31" t="s">
        <v>71</v>
      </c>
      <c r="DX4" s="31" t="s">
        <v>72</v>
      </c>
      <c r="DY4" s="31" t="s">
        <v>72</v>
      </c>
      <c r="DZ4" s="31"/>
      <c r="EB4" s="32">
        <v>45315</v>
      </c>
      <c r="EC4" s="32">
        <v>45346</v>
      </c>
      <c r="ED4" s="32">
        <v>45375</v>
      </c>
      <c r="EE4" s="33" t="s">
        <v>73</v>
      </c>
      <c r="EF4" s="33" t="s">
        <v>72</v>
      </c>
    </row>
    <row r="5" spans="1:136" x14ac:dyDescent="0.25">
      <c r="B5" s="34"/>
      <c r="C5" s="34"/>
      <c r="D5" s="34"/>
      <c r="E5" s="34"/>
      <c r="G5" s="35"/>
      <c r="H5" s="35"/>
      <c r="I5" s="35"/>
      <c r="J5" s="35"/>
      <c r="K5" s="36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L5" s="31"/>
      <c r="BP5" t="s">
        <v>74</v>
      </c>
      <c r="BQ5" s="37">
        <v>1626400</v>
      </c>
      <c r="BR5" s="38">
        <v>158000</v>
      </c>
      <c r="BS5" s="39">
        <v>158000</v>
      </c>
      <c r="BT5" s="39">
        <v>98000</v>
      </c>
      <c r="BU5" s="39">
        <v>274000</v>
      </c>
      <c r="BV5" s="38">
        <v>139000</v>
      </c>
      <c r="BW5" s="38">
        <v>255000</v>
      </c>
      <c r="BX5" s="38">
        <v>43000</v>
      </c>
      <c r="BY5" s="40">
        <v>444525</v>
      </c>
      <c r="BZ5" s="40">
        <v>120000</v>
      </c>
      <c r="CA5" s="38">
        <f>70000+128000</f>
        <v>198000</v>
      </c>
      <c r="CB5" s="38">
        <v>354000</v>
      </c>
      <c r="CC5" s="38">
        <v>149000</v>
      </c>
      <c r="CD5" s="41">
        <f>SUM(BR5:CC5)</f>
        <v>2390525</v>
      </c>
      <c r="DT5"/>
      <c r="DU5"/>
      <c r="DV5" s="31"/>
      <c r="DW5" s="31"/>
      <c r="DX5" s="31"/>
      <c r="DY5" s="31"/>
      <c r="DZ5" s="31"/>
      <c r="EB5" s="32"/>
      <c r="EC5" s="32"/>
      <c r="ED5" s="32"/>
      <c r="EE5" s="33"/>
      <c r="EF5" s="33"/>
    </row>
    <row r="6" spans="1:136" x14ac:dyDescent="0.25">
      <c r="B6" s="34"/>
      <c r="C6" s="34"/>
      <c r="D6" s="34"/>
      <c r="E6" s="34"/>
      <c r="G6" s="35"/>
      <c r="H6" s="35"/>
      <c r="I6" s="35"/>
      <c r="J6" s="35"/>
      <c r="K6" s="36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L6" s="31"/>
      <c r="BM6" s="31"/>
      <c r="BN6" s="31"/>
      <c r="BO6" s="31"/>
      <c r="BP6" t="s">
        <v>75</v>
      </c>
      <c r="BQ6" s="38">
        <f>BQ7-BQ5</f>
        <v>2106478</v>
      </c>
      <c r="BR6" s="38">
        <f t="shared" ref="BR6:BU6" si="2">BR7-BR5</f>
        <v>326197</v>
      </c>
      <c r="BS6" s="38">
        <f t="shared" si="2"/>
        <v>230640.99999999994</v>
      </c>
      <c r="BT6" s="38">
        <f t="shared" si="2"/>
        <v>444236</v>
      </c>
      <c r="BU6" s="38">
        <f t="shared" si="2"/>
        <v>252757</v>
      </c>
      <c r="BV6" s="41">
        <f>BV7-BV5</f>
        <v>587637</v>
      </c>
      <c r="BW6" s="41">
        <f t="shared" ref="BW6:CC6" si="3">BW7-BW5</f>
        <v>130701</v>
      </c>
      <c r="BX6" s="41">
        <f t="shared" si="3"/>
        <v>916942</v>
      </c>
      <c r="BY6" s="41">
        <f t="shared" si="3"/>
        <v>578664.20591594488</v>
      </c>
      <c r="BZ6" s="41">
        <f t="shared" si="3"/>
        <v>336300.47862502647</v>
      </c>
      <c r="CA6" s="41">
        <f t="shared" si="3"/>
        <v>660071.08419008506</v>
      </c>
      <c r="CB6" s="41">
        <f t="shared" si="3"/>
        <v>615898.40065987746</v>
      </c>
      <c r="CC6" s="41">
        <f t="shared" si="3"/>
        <v>642615.30456947768</v>
      </c>
      <c r="CD6" s="41">
        <f t="shared" ref="CD6:CD7" si="4">SUM(BR6:CC6)</f>
        <v>5722660.4739604108</v>
      </c>
      <c r="DT6"/>
      <c r="DU6"/>
      <c r="DV6" s="31"/>
      <c r="DW6" s="31"/>
      <c r="DX6" s="31"/>
      <c r="DY6" s="31"/>
      <c r="DZ6" s="31"/>
      <c r="EB6" s="32"/>
      <c r="EC6" s="32"/>
      <c r="ED6" s="32"/>
      <c r="EE6" s="33"/>
      <c r="EF6" s="33"/>
    </row>
    <row r="7" spans="1:136" x14ac:dyDescent="0.25">
      <c r="B7" s="34"/>
      <c r="C7" s="34"/>
      <c r="D7" s="34"/>
      <c r="E7" s="34"/>
      <c r="G7" s="35"/>
      <c r="H7" s="35"/>
      <c r="I7" s="35"/>
      <c r="J7" s="35"/>
      <c r="K7" s="36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L7" s="31"/>
      <c r="BM7" s="31"/>
      <c r="BN7" s="31"/>
      <c r="BO7" s="31"/>
      <c r="BP7" s="42" t="s">
        <v>76</v>
      </c>
      <c r="BQ7" s="43">
        <f>BQ3</f>
        <v>3732878</v>
      </c>
      <c r="BR7" s="43">
        <f t="shared" ref="BR7:CC7" si="5">BR3</f>
        <v>484197</v>
      </c>
      <c r="BS7" s="43">
        <f t="shared" si="5"/>
        <v>388640.99999999994</v>
      </c>
      <c r="BT7" s="43">
        <f t="shared" si="5"/>
        <v>542236</v>
      </c>
      <c r="BU7" s="43">
        <f t="shared" si="5"/>
        <v>526757</v>
      </c>
      <c r="BV7" s="43">
        <f t="shared" si="5"/>
        <v>726637</v>
      </c>
      <c r="BW7" s="43">
        <f t="shared" si="5"/>
        <v>385701</v>
      </c>
      <c r="BX7" s="43">
        <f t="shared" si="5"/>
        <v>959942</v>
      </c>
      <c r="BY7" s="43">
        <f t="shared" si="5"/>
        <v>1023189.2059159449</v>
      </c>
      <c r="BZ7" s="43">
        <f t="shared" si="5"/>
        <v>456300.47862502647</v>
      </c>
      <c r="CA7" s="43">
        <f t="shared" si="5"/>
        <v>858071.08419008506</v>
      </c>
      <c r="CB7" s="43">
        <f t="shared" si="5"/>
        <v>969898.40065987746</v>
      </c>
      <c r="CC7" s="43">
        <f t="shared" si="5"/>
        <v>791615.30456947768</v>
      </c>
      <c r="CD7" s="44">
        <f t="shared" si="4"/>
        <v>8113185.4739604108</v>
      </c>
      <c r="DT7"/>
      <c r="DU7"/>
      <c r="DV7" s="31"/>
      <c r="DW7" s="31"/>
      <c r="DX7" s="31"/>
      <c r="DY7" s="31"/>
      <c r="DZ7" s="31"/>
      <c r="EB7" s="32"/>
      <c r="EC7" s="32"/>
      <c r="ED7" s="32"/>
      <c r="EE7" s="33"/>
      <c r="EF7" s="33"/>
    </row>
    <row r="8" spans="1:136" x14ac:dyDescent="0.25">
      <c r="B8" s="34"/>
      <c r="C8" s="34"/>
      <c r="D8" s="34"/>
      <c r="E8" s="34"/>
      <c r="G8" s="35"/>
      <c r="H8" s="35"/>
      <c r="I8" s="35"/>
      <c r="J8" s="35"/>
      <c r="K8" s="36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L8" s="31"/>
      <c r="BM8" s="31"/>
      <c r="BN8" s="31"/>
      <c r="BO8" s="31"/>
      <c r="BP8" s="4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  <c r="CD8" s="35"/>
      <c r="DT8"/>
      <c r="DU8"/>
      <c r="DV8" s="31"/>
      <c r="DW8" s="31"/>
      <c r="DX8" s="31"/>
      <c r="DY8" s="31"/>
      <c r="DZ8" s="31"/>
      <c r="EB8" s="32"/>
      <c r="EC8" s="32"/>
      <c r="ED8" s="32"/>
      <c r="EE8" s="33"/>
      <c r="EF8" s="33"/>
    </row>
    <row r="9" spans="1:136" x14ac:dyDescent="0.25">
      <c r="B9" s="34"/>
      <c r="C9" s="34"/>
      <c r="D9" s="34"/>
      <c r="E9" s="34"/>
      <c r="G9" s="35"/>
      <c r="H9" s="35"/>
      <c r="I9" s="35"/>
      <c r="J9" s="35"/>
      <c r="K9" s="36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L9" s="31"/>
      <c r="BM9" s="31"/>
      <c r="BN9" s="31"/>
      <c r="BO9" s="31"/>
      <c r="BP9" s="42" t="s">
        <v>77</v>
      </c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DT9"/>
      <c r="DU9"/>
      <c r="DV9" s="31"/>
      <c r="DW9" s="31"/>
      <c r="DX9" s="31"/>
      <c r="DY9" s="31"/>
      <c r="DZ9" s="31"/>
      <c r="EB9" s="32"/>
      <c r="EC9" s="32"/>
      <c r="ED9" s="32"/>
      <c r="EE9" s="33"/>
      <c r="EF9" s="33"/>
    </row>
    <row r="10" spans="1:136" x14ac:dyDescent="0.25">
      <c r="B10" s="34"/>
      <c r="C10" s="34"/>
      <c r="D10" s="34"/>
      <c r="E10" s="34"/>
      <c r="G10" s="35"/>
      <c r="H10" s="35"/>
      <c r="I10" s="35"/>
      <c r="J10" s="35"/>
      <c r="K10" s="36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L10" s="31"/>
      <c r="BM10" s="31"/>
      <c r="BN10" s="31"/>
      <c r="BO10" s="31"/>
      <c r="BP10" t="s">
        <v>78</v>
      </c>
      <c r="BQ10" s="35"/>
      <c r="BR10" s="35"/>
      <c r="BS10" s="35"/>
      <c r="BT10" s="35"/>
      <c r="BU10" s="35"/>
      <c r="BV10" s="35"/>
      <c r="BW10" s="35"/>
      <c r="BX10" s="40">
        <f>SUM($BR$7:$BW$7)/SUM($BR$50:$BW$50)*SUM(BX35:BX42)</f>
        <v>961662.0227866458</v>
      </c>
      <c r="BY10" s="46">
        <f>(SUM($BR$7:$BX$7)-BY11)/SUM($BR$50:$BX$50)*SUM(BY25:BY32)</f>
        <v>711418.51342318754</v>
      </c>
      <c r="BZ10" s="46">
        <f>(SUM($BR$7:$BY$7)-BZ11)/SUM($BR$50:$BY$50)*SUM(BZ25:BZ32)</f>
        <v>372300.47862502647</v>
      </c>
      <c r="CA10" s="46">
        <f>(SUM($BR$7:$BY$7)-CA11)/SUM($BR$50:$BY$50)*SUM(CA25:CA32)</f>
        <v>719471.08419008506</v>
      </c>
      <c r="CB10" s="46">
        <f>(SUM($BR$7:$BY$7)-CB11)/SUM($BR$50:$BY$50)*SUM(CB25:CB32)</f>
        <v>722098.40065987746</v>
      </c>
      <c r="CC10" s="46">
        <f>(SUM($BR$7:$BY$7)-CC11)/SUM($BR$50:$BY$50)*SUM(CC25:CC32)</f>
        <v>687315.30456947768</v>
      </c>
      <c r="CD10" s="35"/>
      <c r="DT10"/>
      <c r="DU10"/>
      <c r="DV10" s="31"/>
      <c r="DW10" s="31"/>
      <c r="DX10" s="31"/>
      <c r="DY10" s="31"/>
      <c r="DZ10" s="31"/>
      <c r="EB10" s="32"/>
      <c r="EC10" s="32"/>
      <c r="ED10" s="32"/>
      <c r="EE10" s="33"/>
      <c r="EF10" s="33"/>
    </row>
    <row r="11" spans="1:136" x14ac:dyDescent="0.25">
      <c r="B11" s="34"/>
      <c r="C11" s="34"/>
      <c r="D11" s="34"/>
      <c r="E11" s="34"/>
      <c r="G11" s="35"/>
      <c r="H11" s="35"/>
      <c r="I11" s="35"/>
      <c r="J11" s="35"/>
      <c r="K11" s="36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L11" s="31"/>
      <c r="BM11" s="31"/>
      <c r="BN11" s="31"/>
      <c r="BO11" s="31"/>
      <c r="BP11" t="s">
        <v>79</v>
      </c>
      <c r="BQ11" s="35"/>
      <c r="BR11" s="35"/>
      <c r="BS11" s="35"/>
      <c r="BT11" s="35"/>
      <c r="BU11" s="35"/>
      <c r="BV11" s="35"/>
      <c r="BW11" s="35"/>
      <c r="BX11" s="38">
        <f t="shared" ref="BX11" si="6">0.5*BX5</f>
        <v>21500</v>
      </c>
      <c r="BY11" s="46">
        <f>0.7*BY5</f>
        <v>311167.5</v>
      </c>
      <c r="BZ11" s="46">
        <f t="shared" ref="BZ11:CC11" si="7">0.7*BZ5</f>
        <v>84000</v>
      </c>
      <c r="CA11" s="46">
        <f t="shared" si="7"/>
        <v>138600</v>
      </c>
      <c r="CB11" s="46">
        <f t="shared" si="7"/>
        <v>247799.99999999997</v>
      </c>
      <c r="CC11" s="46">
        <f t="shared" si="7"/>
        <v>104300</v>
      </c>
      <c r="CD11" s="35"/>
      <c r="DT11"/>
      <c r="DU11"/>
      <c r="DV11" s="31"/>
      <c r="DW11" s="31"/>
      <c r="DX11" s="31"/>
      <c r="DY11" s="31"/>
      <c r="DZ11" s="31"/>
      <c r="EB11" s="32"/>
      <c r="EC11" s="32"/>
      <c r="ED11" s="32"/>
      <c r="EE11" s="33"/>
      <c r="EF11" s="33"/>
    </row>
    <row r="12" spans="1:136" x14ac:dyDescent="0.25">
      <c r="B12" s="34"/>
      <c r="C12" s="34"/>
      <c r="D12" s="34"/>
      <c r="E12" s="34"/>
      <c r="G12" s="35"/>
      <c r="H12" s="35"/>
      <c r="I12" s="35"/>
      <c r="J12" s="35"/>
      <c r="K12" s="36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L12" s="31"/>
      <c r="BM12" s="31"/>
      <c r="BN12" s="31"/>
      <c r="BO12" s="31"/>
      <c r="BP12" t="s">
        <v>80</v>
      </c>
      <c r="BQ12" s="35"/>
      <c r="BR12" s="35"/>
      <c r="BS12" s="35"/>
      <c r="BT12" s="35"/>
      <c r="BU12" s="35"/>
      <c r="BV12" s="35"/>
      <c r="BW12" s="35"/>
      <c r="BX12" s="47">
        <f>SUM($BR$7:$BV$7)/SUM($BR$45:$BV$45)*SUM(BX$48)</f>
        <v>0</v>
      </c>
      <c r="BY12" s="47">
        <f>SUM($BR$7:$BX$7)/SUM($BR$45:$BW$45)*SUM(BY$48)</f>
        <v>603.19249275735149</v>
      </c>
      <c r="BZ12" s="47">
        <f>SUM($BR$7:$BY$7)/SUM($BR$45:$BY$45)*SUM(BZ$48)</f>
        <v>0</v>
      </c>
      <c r="CA12" s="47">
        <f t="shared" ref="CA12:CC12" si="8">SUM($BR$7:$BV$7)/SUM($BR$45:$BV$45)*SUM(CA$48)</f>
        <v>0</v>
      </c>
      <c r="CB12" s="47">
        <f t="shared" si="8"/>
        <v>0</v>
      </c>
      <c r="CC12" s="47">
        <f t="shared" si="8"/>
        <v>0</v>
      </c>
      <c r="CD12" s="35"/>
      <c r="DT12"/>
      <c r="DU12"/>
      <c r="DV12" s="31"/>
      <c r="DW12" s="31"/>
      <c r="DX12" s="31"/>
      <c r="DY12" s="31"/>
      <c r="DZ12" s="31"/>
      <c r="EB12" s="32"/>
      <c r="EC12" s="32"/>
      <c r="ED12" s="32"/>
      <c r="EE12" s="33"/>
      <c r="EF12" s="33"/>
    </row>
    <row r="13" spans="1:136" x14ac:dyDescent="0.25">
      <c r="B13" s="34"/>
      <c r="C13" s="34"/>
      <c r="D13" s="34"/>
      <c r="E13" s="34"/>
      <c r="G13" s="35"/>
      <c r="H13" s="35"/>
      <c r="I13" s="35"/>
      <c r="J13" s="35"/>
      <c r="K13" s="36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L13" s="31"/>
      <c r="BM13" s="31"/>
      <c r="BN13" s="31"/>
      <c r="BO13" s="31"/>
      <c r="BP13" s="48" t="s">
        <v>81</v>
      </c>
      <c r="BQ13" s="35"/>
      <c r="BR13" s="35"/>
      <c r="BS13" s="35"/>
      <c r="BT13" s="35"/>
      <c r="BU13" s="35"/>
      <c r="BV13" s="35"/>
      <c r="BW13" s="35"/>
      <c r="BX13" s="49">
        <f>SUM(BX10:BX12)</f>
        <v>983162.0227866458</v>
      </c>
      <c r="BY13" s="49">
        <f>SUM(BY10:BY12)</f>
        <v>1023189.2059159449</v>
      </c>
      <c r="BZ13" s="49">
        <f t="shared" ref="BZ13:CC13" si="9">SUM(BZ10:BZ12)</f>
        <v>456300.47862502647</v>
      </c>
      <c r="CA13" s="49">
        <f t="shared" si="9"/>
        <v>858071.08419008506</v>
      </c>
      <c r="CB13" s="49">
        <f t="shared" si="9"/>
        <v>969898.40065987746</v>
      </c>
      <c r="CC13" s="49">
        <f t="shared" si="9"/>
        <v>791615.30456947768</v>
      </c>
      <c r="CD13" s="35"/>
      <c r="DT13"/>
      <c r="DU13"/>
      <c r="DV13" s="31"/>
      <c r="DW13" s="31"/>
      <c r="DX13" s="31"/>
      <c r="DY13" s="31"/>
      <c r="DZ13" s="31"/>
      <c r="EB13" s="32"/>
      <c r="EC13" s="32"/>
      <c r="ED13" s="32"/>
      <c r="EE13" s="33"/>
      <c r="EF13" s="33"/>
    </row>
    <row r="14" spans="1:136" x14ac:dyDescent="0.25">
      <c r="B14" s="34"/>
      <c r="C14" s="34"/>
      <c r="D14" s="34"/>
      <c r="E14" s="34"/>
      <c r="G14" s="35"/>
      <c r="H14" s="35"/>
      <c r="I14" s="35"/>
      <c r="J14" s="35"/>
      <c r="K14" s="36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L14" s="31"/>
      <c r="BM14" s="31"/>
      <c r="BN14" s="31"/>
      <c r="BO14" s="31"/>
      <c r="BP14"/>
      <c r="BQ14" s="35"/>
      <c r="BR14" s="35"/>
      <c r="BS14" s="35"/>
      <c r="BT14" s="35"/>
      <c r="BU14" s="35"/>
      <c r="BV14" s="35"/>
      <c r="BW14" s="35"/>
      <c r="BX14" s="38"/>
      <c r="BY14" s="38"/>
      <c r="BZ14" s="38"/>
      <c r="CA14" s="38"/>
      <c r="CB14" s="38"/>
      <c r="CC14" s="38"/>
      <c r="CD14" s="35"/>
      <c r="DT14"/>
      <c r="DU14"/>
      <c r="DV14" s="31"/>
      <c r="DW14" s="31"/>
      <c r="DX14" s="31"/>
      <c r="DY14" s="31"/>
      <c r="DZ14" s="31"/>
      <c r="EB14" s="32"/>
      <c r="EC14" s="32"/>
      <c r="ED14" s="32"/>
      <c r="EE14" s="33"/>
      <c r="EF14" s="33"/>
    </row>
    <row r="15" spans="1:136" x14ac:dyDescent="0.25">
      <c r="B15" s="34"/>
      <c r="C15" s="34"/>
      <c r="D15" s="34"/>
      <c r="E15" s="34"/>
      <c r="G15" s="35"/>
      <c r="H15" s="35"/>
      <c r="I15" s="35"/>
      <c r="J15" s="35"/>
      <c r="K15" s="36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L15" s="31"/>
      <c r="BM15" s="31"/>
      <c r="BN15" s="31"/>
      <c r="BO15" s="31"/>
      <c r="BP15" s="42" t="s">
        <v>82</v>
      </c>
      <c r="BQ15" s="35"/>
      <c r="BR15" s="35"/>
      <c r="BS15" s="35"/>
      <c r="BT15" s="35"/>
      <c r="BU15" s="35"/>
      <c r="BV15" s="35"/>
      <c r="BW15" s="35"/>
      <c r="BX15"/>
      <c r="BY15"/>
      <c r="BZ15"/>
      <c r="CA15"/>
      <c r="CB15"/>
      <c r="CC15"/>
      <c r="CD15" s="35"/>
      <c r="DT15"/>
      <c r="DU15"/>
      <c r="DV15" s="31"/>
      <c r="DW15" s="31"/>
      <c r="DX15" s="31"/>
      <c r="DY15" s="31"/>
      <c r="DZ15" s="31"/>
      <c r="EB15" s="32"/>
      <c r="EC15" s="32"/>
      <c r="ED15" s="32"/>
      <c r="EE15" s="33"/>
      <c r="EF15" s="33"/>
    </row>
    <row r="16" spans="1:136" x14ac:dyDescent="0.25">
      <c r="B16" s="34"/>
      <c r="C16" s="34"/>
      <c r="D16" s="34"/>
      <c r="E16" s="34"/>
      <c r="G16" s="35"/>
      <c r="H16" s="35"/>
      <c r="I16" s="35"/>
      <c r="J16" s="35"/>
      <c r="K16" s="36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L16" s="31"/>
      <c r="BM16" s="31"/>
      <c r="BN16" s="31"/>
      <c r="BO16" s="31"/>
      <c r="BP16" t="s">
        <v>83</v>
      </c>
      <c r="BQ16" s="35"/>
      <c r="BR16" s="35"/>
      <c r="BS16" s="35"/>
      <c r="BT16" s="35"/>
      <c r="BU16" s="35"/>
      <c r="BV16" s="35"/>
      <c r="BW16" s="35"/>
      <c r="BX16" s="39">
        <f>0.3*BX5</f>
        <v>12900</v>
      </c>
      <c r="BY16" s="46">
        <f>0.3*BY5</f>
        <v>133357.5</v>
      </c>
      <c r="BZ16" s="46">
        <f t="shared" ref="BZ16:CC16" si="10">0.3*BZ5</f>
        <v>36000</v>
      </c>
      <c r="CA16" s="46">
        <f t="shared" si="10"/>
        <v>59400</v>
      </c>
      <c r="CB16" s="46">
        <f t="shared" si="10"/>
        <v>106200</v>
      </c>
      <c r="CC16" s="46">
        <f t="shared" si="10"/>
        <v>44700</v>
      </c>
      <c r="CD16" s="35"/>
      <c r="DT16"/>
      <c r="DU16"/>
      <c r="DV16" s="31"/>
      <c r="DW16" s="31"/>
      <c r="DX16" s="31"/>
      <c r="DY16" s="31"/>
      <c r="DZ16" s="31"/>
      <c r="EB16" s="32"/>
      <c r="EC16" s="32"/>
      <c r="ED16" s="32"/>
      <c r="EE16" s="33"/>
      <c r="EF16" s="33"/>
    </row>
    <row r="17" spans="2:136" x14ac:dyDescent="0.25">
      <c r="B17" s="34"/>
      <c r="C17" s="34"/>
      <c r="D17" s="34"/>
      <c r="E17" s="34"/>
      <c r="G17" s="35"/>
      <c r="H17" s="35"/>
      <c r="I17" s="35"/>
      <c r="J17" s="35"/>
      <c r="K17" s="36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L17" s="31"/>
      <c r="BM17" s="31"/>
      <c r="BN17" s="31"/>
      <c r="BO17" s="31"/>
      <c r="BP17" t="s">
        <v>84</v>
      </c>
      <c r="BQ17" s="35"/>
      <c r="BR17" s="35"/>
      <c r="BS17" s="35"/>
      <c r="BT17" s="35"/>
      <c r="BU17" s="35"/>
      <c r="BV17" s="35"/>
      <c r="BW17" s="35"/>
      <c r="BX17" s="50">
        <f>SUM(BX10:BX12)-BX16</f>
        <v>970262.0227866458</v>
      </c>
      <c r="BY17" s="50">
        <f>SUM(BY10:BY12)-BY16</f>
        <v>889831.70591594488</v>
      </c>
      <c r="BZ17" s="50">
        <f t="shared" ref="BZ17:CC17" si="11">SUM(BZ10:BZ12)-BZ16</f>
        <v>420300.47862502647</v>
      </c>
      <c r="CA17" s="50">
        <f t="shared" si="11"/>
        <v>798671.08419008506</v>
      </c>
      <c r="CB17" s="50">
        <f t="shared" si="11"/>
        <v>863698.40065987746</v>
      </c>
      <c r="CC17" s="50">
        <f t="shared" si="11"/>
        <v>746915.30456947768</v>
      </c>
      <c r="CD17" s="35"/>
      <c r="DT17"/>
      <c r="DU17"/>
      <c r="DV17" s="31"/>
      <c r="DW17" s="31"/>
      <c r="DX17" s="31"/>
      <c r="DY17" s="31"/>
      <c r="DZ17" s="31"/>
      <c r="EB17" s="32"/>
      <c r="EC17" s="32"/>
      <c r="ED17" s="32"/>
      <c r="EE17" s="33"/>
      <c r="EF17" s="33"/>
    </row>
    <row r="18" spans="2:136" x14ac:dyDescent="0.25">
      <c r="B18" s="34"/>
      <c r="C18" s="34"/>
      <c r="D18" s="34"/>
      <c r="E18" s="34"/>
      <c r="G18" s="35"/>
      <c r="H18" s="35"/>
      <c r="I18" s="35"/>
      <c r="J18" s="35"/>
      <c r="K18" s="36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L18" s="31"/>
      <c r="BM18" s="31"/>
      <c r="BN18" s="31"/>
      <c r="BO18" s="31"/>
      <c r="BP18" s="48" t="s">
        <v>81</v>
      </c>
      <c r="BQ18" s="35"/>
      <c r="BR18" s="35"/>
      <c r="BS18" s="35"/>
      <c r="BT18" s="35"/>
      <c r="BU18" s="35"/>
      <c r="BV18" s="35"/>
      <c r="BW18" s="35"/>
      <c r="BX18" s="49">
        <f>SUM(BX16:BX17)</f>
        <v>983162.0227866458</v>
      </c>
      <c r="BY18" s="49">
        <f>SUM(BY16:BY17)</f>
        <v>1023189.2059159449</v>
      </c>
      <c r="BZ18" s="49">
        <f t="shared" ref="BZ18:CC18" si="12">SUM(BZ16:BZ17)</f>
        <v>456300.47862502647</v>
      </c>
      <c r="CA18" s="49">
        <f t="shared" si="12"/>
        <v>858071.08419008506</v>
      </c>
      <c r="CB18" s="49">
        <f>SUM(CB16:CB17)</f>
        <v>969898.40065987746</v>
      </c>
      <c r="CC18" s="49">
        <f t="shared" si="12"/>
        <v>791615.30456947768</v>
      </c>
      <c r="CD18" s="35"/>
      <c r="DT18"/>
      <c r="DU18"/>
      <c r="DV18" s="31"/>
      <c r="DW18" s="31"/>
      <c r="DX18" s="31"/>
      <c r="DY18" s="31"/>
      <c r="DZ18" s="31"/>
      <c r="EB18" s="32"/>
      <c r="EC18" s="32"/>
      <c r="ED18" s="32"/>
      <c r="EE18" s="33"/>
      <c r="EF18" s="33"/>
    </row>
    <row r="19" spans="2:136" x14ac:dyDescent="0.25">
      <c r="B19" s="34"/>
      <c r="C19" s="34"/>
      <c r="D19" s="34"/>
      <c r="E19" s="34"/>
      <c r="G19" s="35"/>
      <c r="H19" s="35"/>
      <c r="I19" s="35"/>
      <c r="J19" s="35"/>
      <c r="K19" s="36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L19" s="31"/>
      <c r="BM19" s="31"/>
      <c r="BN19" s="31"/>
      <c r="BO19" s="31"/>
      <c r="BP19" t="s">
        <v>85</v>
      </c>
      <c r="BQ19" s="35"/>
      <c r="BR19" s="35"/>
      <c r="BS19" s="35"/>
      <c r="BT19" s="35"/>
      <c r="BU19" s="35"/>
      <c r="BV19" s="35"/>
      <c r="BW19" s="35"/>
      <c r="BX19" s="38"/>
      <c r="BY19" s="38"/>
      <c r="BZ19" s="38"/>
      <c r="CA19" s="38"/>
      <c r="CB19" s="38"/>
      <c r="CC19" s="38"/>
      <c r="CD19" s="35"/>
      <c r="DT19"/>
      <c r="DU19"/>
      <c r="DV19" s="31"/>
      <c r="DW19" s="31"/>
      <c r="DX19" s="31"/>
      <c r="DY19" s="31"/>
      <c r="DZ19" s="31"/>
      <c r="EB19" s="32"/>
      <c r="EC19" s="32"/>
      <c r="ED19" s="32"/>
      <c r="EE19" s="33"/>
      <c r="EF19" s="33"/>
    </row>
    <row r="20" spans="2:136" x14ac:dyDescent="0.25">
      <c r="B20" s="34"/>
      <c r="C20" s="34"/>
      <c r="D20" s="34"/>
      <c r="E20" s="34"/>
      <c r="G20" s="35"/>
      <c r="H20" s="35"/>
      <c r="I20" s="35"/>
      <c r="J20" s="35"/>
      <c r="K20" s="36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L20" s="31"/>
      <c r="BM20" s="31"/>
      <c r="BN20" s="31"/>
      <c r="BO20" s="31"/>
      <c r="BP20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8"/>
      <c r="CD20" s="35"/>
      <c r="DT20"/>
      <c r="DU20"/>
      <c r="DV20" s="31"/>
      <c r="DW20" s="31"/>
      <c r="DX20" s="31"/>
      <c r="DY20" s="31"/>
      <c r="DZ20" s="31"/>
      <c r="EB20" s="32"/>
      <c r="EC20" s="32"/>
      <c r="ED20" s="32"/>
      <c r="EE20" s="33"/>
      <c r="EF20" s="33"/>
    </row>
    <row r="21" spans="2:136" x14ac:dyDescent="0.25">
      <c r="B21" s="34"/>
      <c r="C21" s="34"/>
      <c r="D21" s="34"/>
      <c r="E21" s="34"/>
      <c r="G21" s="35"/>
      <c r="H21" s="35"/>
      <c r="I21" s="35"/>
      <c r="J21" s="35"/>
      <c r="K21" s="36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L21" s="31"/>
      <c r="BM21" s="31"/>
      <c r="BN21" s="31"/>
      <c r="BO21" s="31"/>
      <c r="BP21"/>
      <c r="BQ21" s="35"/>
      <c r="BR21" s="35"/>
      <c r="BS21" s="35"/>
      <c r="BT21" s="35"/>
      <c r="BU21" s="35"/>
      <c r="BV21" s="35"/>
      <c r="BW21" s="35"/>
      <c r="BX21"/>
      <c r="BY21"/>
      <c r="BZ21"/>
      <c r="CA21"/>
      <c r="CB21"/>
      <c r="CC21"/>
      <c r="CD21" s="35"/>
      <c r="DT21"/>
      <c r="DU21"/>
      <c r="DV21" s="31"/>
      <c r="DW21" s="31"/>
      <c r="DX21" s="31"/>
      <c r="DY21" s="31"/>
      <c r="DZ21" s="31"/>
      <c r="EB21" s="32"/>
      <c r="EC21" s="32"/>
      <c r="ED21" s="32"/>
      <c r="EE21" s="33"/>
      <c r="EF21" s="33"/>
    </row>
    <row r="22" spans="2:136" x14ac:dyDescent="0.25">
      <c r="B22" s="34"/>
      <c r="C22" s="34"/>
      <c r="D22" s="34"/>
      <c r="E22" s="34"/>
      <c r="G22" s="35"/>
      <c r="H22" s="35"/>
      <c r="I22" s="35"/>
      <c r="J22" s="35"/>
      <c r="K22" s="36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L22" s="31"/>
      <c r="BM22" s="31"/>
      <c r="BN22" s="31"/>
      <c r="BO22" s="31"/>
      <c r="BP22" t="s">
        <v>86</v>
      </c>
      <c r="BQ22" s="35"/>
      <c r="BR22" s="51">
        <f t="shared" ref="BR22:BY22" si="13">BR93/BR6</f>
        <v>0.57129280772048796</v>
      </c>
      <c r="BS22" s="51">
        <f t="shared" si="13"/>
        <v>1.1652611634531591</v>
      </c>
      <c r="BT22" s="51">
        <f t="shared" si="13"/>
        <v>0.79242564762873791</v>
      </c>
      <c r="BU22" s="51">
        <f t="shared" si="13"/>
        <v>2.0716894091953932</v>
      </c>
      <c r="BV22" s="51">
        <f t="shared" si="13"/>
        <v>1.2598645081912814</v>
      </c>
      <c r="BW22" s="51">
        <f t="shared" si="13"/>
        <v>5.9591586904461327</v>
      </c>
      <c r="BX22" s="51">
        <f t="shared" si="13"/>
        <v>1.8581164348453882</v>
      </c>
      <c r="BY22" s="51">
        <f t="shared" si="13"/>
        <v>2.0017533280229496</v>
      </c>
      <c r="BZ22" s="52">
        <v>1.01</v>
      </c>
      <c r="CA22" s="52">
        <v>1.01</v>
      </c>
      <c r="CB22" s="52">
        <v>1.01</v>
      </c>
      <c r="CC22" s="52">
        <v>1.01</v>
      </c>
      <c r="CD22" s="35"/>
      <c r="DT22"/>
      <c r="DU22"/>
      <c r="DV22" s="31"/>
      <c r="DW22" s="31"/>
      <c r="DX22" s="31"/>
      <c r="DY22" s="31"/>
      <c r="DZ22" s="31"/>
      <c r="EB22" s="32"/>
      <c r="EC22" s="32"/>
      <c r="ED22" s="32"/>
      <c r="EE22" s="33"/>
      <c r="EF22" s="33"/>
    </row>
    <row r="23" spans="2:136" x14ac:dyDescent="0.25">
      <c r="B23" s="34"/>
      <c r="C23" s="34"/>
      <c r="D23" s="34"/>
      <c r="E23" s="34"/>
      <c r="G23" s="35"/>
      <c r="H23" s="35"/>
      <c r="I23" s="35"/>
      <c r="J23" s="35"/>
      <c r="K23" s="36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L23" s="31"/>
      <c r="BM23" s="31"/>
      <c r="BN23" s="31"/>
      <c r="BO23" s="31"/>
      <c r="BP23" s="4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G23" s="53" t="s">
        <v>4</v>
      </c>
      <c r="CH23"/>
      <c r="CI23"/>
      <c r="CJ23"/>
      <c r="CK23"/>
      <c r="CL23"/>
      <c r="CM23"/>
      <c r="CN23"/>
      <c r="CO23"/>
      <c r="CP23" s="53" t="s">
        <v>87</v>
      </c>
      <c r="CQ23"/>
      <c r="CR23"/>
      <c r="CS23"/>
      <c r="CT23"/>
      <c r="CU23"/>
      <c r="CV23"/>
      <c r="CW23"/>
      <c r="CX23"/>
      <c r="CY23" s="53" t="s">
        <v>88</v>
      </c>
      <c r="CZ23"/>
      <c r="DA23"/>
      <c r="DB23"/>
      <c r="DC23"/>
      <c r="DD23"/>
      <c r="DE23"/>
      <c r="DF23"/>
      <c r="DG23"/>
      <c r="DH23"/>
      <c r="DI23" s="53" t="s">
        <v>89</v>
      </c>
      <c r="DJ23"/>
      <c r="DK23"/>
      <c r="DL23"/>
      <c r="DM23"/>
      <c r="DN23"/>
      <c r="DO23"/>
      <c r="DP23"/>
      <c r="DT23"/>
      <c r="DU23"/>
      <c r="DV23" s="31"/>
      <c r="DW23" s="31"/>
      <c r="DX23" s="31"/>
      <c r="DY23" s="31"/>
      <c r="DZ23" s="31"/>
      <c r="EB23" s="32"/>
      <c r="EC23" s="32"/>
      <c r="ED23" s="32"/>
      <c r="EE23" s="33"/>
      <c r="EF23" s="33"/>
    </row>
    <row r="24" spans="2:136" x14ac:dyDescent="0.25">
      <c r="B24" s="34"/>
      <c r="C24" s="34"/>
      <c r="D24" s="34"/>
      <c r="E24" s="34"/>
      <c r="G24" s="35"/>
      <c r="H24" s="35"/>
      <c r="I24" s="35"/>
      <c r="J24" s="35"/>
      <c r="K24" s="36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L24" s="31"/>
      <c r="BM24" s="31"/>
      <c r="BN24" s="31"/>
      <c r="BO24" s="31"/>
      <c r="BP24" s="45" t="s">
        <v>90</v>
      </c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G24" s="54" t="s">
        <v>58</v>
      </c>
      <c r="CH24" s="54" t="s">
        <v>59</v>
      </c>
      <c r="CI24" s="54" t="s">
        <v>60</v>
      </c>
      <c r="CJ24" s="54" t="s">
        <v>61</v>
      </c>
      <c r="CK24" s="54" t="s">
        <v>62</v>
      </c>
      <c r="CL24" s="54" t="s">
        <v>63</v>
      </c>
      <c r="CM24" s="54" t="s">
        <v>64</v>
      </c>
      <c r="CN24" s="54" t="s">
        <v>65</v>
      </c>
      <c r="CO24"/>
      <c r="CP24" s="54" t="s">
        <v>58</v>
      </c>
      <c r="CQ24" s="54" t="s">
        <v>59</v>
      </c>
      <c r="CR24" s="54" t="s">
        <v>60</v>
      </c>
      <c r="CS24" s="54" t="s">
        <v>61</v>
      </c>
      <c r="CT24" s="54" t="s">
        <v>62</v>
      </c>
      <c r="CU24" s="54" t="s">
        <v>63</v>
      </c>
      <c r="CV24" s="54" t="s">
        <v>64</v>
      </c>
      <c r="CW24" s="54" t="s">
        <v>65</v>
      </c>
      <c r="CX24"/>
      <c r="CY24" s="54" t="s">
        <v>58</v>
      </c>
      <c r="CZ24" s="54" t="s">
        <v>59</v>
      </c>
      <c r="DA24" s="54" t="s">
        <v>60</v>
      </c>
      <c r="DB24" s="54" t="s">
        <v>61</v>
      </c>
      <c r="DC24" s="54" t="s">
        <v>62</v>
      </c>
      <c r="DD24" s="54" t="s">
        <v>63</v>
      </c>
      <c r="DE24" s="54" t="s">
        <v>64</v>
      </c>
      <c r="DF24" s="54" t="s">
        <v>65</v>
      </c>
      <c r="DG24"/>
      <c r="DH24" s="55" t="s">
        <v>91</v>
      </c>
      <c r="DI24" s="54" t="s">
        <v>58</v>
      </c>
      <c r="DJ24" s="54" t="s">
        <v>59</v>
      </c>
      <c r="DK24" s="54" t="s">
        <v>60</v>
      </c>
      <c r="DL24" s="54" t="s">
        <v>61</v>
      </c>
      <c r="DM24" s="54" t="s">
        <v>62</v>
      </c>
      <c r="DN24" s="54" t="s">
        <v>63</v>
      </c>
      <c r="DO24" s="54" t="s">
        <v>64</v>
      </c>
      <c r="DP24" s="54" t="s">
        <v>65</v>
      </c>
      <c r="DT24"/>
      <c r="DU24"/>
      <c r="DV24" s="31"/>
      <c r="DW24" s="31"/>
      <c r="DX24" s="31"/>
      <c r="DY24" s="31"/>
      <c r="DZ24" s="31"/>
      <c r="EB24" s="32"/>
      <c r="EC24" s="32"/>
      <c r="ED24" s="32"/>
      <c r="EE24" s="33"/>
      <c r="EF24" s="33"/>
    </row>
    <row r="25" spans="2:136" x14ac:dyDescent="0.25">
      <c r="B25" s="34"/>
      <c r="C25" s="34"/>
      <c r="D25" s="34"/>
      <c r="E25" s="34"/>
      <c r="G25" s="35"/>
      <c r="H25" s="35"/>
      <c r="I25" s="35"/>
      <c r="J25" s="35"/>
      <c r="K25" s="36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L25" s="31"/>
      <c r="BM25" s="56">
        <v>174000</v>
      </c>
      <c r="BN25" s="31"/>
      <c r="BO25" s="31"/>
      <c r="BP25" s="57" t="s">
        <v>92</v>
      </c>
      <c r="BQ25" s="38">
        <f t="shared" ref="BQ25:BY32" si="14">BQ35*$DH25</f>
        <v>7127857.8000000007</v>
      </c>
      <c r="BR25" s="38">
        <f t="shared" si="14"/>
        <v>649240.20000000007</v>
      </c>
      <c r="BS25" s="38">
        <f t="shared" si="14"/>
        <v>874528.20000000007</v>
      </c>
      <c r="BT25" s="38">
        <f t="shared" si="14"/>
        <v>1068177.6000000001</v>
      </c>
      <c r="BU25" s="38">
        <f t="shared" si="14"/>
        <v>1108964.8500000001</v>
      </c>
      <c r="BV25" s="38">
        <f t="shared" si="14"/>
        <v>1553691.3</v>
      </c>
      <c r="BW25" s="38">
        <f t="shared" si="14"/>
        <v>1061813.55</v>
      </c>
      <c r="BX25" s="38">
        <f t="shared" si="14"/>
        <v>2607308.5500000003</v>
      </c>
      <c r="BY25" s="38">
        <f t="shared" si="14"/>
        <v>2183208.3000000003</v>
      </c>
      <c r="BZ25" s="37">
        <f>683628+174349</f>
        <v>857977</v>
      </c>
      <c r="CA25" s="38">
        <v>1650000</v>
      </c>
      <c r="CB25" s="38">
        <v>1700000</v>
      </c>
      <c r="CC25" s="38">
        <v>1500000</v>
      </c>
      <c r="CD25" s="35"/>
      <c r="CG25" s="58"/>
      <c r="CH25" s="59"/>
      <c r="CI25" s="59"/>
      <c r="CJ25" s="59"/>
      <c r="CK25" s="59"/>
      <c r="CL25" s="59"/>
      <c r="CM25" s="59"/>
      <c r="CN25" s="59"/>
      <c r="CO25" s="38"/>
      <c r="CP25" s="38"/>
      <c r="CQ25" s="38"/>
      <c r="CR25" s="46"/>
      <c r="CS25" s="38"/>
      <c r="CT25" s="38">
        <f>BZ25-DC25</f>
        <v>-942023</v>
      </c>
      <c r="CU25" s="38"/>
      <c r="CV25" s="38"/>
      <c r="CW25" s="38"/>
      <c r="CX25"/>
      <c r="CY25">
        <v>1100000</v>
      </c>
      <c r="CZ25">
        <v>1250000</v>
      </c>
      <c r="DA25">
        <v>1300000</v>
      </c>
      <c r="DB25" s="46">
        <v>1600000</v>
      </c>
      <c r="DC25" s="46">
        <v>1800000</v>
      </c>
      <c r="DD25" s="46">
        <v>1650000</v>
      </c>
      <c r="DE25" s="46">
        <v>1700000</v>
      </c>
      <c r="DF25" s="46">
        <v>1500000</v>
      </c>
      <c r="DG25"/>
      <c r="DH25" s="42">
        <v>1.05</v>
      </c>
      <c r="DI25" s="38">
        <f>(CY25+CP25)-((CY25+CP25)/$DH25)</f>
        <v>52380.952380952425</v>
      </c>
      <c r="DJ25" s="38">
        <f t="shared" ref="DJ25:DP32" si="15">(CZ25+CQ25)-((CZ25+CQ25)/$DH25)</f>
        <v>59523.809523809468</v>
      </c>
      <c r="DK25" s="38">
        <f t="shared" si="15"/>
        <v>61904.761904761894</v>
      </c>
      <c r="DL25" s="38">
        <f t="shared" si="15"/>
        <v>76190.476190476213</v>
      </c>
      <c r="DM25" s="38">
        <f t="shared" si="15"/>
        <v>40856.047619047691</v>
      </c>
      <c r="DN25" s="38">
        <f t="shared" si="15"/>
        <v>78571.428571428638</v>
      </c>
      <c r="DO25" s="38">
        <f t="shared" si="15"/>
        <v>80952.380952381063</v>
      </c>
      <c r="DP25" s="38">
        <f t="shared" si="15"/>
        <v>71428.571428571595</v>
      </c>
      <c r="DT25"/>
      <c r="DU25"/>
      <c r="DV25" s="31"/>
      <c r="DW25" s="31"/>
      <c r="DX25" s="31"/>
      <c r="DY25" s="31"/>
      <c r="DZ25" s="31"/>
      <c r="EB25" s="32"/>
      <c r="EC25" s="32"/>
      <c r="ED25" s="32"/>
      <c r="EE25" s="33"/>
      <c r="EF25" s="33"/>
    </row>
    <row r="26" spans="2:136" x14ac:dyDescent="0.25">
      <c r="B26" s="34"/>
      <c r="C26" s="34"/>
      <c r="D26" s="34"/>
      <c r="E26" s="34"/>
      <c r="G26" s="35"/>
      <c r="H26" s="35"/>
      <c r="I26" s="35"/>
      <c r="J26" s="35"/>
      <c r="K26" s="36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L26" s="31"/>
      <c r="BM26" s="56">
        <f>1346890-BM25-BM30-1082541</f>
        <v>85349</v>
      </c>
      <c r="BN26" s="31"/>
      <c r="BO26" s="31"/>
      <c r="BP26" s="57" t="s">
        <v>93</v>
      </c>
      <c r="BQ26" s="38">
        <f t="shared" si="14"/>
        <v>2477198.4299999997</v>
      </c>
      <c r="BR26" s="38">
        <f t="shared" si="14"/>
        <v>352779.22</v>
      </c>
      <c r="BS26" s="38">
        <f t="shared" si="14"/>
        <v>332164.62999999995</v>
      </c>
      <c r="BT26" s="38">
        <f t="shared" si="14"/>
        <v>377526.22</v>
      </c>
      <c r="BU26" s="38">
        <f t="shared" si="14"/>
        <v>262640.25</v>
      </c>
      <c r="BV26" s="38">
        <f t="shared" si="14"/>
        <v>525763.00999999989</v>
      </c>
      <c r="BW26" s="38">
        <f t="shared" si="14"/>
        <v>516955.50749999995</v>
      </c>
      <c r="BX26" s="38">
        <f t="shared" si="14"/>
        <v>437598.14999999997</v>
      </c>
      <c r="BY26" s="38">
        <f t="shared" si="14"/>
        <v>528495.35</v>
      </c>
      <c r="BZ26" s="38">
        <f>152816+21654</f>
        <v>174470</v>
      </c>
      <c r="CA26" s="38">
        <v>350000</v>
      </c>
      <c r="CB26" s="38">
        <v>350000</v>
      </c>
      <c r="CC26" s="38">
        <v>350000</v>
      </c>
      <c r="CD26" s="35"/>
      <c r="CG26" s="58"/>
      <c r="CH26" s="59"/>
      <c r="CI26" s="59"/>
      <c r="CJ26" s="59"/>
      <c r="CK26" s="59"/>
      <c r="CL26" s="59"/>
      <c r="CM26" s="59"/>
      <c r="CN26" s="59"/>
      <c r="CO26" s="38"/>
      <c r="CP26" s="38"/>
      <c r="CQ26" s="38"/>
      <c r="CR26" s="38"/>
      <c r="CS26" s="38"/>
      <c r="CT26" s="38">
        <f t="shared" ref="CT26:CT32" si="16">BZ26-DC26</f>
        <v>-175530</v>
      </c>
      <c r="CU26" s="38"/>
      <c r="CV26" s="38"/>
      <c r="CW26" s="38"/>
      <c r="CX26"/>
      <c r="CY26">
        <v>650000</v>
      </c>
      <c r="CZ26">
        <v>750000</v>
      </c>
      <c r="DA26">
        <v>650000</v>
      </c>
      <c r="DB26" s="46">
        <v>350000</v>
      </c>
      <c r="DC26" s="46">
        <v>350000</v>
      </c>
      <c r="DD26" s="46">
        <v>350000</v>
      </c>
      <c r="DE26" s="46">
        <v>350000</v>
      </c>
      <c r="DF26" s="46">
        <v>350000</v>
      </c>
      <c r="DG26"/>
      <c r="DH26" s="42">
        <v>1.1299999999999999</v>
      </c>
      <c r="DI26" s="38">
        <f t="shared" ref="DI26:DI32" si="17">(CY26+CP26)-((CY26+CP26)/$DH26)</f>
        <v>74778.761061946861</v>
      </c>
      <c r="DJ26" s="38">
        <f t="shared" si="15"/>
        <v>86283.185840707854</v>
      </c>
      <c r="DK26" s="38">
        <f t="shared" si="15"/>
        <v>74778.761061946861</v>
      </c>
      <c r="DL26" s="38">
        <f t="shared" si="15"/>
        <v>40265.486725663708</v>
      </c>
      <c r="DM26" s="38">
        <f t="shared" si="15"/>
        <v>20071.769911504409</v>
      </c>
      <c r="DN26" s="38">
        <f t="shared" si="15"/>
        <v>40265.486725663708</v>
      </c>
      <c r="DO26" s="38">
        <f t="shared" si="15"/>
        <v>40265.486725663708</v>
      </c>
      <c r="DP26" s="38">
        <f t="shared" si="15"/>
        <v>40265.486725663708</v>
      </c>
      <c r="DT26"/>
      <c r="DU26"/>
      <c r="DV26" s="31"/>
      <c r="DW26" s="31"/>
      <c r="DX26" s="31"/>
      <c r="DY26" s="31"/>
      <c r="DZ26" s="31"/>
      <c r="EB26" s="32"/>
      <c r="EC26" s="32"/>
      <c r="ED26" s="32"/>
      <c r="EE26" s="33"/>
      <c r="EF26" s="33"/>
    </row>
    <row r="27" spans="2:136" x14ac:dyDescent="0.25">
      <c r="B27" s="34"/>
      <c r="C27" s="34"/>
      <c r="D27" s="34"/>
      <c r="E27" s="34"/>
      <c r="G27" s="35"/>
      <c r="H27" s="35"/>
      <c r="I27" s="35"/>
      <c r="J27" s="35"/>
      <c r="K27" s="36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L27" s="31"/>
      <c r="BM27" s="56"/>
      <c r="BN27" s="31"/>
      <c r="BO27" s="31"/>
      <c r="BP27" s="57" t="s">
        <v>94</v>
      </c>
      <c r="BQ27" s="38">
        <f t="shared" si="14"/>
        <v>87314.85</v>
      </c>
      <c r="BR27" s="38">
        <f t="shared" si="14"/>
        <v>124395.6</v>
      </c>
      <c r="BS27" s="38">
        <f t="shared" si="14"/>
        <v>39121.950000000004</v>
      </c>
      <c r="BT27" s="38">
        <f t="shared" si="14"/>
        <v>95174.1</v>
      </c>
      <c r="BU27" s="38">
        <f t="shared" si="14"/>
        <v>64814.400000000001</v>
      </c>
      <c r="BV27" s="38">
        <f t="shared" si="14"/>
        <v>82698</v>
      </c>
      <c r="BW27" s="38">
        <f t="shared" si="14"/>
        <v>59857.350000000006</v>
      </c>
      <c r="BX27" s="38">
        <f t="shared" si="14"/>
        <v>138286.05000000002</v>
      </c>
      <c r="BY27" s="38">
        <f t="shared" si="14"/>
        <v>0</v>
      </c>
      <c r="BZ27" s="38">
        <f>75072+18912</f>
        <v>93984</v>
      </c>
      <c r="CA27" s="38">
        <v>80000</v>
      </c>
      <c r="CB27" s="38">
        <v>100000</v>
      </c>
      <c r="CC27" s="38">
        <v>110000</v>
      </c>
      <c r="CD27" s="35"/>
      <c r="CG27" s="58"/>
      <c r="CH27" s="59"/>
      <c r="CI27" s="59"/>
      <c r="CJ27" s="59"/>
      <c r="CK27" s="59"/>
      <c r="CL27" s="59"/>
      <c r="CM27" s="59"/>
      <c r="CN27" s="59"/>
      <c r="CO27" s="38"/>
      <c r="CP27" s="38"/>
      <c r="CQ27" s="38"/>
      <c r="CR27" s="38"/>
      <c r="CS27" s="38"/>
      <c r="CT27" s="38">
        <f t="shared" si="16"/>
        <v>13984</v>
      </c>
      <c r="CU27" s="38"/>
      <c r="CV27" s="38"/>
      <c r="CW27" s="38"/>
      <c r="CX27"/>
      <c r="CY27">
        <v>120000</v>
      </c>
      <c r="CZ27">
        <v>150000</v>
      </c>
      <c r="DA27">
        <v>150000</v>
      </c>
      <c r="DB27" s="46">
        <v>50000</v>
      </c>
      <c r="DC27" s="46">
        <v>80000</v>
      </c>
      <c r="DD27" s="46">
        <v>80000</v>
      </c>
      <c r="DE27" s="46">
        <v>100000</v>
      </c>
      <c r="DF27" s="46">
        <v>110000</v>
      </c>
      <c r="DG27"/>
      <c r="DH27" s="42">
        <v>1.05</v>
      </c>
      <c r="DI27" s="38">
        <f t="shared" si="17"/>
        <v>5714.2857142857247</v>
      </c>
      <c r="DJ27" s="38">
        <f t="shared" si="15"/>
        <v>7142.8571428571595</v>
      </c>
      <c r="DK27" s="38">
        <f t="shared" si="15"/>
        <v>7142.8571428571595</v>
      </c>
      <c r="DL27" s="38">
        <f t="shared" si="15"/>
        <v>2380.9523809523816</v>
      </c>
      <c r="DM27" s="38">
        <f t="shared" si="15"/>
        <v>4475.4285714285797</v>
      </c>
      <c r="DN27" s="38">
        <f t="shared" si="15"/>
        <v>3809.5238095238165</v>
      </c>
      <c r="DO27" s="38">
        <f t="shared" si="15"/>
        <v>4761.9047619047633</v>
      </c>
      <c r="DP27" s="38">
        <f t="shared" si="15"/>
        <v>5238.0952380952367</v>
      </c>
      <c r="DT27"/>
      <c r="DU27"/>
      <c r="DV27" s="31"/>
      <c r="DW27" s="31"/>
      <c r="DX27" s="31"/>
      <c r="DY27" s="31"/>
      <c r="DZ27" s="31"/>
      <c r="EB27" s="32"/>
      <c r="EC27" s="32"/>
      <c r="ED27" s="32"/>
      <c r="EE27" s="33"/>
      <c r="EF27" s="33"/>
    </row>
    <row r="28" spans="2:136" x14ac:dyDescent="0.25">
      <c r="B28" s="34"/>
      <c r="C28" s="34"/>
      <c r="D28" s="34"/>
      <c r="E28" s="34"/>
      <c r="G28" s="35"/>
      <c r="H28" s="35"/>
      <c r="I28" s="35"/>
      <c r="J28" s="35"/>
      <c r="K28" s="36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L28" s="31"/>
      <c r="BM28" s="56"/>
      <c r="BN28" s="31"/>
      <c r="BO28" s="31"/>
      <c r="BP28" s="57" t="s">
        <v>95</v>
      </c>
      <c r="BQ28" s="38">
        <f t="shared" si="14"/>
        <v>1968868.6500000001</v>
      </c>
      <c r="BR28" s="38">
        <f t="shared" si="14"/>
        <v>377541.15</v>
      </c>
      <c r="BS28" s="38">
        <f t="shared" si="14"/>
        <v>-279.3</v>
      </c>
      <c r="BT28" s="38">
        <f t="shared" si="14"/>
        <v>260089.2</v>
      </c>
      <c r="BU28" s="38">
        <f t="shared" si="14"/>
        <v>266140.35000000003</v>
      </c>
      <c r="BV28" s="38">
        <f t="shared" si="14"/>
        <v>104176.8</v>
      </c>
      <c r="BW28" s="38">
        <f t="shared" si="14"/>
        <v>29.400000000000002</v>
      </c>
      <c r="BX28" s="38">
        <f t="shared" si="14"/>
        <v>424110.75</v>
      </c>
      <c r="BY28" s="38">
        <f t="shared" si="14"/>
        <v>183688.05000000002</v>
      </c>
      <c r="BZ28" s="37">
        <v>94365</v>
      </c>
      <c r="CA28" s="38">
        <v>391547.61904761905</v>
      </c>
      <c r="CB28" s="38">
        <v>437171.42857142858</v>
      </c>
      <c r="CC28" s="38">
        <v>369914.28571428574</v>
      </c>
      <c r="CD28" s="35"/>
      <c r="CG28" s="58"/>
      <c r="CH28" s="59"/>
      <c r="CI28" s="59"/>
      <c r="CJ28" s="59"/>
      <c r="CK28" s="59"/>
      <c r="CL28" s="59"/>
      <c r="CM28" s="59"/>
      <c r="CN28" s="59"/>
      <c r="CO28" s="38"/>
      <c r="CP28" s="38"/>
      <c r="CQ28" s="38"/>
      <c r="CR28" s="38"/>
      <c r="CS28" s="38"/>
      <c r="CT28" s="38">
        <f t="shared" si="16"/>
        <v>-281520.71428571432</v>
      </c>
      <c r="CU28" s="38"/>
      <c r="CV28" s="38"/>
      <c r="CW28" s="38"/>
      <c r="CX28"/>
      <c r="CY28">
        <v>185000</v>
      </c>
      <c r="CZ28">
        <v>200000</v>
      </c>
      <c r="DA28">
        <v>220000</v>
      </c>
      <c r="DB28" s="46">
        <v>333719.04761904763</v>
      </c>
      <c r="DC28" s="46">
        <v>375885.71428571432</v>
      </c>
      <c r="DD28" s="46">
        <v>391547.61904761905</v>
      </c>
      <c r="DE28" s="46">
        <v>437171.42857142858</v>
      </c>
      <c r="DF28" s="46">
        <v>369914.28571428574</v>
      </c>
      <c r="DG28"/>
      <c r="DH28" s="42">
        <v>1.05</v>
      </c>
      <c r="DI28" s="38">
        <f t="shared" si="17"/>
        <v>8809.5238095238165</v>
      </c>
      <c r="DJ28" s="38">
        <f t="shared" si="15"/>
        <v>9523.8095238095266</v>
      </c>
      <c r="DK28" s="38">
        <f t="shared" si="15"/>
        <v>10476.190476190473</v>
      </c>
      <c r="DL28" s="38">
        <f t="shared" si="15"/>
        <v>15891.383219954674</v>
      </c>
      <c r="DM28" s="38">
        <f t="shared" si="15"/>
        <v>4493.5714285714348</v>
      </c>
      <c r="DN28" s="38">
        <f t="shared" si="15"/>
        <v>18645.124716553313</v>
      </c>
      <c r="DO28" s="38">
        <f t="shared" si="15"/>
        <v>20817.687074829941</v>
      </c>
      <c r="DP28" s="38">
        <f t="shared" si="15"/>
        <v>17614.965986394556</v>
      </c>
      <c r="DT28"/>
      <c r="DU28"/>
      <c r="DV28" s="31"/>
      <c r="DW28" s="31"/>
      <c r="DX28" s="31"/>
      <c r="DY28" s="31"/>
      <c r="DZ28" s="31"/>
      <c r="EB28" s="32"/>
      <c r="EC28" s="32"/>
      <c r="ED28" s="32"/>
      <c r="EE28" s="33"/>
      <c r="EF28" s="33"/>
    </row>
    <row r="29" spans="2:136" x14ac:dyDescent="0.25">
      <c r="B29" s="34"/>
      <c r="C29" s="34"/>
      <c r="D29" s="34"/>
      <c r="E29" s="34"/>
      <c r="G29" s="35"/>
      <c r="H29" s="35"/>
      <c r="I29" s="35"/>
      <c r="J29" s="35"/>
      <c r="K29" s="36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L29" s="31"/>
      <c r="BM29" s="56"/>
      <c r="BN29" s="31"/>
      <c r="BO29" s="31"/>
      <c r="BP29" s="57" t="s">
        <v>96</v>
      </c>
      <c r="BQ29" s="38">
        <f t="shared" si="14"/>
        <v>136805.55000000002</v>
      </c>
      <c r="BR29" s="38">
        <f t="shared" si="14"/>
        <v>27492.15</v>
      </c>
      <c r="BS29" s="38">
        <f t="shared" si="14"/>
        <v>22307.25</v>
      </c>
      <c r="BT29" s="38">
        <f t="shared" si="14"/>
        <v>14243.25</v>
      </c>
      <c r="BU29" s="38">
        <f t="shared" si="14"/>
        <v>16939.650000000001</v>
      </c>
      <c r="BV29" s="38">
        <f t="shared" si="14"/>
        <v>12429.9</v>
      </c>
      <c r="BW29" s="38">
        <f t="shared" si="14"/>
        <v>4403.7</v>
      </c>
      <c r="BX29" s="38">
        <f t="shared" si="14"/>
        <v>0</v>
      </c>
      <c r="BY29" s="38">
        <f t="shared" si="14"/>
        <v>0</v>
      </c>
      <c r="BZ29" s="38"/>
      <c r="CA29" s="38">
        <v>50000</v>
      </c>
      <c r="CB29" s="38">
        <v>50000</v>
      </c>
      <c r="CC29" s="38">
        <v>50000</v>
      </c>
      <c r="CD29" s="35"/>
      <c r="CG29" s="58"/>
      <c r="CH29" s="59"/>
      <c r="CI29" s="59"/>
      <c r="CJ29" s="59"/>
      <c r="CK29" s="59"/>
      <c r="CL29" s="59"/>
      <c r="CM29" s="59"/>
      <c r="CN29" s="59"/>
      <c r="CO29" s="38"/>
      <c r="CP29" s="38"/>
      <c r="CQ29" s="38"/>
      <c r="CR29" s="38"/>
      <c r="CS29" s="38"/>
      <c r="CT29" s="38">
        <f t="shared" si="16"/>
        <v>0</v>
      </c>
      <c r="CU29" s="38"/>
      <c r="CV29" s="38"/>
      <c r="CW29" s="38"/>
      <c r="CX29"/>
      <c r="CY29">
        <v>70000</v>
      </c>
      <c r="CZ29">
        <v>85000</v>
      </c>
      <c r="DA29">
        <v>100000</v>
      </c>
      <c r="DB29" s="46"/>
      <c r="DC29" s="46"/>
      <c r="DD29" s="46">
        <v>50000</v>
      </c>
      <c r="DE29" s="46">
        <v>50000</v>
      </c>
      <c r="DF29" s="46">
        <v>50000</v>
      </c>
      <c r="DG29"/>
      <c r="DH29" s="42">
        <v>1.05</v>
      </c>
      <c r="DI29" s="38">
        <f t="shared" si="17"/>
        <v>3333.333333333343</v>
      </c>
      <c r="DJ29" s="38">
        <f t="shared" si="15"/>
        <v>4047.6190476190532</v>
      </c>
      <c r="DK29" s="38">
        <f t="shared" si="15"/>
        <v>4761.9047619047633</v>
      </c>
      <c r="DL29" s="38">
        <f t="shared" si="15"/>
        <v>0</v>
      </c>
      <c r="DM29" s="38">
        <f t="shared" si="15"/>
        <v>0</v>
      </c>
      <c r="DN29" s="38">
        <f t="shared" si="15"/>
        <v>2380.9523809523816</v>
      </c>
      <c r="DO29" s="38">
        <f t="shared" si="15"/>
        <v>2380.9523809523816</v>
      </c>
      <c r="DP29" s="38">
        <f t="shared" si="15"/>
        <v>2380.9523809523816</v>
      </c>
      <c r="DT29"/>
      <c r="DU29"/>
      <c r="DV29" s="31"/>
      <c r="DW29" s="31"/>
      <c r="DX29" s="31"/>
      <c r="DY29" s="31"/>
      <c r="DZ29" s="31"/>
      <c r="EB29" s="32"/>
      <c r="EC29" s="32"/>
      <c r="ED29" s="32"/>
      <c r="EE29" s="33"/>
      <c r="EF29" s="33"/>
    </row>
    <row r="30" spans="2:136" x14ac:dyDescent="0.25">
      <c r="B30" s="34"/>
      <c r="C30" s="34"/>
      <c r="D30" s="34"/>
      <c r="E30" s="34"/>
      <c r="G30" s="35"/>
      <c r="H30" s="35"/>
      <c r="I30" s="35"/>
      <c r="J30" s="35"/>
      <c r="K30" s="36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L30" s="31"/>
      <c r="BM30" s="56">
        <v>5000</v>
      </c>
      <c r="BN30" s="31"/>
      <c r="BO30" s="31"/>
      <c r="BP30" s="57" t="s">
        <v>97</v>
      </c>
      <c r="BQ30" s="38">
        <f t="shared" si="14"/>
        <v>20502.3</v>
      </c>
      <c r="BR30" s="38">
        <f t="shared" si="14"/>
        <v>0</v>
      </c>
      <c r="BS30" s="38">
        <f t="shared" si="14"/>
        <v>0</v>
      </c>
      <c r="BT30" s="38">
        <f t="shared" si="14"/>
        <v>0</v>
      </c>
      <c r="BU30" s="38">
        <f t="shared" si="14"/>
        <v>0</v>
      </c>
      <c r="BV30" s="38">
        <f t="shared" si="14"/>
        <v>0</v>
      </c>
      <c r="BW30" s="38">
        <f t="shared" si="14"/>
        <v>0</v>
      </c>
      <c r="BX30" s="38">
        <f t="shared" si="14"/>
        <v>0</v>
      </c>
      <c r="BY30" s="38">
        <f t="shared" si="14"/>
        <v>0</v>
      </c>
      <c r="BZ30" s="38">
        <f>3246+5742</f>
        <v>8988</v>
      </c>
      <c r="CA30" s="38">
        <v>10000</v>
      </c>
      <c r="CB30" s="38">
        <v>15000</v>
      </c>
      <c r="CC30" s="38">
        <v>15000</v>
      </c>
      <c r="CD30" s="35"/>
      <c r="CG30" s="58"/>
      <c r="CH30" s="59"/>
      <c r="CI30" s="59"/>
      <c r="CJ30" s="59"/>
      <c r="CK30" s="59"/>
      <c r="CL30" s="59"/>
      <c r="CM30" s="59"/>
      <c r="CN30" s="59"/>
      <c r="CO30" s="38"/>
      <c r="CP30" s="38"/>
      <c r="CQ30" s="38"/>
      <c r="CR30" s="38"/>
      <c r="CS30" s="38"/>
      <c r="CT30" s="38">
        <f t="shared" si="16"/>
        <v>-6012</v>
      </c>
      <c r="CU30" s="38"/>
      <c r="CV30" s="38"/>
      <c r="CW30" s="38"/>
      <c r="CX30"/>
      <c r="CY30">
        <v>5000</v>
      </c>
      <c r="CZ30">
        <v>5000</v>
      </c>
      <c r="DA30">
        <v>5000</v>
      </c>
      <c r="DB30" s="46">
        <v>10000</v>
      </c>
      <c r="DC30" s="46">
        <v>15000</v>
      </c>
      <c r="DD30" s="46">
        <v>10000</v>
      </c>
      <c r="DE30" s="46">
        <v>15000</v>
      </c>
      <c r="DF30" s="46">
        <v>15000</v>
      </c>
      <c r="DG30"/>
      <c r="DH30" s="42">
        <v>1.05</v>
      </c>
      <c r="DI30" s="38">
        <f t="shared" si="17"/>
        <v>238.09523809523853</v>
      </c>
      <c r="DJ30" s="38">
        <f t="shared" si="15"/>
        <v>238.09523809523853</v>
      </c>
      <c r="DK30" s="38">
        <f t="shared" si="15"/>
        <v>238.09523809523853</v>
      </c>
      <c r="DL30" s="38">
        <f t="shared" si="15"/>
        <v>476.19047619047706</v>
      </c>
      <c r="DM30" s="38">
        <f t="shared" si="15"/>
        <v>428</v>
      </c>
      <c r="DN30" s="38">
        <f t="shared" si="15"/>
        <v>476.19047619047706</v>
      </c>
      <c r="DO30" s="38">
        <f t="shared" si="15"/>
        <v>714.28571428571558</v>
      </c>
      <c r="DP30" s="38">
        <f t="shared" si="15"/>
        <v>714.28571428571558</v>
      </c>
      <c r="DT30"/>
      <c r="DU30"/>
      <c r="DV30" s="31"/>
      <c r="DW30" s="31"/>
      <c r="DX30" s="31"/>
      <c r="DY30" s="31"/>
      <c r="DZ30" s="31"/>
      <c r="EB30" s="32"/>
      <c r="EC30" s="32"/>
      <c r="ED30" s="32"/>
      <c r="EE30" s="33"/>
      <c r="EF30" s="33"/>
    </row>
    <row r="31" spans="2:136" x14ac:dyDescent="0.25">
      <c r="B31" s="34"/>
      <c r="C31" s="34"/>
      <c r="D31" s="34"/>
      <c r="E31" s="34"/>
      <c r="G31" s="35"/>
      <c r="H31" s="35"/>
      <c r="I31" s="35"/>
      <c r="J31" s="35"/>
      <c r="K31" s="36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L31" s="31"/>
      <c r="BM31" s="56"/>
      <c r="BN31" s="31"/>
      <c r="BO31" s="31"/>
      <c r="BP31" s="57" t="s">
        <v>98</v>
      </c>
      <c r="BQ31" s="38">
        <f t="shared" si="14"/>
        <v>443021.25</v>
      </c>
      <c r="BR31" s="38">
        <f t="shared" si="14"/>
        <v>136167.15</v>
      </c>
      <c r="BS31" s="38">
        <f t="shared" si="14"/>
        <v>778.05000000000007</v>
      </c>
      <c r="BT31" s="38">
        <f t="shared" si="14"/>
        <v>85876.35</v>
      </c>
      <c r="BU31" s="38">
        <f t="shared" si="14"/>
        <v>141249.15</v>
      </c>
      <c r="BV31" s="38">
        <f t="shared" si="14"/>
        <v>32681.25</v>
      </c>
      <c r="BW31" s="38">
        <f t="shared" si="14"/>
        <v>0</v>
      </c>
      <c r="BX31" s="38">
        <f t="shared" si="14"/>
        <v>101662.05</v>
      </c>
      <c r="BY31" s="38">
        <f t="shared" si="14"/>
        <v>0</v>
      </c>
      <c r="BZ31" s="38">
        <v>100000</v>
      </c>
      <c r="CA31" s="38">
        <v>100000</v>
      </c>
      <c r="CB31" s="38">
        <v>50000</v>
      </c>
      <c r="CC31" s="38">
        <v>100000</v>
      </c>
      <c r="CD31" s="35"/>
      <c r="CG31" s="58"/>
      <c r="CH31" s="59"/>
      <c r="CI31" s="59"/>
      <c r="CJ31" s="59"/>
      <c r="CK31" s="59"/>
      <c r="CL31" s="59"/>
      <c r="CM31" s="59"/>
      <c r="CN31" s="59"/>
      <c r="CO31" s="38"/>
      <c r="CP31" s="38"/>
      <c r="CQ31" s="38"/>
      <c r="CR31" s="38"/>
      <c r="CS31" s="38"/>
      <c r="CT31" s="38">
        <f t="shared" si="16"/>
        <v>50000</v>
      </c>
      <c r="CU31" s="38"/>
      <c r="CV31" s="38"/>
      <c r="CW31" s="38"/>
      <c r="CX31"/>
      <c r="CY31">
        <v>115000</v>
      </c>
      <c r="CZ31">
        <v>115000</v>
      </c>
      <c r="DA31">
        <v>120000</v>
      </c>
      <c r="DB31" s="46">
        <v>100000</v>
      </c>
      <c r="DC31" s="46">
        <v>50000</v>
      </c>
      <c r="DD31" s="46">
        <v>100000</v>
      </c>
      <c r="DE31" s="46">
        <v>50000</v>
      </c>
      <c r="DF31" s="46">
        <v>100000</v>
      </c>
      <c r="DG31"/>
      <c r="DH31" s="42">
        <v>1.05</v>
      </c>
      <c r="DI31" s="38">
        <f t="shared" si="17"/>
        <v>5476.190476190488</v>
      </c>
      <c r="DJ31" s="38">
        <f t="shared" si="15"/>
        <v>5476.190476190488</v>
      </c>
      <c r="DK31" s="38">
        <f t="shared" si="15"/>
        <v>5714.2857142857247</v>
      </c>
      <c r="DL31" s="38">
        <f t="shared" si="15"/>
        <v>4761.9047619047633</v>
      </c>
      <c r="DM31" s="38">
        <f t="shared" si="15"/>
        <v>4761.9047619047633</v>
      </c>
      <c r="DN31" s="38">
        <f t="shared" si="15"/>
        <v>4761.9047619047633</v>
      </c>
      <c r="DO31" s="38">
        <f t="shared" si="15"/>
        <v>2380.9523809523816</v>
      </c>
      <c r="DP31" s="38">
        <f t="shared" si="15"/>
        <v>4761.9047619047633</v>
      </c>
      <c r="DT31"/>
      <c r="DU31"/>
      <c r="DV31" s="31"/>
      <c r="DW31" s="31"/>
      <c r="DX31" s="31"/>
      <c r="DY31" s="31"/>
      <c r="DZ31" s="31"/>
      <c r="EB31" s="32"/>
      <c r="EC31" s="32"/>
      <c r="ED31" s="32"/>
      <c r="EE31" s="33"/>
      <c r="EF31" s="33"/>
    </row>
    <row r="32" spans="2:136" x14ac:dyDescent="0.25">
      <c r="B32" s="34"/>
      <c r="C32" s="34"/>
      <c r="D32" s="34"/>
      <c r="E32" s="34"/>
      <c r="G32" s="35"/>
      <c r="H32" s="35"/>
      <c r="I32" s="35"/>
      <c r="J32" s="35"/>
      <c r="K32" s="36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L32" s="31"/>
      <c r="BM32" s="56"/>
      <c r="BN32" s="31"/>
      <c r="BO32" s="31"/>
      <c r="BP32" s="57" t="s">
        <v>99</v>
      </c>
      <c r="BQ32" s="38">
        <f t="shared" si="14"/>
        <v>99107.779999999984</v>
      </c>
      <c r="BR32" s="38">
        <f t="shared" si="14"/>
        <v>32672.819999999996</v>
      </c>
      <c r="BS32" s="38">
        <f t="shared" si="14"/>
        <v>13547.569999999998</v>
      </c>
      <c r="BT32" s="38">
        <f t="shared" si="14"/>
        <v>0</v>
      </c>
      <c r="BU32" s="38">
        <f t="shared" si="14"/>
        <v>40311.619999999995</v>
      </c>
      <c r="BV32" s="38">
        <f t="shared" si="14"/>
        <v>34979.149999999994</v>
      </c>
      <c r="BW32" s="38">
        <f t="shared" si="14"/>
        <v>0</v>
      </c>
      <c r="BX32" s="38">
        <f t="shared" si="14"/>
        <v>55473.959999999992</v>
      </c>
      <c r="BY32" s="38">
        <f t="shared" si="14"/>
        <v>0</v>
      </c>
      <c r="BZ32" s="38">
        <f>3815+28475</f>
        <v>32290</v>
      </c>
      <c r="CA32" s="38">
        <v>30000</v>
      </c>
      <c r="CB32" s="38">
        <v>30000</v>
      </c>
      <c r="CC32" s="38">
        <v>30000</v>
      </c>
      <c r="CD32" s="35"/>
      <c r="CG32" s="58"/>
      <c r="CH32" s="59"/>
      <c r="CI32" s="59"/>
      <c r="CJ32" s="59"/>
      <c r="CK32" s="59"/>
      <c r="CL32" s="59"/>
      <c r="CM32" s="59"/>
      <c r="CN32" s="59"/>
      <c r="CO32" s="38"/>
      <c r="CP32" s="38"/>
      <c r="CQ32" s="38"/>
      <c r="CR32" s="38"/>
      <c r="CS32" s="38"/>
      <c r="CT32" s="38">
        <f t="shared" si="16"/>
        <v>2290</v>
      </c>
      <c r="CU32" s="38"/>
      <c r="CV32" s="38"/>
      <c r="CW32" s="38"/>
      <c r="CX32"/>
      <c r="CY32">
        <v>40000</v>
      </c>
      <c r="CZ32">
        <v>40000</v>
      </c>
      <c r="DA32">
        <v>40000</v>
      </c>
      <c r="DB32" s="46">
        <v>30000</v>
      </c>
      <c r="DC32" s="46">
        <v>30000</v>
      </c>
      <c r="DD32" s="46">
        <v>30000</v>
      </c>
      <c r="DE32" s="46">
        <v>30000</v>
      </c>
      <c r="DF32" s="46">
        <v>30000</v>
      </c>
      <c r="DG32"/>
      <c r="DH32" s="42">
        <v>1.1299999999999999</v>
      </c>
      <c r="DI32" s="38">
        <f t="shared" si="17"/>
        <v>4601.7699115044234</v>
      </c>
      <c r="DJ32" s="38">
        <f t="shared" si="15"/>
        <v>4601.7699115044234</v>
      </c>
      <c r="DK32" s="38">
        <f t="shared" si="15"/>
        <v>4601.7699115044234</v>
      </c>
      <c r="DL32" s="38">
        <f t="shared" si="15"/>
        <v>3451.3274336283175</v>
      </c>
      <c r="DM32" s="38">
        <f t="shared" si="15"/>
        <v>3714.7787610619453</v>
      </c>
      <c r="DN32" s="38">
        <f t="shared" si="15"/>
        <v>3451.3274336283175</v>
      </c>
      <c r="DO32" s="38">
        <f t="shared" si="15"/>
        <v>3451.3274336283175</v>
      </c>
      <c r="DP32" s="38">
        <f t="shared" si="15"/>
        <v>3451.3274336283175</v>
      </c>
      <c r="DT32"/>
      <c r="DU32"/>
      <c r="DV32" s="31"/>
      <c r="DW32" s="31"/>
      <c r="DX32" s="31"/>
      <c r="DY32" s="31"/>
      <c r="DZ32" s="31"/>
      <c r="EB32" s="32"/>
      <c r="EC32" s="32"/>
      <c r="ED32" s="32"/>
      <c r="EE32" s="33"/>
      <c r="EF32" s="33"/>
    </row>
    <row r="33" spans="2:136" x14ac:dyDescent="0.25">
      <c r="B33" s="34"/>
      <c r="C33" s="34"/>
      <c r="D33" s="34"/>
      <c r="E33" s="34"/>
      <c r="G33" s="35"/>
      <c r="H33" s="35"/>
      <c r="I33" s="35"/>
      <c r="J33" s="35"/>
      <c r="K33" s="36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L33" s="31"/>
      <c r="BM33" s="31"/>
      <c r="BN33" s="31"/>
      <c r="BO33" s="31"/>
      <c r="BP33" s="57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DT33"/>
      <c r="DU33"/>
      <c r="DV33" s="31"/>
      <c r="DW33" s="31"/>
      <c r="DX33" s="31"/>
      <c r="DY33" s="31"/>
      <c r="DZ33" s="31"/>
      <c r="EB33" s="32"/>
      <c r="EC33" s="32"/>
      <c r="ED33" s="32"/>
      <c r="EE33" s="33"/>
      <c r="EF33" s="33"/>
    </row>
    <row r="34" spans="2:136" x14ac:dyDescent="0.25">
      <c r="B34" s="34"/>
      <c r="C34" s="34"/>
      <c r="D34" s="34"/>
      <c r="E34" s="34"/>
      <c r="G34" s="35"/>
      <c r="H34" s="35"/>
      <c r="I34" s="35"/>
      <c r="J34" s="35"/>
      <c r="K34" s="36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L34" s="31"/>
      <c r="BM34" s="31"/>
      <c r="BN34" s="31"/>
      <c r="BO34" s="31"/>
      <c r="BP34" s="45" t="s">
        <v>100</v>
      </c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G34" s="1" t="s">
        <v>101</v>
      </c>
      <c r="DT34"/>
      <c r="DU34"/>
      <c r="DV34" s="31"/>
      <c r="DW34" s="31"/>
      <c r="DX34" s="31"/>
      <c r="DY34" s="31"/>
      <c r="DZ34" s="31"/>
      <c r="EB34" s="32"/>
      <c r="EC34" s="32"/>
      <c r="ED34" s="32"/>
      <c r="EE34" s="33"/>
      <c r="EF34" s="33"/>
    </row>
    <row r="35" spans="2:136" x14ac:dyDescent="0.25">
      <c r="B35" s="34"/>
      <c r="C35" s="34"/>
      <c r="D35" s="34"/>
      <c r="E35" s="34"/>
      <c r="G35" s="35"/>
      <c r="H35" s="35"/>
      <c r="I35" s="35"/>
      <c r="J35" s="35"/>
      <c r="K35" s="36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L35" s="31"/>
      <c r="BM35" s="31"/>
      <c r="BN35" s="31"/>
      <c r="BO35" s="31"/>
      <c r="BP35" s="57" t="s">
        <v>92</v>
      </c>
      <c r="BQ35" s="38">
        <f>6779691+8745</f>
        <v>6788436</v>
      </c>
      <c r="BR35" s="38">
        <f>614941+3399-16</f>
        <v>618324</v>
      </c>
      <c r="BS35" s="38">
        <f>828576+4308</f>
        <v>832884</v>
      </c>
      <c r="BT35" s="38">
        <f>1008868+8444</f>
        <v>1017312</v>
      </c>
      <c r="BU35" s="38">
        <f>1040024+12600+3533</f>
        <v>1056157</v>
      </c>
      <c r="BV35" s="38">
        <f>1476497+3209</f>
        <v>1479706</v>
      </c>
      <c r="BW35" s="38">
        <v>1011251</v>
      </c>
      <c r="BX35" s="39">
        <v>2483151</v>
      </c>
      <c r="BY35" s="38">
        <v>2079246</v>
      </c>
      <c r="BZ35" s="38">
        <f t="shared" ref="BZ35:CC42" si="18">BZ25-DM25</f>
        <v>817120.95238095231</v>
      </c>
      <c r="CA35" s="38">
        <f t="shared" si="18"/>
        <v>1571428.5714285714</v>
      </c>
      <c r="CB35" s="38">
        <f t="shared" si="18"/>
        <v>1619047.6190476189</v>
      </c>
      <c r="CC35" s="38">
        <f t="shared" si="18"/>
        <v>1428571.4285714284</v>
      </c>
      <c r="CD35" s="35"/>
      <c r="CF35" s="1" t="s">
        <v>102</v>
      </c>
      <c r="CG35" s="60">
        <v>1</v>
      </c>
      <c r="DT35"/>
      <c r="DU35"/>
      <c r="DV35" s="31"/>
      <c r="DW35" s="31"/>
      <c r="DX35" s="31"/>
      <c r="DY35" s="31"/>
      <c r="DZ35" s="31"/>
      <c r="EB35" s="32"/>
      <c r="EC35" s="32"/>
      <c r="ED35" s="32"/>
      <c r="EE35" s="33"/>
      <c r="EF35" s="33"/>
    </row>
    <row r="36" spans="2:136" x14ac:dyDescent="0.25">
      <c r="B36" s="34"/>
      <c r="C36" s="34"/>
      <c r="D36" s="34"/>
      <c r="E36" s="34"/>
      <c r="G36" s="35"/>
      <c r="H36" s="35"/>
      <c r="I36" s="35"/>
      <c r="J36" s="35"/>
      <c r="K36" s="36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L36" s="31"/>
      <c r="BM36" s="31"/>
      <c r="BN36" s="31"/>
      <c r="BO36" s="31"/>
      <c r="BP36" s="57" t="s">
        <v>93</v>
      </c>
      <c r="BQ36" s="38">
        <f>2108211+84000</f>
        <v>2192211</v>
      </c>
      <c r="BR36" s="38">
        <v>312194</v>
      </c>
      <c r="BS36" s="38">
        <v>293951</v>
      </c>
      <c r="BT36" s="38">
        <v>334094</v>
      </c>
      <c r="BU36" s="38">
        <v>232425</v>
      </c>
      <c r="BV36" s="38">
        <v>465277</v>
      </c>
      <c r="BW36" s="38">
        <f>461945.73-4462.98</f>
        <v>457482.75</v>
      </c>
      <c r="BX36" s="39">
        <v>387255</v>
      </c>
      <c r="BY36" s="38">
        <f>467755-60</f>
        <v>467695</v>
      </c>
      <c r="BZ36" s="38">
        <f t="shared" si="18"/>
        <v>154398.23008849559</v>
      </c>
      <c r="CA36" s="38">
        <f t="shared" si="18"/>
        <v>309734.51327433629</v>
      </c>
      <c r="CB36" s="38">
        <f t="shared" si="18"/>
        <v>309734.51327433629</v>
      </c>
      <c r="CC36" s="38">
        <f t="shared" si="18"/>
        <v>309734.51327433629</v>
      </c>
      <c r="CD36" s="35"/>
      <c r="CF36" s="1" t="s">
        <v>103</v>
      </c>
      <c r="CG36" s="61">
        <f>-CG35*0.4</f>
        <v>-0.4</v>
      </c>
      <c r="DT36"/>
      <c r="DU36"/>
      <c r="DV36" s="31"/>
      <c r="DW36" s="31"/>
      <c r="DX36" s="31"/>
      <c r="DY36" s="31"/>
      <c r="DZ36" s="31"/>
      <c r="EB36" s="32"/>
      <c r="EC36" s="32"/>
      <c r="ED36" s="32"/>
      <c r="EE36" s="33"/>
      <c r="EF36" s="33"/>
    </row>
    <row r="37" spans="2:136" x14ac:dyDescent="0.25">
      <c r="B37" s="34"/>
      <c r="C37" s="34"/>
      <c r="D37" s="34"/>
      <c r="E37" s="34"/>
      <c r="G37" s="35"/>
      <c r="H37" s="35"/>
      <c r="I37" s="35"/>
      <c r="J37" s="35"/>
      <c r="K37" s="36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L37" s="31"/>
      <c r="BM37" s="31"/>
      <c r="BN37" s="31"/>
      <c r="BO37" s="31"/>
      <c r="BP37" s="57" t="s">
        <v>94</v>
      </c>
      <c r="BQ37" s="38">
        <v>83157</v>
      </c>
      <c r="BR37" s="38">
        <v>118472</v>
      </c>
      <c r="BS37" s="38">
        <v>37259</v>
      </c>
      <c r="BT37" s="38">
        <v>90642</v>
      </c>
      <c r="BU37" s="38">
        <v>61728</v>
      </c>
      <c r="BV37" s="38">
        <v>78760</v>
      </c>
      <c r="BW37" s="38">
        <v>57007</v>
      </c>
      <c r="BX37" s="39">
        <v>131701</v>
      </c>
      <c r="BY37" s="37"/>
      <c r="BZ37" s="37">
        <f t="shared" si="18"/>
        <v>89508.57142857142</v>
      </c>
      <c r="CA37" s="37">
        <f t="shared" si="18"/>
        <v>76190.476190476184</v>
      </c>
      <c r="CB37" s="37">
        <f t="shared" si="18"/>
        <v>95238.095238095237</v>
      </c>
      <c r="CC37" s="37">
        <f t="shared" si="18"/>
        <v>104761.90476190476</v>
      </c>
      <c r="CD37" s="35"/>
      <c r="CF37" s="1" t="s">
        <v>104</v>
      </c>
      <c r="CG37" s="60" cm="1">
        <f t="array" ref="CG37:CI37">(BV64:BX64-BX91-BX95)/SUM(BV35:BX42)*1</f>
        <v>-1.0627887612540833E-2</v>
      </c>
      <c r="CH37" s="1">
        <v>-9.0307781539743347E-3</v>
      </c>
      <c r="CI37" s="1">
        <v>-1.1322922171756998E-2</v>
      </c>
      <c r="DT37"/>
      <c r="DU37"/>
      <c r="DV37" s="31"/>
      <c r="DW37" s="31"/>
      <c r="DX37" s="31"/>
      <c r="DY37" s="31"/>
      <c r="DZ37" s="31"/>
      <c r="EB37" s="32"/>
      <c r="EC37" s="32"/>
      <c r="ED37" s="32"/>
      <c r="EE37" s="33"/>
      <c r="EF37" s="33"/>
    </row>
    <row r="38" spans="2:136" x14ac:dyDescent="0.25">
      <c r="B38" s="34"/>
      <c r="C38" s="34"/>
      <c r="D38" s="34"/>
      <c r="E38" s="34"/>
      <c r="G38" s="35"/>
      <c r="H38" s="35"/>
      <c r="I38" s="35"/>
      <c r="J38" s="35"/>
      <c r="K38" s="36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L38" s="31"/>
      <c r="BM38" s="31"/>
      <c r="BN38" s="31"/>
      <c r="BO38" s="31"/>
      <c r="BP38" s="57" t="s">
        <v>95</v>
      </c>
      <c r="BQ38" s="38">
        <v>1875113</v>
      </c>
      <c r="BR38" s="38">
        <v>359563</v>
      </c>
      <c r="BS38" s="38">
        <v>-266</v>
      </c>
      <c r="BT38" s="38">
        <v>247704</v>
      </c>
      <c r="BU38" s="38">
        <v>253467</v>
      </c>
      <c r="BV38" s="38">
        <v>99216</v>
      </c>
      <c r="BW38" s="38">
        <v>28</v>
      </c>
      <c r="BX38" s="39">
        <v>403915</v>
      </c>
      <c r="BY38" s="37">
        <v>174941</v>
      </c>
      <c r="BZ38" s="37">
        <f t="shared" si="18"/>
        <v>89871.428571428565</v>
      </c>
      <c r="CA38" s="37">
        <f t="shared" si="18"/>
        <v>372902.49433106574</v>
      </c>
      <c r="CB38" s="37">
        <f t="shared" si="18"/>
        <v>416353.74149659864</v>
      </c>
      <c r="CC38" s="37">
        <f t="shared" si="18"/>
        <v>352299.31972789118</v>
      </c>
      <c r="CD38" s="35"/>
      <c r="CF38" s="1" t="s">
        <v>105</v>
      </c>
      <c r="CG38" s="62">
        <f>SUM(BR63:BX63)/SUM(BR35:BX42)*1</f>
        <v>-1.4418119794350681E-2</v>
      </c>
      <c r="DT38"/>
      <c r="DU38"/>
      <c r="DV38" s="31"/>
      <c r="DW38" s="31"/>
      <c r="DX38" s="31"/>
      <c r="DY38" s="31"/>
      <c r="DZ38" s="31"/>
      <c r="EB38" s="32"/>
      <c r="EC38" s="32"/>
      <c r="ED38" s="32"/>
      <c r="EE38" s="33"/>
      <c r="EF38" s="33"/>
    </row>
    <row r="39" spans="2:136" x14ac:dyDescent="0.25">
      <c r="B39" s="34"/>
      <c r="C39" s="34"/>
      <c r="D39" s="34"/>
      <c r="E39" s="34"/>
      <c r="G39" s="35"/>
      <c r="H39" s="35"/>
      <c r="I39" s="35"/>
      <c r="J39" s="35"/>
      <c r="K39" s="36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L39" s="31"/>
      <c r="BM39" s="31"/>
      <c r="BN39" s="31"/>
      <c r="BO39" s="31"/>
      <c r="BP39" s="57" t="s">
        <v>96</v>
      </c>
      <c r="BQ39" s="38">
        <v>130291</v>
      </c>
      <c r="BR39" s="38">
        <v>26183</v>
      </c>
      <c r="BS39" s="38">
        <v>21245</v>
      </c>
      <c r="BT39" s="38">
        <v>13565</v>
      </c>
      <c r="BU39" s="38">
        <v>16133</v>
      </c>
      <c r="BV39" s="38">
        <v>11838</v>
      </c>
      <c r="BW39" s="38">
        <v>4194</v>
      </c>
      <c r="BX39" s="39"/>
      <c r="BY39" s="38"/>
      <c r="BZ39" s="38">
        <f t="shared" si="18"/>
        <v>0</v>
      </c>
      <c r="CA39" s="38">
        <f t="shared" si="18"/>
        <v>47619.047619047618</v>
      </c>
      <c r="CB39" s="38">
        <f t="shared" si="18"/>
        <v>47619.047619047618</v>
      </c>
      <c r="CC39" s="38">
        <f t="shared" si="18"/>
        <v>47619.047619047618</v>
      </c>
      <c r="CD39" s="35"/>
      <c r="CF39" s="9" t="s">
        <v>106</v>
      </c>
      <c r="CG39" s="63">
        <f>SUM(CG35:CG38)</f>
        <v>0.57495399259310842</v>
      </c>
      <c r="DT39"/>
      <c r="DU39"/>
      <c r="DV39" s="31"/>
      <c r="DW39" s="31"/>
      <c r="DX39" s="31"/>
      <c r="DY39" s="31"/>
      <c r="DZ39" s="31"/>
      <c r="EB39" s="32"/>
      <c r="EC39" s="32"/>
      <c r="ED39" s="32"/>
      <c r="EE39" s="33"/>
      <c r="EF39" s="33"/>
    </row>
    <row r="40" spans="2:136" x14ac:dyDescent="0.25">
      <c r="B40" s="34"/>
      <c r="C40" s="34"/>
      <c r="D40" s="34"/>
      <c r="E40" s="34"/>
      <c r="G40" s="35"/>
      <c r="H40" s="35"/>
      <c r="I40" s="35"/>
      <c r="J40" s="35"/>
      <c r="K40" s="36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L40" s="31"/>
      <c r="BM40" s="31"/>
      <c r="BN40" s="31"/>
      <c r="BO40" s="31"/>
      <c r="BP40" s="57" t="s">
        <v>97</v>
      </c>
      <c r="BQ40" s="38">
        <v>19526</v>
      </c>
      <c r="BR40" s="38"/>
      <c r="BS40" s="38"/>
      <c r="BT40" s="38"/>
      <c r="BU40" s="38"/>
      <c r="BV40" s="38"/>
      <c r="BW40" s="38"/>
      <c r="BX40" s="39"/>
      <c r="BY40" s="38"/>
      <c r="BZ40" s="38">
        <f t="shared" si="18"/>
        <v>8560</v>
      </c>
      <c r="CA40" s="38">
        <f t="shared" si="18"/>
        <v>9523.8095238095229</v>
      </c>
      <c r="CB40" s="38">
        <f t="shared" si="18"/>
        <v>14285.714285714284</v>
      </c>
      <c r="CC40" s="38">
        <f t="shared" si="18"/>
        <v>14285.714285714284</v>
      </c>
      <c r="CD40" s="35"/>
      <c r="DT40"/>
      <c r="DU40"/>
      <c r="DV40" s="31"/>
      <c r="DW40" s="31"/>
      <c r="DX40" s="31"/>
      <c r="DY40" s="31"/>
      <c r="DZ40" s="31"/>
      <c r="EB40" s="32"/>
      <c r="EC40" s="32"/>
      <c r="ED40" s="32"/>
      <c r="EE40" s="33"/>
      <c r="EF40" s="33"/>
    </row>
    <row r="41" spans="2:136" x14ac:dyDescent="0.25">
      <c r="B41" s="34"/>
      <c r="C41" s="34"/>
      <c r="D41" s="34"/>
      <c r="E41" s="34"/>
      <c r="G41" s="35"/>
      <c r="H41" s="35"/>
      <c r="I41" s="35"/>
      <c r="J41" s="35"/>
      <c r="K41" s="36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L41" s="31"/>
      <c r="BM41" s="31"/>
      <c r="BN41" s="31"/>
      <c r="BO41" s="31"/>
      <c r="BP41" s="57" t="s">
        <v>98</v>
      </c>
      <c r="BQ41" s="38">
        <v>421925</v>
      </c>
      <c r="BR41" s="38">
        <v>129683</v>
      </c>
      <c r="BS41" s="38">
        <v>741</v>
      </c>
      <c r="BT41" s="38">
        <v>81787</v>
      </c>
      <c r="BU41" s="38">
        <v>134523</v>
      </c>
      <c r="BV41" s="38">
        <v>31125</v>
      </c>
      <c r="BW41" s="38"/>
      <c r="BX41" s="39">
        <v>96821</v>
      </c>
      <c r="BY41" s="38"/>
      <c r="BZ41" s="38">
        <f t="shared" si="18"/>
        <v>95238.095238095237</v>
      </c>
      <c r="CA41" s="38">
        <f t="shared" si="18"/>
        <v>95238.095238095237</v>
      </c>
      <c r="CB41" s="38">
        <f t="shared" si="18"/>
        <v>47619.047619047618</v>
      </c>
      <c r="CC41" s="38">
        <f t="shared" si="18"/>
        <v>95238.095238095237</v>
      </c>
      <c r="CD41" s="35"/>
      <c r="CF41" s="1" t="s">
        <v>107</v>
      </c>
      <c r="CG41" s="60">
        <v>-0.10445850106846623</v>
      </c>
      <c r="DT41"/>
      <c r="DU41"/>
      <c r="DV41" s="31"/>
      <c r="DW41" s="31"/>
      <c r="DX41" s="31"/>
      <c r="DY41" s="31"/>
      <c r="DZ41" s="31"/>
      <c r="EB41" s="32"/>
      <c r="EC41" s="32"/>
      <c r="ED41" s="32"/>
      <c r="EE41" s="33"/>
      <c r="EF41" s="33"/>
    </row>
    <row r="42" spans="2:136" x14ac:dyDescent="0.25">
      <c r="B42" s="34"/>
      <c r="C42" s="34"/>
      <c r="D42" s="34"/>
      <c r="E42" s="34"/>
      <c r="G42" s="35"/>
      <c r="H42" s="35"/>
      <c r="I42" s="35"/>
      <c r="J42" s="35"/>
      <c r="K42" s="36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L42" s="31"/>
      <c r="BM42" s="31"/>
      <c r="BN42" s="31"/>
      <c r="BO42" s="31"/>
      <c r="BP42" s="57" t="s">
        <v>99</v>
      </c>
      <c r="BQ42" s="38">
        <v>87706</v>
      </c>
      <c r="BR42" s="38">
        <v>28914</v>
      </c>
      <c r="BS42" s="38">
        <v>11989</v>
      </c>
      <c r="BT42" s="38"/>
      <c r="BU42" s="38">
        <v>35674</v>
      </c>
      <c r="BV42" s="38">
        <v>30955</v>
      </c>
      <c r="BW42" s="38"/>
      <c r="BX42" s="39">
        <v>49092</v>
      </c>
      <c r="BY42" s="38"/>
      <c r="BZ42" s="38">
        <f t="shared" si="18"/>
        <v>28575.221238938055</v>
      </c>
      <c r="CA42" s="38">
        <f t="shared" si="18"/>
        <v>26548.672566371682</v>
      </c>
      <c r="CB42" s="38">
        <f t="shared" si="18"/>
        <v>26548.672566371682</v>
      </c>
      <c r="CC42" s="38">
        <f t="shared" si="18"/>
        <v>26548.672566371682</v>
      </c>
      <c r="CD42" s="35"/>
      <c r="CF42" s="1" t="s">
        <v>108</v>
      </c>
      <c r="CG42" s="64">
        <v>-0.40764054853713527</v>
      </c>
      <c r="DT42"/>
      <c r="DU42"/>
      <c r="DV42" s="31"/>
      <c r="DW42" s="31"/>
      <c r="DX42" s="31"/>
      <c r="DY42" s="31"/>
      <c r="DZ42" s="31"/>
      <c r="EB42" s="32"/>
      <c r="EC42" s="32"/>
      <c r="ED42" s="32"/>
      <c r="EE42" s="33"/>
      <c r="EF42" s="33"/>
    </row>
    <row r="43" spans="2:136" x14ac:dyDescent="0.25">
      <c r="B43" s="34"/>
      <c r="C43" s="34"/>
      <c r="D43" s="34"/>
      <c r="E43" s="34"/>
      <c r="G43" s="35"/>
      <c r="H43" s="35"/>
      <c r="I43" s="35"/>
      <c r="J43" s="35"/>
      <c r="K43" s="36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L43" s="31"/>
      <c r="BM43" s="31"/>
      <c r="BN43" s="31"/>
      <c r="BO43" s="31"/>
      <c r="BP43" s="4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F43" s="1" t="s">
        <v>109</v>
      </c>
      <c r="CG43" s="65">
        <v>-5.7692765816757745E-2</v>
      </c>
      <c r="DT43"/>
      <c r="DU43"/>
      <c r="DV43" s="31"/>
      <c r="DW43" s="31"/>
      <c r="DX43" s="31"/>
      <c r="DY43" s="31"/>
      <c r="DZ43" s="31"/>
      <c r="EB43" s="32"/>
      <c r="EC43" s="32"/>
      <c r="ED43" s="32"/>
      <c r="EE43" s="33"/>
      <c r="EF43" s="33"/>
    </row>
    <row r="44" spans="2:136" x14ac:dyDescent="0.25">
      <c r="B44" s="34"/>
      <c r="C44" s="34"/>
      <c r="D44" s="34"/>
      <c r="E44" s="34"/>
      <c r="G44" s="35"/>
      <c r="H44" s="35"/>
      <c r="I44" s="35"/>
      <c r="J44" s="35"/>
      <c r="K44" s="36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35"/>
      <c r="AV44" s="35"/>
      <c r="AW44" s="35"/>
      <c r="AX44" s="35"/>
      <c r="AY44" s="35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L44" s="31"/>
      <c r="BM44" s="31"/>
      <c r="BN44" s="31"/>
      <c r="BO44" s="31"/>
      <c r="BP44" s="45"/>
      <c r="BQ44" s="35"/>
      <c r="BR44" s="35"/>
      <c r="BS44" s="35"/>
      <c r="BT44" s="35"/>
      <c r="BU44" s="35"/>
      <c r="BV44" s="35"/>
      <c r="BW44" s="35"/>
      <c r="BX44" s="35"/>
      <c r="BY44" s="35"/>
      <c r="BZ44" s="35"/>
      <c r="CA44" s="35"/>
      <c r="CB44" s="35"/>
      <c r="CC44" s="35"/>
      <c r="CD44" s="35"/>
      <c r="CF44" s="1" t="s">
        <v>110</v>
      </c>
      <c r="CG44" s="64">
        <v>-0.1614924393766779</v>
      </c>
      <c r="CH44" s="66" t="s">
        <v>111</v>
      </c>
      <c r="DT44"/>
      <c r="DU44"/>
      <c r="DV44" s="31"/>
      <c r="DW44" s="31"/>
      <c r="DX44" s="31"/>
      <c r="DY44" s="31"/>
      <c r="DZ44" s="31"/>
      <c r="EB44" s="32"/>
      <c r="EC44" s="32"/>
      <c r="ED44" s="32"/>
      <c r="EE44" s="33"/>
      <c r="EF44" s="33"/>
    </row>
    <row r="45" spans="2:136" x14ac:dyDescent="0.25">
      <c r="B45" s="34"/>
      <c r="C45" s="34"/>
      <c r="D45" s="34"/>
      <c r="E45" s="34"/>
      <c r="G45" s="35"/>
      <c r="H45" s="35"/>
      <c r="I45" s="35"/>
      <c r="J45" s="35"/>
      <c r="K45" s="36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  <c r="AU45" s="35"/>
      <c r="AV45" s="35"/>
      <c r="AW45" s="35"/>
      <c r="AX45" s="35"/>
      <c r="AY45" s="35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L45" s="31"/>
      <c r="BM45" s="31"/>
      <c r="BN45" s="31"/>
      <c r="BO45" s="31"/>
      <c r="BP45" s="67" t="s">
        <v>112</v>
      </c>
      <c r="BQ45" s="20">
        <f>SUM(BQ25:BQ32)</f>
        <v>12360676.610000001</v>
      </c>
      <c r="BR45" s="20">
        <f t="shared" ref="BR45:CC45" si="19">SUM(BR25:BR32)</f>
        <v>1700288.2899999998</v>
      </c>
      <c r="BS45" s="20">
        <f t="shared" si="19"/>
        <v>1282168.3500000001</v>
      </c>
      <c r="BT45" s="20">
        <f t="shared" si="19"/>
        <v>1901086.7200000002</v>
      </c>
      <c r="BU45" s="20">
        <f t="shared" si="19"/>
        <v>1901060.27</v>
      </c>
      <c r="BV45" s="20">
        <f t="shared" si="19"/>
        <v>2346419.4099999997</v>
      </c>
      <c r="BW45" s="20">
        <f t="shared" si="19"/>
        <v>1643059.5075000001</v>
      </c>
      <c r="BX45" s="20">
        <f t="shared" si="19"/>
        <v>3764439.51</v>
      </c>
      <c r="BY45" s="68">
        <f t="shared" si="19"/>
        <v>2895391.7</v>
      </c>
      <c r="BZ45" s="68">
        <f t="shared" si="19"/>
        <v>1362074</v>
      </c>
      <c r="CA45" s="68">
        <f t="shared" si="19"/>
        <v>2661547.6190476189</v>
      </c>
      <c r="CB45" s="68">
        <f t="shared" si="19"/>
        <v>2732171.4285714286</v>
      </c>
      <c r="CC45" s="68">
        <f t="shared" si="19"/>
        <v>2524914.2857142859</v>
      </c>
      <c r="CD45" s="38">
        <f>SUM(BR45:CC45)</f>
        <v>26714621.090833336</v>
      </c>
      <c r="CF45" s="1" t="s">
        <v>113</v>
      </c>
      <c r="CG45" s="65">
        <f>-85000/(SUM(BV35:BX42,BV46:BX48)/3)</f>
        <v>-3.4034394024120972E-2</v>
      </c>
      <c r="DT45"/>
      <c r="DU45"/>
      <c r="DV45" s="31"/>
      <c r="DW45" s="31"/>
      <c r="DX45" s="31"/>
      <c r="DY45" s="31"/>
      <c r="DZ45" s="31"/>
      <c r="EB45" s="32"/>
      <c r="EC45" s="32"/>
      <c r="ED45" s="32"/>
      <c r="EE45" s="33"/>
      <c r="EF45" s="33"/>
    </row>
    <row r="46" spans="2:136" x14ac:dyDescent="0.25">
      <c r="B46" s="34"/>
      <c r="C46" s="34"/>
      <c r="D46" s="34"/>
      <c r="E46" s="34"/>
      <c r="G46" s="35"/>
      <c r="H46" s="35"/>
      <c r="I46" s="35"/>
      <c r="J46" s="35"/>
      <c r="K46" s="36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5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L46" s="31"/>
      <c r="BM46" s="31"/>
      <c r="BN46" s="31"/>
      <c r="BO46" s="31"/>
      <c r="BP46" s="67" t="s">
        <v>114</v>
      </c>
      <c r="BQ46" s="6">
        <f t="shared" ref="BQ46:BY47" si="20">AS55</f>
        <v>916101</v>
      </c>
      <c r="BR46" s="69">
        <f t="shared" si="20"/>
        <v>58987</v>
      </c>
      <c r="BS46" s="69">
        <f t="shared" si="20"/>
        <v>93508</v>
      </c>
      <c r="BT46" s="69">
        <f t="shared" si="20"/>
        <v>82412</v>
      </c>
      <c r="BU46" s="69">
        <f t="shared" si="20"/>
        <v>55553</v>
      </c>
      <c r="BV46" s="70">
        <f t="shared" si="20"/>
        <v>72472</v>
      </c>
      <c r="BW46" s="70">
        <f t="shared" si="20"/>
        <v>13871</v>
      </c>
      <c r="BX46" s="70">
        <f t="shared" si="20"/>
        <v>25427</v>
      </c>
      <c r="BY46" s="70">
        <f t="shared" si="20"/>
        <v>17605</v>
      </c>
      <c r="BZ46" s="71">
        <v>5000</v>
      </c>
      <c r="CA46" s="71">
        <v>5000</v>
      </c>
      <c r="CB46" s="71">
        <v>5000</v>
      </c>
      <c r="CC46" s="71">
        <v>5000</v>
      </c>
      <c r="CD46" s="72">
        <f>SUM(BR46:CC46)</f>
        <v>439835</v>
      </c>
      <c r="CF46" s="1" t="s">
        <v>115</v>
      </c>
      <c r="CG46" s="65">
        <f>-(25000+1080)/(SUM(BV35:BX42,BV46:BX48)/3)</f>
        <v>-1.044255289587147E-2</v>
      </c>
      <c r="DT46"/>
      <c r="DU46"/>
      <c r="DV46" s="31"/>
      <c r="DW46" s="31"/>
      <c r="DX46" s="31"/>
      <c r="DY46" s="31"/>
      <c r="DZ46" s="31"/>
      <c r="EB46" s="32"/>
      <c r="EC46" s="32"/>
      <c r="ED46" s="32"/>
      <c r="EE46" s="33"/>
      <c r="EF46" s="33"/>
    </row>
    <row r="47" spans="2:136" x14ac:dyDescent="0.25">
      <c r="B47" s="34"/>
      <c r="C47" s="34"/>
      <c r="D47" s="34"/>
      <c r="E47" s="34"/>
      <c r="G47" s="35"/>
      <c r="H47" s="35"/>
      <c r="I47" s="35"/>
      <c r="J47" s="35"/>
      <c r="K47" s="36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L47" s="31"/>
      <c r="BM47" s="31"/>
      <c r="BN47" s="31"/>
      <c r="BO47" s="31"/>
      <c r="BP47" s="67" t="s">
        <v>116</v>
      </c>
      <c r="BQ47" s="6">
        <f t="shared" si="20"/>
        <v>259898</v>
      </c>
      <c r="BR47" s="69">
        <f t="shared" si="20"/>
        <v>0</v>
      </c>
      <c r="BS47" s="69">
        <f t="shared" si="20"/>
        <v>0</v>
      </c>
      <c r="BT47" s="69">
        <f t="shared" si="20"/>
        <v>0</v>
      </c>
      <c r="BU47" s="69">
        <f t="shared" si="20"/>
        <v>29604</v>
      </c>
      <c r="BV47" s="70">
        <f t="shared" si="20"/>
        <v>0</v>
      </c>
      <c r="BW47" s="70">
        <f t="shared" si="20"/>
        <v>100406</v>
      </c>
      <c r="BX47" s="70">
        <f t="shared" si="20"/>
        <v>0</v>
      </c>
      <c r="BY47" s="70">
        <f t="shared" si="20"/>
        <v>136647</v>
      </c>
      <c r="BZ47" s="73">
        <v>120000</v>
      </c>
      <c r="CA47" s="73">
        <v>200000</v>
      </c>
      <c r="CB47" s="73">
        <v>100000</v>
      </c>
      <c r="CC47" s="73">
        <v>120000</v>
      </c>
      <c r="CD47" s="72">
        <f>SUM(BR47:CC47)</f>
        <v>806657</v>
      </c>
      <c r="CF47" s="1" t="s">
        <v>117</v>
      </c>
      <c r="CG47" s="65">
        <f>-SUM(BV127:BX127,BV130:BX134,BV136:BX138,BV139:BW139,BV142:BX148)/SUM(BV35:BX42,BV46:BX48)</f>
        <v>-9.1946117681658501E-2</v>
      </c>
      <c r="DT47"/>
      <c r="DU47"/>
      <c r="DV47" s="31"/>
      <c r="DW47" s="31"/>
      <c r="DX47" s="31"/>
      <c r="DY47" s="31"/>
      <c r="DZ47" s="31"/>
      <c r="EB47" s="32"/>
      <c r="EC47" s="32"/>
      <c r="ED47" s="32"/>
      <c r="EE47" s="33"/>
      <c r="EF47" s="33"/>
    </row>
    <row r="48" spans="2:136" x14ac:dyDescent="0.25">
      <c r="B48" s="34"/>
      <c r="C48" s="34"/>
      <c r="D48" s="34"/>
      <c r="E48" s="34"/>
      <c r="G48" s="35"/>
      <c r="H48" s="35"/>
      <c r="I48" s="35"/>
      <c r="J48" s="35"/>
      <c r="K48" s="36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5"/>
      <c r="AZ48" s="35"/>
      <c r="BA48" s="35"/>
      <c r="BB48" s="35"/>
      <c r="BC48" s="35"/>
      <c r="BD48" s="35"/>
      <c r="BE48" s="35"/>
      <c r="BF48" s="35"/>
      <c r="BG48" s="35"/>
      <c r="BH48" s="35"/>
      <c r="BI48" s="35"/>
      <c r="BJ48" s="35"/>
      <c r="BL48" s="31"/>
      <c r="BM48" s="31"/>
      <c r="BN48" s="31"/>
      <c r="BO48" s="31"/>
      <c r="BP48" s="67" t="s">
        <v>118</v>
      </c>
      <c r="BQ48" s="74">
        <f t="shared" ref="BQ48:BY48" si="21">AS60</f>
        <v>16010</v>
      </c>
      <c r="BR48" s="74">
        <f t="shared" si="21"/>
        <v>0</v>
      </c>
      <c r="BS48" s="74">
        <f t="shared" si="21"/>
        <v>-143</v>
      </c>
      <c r="BT48" s="74">
        <f t="shared" si="21"/>
        <v>-1109</v>
      </c>
      <c r="BU48" s="74">
        <f t="shared" si="21"/>
        <v>-425</v>
      </c>
      <c r="BV48" s="74">
        <f t="shared" si="21"/>
        <v>1470</v>
      </c>
      <c r="BW48" s="74">
        <f t="shared" si="21"/>
        <v>0</v>
      </c>
      <c r="BX48" s="74">
        <f t="shared" si="21"/>
        <v>0</v>
      </c>
      <c r="BY48" s="74">
        <f t="shared" si="21"/>
        <v>1619</v>
      </c>
      <c r="BZ48" s="75"/>
      <c r="CA48" s="75"/>
      <c r="CB48" s="75"/>
      <c r="CC48" s="75"/>
      <c r="CD48" s="38">
        <f t="shared" ref="CD48" si="22">SUM(BR48:CC48)</f>
        <v>1412</v>
      </c>
      <c r="DT48"/>
      <c r="DU48"/>
      <c r="DV48" s="31"/>
      <c r="DW48" s="31"/>
      <c r="DX48" s="31"/>
      <c r="DY48" s="31"/>
      <c r="DZ48" s="31"/>
      <c r="EB48" s="32"/>
      <c r="EC48" s="32"/>
      <c r="ED48" s="32"/>
      <c r="EE48" s="33"/>
      <c r="EF48" s="33"/>
    </row>
    <row r="49" spans="1:136" x14ac:dyDescent="0.25">
      <c r="B49" s="34"/>
      <c r="C49" s="34"/>
      <c r="D49" s="34"/>
      <c r="E49" s="34"/>
      <c r="G49" s="35"/>
      <c r="H49" s="35"/>
      <c r="I49" s="35"/>
      <c r="J49" s="35"/>
      <c r="K49" s="36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L49" s="31"/>
      <c r="BM49" s="31"/>
      <c r="BN49" s="31"/>
      <c r="BO49" s="31"/>
      <c r="BP49" s="45"/>
      <c r="BQ49" s="76"/>
      <c r="BR49" s="76"/>
      <c r="BS49" s="76"/>
      <c r="BT49" s="76"/>
      <c r="BU49" s="76"/>
      <c r="BV49" s="76"/>
      <c r="BW49" s="76"/>
      <c r="BX49" s="76"/>
      <c r="BY49" s="76"/>
      <c r="BZ49" s="76"/>
      <c r="CA49" s="76"/>
      <c r="CB49" s="76"/>
      <c r="CC49" s="76"/>
      <c r="CD49" s="76"/>
      <c r="CF49" s="1" t="s">
        <v>119</v>
      </c>
      <c r="CG49" s="77">
        <f>SUM(CG39:CG48)</f>
        <v>-0.29275332680757971</v>
      </c>
      <c r="DT49"/>
      <c r="DU49"/>
      <c r="DV49" s="31"/>
      <c r="DW49" s="31"/>
      <c r="DX49" s="31"/>
      <c r="DY49" s="31"/>
      <c r="DZ49" s="31"/>
      <c r="EB49" s="32"/>
      <c r="EC49" s="32"/>
      <c r="ED49" s="32"/>
      <c r="EE49" s="33"/>
      <c r="EF49" s="33"/>
    </row>
    <row r="50" spans="1:136" x14ac:dyDescent="0.25">
      <c r="B50" s="34"/>
      <c r="C50" s="34"/>
      <c r="D50" s="34"/>
      <c r="E50" s="34"/>
      <c r="G50" s="35"/>
      <c r="H50" s="35"/>
      <c r="I50" s="35"/>
      <c r="J50" s="35"/>
      <c r="K50" s="36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35"/>
      <c r="AR50" s="35"/>
      <c r="AS50" s="35"/>
      <c r="AT50" s="35"/>
      <c r="AU50" s="35"/>
      <c r="AV50" s="35"/>
      <c r="AW50" s="35"/>
      <c r="AX50" s="35"/>
      <c r="AY50" s="35"/>
      <c r="AZ50" s="35"/>
      <c r="BA50" s="35"/>
      <c r="BB50" s="35"/>
      <c r="BC50" s="35"/>
      <c r="BD50" s="35"/>
      <c r="BE50" s="35"/>
      <c r="BF50" s="35"/>
      <c r="BG50" s="35"/>
      <c r="BH50" s="35"/>
      <c r="BI50" s="35"/>
      <c r="BJ50" s="35"/>
      <c r="BL50" s="31"/>
      <c r="BM50" s="31"/>
      <c r="BN50" s="31"/>
      <c r="BO50" s="31"/>
      <c r="BP50" s="9" t="s">
        <v>120</v>
      </c>
      <c r="BQ50" s="78">
        <f t="shared" ref="BQ50:CD50" si="23">SUM(BQ45:BQ49)</f>
        <v>13552685.610000001</v>
      </c>
      <c r="BR50" s="78">
        <f t="shared" si="23"/>
        <v>1759275.2899999998</v>
      </c>
      <c r="BS50" s="78">
        <f t="shared" si="23"/>
        <v>1375533.35</v>
      </c>
      <c r="BT50" s="78">
        <f t="shared" si="23"/>
        <v>1982389.7200000002</v>
      </c>
      <c r="BU50" s="78">
        <f t="shared" si="23"/>
        <v>1985792.27</v>
      </c>
      <c r="BV50" s="78">
        <f t="shared" si="23"/>
        <v>2420361.4099999997</v>
      </c>
      <c r="BW50" s="78">
        <f t="shared" si="23"/>
        <v>1757336.5075000001</v>
      </c>
      <c r="BX50" s="78">
        <f t="shared" si="23"/>
        <v>3789866.51</v>
      </c>
      <c r="BY50" s="78">
        <f t="shared" si="23"/>
        <v>3051262.7</v>
      </c>
      <c r="BZ50" s="78">
        <f t="shared" si="23"/>
        <v>1487074</v>
      </c>
      <c r="CA50" s="78">
        <f t="shared" si="23"/>
        <v>2866547.6190476189</v>
      </c>
      <c r="CB50" s="78">
        <f t="shared" si="23"/>
        <v>2837171.4285714286</v>
      </c>
      <c r="CC50" s="78">
        <f t="shared" si="23"/>
        <v>2649914.2857142859</v>
      </c>
      <c r="CD50" s="78">
        <f t="shared" si="23"/>
        <v>27962525.090833336</v>
      </c>
      <c r="DT50"/>
      <c r="DU50"/>
      <c r="DV50" s="31"/>
      <c r="DW50" s="31"/>
      <c r="DX50" s="31"/>
      <c r="DY50" s="31"/>
      <c r="DZ50" s="31"/>
      <c r="EB50" s="32"/>
      <c r="EC50" s="32"/>
      <c r="ED50" s="32"/>
      <c r="EE50" s="33"/>
      <c r="EF50" s="33"/>
    </row>
    <row r="51" spans="1:136" x14ac:dyDescent="0.25">
      <c r="B51" s="34"/>
      <c r="C51" s="34"/>
      <c r="D51" s="34"/>
      <c r="E51" s="34"/>
      <c r="G51" s="35"/>
      <c r="H51" s="35"/>
      <c r="I51" s="35"/>
      <c r="J51" s="35"/>
      <c r="K51" s="36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  <c r="AS51" s="35"/>
      <c r="AT51" s="35"/>
      <c r="AU51" s="35"/>
      <c r="AV51" s="35"/>
      <c r="AW51" s="35"/>
      <c r="AX51" s="35"/>
      <c r="AY51" s="35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L51" s="31"/>
      <c r="BM51" s="31"/>
      <c r="BN51" s="31"/>
      <c r="BO51" s="31"/>
      <c r="DT51"/>
      <c r="DU51"/>
      <c r="DV51" s="31"/>
      <c r="DW51" s="31"/>
      <c r="DX51" s="31"/>
      <c r="DY51" s="31"/>
      <c r="DZ51" s="31"/>
      <c r="EB51" s="32"/>
      <c r="EC51" s="32"/>
      <c r="ED51" s="32"/>
      <c r="EE51" s="33"/>
      <c r="EF51" s="33"/>
    </row>
    <row r="52" spans="1:136" x14ac:dyDescent="0.25">
      <c r="A52" s="45"/>
      <c r="B52" s="34"/>
      <c r="C52" s="34"/>
      <c r="D52" s="34"/>
      <c r="E52" s="34"/>
      <c r="G52" s="35"/>
      <c r="H52" s="35"/>
      <c r="I52" s="35"/>
      <c r="J52" s="35"/>
      <c r="K52" s="36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35"/>
      <c r="AR52" s="35"/>
      <c r="AS52" s="35"/>
      <c r="AT52" s="35"/>
      <c r="AU52" s="35"/>
      <c r="AV52" s="35"/>
      <c r="AW52" s="35"/>
      <c r="AX52" s="35"/>
      <c r="AY52" s="35"/>
      <c r="AZ52" s="35"/>
      <c r="BA52" s="35"/>
      <c r="BB52" s="35"/>
      <c r="BC52" s="35"/>
      <c r="BD52" s="35"/>
      <c r="BE52" s="35"/>
      <c r="BF52" s="35"/>
      <c r="BG52" s="35"/>
      <c r="BH52" s="35"/>
      <c r="BI52" s="35"/>
      <c r="BJ52" s="35"/>
      <c r="BL52" s="31"/>
      <c r="BM52" s="31"/>
      <c r="BN52" s="31"/>
      <c r="BO52" s="31"/>
      <c r="BP52" s="31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  <c r="CD52" s="38"/>
      <c r="DT52"/>
      <c r="DU52"/>
      <c r="DV52" s="31"/>
      <c r="DW52" s="31"/>
      <c r="DX52" s="31"/>
      <c r="DY52" s="31"/>
      <c r="DZ52" s="31"/>
      <c r="EB52" s="32"/>
      <c r="EC52" s="32"/>
      <c r="ED52" s="32"/>
      <c r="EE52" s="33"/>
      <c r="EF52" s="33"/>
    </row>
    <row r="53" spans="1:136" x14ac:dyDescent="0.25">
      <c r="A53" s="45" t="s">
        <v>102</v>
      </c>
      <c r="B53" s="45"/>
      <c r="C53" s="45"/>
      <c r="D53" s="45"/>
      <c r="E53" s="45"/>
      <c r="BN53" s="31"/>
      <c r="BO53" s="31"/>
      <c r="BP53" s="79" t="s">
        <v>121</v>
      </c>
      <c r="BQ53" s="80">
        <v>0.43488799460351873</v>
      </c>
      <c r="BR53" s="81">
        <v>0.44997273273599553</v>
      </c>
      <c r="BS53" s="81">
        <v>0.44433938032154024</v>
      </c>
      <c r="BT53" s="81">
        <v>0.39563369315893027</v>
      </c>
      <c r="BU53" s="81">
        <v>0.44833766288968901</v>
      </c>
      <c r="BV53" s="78">
        <f>-AVERAGE($BQ53:$BT53)*BV35</f>
        <v>-638061.73101903417</v>
      </c>
      <c r="BW53" s="78">
        <f t="shared" ref="BW53:CC55" si="24">-AVERAGE($BQ53:$BT53)*BW35</f>
        <v>-436059.97647825262</v>
      </c>
      <c r="BX53" s="78">
        <f t="shared" si="24"/>
        <v>-1070755.6943349866</v>
      </c>
      <c r="BY53" s="78">
        <f t="shared" si="24"/>
        <v>-896588.44525493751</v>
      </c>
      <c r="BZ53" s="78">
        <f t="shared" si="24"/>
        <v>-352349.45950622094</v>
      </c>
      <c r="CA53" s="78">
        <f t="shared" si="24"/>
        <v>-677613.27889356541</v>
      </c>
      <c r="CB53" s="78">
        <f t="shared" si="24"/>
        <v>-698147.01461761282</v>
      </c>
      <c r="CC53" s="78">
        <f t="shared" si="24"/>
        <v>-616012.07172142307</v>
      </c>
      <c r="CD53" s="38"/>
      <c r="DT53"/>
      <c r="DU53"/>
      <c r="DV53" s="31"/>
      <c r="DW53" s="31"/>
      <c r="DX53" s="31"/>
      <c r="DY53" s="31"/>
      <c r="DZ53" s="31"/>
      <c r="EB53" s="32"/>
      <c r="EC53" s="32"/>
      <c r="ED53" s="32"/>
      <c r="EE53" s="33"/>
      <c r="EF53" s="33"/>
    </row>
    <row r="54" spans="1:136" x14ac:dyDescent="0.25">
      <c r="A54" s="67" t="s">
        <v>122</v>
      </c>
      <c r="B54" s="82">
        <v>2787828</v>
      </c>
      <c r="C54" s="82">
        <v>5652468</v>
      </c>
      <c r="D54" s="82">
        <v>16534377</v>
      </c>
      <c r="E54" s="82">
        <v>11093325</v>
      </c>
      <c r="F54" s="82"/>
      <c r="G54" s="69">
        <v>517706</v>
      </c>
      <c r="H54" s="69">
        <v>131147</v>
      </c>
      <c r="I54" s="69">
        <v>501520</v>
      </c>
      <c r="J54" s="69">
        <v>634046</v>
      </c>
      <c r="K54" s="69">
        <v>154644</v>
      </c>
      <c r="L54" s="69">
        <v>280627</v>
      </c>
      <c r="M54" s="69">
        <v>152004</v>
      </c>
      <c r="N54" s="69">
        <v>561768</v>
      </c>
      <c r="O54" s="69">
        <v>809609</v>
      </c>
      <c r="P54" s="69">
        <v>631721</v>
      </c>
      <c r="Q54" s="69">
        <v>635698</v>
      </c>
      <c r="R54" s="69">
        <v>641977</v>
      </c>
      <c r="S54" s="69">
        <f>SUM(G54:R54)</f>
        <v>5652467</v>
      </c>
      <c r="T54" s="69">
        <v>1334001</v>
      </c>
      <c r="U54" s="69">
        <v>1503079</v>
      </c>
      <c r="V54" s="69">
        <v>756787</v>
      </c>
      <c r="W54" s="69">
        <v>2792408</v>
      </c>
      <c r="X54" s="69">
        <v>779549</v>
      </c>
      <c r="Y54" s="69">
        <v>1640368</v>
      </c>
      <c r="Z54" s="69">
        <v>1356738</v>
      </c>
      <c r="AA54" s="69">
        <v>1573793</v>
      </c>
      <c r="AB54" s="69">
        <v>1004422</v>
      </c>
      <c r="AC54" s="69">
        <v>1751895</v>
      </c>
      <c r="AD54" s="69">
        <v>935928</v>
      </c>
      <c r="AE54" s="69">
        <v>1105410</v>
      </c>
      <c r="AF54" s="69">
        <f>SUM(T54:AE54)</f>
        <v>16534378</v>
      </c>
      <c r="AG54" s="69">
        <v>583522</v>
      </c>
      <c r="AH54" s="69">
        <v>1064379</v>
      </c>
      <c r="AI54" s="69">
        <v>659768</v>
      </c>
      <c r="AJ54" s="69">
        <v>692761</v>
      </c>
      <c r="AK54" s="69">
        <v>736098</v>
      </c>
      <c r="AL54" s="69">
        <v>835041</v>
      </c>
      <c r="AM54" s="69">
        <v>1247327</v>
      </c>
      <c r="AN54" s="69">
        <v>1083038</v>
      </c>
      <c r="AO54" s="69">
        <v>1324255</v>
      </c>
      <c r="AP54" s="69">
        <v>995572</v>
      </c>
      <c r="AQ54" s="69">
        <v>747687</v>
      </c>
      <c r="AR54" s="69">
        <v>1123875</v>
      </c>
      <c r="AS54" s="69">
        <f>SUM(AG54:AR54)</f>
        <v>11093323</v>
      </c>
      <c r="AT54" s="69">
        <v>1557297</v>
      </c>
      <c r="AU54" s="69">
        <v>1130540</v>
      </c>
      <c r="AV54" s="70">
        <v>1656842</v>
      </c>
      <c r="AW54" s="69">
        <v>1710652</v>
      </c>
      <c r="AX54" s="69">
        <v>2009289</v>
      </c>
      <c r="AY54" s="69">
        <v>1360422</v>
      </c>
      <c r="AZ54" s="69">
        <v>3343814</v>
      </c>
      <c r="BA54" s="69">
        <v>2325340</v>
      </c>
      <c r="BB54" s="69">
        <v>925069</v>
      </c>
      <c r="BC54" s="69">
        <v>0</v>
      </c>
      <c r="BD54" s="69">
        <v>0</v>
      </c>
      <c r="BE54" s="69">
        <v>0</v>
      </c>
      <c r="BF54" s="69">
        <f>SUM(AT54:BE54)</f>
        <v>16019265</v>
      </c>
      <c r="BG54" s="69"/>
      <c r="BH54" s="69">
        <v>7090000</v>
      </c>
      <c r="BI54" s="69">
        <f>BF54-BH54</f>
        <v>8929265</v>
      </c>
      <c r="BJ54" s="83">
        <f>BI54/BH54</f>
        <v>1.259416784203103</v>
      </c>
      <c r="BL54" s="69">
        <v>473750.4</v>
      </c>
      <c r="BM54" s="69"/>
      <c r="BN54" s="31"/>
      <c r="BO54" s="31"/>
      <c r="BP54" s="79" t="s">
        <v>123</v>
      </c>
      <c r="BQ54" s="80">
        <v>0.31681060398122107</v>
      </c>
      <c r="BR54" s="81">
        <v>0.37102335312689289</v>
      </c>
      <c r="BS54" s="81">
        <v>0.36718064503816328</v>
      </c>
      <c r="BT54" s="81">
        <v>0.35520223548598007</v>
      </c>
      <c r="BU54" s="81">
        <v>0.35977312417524737</v>
      </c>
      <c r="BV54" s="78">
        <f>-AVERAGE($BQ54:$BT54)*BV36</f>
        <v>-164035.36489075594</v>
      </c>
      <c r="BW54" s="78">
        <f t="shared" si="24"/>
        <v>-161287.46924407713</v>
      </c>
      <c r="BX54" s="78">
        <f t="shared" si="24"/>
        <v>-136528.38036431995</v>
      </c>
      <c r="BY54" s="78">
        <f t="shared" si="24"/>
        <v>-164887.84096910464</v>
      </c>
      <c r="BZ54" s="78">
        <f t="shared" si="24"/>
        <v>-54433.745942853973</v>
      </c>
      <c r="CA54" s="78">
        <f t="shared" si="24"/>
        <v>-109198.20645382523</v>
      </c>
      <c r="CB54" s="78">
        <f t="shared" si="24"/>
        <v>-109198.20645382523</v>
      </c>
      <c r="CC54" s="78">
        <f t="shared" si="24"/>
        <v>-109198.20645382523</v>
      </c>
      <c r="CD54" s="38"/>
      <c r="DT54"/>
      <c r="DU54"/>
      <c r="DV54" s="31"/>
      <c r="DW54" s="31"/>
      <c r="DX54" s="31"/>
      <c r="DY54" s="31"/>
      <c r="DZ54" s="31"/>
      <c r="EB54" s="32"/>
      <c r="EC54" s="32"/>
      <c r="ED54" s="32"/>
      <c r="EE54" s="33"/>
      <c r="EF54" s="33"/>
    </row>
    <row r="55" spans="1:136" x14ac:dyDescent="0.25">
      <c r="A55" s="67" t="s">
        <v>114</v>
      </c>
      <c r="B55" s="82">
        <v>0</v>
      </c>
      <c r="C55" s="82">
        <v>60470</v>
      </c>
      <c r="D55" s="82">
        <v>33022</v>
      </c>
      <c r="E55" s="82">
        <v>916102</v>
      </c>
      <c r="F55" s="82"/>
      <c r="G55" s="69">
        <v>0</v>
      </c>
      <c r="H55" s="69">
        <v>-2800</v>
      </c>
      <c r="I55" s="69">
        <v>0</v>
      </c>
      <c r="J55" s="69">
        <v>-7139</v>
      </c>
      <c r="K55" s="69">
        <v>4394</v>
      </c>
      <c r="L55" s="69">
        <v>0</v>
      </c>
      <c r="M55" s="69">
        <v>-5616</v>
      </c>
      <c r="N55" s="69">
        <v>11450</v>
      </c>
      <c r="O55" s="69">
        <v>4296</v>
      </c>
      <c r="P55" s="69">
        <v>850</v>
      </c>
      <c r="Q55" s="69">
        <v>9032</v>
      </c>
      <c r="R55" s="69">
        <v>46004</v>
      </c>
      <c r="S55" s="69">
        <f t="shared" ref="S55:S59" si="25">SUM(G55:R55)</f>
        <v>60471</v>
      </c>
      <c r="T55" s="69">
        <v>16996</v>
      </c>
      <c r="U55" s="69">
        <v>3545</v>
      </c>
      <c r="V55" s="69">
        <v>5388</v>
      </c>
      <c r="W55" s="69">
        <v>800</v>
      </c>
      <c r="X55" s="69">
        <v>1387</v>
      </c>
      <c r="Y55" s="69">
        <v>800</v>
      </c>
      <c r="Z55" s="69">
        <v>-1383</v>
      </c>
      <c r="AA55" s="69">
        <v>130</v>
      </c>
      <c r="AB55" s="69">
        <v>559</v>
      </c>
      <c r="AC55" s="69">
        <v>1000</v>
      </c>
      <c r="AD55" s="69">
        <v>2600</v>
      </c>
      <c r="AE55" s="69">
        <v>1200</v>
      </c>
      <c r="AF55" s="69">
        <f t="shared" ref="AF55:AF59" si="26">SUM(T55:AE55)</f>
        <v>33022</v>
      </c>
      <c r="AG55" s="69">
        <v>44130</v>
      </c>
      <c r="AH55" s="69">
        <v>5235</v>
      </c>
      <c r="AI55" s="69">
        <v>125928</v>
      </c>
      <c r="AJ55" s="69">
        <v>25629</v>
      </c>
      <c r="AK55" s="69">
        <v>17738</v>
      </c>
      <c r="AL55" s="69">
        <v>112171</v>
      </c>
      <c r="AM55" s="69">
        <v>75425</v>
      </c>
      <c r="AN55" s="69">
        <v>105968</v>
      </c>
      <c r="AO55" s="69">
        <v>139841</v>
      </c>
      <c r="AP55" s="69">
        <v>153910</v>
      </c>
      <c r="AQ55" s="69">
        <v>49865</v>
      </c>
      <c r="AR55" s="69">
        <v>60261</v>
      </c>
      <c r="AS55" s="69">
        <f t="shared" ref="AS55:AS59" si="27">SUM(AG55:AR55)</f>
        <v>916101</v>
      </c>
      <c r="AT55" s="69">
        <v>58987</v>
      </c>
      <c r="AU55" s="69">
        <v>93508</v>
      </c>
      <c r="AV55" s="69">
        <v>82412</v>
      </c>
      <c r="AW55" s="69">
        <v>55553</v>
      </c>
      <c r="AX55" s="69">
        <v>72472</v>
      </c>
      <c r="AY55" s="69">
        <v>13871</v>
      </c>
      <c r="AZ55" s="69">
        <v>25427</v>
      </c>
      <c r="BA55" s="69">
        <v>17605</v>
      </c>
      <c r="BB55" s="69">
        <v>7028</v>
      </c>
      <c r="BC55" s="69">
        <v>0</v>
      </c>
      <c r="BD55" s="69">
        <v>0</v>
      </c>
      <c r="BE55" s="69">
        <v>0</v>
      </c>
      <c r="BF55" s="69">
        <f t="shared" ref="BF55:BF59" si="28">SUM(AT55:BE55)</f>
        <v>426863</v>
      </c>
      <c r="BG55" s="69"/>
      <c r="BH55" s="69">
        <v>325000</v>
      </c>
      <c r="BI55" s="69">
        <f t="shared" ref="BI55:BI61" si="29">BF55-BH55</f>
        <v>101863</v>
      </c>
      <c r="BJ55" s="83">
        <f t="shared" ref="BJ55:BJ61" si="30">BI55/BH55</f>
        <v>0.31342461538461536</v>
      </c>
      <c r="BL55" s="69"/>
      <c r="BM55" s="69"/>
      <c r="BN55" s="31"/>
      <c r="BO55" s="31"/>
      <c r="BP55" s="79" t="s">
        <v>124</v>
      </c>
      <c r="BQ55" s="80">
        <v>0.29077719202640651</v>
      </c>
      <c r="BR55" s="81">
        <v>0.37312718771080705</v>
      </c>
      <c r="BS55" s="81">
        <v>0.38213132832767205</v>
      </c>
      <c r="BT55" s="81">
        <v>0.41978311490105003</v>
      </c>
      <c r="BU55" s="81">
        <v>0.42554751937072799</v>
      </c>
      <c r="BV55" s="78">
        <f>-AVERAGE($BQ55:$BT55)*BV37</f>
        <v>-28861.972624199272</v>
      </c>
      <c r="BW55" s="78">
        <f t="shared" si="24"/>
        <v>-20890.483410204775</v>
      </c>
      <c r="BX55" s="78">
        <f t="shared" si="24"/>
        <v>-48262.451200859177</v>
      </c>
      <c r="BY55" s="78">
        <f t="shared" si="24"/>
        <v>0</v>
      </c>
      <c r="BZ55" s="78">
        <f t="shared" si="24"/>
        <v>-32800.837204197735</v>
      </c>
      <c r="CA55" s="78">
        <f t="shared" si="24"/>
        <v>-27920.358532684488</v>
      </c>
      <c r="CB55" s="78">
        <f t="shared" si="24"/>
        <v>-34900.448165855611</v>
      </c>
      <c r="CC55" s="78">
        <f t="shared" si="24"/>
        <v>-38390.492982441174</v>
      </c>
      <c r="CD55" s="38"/>
      <c r="DT55"/>
      <c r="DU55"/>
      <c r="DV55" s="31"/>
      <c r="DW55" s="31"/>
      <c r="DX55" s="31"/>
      <c r="DY55" s="31"/>
      <c r="DZ55" s="31"/>
      <c r="EB55" s="32"/>
      <c r="EC55" s="32"/>
      <c r="ED55" s="32"/>
      <c r="EE55" s="33"/>
      <c r="EF55" s="33"/>
    </row>
    <row r="56" spans="1:136" x14ac:dyDescent="0.25">
      <c r="A56" s="67" t="s">
        <v>116</v>
      </c>
      <c r="B56" s="82">
        <v>0</v>
      </c>
      <c r="C56" s="82">
        <v>0</v>
      </c>
      <c r="D56" s="82">
        <v>29000</v>
      </c>
      <c r="E56" s="82">
        <v>259898</v>
      </c>
      <c r="F56" s="82"/>
      <c r="G56" s="69">
        <v>0</v>
      </c>
      <c r="H56" s="69">
        <v>0</v>
      </c>
      <c r="I56" s="69">
        <v>0</v>
      </c>
      <c r="J56" s="69">
        <v>0</v>
      </c>
      <c r="K56" s="69">
        <v>0</v>
      </c>
      <c r="L56" s="69">
        <v>0</v>
      </c>
      <c r="M56" s="69">
        <v>0</v>
      </c>
      <c r="N56" s="69">
        <v>0</v>
      </c>
      <c r="O56" s="69">
        <v>0</v>
      </c>
      <c r="P56" s="69">
        <v>0</v>
      </c>
      <c r="Q56" s="69">
        <v>0</v>
      </c>
      <c r="R56" s="69">
        <v>0</v>
      </c>
      <c r="S56" s="69">
        <f t="shared" si="25"/>
        <v>0</v>
      </c>
      <c r="T56" s="69">
        <v>0</v>
      </c>
      <c r="U56" s="69">
        <v>0</v>
      </c>
      <c r="V56" s="69">
        <v>0</v>
      </c>
      <c r="W56" s="69">
        <v>0</v>
      </c>
      <c r="X56" s="69">
        <v>0</v>
      </c>
      <c r="Y56" s="69">
        <v>0</v>
      </c>
      <c r="Z56" s="69">
        <v>0</v>
      </c>
      <c r="AA56" s="69">
        <v>0</v>
      </c>
      <c r="AB56" s="69">
        <v>0</v>
      </c>
      <c r="AC56" s="69">
        <v>29000</v>
      </c>
      <c r="AD56" s="69">
        <v>0</v>
      </c>
      <c r="AE56" s="69">
        <v>0</v>
      </c>
      <c r="AF56" s="69">
        <f t="shared" si="26"/>
        <v>29000</v>
      </c>
      <c r="AG56" s="69">
        <v>0</v>
      </c>
      <c r="AH56" s="69">
        <v>0</v>
      </c>
      <c r="AI56" s="69">
        <v>0</v>
      </c>
      <c r="AJ56" s="69">
        <v>0</v>
      </c>
      <c r="AK56" s="69">
        <v>0</v>
      </c>
      <c r="AL56" s="69">
        <v>0</v>
      </c>
      <c r="AM56" s="69">
        <v>0</v>
      </c>
      <c r="AN56" s="69">
        <v>103448</v>
      </c>
      <c r="AO56" s="69">
        <v>126750</v>
      </c>
      <c r="AP56" s="69">
        <v>29700</v>
      </c>
      <c r="AQ56" s="69">
        <v>0</v>
      </c>
      <c r="AR56" s="69">
        <v>0</v>
      </c>
      <c r="AS56" s="69">
        <f t="shared" si="27"/>
        <v>259898</v>
      </c>
      <c r="AT56" s="69">
        <v>0</v>
      </c>
      <c r="AU56" s="69">
        <v>0</v>
      </c>
      <c r="AV56" s="69">
        <v>0</v>
      </c>
      <c r="AW56" s="69">
        <v>29604</v>
      </c>
      <c r="AX56" s="69">
        <v>0</v>
      </c>
      <c r="AY56" s="69">
        <v>100406</v>
      </c>
      <c r="AZ56" s="69">
        <v>0</v>
      </c>
      <c r="BA56" s="69">
        <v>136647</v>
      </c>
      <c r="BB56" s="69">
        <v>0</v>
      </c>
      <c r="BC56" s="69">
        <v>0</v>
      </c>
      <c r="BD56" s="69">
        <v>0</v>
      </c>
      <c r="BE56" s="69">
        <v>0</v>
      </c>
      <c r="BF56" s="69">
        <f t="shared" si="28"/>
        <v>266657</v>
      </c>
      <c r="BG56" s="69"/>
      <c r="BH56" s="69">
        <v>200000</v>
      </c>
      <c r="BI56" s="69">
        <f t="shared" si="29"/>
        <v>66657</v>
      </c>
      <c r="BJ56" s="83">
        <f t="shared" si="30"/>
        <v>0.333285</v>
      </c>
      <c r="BL56" s="69"/>
      <c r="BM56" s="69"/>
      <c r="BN56" s="31"/>
      <c r="BO56" s="31"/>
      <c r="BP56" s="79" t="s">
        <v>125</v>
      </c>
      <c r="BQ56" s="80">
        <v>0.37929078392651855</v>
      </c>
      <c r="BR56" s="81">
        <v>0.4282698709101242</v>
      </c>
      <c r="BS56" s="81" t="s">
        <v>126</v>
      </c>
      <c r="BT56" s="81">
        <v>0.45094506713262855</v>
      </c>
      <c r="BU56" s="81">
        <v>0.41070435204582845</v>
      </c>
      <c r="BV56" s="78">
        <f>-SUM($BQ$56:$BT$56)/3*BV38</f>
        <v>-41621.301236967738</v>
      </c>
      <c r="BW56" s="78">
        <f t="shared" ref="BW56:CC56" si="31">-SUM($BQ$56:$BT$56)/3*BW38</f>
        <v>-11.746053405046531</v>
      </c>
      <c r="BX56" s="78">
        <f t="shared" si="31"/>
        <v>-169443.11289640606</v>
      </c>
      <c r="BY56" s="78">
        <f t="shared" si="31"/>
        <v>-73388.083169008751</v>
      </c>
      <c r="BZ56" s="78">
        <f t="shared" si="31"/>
        <v>-37701.235699565164</v>
      </c>
      <c r="CA56" s="78">
        <f t="shared" si="31"/>
        <v>-156433.30761741998</v>
      </c>
      <c r="CB56" s="78">
        <f t="shared" si="31"/>
        <v>-174661.18867892807</v>
      </c>
      <c r="CC56" s="78">
        <f t="shared" si="31"/>
        <v>-147790.2365744776</v>
      </c>
      <c r="CD56" s="38"/>
      <c r="DT56"/>
      <c r="DU56"/>
      <c r="DV56" s="31"/>
      <c r="DW56" s="31"/>
      <c r="DX56" s="31"/>
      <c r="DY56" s="31"/>
      <c r="DZ56" s="31"/>
      <c r="EB56" s="32"/>
      <c r="EC56" s="32"/>
      <c r="ED56" s="32"/>
      <c r="EE56" s="33"/>
      <c r="EF56" s="33"/>
    </row>
    <row r="57" spans="1:136" x14ac:dyDescent="0.25">
      <c r="A57" s="67" t="s">
        <v>127</v>
      </c>
      <c r="B57" s="82">
        <v>0</v>
      </c>
      <c r="C57" s="82">
        <v>48236</v>
      </c>
      <c r="D57" s="82">
        <v>144946</v>
      </c>
      <c r="E57" s="82">
        <v>512716</v>
      </c>
      <c r="F57" s="82"/>
      <c r="G57" s="69">
        <v>0</v>
      </c>
      <c r="H57" s="69">
        <v>0</v>
      </c>
      <c r="I57" s="69">
        <v>0</v>
      </c>
      <c r="J57" s="69">
        <v>288</v>
      </c>
      <c r="K57" s="69">
        <v>237</v>
      </c>
      <c r="L57" s="69">
        <v>430</v>
      </c>
      <c r="M57" s="69">
        <v>5640</v>
      </c>
      <c r="N57" s="69">
        <v>5537</v>
      </c>
      <c r="O57" s="69">
        <v>28488</v>
      </c>
      <c r="P57" s="69">
        <v>1106</v>
      </c>
      <c r="Q57" s="69">
        <v>4248</v>
      </c>
      <c r="R57" s="69">
        <v>2261</v>
      </c>
      <c r="S57" s="69">
        <f t="shared" si="25"/>
        <v>48235</v>
      </c>
      <c r="T57" s="69">
        <v>19433</v>
      </c>
      <c r="U57" s="69">
        <v>8603</v>
      </c>
      <c r="V57" s="69">
        <v>11657</v>
      </c>
      <c r="W57" s="69">
        <v>4768</v>
      </c>
      <c r="X57" s="69">
        <v>12348</v>
      </c>
      <c r="Y57" s="69">
        <v>14796</v>
      </c>
      <c r="Z57" s="69">
        <v>8419</v>
      </c>
      <c r="AA57" s="69">
        <v>21949</v>
      </c>
      <c r="AB57" s="69">
        <v>12005</v>
      </c>
      <c r="AC57" s="69">
        <v>5004</v>
      </c>
      <c r="AD57" s="69">
        <v>17774</v>
      </c>
      <c r="AE57" s="69">
        <v>8190</v>
      </c>
      <c r="AF57" s="69">
        <f t="shared" si="26"/>
        <v>144946</v>
      </c>
      <c r="AG57" s="69">
        <v>1189</v>
      </c>
      <c r="AH57" s="69">
        <v>501</v>
      </c>
      <c r="AI57" s="69">
        <v>0</v>
      </c>
      <c r="AJ57" s="69">
        <v>-1368</v>
      </c>
      <c r="AK57" s="69">
        <v>237</v>
      </c>
      <c r="AL57" s="69">
        <v>0</v>
      </c>
      <c r="AM57" s="69">
        <v>0</v>
      </c>
      <c r="AN57" s="69">
        <v>0</v>
      </c>
      <c r="AO57" s="69">
        <v>22176</v>
      </c>
      <c r="AP57" s="69">
        <v>172697</v>
      </c>
      <c r="AQ57" s="69">
        <v>104541</v>
      </c>
      <c r="AR57" s="69">
        <v>212743</v>
      </c>
      <c r="AS57" s="69">
        <f t="shared" si="27"/>
        <v>512716</v>
      </c>
      <c r="AT57" s="69">
        <v>36035</v>
      </c>
      <c r="AU57" s="69">
        <v>67264</v>
      </c>
      <c r="AV57" s="69">
        <v>128261</v>
      </c>
      <c r="AW57" s="69">
        <v>79454</v>
      </c>
      <c r="AX57" s="69">
        <v>187589</v>
      </c>
      <c r="AY57" s="69">
        <v>169542</v>
      </c>
      <c r="AZ57" s="69">
        <v>208120</v>
      </c>
      <c r="BA57" s="69">
        <v>382670</v>
      </c>
      <c r="BB57" s="69">
        <v>87872</v>
      </c>
      <c r="BC57" s="69">
        <v>0</v>
      </c>
      <c r="BD57" s="69">
        <v>0</v>
      </c>
      <c r="BE57" s="69">
        <v>0</v>
      </c>
      <c r="BF57" s="69">
        <f t="shared" si="28"/>
        <v>1346807</v>
      </c>
      <c r="BG57" s="69"/>
      <c r="BH57" s="69"/>
      <c r="BI57" s="69"/>
      <c r="BJ57" s="83"/>
      <c r="BL57" s="69"/>
      <c r="BM57" s="69"/>
      <c r="BN57" s="31"/>
      <c r="BO57" s="31"/>
      <c r="BP57" s="79" t="s">
        <v>128</v>
      </c>
      <c r="BQ57" s="80">
        <v>5.9670909926901466E-2</v>
      </c>
      <c r="BR57" s="81">
        <v>6.5637937479557026E-2</v>
      </c>
      <c r="BS57" s="81">
        <v>6.5861930539001454E-2</v>
      </c>
      <c r="BT57" s="81">
        <v>7.7902289818630524E-2</v>
      </c>
      <c r="BU57" s="81">
        <v>7.9872994551803009E-2</v>
      </c>
      <c r="BV57" s="78">
        <f>-AVERAGE($BQ57:$BT57)*BV39</f>
        <v>-796.32174404782575</v>
      </c>
      <c r="BW57" s="78">
        <f t="shared" ref="BW57:CC57" si="32">-AVERAGE($BQ57:$BT57)*BW39</f>
        <v>-282.12311155064884</v>
      </c>
      <c r="BX57" s="78">
        <f t="shared" si="32"/>
        <v>0</v>
      </c>
      <c r="BY57" s="78">
        <f t="shared" si="32"/>
        <v>0</v>
      </c>
      <c r="BZ57" s="78">
        <f t="shared" si="32"/>
        <v>0</v>
      </c>
      <c r="CA57" s="78">
        <f t="shared" si="32"/>
        <v>-3203.2508067153626</v>
      </c>
      <c r="CB57" s="78">
        <f t="shared" si="32"/>
        <v>-3203.2508067153626</v>
      </c>
      <c r="CC57" s="78">
        <f t="shared" si="32"/>
        <v>-3203.2508067153626</v>
      </c>
      <c r="CD57" s="38"/>
      <c r="DT57"/>
      <c r="DU57"/>
      <c r="DV57" s="31"/>
      <c r="DW57" s="31"/>
      <c r="DX57" s="31"/>
      <c r="DY57" s="31"/>
      <c r="DZ57" s="31"/>
      <c r="EB57" s="32"/>
      <c r="EC57" s="32"/>
      <c r="ED57" s="32"/>
      <c r="EE57" s="33"/>
      <c r="EF57" s="33"/>
    </row>
    <row r="58" spans="1:136" x14ac:dyDescent="0.25">
      <c r="A58" s="67" t="s">
        <v>129</v>
      </c>
      <c r="B58" s="82">
        <v>0</v>
      </c>
      <c r="C58" s="82">
        <v>-586980</v>
      </c>
      <c r="D58" s="82">
        <v>-8010</v>
      </c>
      <c r="E58" s="82">
        <v>-29938</v>
      </c>
      <c r="F58" s="82"/>
      <c r="G58" s="69">
        <v>0</v>
      </c>
      <c r="H58" s="69">
        <v>-102492</v>
      </c>
      <c r="I58" s="69">
        <v>0</v>
      </c>
      <c r="J58" s="69">
        <v>-192500</v>
      </c>
      <c r="K58" s="69">
        <v>-32000</v>
      </c>
      <c r="L58" s="69">
        <v>-85302</v>
      </c>
      <c r="M58" s="69">
        <v>-62162</v>
      </c>
      <c r="N58" s="69">
        <v>0</v>
      </c>
      <c r="O58" s="69">
        <v>0</v>
      </c>
      <c r="P58" s="69">
        <v>0</v>
      </c>
      <c r="Q58" s="69">
        <v>0</v>
      </c>
      <c r="R58" s="69">
        <v>-112523</v>
      </c>
      <c r="S58" s="69">
        <f t="shared" si="25"/>
        <v>-586979</v>
      </c>
      <c r="T58" s="69">
        <v>-1500</v>
      </c>
      <c r="U58" s="69">
        <v>-124</v>
      </c>
      <c r="V58" s="69">
        <v>-880</v>
      </c>
      <c r="W58" s="69">
        <v>-246</v>
      </c>
      <c r="X58" s="69">
        <v>-929</v>
      </c>
      <c r="Y58" s="69">
        <v>-106</v>
      </c>
      <c r="Z58" s="69">
        <v>-1067</v>
      </c>
      <c r="AA58" s="69">
        <v>-885</v>
      </c>
      <c r="AB58" s="69">
        <v>-542</v>
      </c>
      <c r="AC58" s="69">
        <v>-857</v>
      </c>
      <c r="AD58" s="69">
        <v>-219</v>
      </c>
      <c r="AE58" s="69">
        <v>-655</v>
      </c>
      <c r="AF58" s="69">
        <f t="shared" si="26"/>
        <v>-8010</v>
      </c>
      <c r="AG58" s="69">
        <v>-557</v>
      </c>
      <c r="AH58" s="69">
        <v>-1190</v>
      </c>
      <c r="AI58" s="69">
        <v>-732</v>
      </c>
      <c r="AJ58" s="69">
        <v>-132</v>
      </c>
      <c r="AK58" s="69">
        <v>-151</v>
      </c>
      <c r="AL58" s="69">
        <v>-262</v>
      </c>
      <c r="AM58" s="69">
        <v>0</v>
      </c>
      <c r="AN58" s="69">
        <v>0</v>
      </c>
      <c r="AO58" s="69">
        <v>-108</v>
      </c>
      <c r="AP58" s="69">
        <v>-582</v>
      </c>
      <c r="AQ58" s="69">
        <v>-12360</v>
      </c>
      <c r="AR58" s="69">
        <v>-13863</v>
      </c>
      <c r="AS58" s="69">
        <f t="shared" si="27"/>
        <v>-29937</v>
      </c>
      <c r="AT58" s="69">
        <v>-81</v>
      </c>
      <c r="AU58" s="69">
        <v>-10549</v>
      </c>
      <c r="AV58" s="69">
        <v>-119142</v>
      </c>
      <c r="AW58" s="69">
        <v>-5772</v>
      </c>
      <c r="AX58" s="69">
        <v>-25450</v>
      </c>
      <c r="AY58" s="69">
        <v>-369</v>
      </c>
      <c r="AZ58" s="69">
        <v>-35374</v>
      </c>
      <c r="BA58" s="69">
        <v>-47494</v>
      </c>
      <c r="BB58" s="69">
        <v>-60</v>
      </c>
      <c r="BC58" s="69">
        <v>0</v>
      </c>
      <c r="BD58" s="69">
        <v>0</v>
      </c>
      <c r="BE58" s="69">
        <v>0</v>
      </c>
      <c r="BF58" s="69">
        <f t="shared" si="28"/>
        <v>-244291</v>
      </c>
      <c r="BG58" s="69"/>
      <c r="BH58" s="69"/>
      <c r="BI58" s="69"/>
      <c r="BJ58" s="83"/>
      <c r="BL58" s="69"/>
      <c r="BM58" s="69"/>
      <c r="BN58" s="31"/>
      <c r="BO58" s="31"/>
      <c r="BP58" s="79" t="s">
        <v>130</v>
      </c>
      <c r="BQ58" s="80">
        <v>0.27204111367281036</v>
      </c>
      <c r="BR58" s="81" t="s">
        <v>126</v>
      </c>
      <c r="BS58" s="81" t="s">
        <v>126</v>
      </c>
      <c r="BT58" s="81" t="s">
        <v>126</v>
      </c>
      <c r="BU58" s="81" t="s">
        <v>126</v>
      </c>
      <c r="BV58" s="78">
        <f>-AVERAGE($BQ58)*BV40</f>
        <v>0</v>
      </c>
      <c r="BW58" s="78">
        <f t="shared" ref="BW58:CC58" si="33">-AVERAGE($BQ58)*BW40</f>
        <v>0</v>
      </c>
      <c r="BX58" s="78">
        <f t="shared" si="33"/>
        <v>0</v>
      </c>
      <c r="BY58" s="78">
        <f t="shared" si="33"/>
        <v>0</v>
      </c>
      <c r="BZ58" s="78">
        <f t="shared" si="33"/>
        <v>-2328.6719330392566</v>
      </c>
      <c r="CA58" s="78">
        <f t="shared" si="33"/>
        <v>-2590.8677492648603</v>
      </c>
      <c r="CB58" s="78">
        <f t="shared" si="33"/>
        <v>-3886.3016238972905</v>
      </c>
      <c r="CC58" s="78">
        <f t="shared" si="33"/>
        <v>-3886.3016238972905</v>
      </c>
      <c r="CD58" s="38"/>
      <c r="DT58"/>
      <c r="DU58"/>
      <c r="DV58" s="31"/>
      <c r="DW58" s="31"/>
      <c r="DX58" s="31"/>
      <c r="DY58" s="31"/>
      <c r="DZ58" s="31"/>
      <c r="EB58" s="32"/>
      <c r="EC58" s="32"/>
      <c r="ED58" s="32"/>
      <c r="EE58" s="33"/>
      <c r="EF58" s="33"/>
    </row>
    <row r="59" spans="1:136" x14ac:dyDescent="0.25">
      <c r="A59" s="67" t="s">
        <v>131</v>
      </c>
      <c r="B59" s="82">
        <v>0</v>
      </c>
      <c r="C59" s="82">
        <v>-7981</v>
      </c>
      <c r="D59" s="82">
        <v>-103823</v>
      </c>
      <c r="E59" s="82">
        <v>-126078</v>
      </c>
      <c r="F59" s="82"/>
      <c r="G59" s="69">
        <v>0</v>
      </c>
      <c r="H59" s="69">
        <v>0</v>
      </c>
      <c r="I59" s="69">
        <v>0</v>
      </c>
      <c r="J59" s="69">
        <v>0</v>
      </c>
      <c r="K59" s="69">
        <v>0</v>
      </c>
      <c r="L59" s="69">
        <v>0</v>
      </c>
      <c r="M59" s="69">
        <v>0</v>
      </c>
      <c r="N59" s="69">
        <v>0</v>
      </c>
      <c r="O59" s="69">
        <v>0</v>
      </c>
      <c r="P59" s="69">
        <v>846</v>
      </c>
      <c r="Q59" s="69">
        <v>0</v>
      </c>
      <c r="R59" s="69">
        <v>-8828</v>
      </c>
      <c r="S59" s="69">
        <f t="shared" si="25"/>
        <v>-7982</v>
      </c>
      <c r="T59" s="69">
        <v>1798</v>
      </c>
      <c r="U59" s="69">
        <v>-5230</v>
      </c>
      <c r="V59" s="69">
        <v>-8540</v>
      </c>
      <c r="W59" s="69">
        <v>-18570</v>
      </c>
      <c r="X59" s="69">
        <v>-7736</v>
      </c>
      <c r="Y59" s="69">
        <v>-16155</v>
      </c>
      <c r="Z59" s="69">
        <v>0</v>
      </c>
      <c r="AA59" s="69">
        <v>-8539</v>
      </c>
      <c r="AB59" s="69">
        <v>-11010</v>
      </c>
      <c r="AC59" s="69">
        <v>-17596</v>
      </c>
      <c r="AD59" s="69">
        <v>-10012</v>
      </c>
      <c r="AE59" s="69">
        <v>-2233</v>
      </c>
      <c r="AF59" s="69">
        <f t="shared" si="26"/>
        <v>-103823</v>
      </c>
      <c r="AG59" s="69">
        <v>0</v>
      </c>
      <c r="AH59" s="69">
        <v>-1500</v>
      </c>
      <c r="AI59" s="69">
        <v>-869</v>
      </c>
      <c r="AJ59" s="69">
        <v>0</v>
      </c>
      <c r="AK59" s="69">
        <v>-12611</v>
      </c>
      <c r="AL59" s="69">
        <v>-14850</v>
      </c>
      <c r="AM59" s="69">
        <v>-16634</v>
      </c>
      <c r="AN59" s="69">
        <v>-23063</v>
      </c>
      <c r="AO59" s="69">
        <v>-17665</v>
      </c>
      <c r="AP59" s="69">
        <v>-13820</v>
      </c>
      <c r="AQ59" s="69">
        <v>-11284</v>
      </c>
      <c r="AR59" s="69">
        <v>-13781</v>
      </c>
      <c r="AS59" s="69">
        <f t="shared" si="27"/>
        <v>-126077</v>
      </c>
      <c r="AT59" s="69">
        <v>-12094</v>
      </c>
      <c r="AU59" s="69">
        <v>-16852</v>
      </c>
      <c r="AV59" s="69">
        <v>-20317</v>
      </c>
      <c r="AW59" s="69">
        <v>-21052</v>
      </c>
      <c r="AX59" s="69">
        <v>-35328</v>
      </c>
      <c r="AY59" s="69">
        <v>-23703</v>
      </c>
      <c r="AZ59" s="69">
        <v>-40387</v>
      </c>
      <c r="BA59" s="69">
        <v>-41585</v>
      </c>
      <c r="BB59" s="69">
        <v>-13673</v>
      </c>
      <c r="BC59" s="69">
        <v>0</v>
      </c>
      <c r="BD59" s="69">
        <v>0</v>
      </c>
      <c r="BE59" s="69">
        <v>0</v>
      </c>
      <c r="BF59" s="69">
        <f t="shared" si="28"/>
        <v>-224991</v>
      </c>
      <c r="BG59" s="69"/>
      <c r="BH59" s="69"/>
      <c r="BI59" s="69"/>
      <c r="BJ59" s="83"/>
      <c r="BL59" s="69"/>
      <c r="BM59" s="69"/>
      <c r="BN59" s="31"/>
      <c r="BO59" s="31"/>
      <c r="BP59" s="79" t="s">
        <v>132</v>
      </c>
      <c r="BQ59" s="80">
        <v>0.28205346337738729</v>
      </c>
      <c r="BR59" s="81">
        <v>0.30267532779983158</v>
      </c>
      <c r="BS59" s="81">
        <v>0.30267532779983158</v>
      </c>
      <c r="BT59" s="81">
        <v>0.37483563677539394</v>
      </c>
      <c r="BU59" s="81">
        <v>0.32748864805813482</v>
      </c>
      <c r="BV59" s="78">
        <f>-AVERAGE($BQ59:$BT59)*BV41</f>
        <v>-9821.803099448709</v>
      </c>
      <c r="BW59" s="78">
        <f t="shared" ref="BW59:CC59" si="34">-AVERAGE($BQ59:$BT59)*BW41</f>
        <v>0</v>
      </c>
      <c r="BX59" s="78">
        <f t="shared" si="34"/>
        <v>-30552.828847926856</v>
      </c>
      <c r="BY59" s="78">
        <f t="shared" si="34"/>
        <v>0</v>
      </c>
      <c r="BZ59" s="78">
        <f t="shared" si="34"/>
        <v>-30053.327517915346</v>
      </c>
      <c r="CA59" s="78">
        <f t="shared" si="34"/>
        <v>-30053.327517915346</v>
      </c>
      <c r="CB59" s="78">
        <f t="shared" si="34"/>
        <v>-15026.663758957673</v>
      </c>
      <c r="CC59" s="78">
        <f t="shared" si="34"/>
        <v>-30053.327517915346</v>
      </c>
      <c r="CD59" s="38"/>
      <c r="DT59"/>
      <c r="DU59"/>
      <c r="DV59" s="31"/>
      <c r="DW59" s="31"/>
      <c r="DX59" s="31"/>
      <c r="DY59" s="31"/>
      <c r="DZ59" s="31"/>
      <c r="EB59" s="32"/>
      <c r="EC59" s="32"/>
      <c r="ED59" s="32"/>
      <c r="EE59" s="33"/>
      <c r="EF59" s="33"/>
    </row>
    <row r="60" spans="1:136" x14ac:dyDescent="0.25">
      <c r="A60" s="67" t="s">
        <v>118</v>
      </c>
      <c r="B60" s="84">
        <v>0</v>
      </c>
      <c r="C60" s="84">
        <v>2317</v>
      </c>
      <c r="D60" s="84">
        <v>3882</v>
      </c>
      <c r="E60" s="84">
        <v>16010</v>
      </c>
      <c r="G60" s="85">
        <v>0</v>
      </c>
      <c r="H60" s="85">
        <v>0</v>
      </c>
      <c r="I60" s="85">
        <v>0</v>
      </c>
      <c r="J60" s="85">
        <v>0</v>
      </c>
      <c r="K60" s="85">
        <v>0</v>
      </c>
      <c r="L60" s="85">
        <v>1038</v>
      </c>
      <c r="M60" s="85">
        <v>338</v>
      </c>
      <c r="N60" s="85">
        <v>396</v>
      </c>
      <c r="O60" s="85">
        <v>111</v>
      </c>
      <c r="P60" s="85">
        <v>257</v>
      </c>
      <c r="Q60" s="85">
        <v>178</v>
      </c>
      <c r="R60" s="85">
        <v>0</v>
      </c>
      <c r="S60" s="69">
        <f>SUM(G60:R60)</f>
        <v>2318</v>
      </c>
      <c r="T60" s="85">
        <v>861</v>
      </c>
      <c r="U60" s="85">
        <v>0</v>
      </c>
      <c r="V60" s="85">
        <v>0</v>
      </c>
      <c r="W60" s="85">
        <v>502</v>
      </c>
      <c r="X60" s="85">
        <v>144</v>
      </c>
      <c r="Y60" s="85">
        <v>352</v>
      </c>
      <c r="Z60" s="85">
        <v>834</v>
      </c>
      <c r="AA60" s="85">
        <v>0</v>
      </c>
      <c r="AB60" s="85">
        <v>867</v>
      </c>
      <c r="AC60" s="85">
        <v>0</v>
      </c>
      <c r="AD60" s="85">
        <v>0</v>
      </c>
      <c r="AE60" s="85">
        <v>322</v>
      </c>
      <c r="AF60" s="69">
        <f>SUM(T60:AE60)</f>
        <v>3882</v>
      </c>
      <c r="AG60" s="85">
        <v>708</v>
      </c>
      <c r="AH60" s="85">
        <v>230</v>
      </c>
      <c r="AI60" s="85">
        <v>283</v>
      </c>
      <c r="AJ60" s="85">
        <v>2965</v>
      </c>
      <c r="AK60" s="85">
        <v>1257</v>
      </c>
      <c r="AL60" s="85">
        <v>372</v>
      </c>
      <c r="AM60" s="85">
        <v>0</v>
      </c>
      <c r="AN60" s="85">
        <v>605</v>
      </c>
      <c r="AO60" s="85">
        <v>234</v>
      </c>
      <c r="AP60" s="85">
        <v>9276</v>
      </c>
      <c r="AQ60" s="85">
        <v>0</v>
      </c>
      <c r="AR60" s="85">
        <v>80</v>
      </c>
      <c r="AS60" s="69">
        <f>SUM(AG60:AR60)</f>
        <v>16010</v>
      </c>
      <c r="AT60" s="85">
        <v>0</v>
      </c>
      <c r="AU60" s="85">
        <v>-143</v>
      </c>
      <c r="AV60" s="85">
        <v>-1109</v>
      </c>
      <c r="AW60" s="85">
        <v>-425</v>
      </c>
      <c r="AX60" s="85">
        <v>1470</v>
      </c>
      <c r="AY60" s="85">
        <v>0</v>
      </c>
      <c r="AZ60" s="85">
        <v>0</v>
      </c>
      <c r="BA60" s="85">
        <v>1619</v>
      </c>
      <c r="BB60" s="85">
        <v>107</v>
      </c>
      <c r="BC60" s="85">
        <v>0</v>
      </c>
      <c r="BD60" s="85">
        <v>0</v>
      </c>
      <c r="BE60" s="85">
        <v>0</v>
      </c>
      <c r="BF60" s="69">
        <f>SUM(AT60:BE60)</f>
        <v>1519</v>
      </c>
      <c r="BG60" s="69"/>
      <c r="BH60" s="69">
        <v>75000</v>
      </c>
      <c r="BI60" s="85">
        <f t="shared" si="29"/>
        <v>-73481</v>
      </c>
      <c r="BJ60" s="83">
        <f t="shared" si="30"/>
        <v>-0.97974666666666665</v>
      </c>
      <c r="BL60" s="85"/>
      <c r="BM60" s="86"/>
      <c r="BN60" s="31"/>
      <c r="BO60" s="31"/>
      <c r="BP60" s="79" t="s">
        <v>133</v>
      </c>
      <c r="BQ60" s="80">
        <v>0.35800703350454466</v>
      </c>
      <c r="BR60" s="81">
        <v>0.38827816982327673</v>
      </c>
      <c r="BS60" s="81">
        <v>0.30636841242485474</v>
      </c>
      <c r="BT60" s="81" t="s">
        <v>126</v>
      </c>
      <c r="BU60" s="81">
        <v>0.37549037803037849</v>
      </c>
      <c r="BV60" s="78">
        <f>-SUM($BQ$60:$BS$60)/3*BV42</f>
        <v>-10861.630891874696</v>
      </c>
      <c r="BW60" s="78">
        <f t="shared" ref="BW60:CC60" si="35">-SUM($BQ$60:$BS$60)/3*BW42</f>
        <v>0</v>
      </c>
      <c r="BX60" s="78">
        <f t="shared" si="35"/>
        <v>-17225.623768176793</v>
      </c>
      <c r="BY60" s="78">
        <f t="shared" si="35"/>
        <v>0</v>
      </c>
      <c r="BZ60" s="78">
        <f t="shared" si="35"/>
        <v>-10026.603319366935</v>
      </c>
      <c r="CA60" s="78">
        <f t="shared" si="35"/>
        <v>-9315.5187234750101</v>
      </c>
      <c r="CB60" s="78">
        <f t="shared" si="35"/>
        <v>-9315.5187234750101</v>
      </c>
      <c r="CC60" s="78">
        <f t="shared" si="35"/>
        <v>-9315.5187234750101</v>
      </c>
      <c r="CD60" s="38"/>
      <c r="DT60"/>
      <c r="DU60"/>
      <c r="DV60" s="31"/>
      <c r="DW60" s="31"/>
      <c r="DX60" s="31"/>
      <c r="DY60" s="31"/>
      <c r="DZ60" s="31"/>
      <c r="EB60" s="32"/>
      <c r="EC60" s="32"/>
      <c r="ED60" s="32"/>
      <c r="EE60" s="33"/>
      <c r="EF60" s="33"/>
    </row>
    <row r="61" spans="1:136" x14ac:dyDescent="0.25">
      <c r="A61" s="9" t="s">
        <v>134</v>
      </c>
      <c r="B61" s="87">
        <f>SUM(B54:B60)</f>
        <v>2787828</v>
      </c>
      <c r="C61" s="87">
        <f>SUM(C54:C60)</f>
        <v>5168530</v>
      </c>
      <c r="D61" s="87">
        <f t="shared" ref="D61:E61" si="36">SUM(D54:D60)</f>
        <v>16633394</v>
      </c>
      <c r="E61" s="87">
        <f t="shared" si="36"/>
        <v>12642035</v>
      </c>
      <c r="G61" s="88">
        <f t="shared" ref="G61:BF61" si="37">SUM(G54:G60)</f>
        <v>517706</v>
      </c>
      <c r="H61" s="88">
        <f t="shared" si="37"/>
        <v>25855</v>
      </c>
      <c r="I61" s="88">
        <f t="shared" si="37"/>
        <v>501520</v>
      </c>
      <c r="J61" s="88">
        <f t="shared" si="37"/>
        <v>434695</v>
      </c>
      <c r="K61" s="88">
        <f t="shared" si="37"/>
        <v>127275</v>
      </c>
      <c r="L61" s="88">
        <f t="shared" si="37"/>
        <v>196793</v>
      </c>
      <c r="M61" s="88">
        <f t="shared" si="37"/>
        <v>90204</v>
      </c>
      <c r="N61" s="88">
        <f t="shared" si="37"/>
        <v>579151</v>
      </c>
      <c r="O61" s="88">
        <f t="shared" si="37"/>
        <v>842504</v>
      </c>
      <c r="P61" s="88">
        <f t="shared" si="37"/>
        <v>634780</v>
      </c>
      <c r="Q61" s="88">
        <f t="shared" si="37"/>
        <v>649156</v>
      </c>
      <c r="R61" s="88">
        <f t="shared" si="37"/>
        <v>568891</v>
      </c>
      <c r="S61" s="88">
        <f t="shared" si="37"/>
        <v>5168530</v>
      </c>
      <c r="T61" s="88">
        <f t="shared" si="37"/>
        <v>1371589</v>
      </c>
      <c r="U61" s="88">
        <f t="shared" si="37"/>
        <v>1509873</v>
      </c>
      <c r="V61" s="88">
        <f t="shared" si="37"/>
        <v>764412</v>
      </c>
      <c r="W61" s="88">
        <f t="shared" si="37"/>
        <v>2779662</v>
      </c>
      <c r="X61" s="88">
        <f t="shared" si="37"/>
        <v>784763</v>
      </c>
      <c r="Y61" s="88">
        <f t="shared" si="37"/>
        <v>1640055</v>
      </c>
      <c r="Z61" s="88">
        <f t="shared" si="37"/>
        <v>1363541</v>
      </c>
      <c r="AA61" s="88">
        <f t="shared" si="37"/>
        <v>1586448</v>
      </c>
      <c r="AB61" s="88">
        <f t="shared" si="37"/>
        <v>1006301</v>
      </c>
      <c r="AC61" s="88">
        <f t="shared" si="37"/>
        <v>1768446</v>
      </c>
      <c r="AD61" s="88">
        <f t="shared" si="37"/>
        <v>946071</v>
      </c>
      <c r="AE61" s="88">
        <f t="shared" si="37"/>
        <v>1112234</v>
      </c>
      <c r="AF61" s="88">
        <f t="shared" si="37"/>
        <v>16633395</v>
      </c>
      <c r="AG61" s="88">
        <f t="shared" si="37"/>
        <v>628992</v>
      </c>
      <c r="AH61" s="88">
        <f t="shared" si="37"/>
        <v>1067655</v>
      </c>
      <c r="AI61" s="88">
        <f t="shared" si="37"/>
        <v>784378</v>
      </c>
      <c r="AJ61" s="88">
        <f t="shared" si="37"/>
        <v>719855</v>
      </c>
      <c r="AK61" s="88">
        <f t="shared" si="37"/>
        <v>742568</v>
      </c>
      <c r="AL61" s="88">
        <f t="shared" si="37"/>
        <v>932472</v>
      </c>
      <c r="AM61" s="88">
        <f t="shared" si="37"/>
        <v>1306118</v>
      </c>
      <c r="AN61" s="88">
        <f t="shared" si="37"/>
        <v>1269996</v>
      </c>
      <c r="AO61" s="88">
        <f t="shared" si="37"/>
        <v>1595483</v>
      </c>
      <c r="AP61" s="88">
        <f t="shared" si="37"/>
        <v>1346753</v>
      </c>
      <c r="AQ61" s="88">
        <f t="shared" si="37"/>
        <v>878449</v>
      </c>
      <c r="AR61" s="88">
        <f t="shared" si="37"/>
        <v>1369315</v>
      </c>
      <c r="AS61" s="88">
        <f t="shared" si="37"/>
        <v>12642034</v>
      </c>
      <c r="AT61" s="88">
        <f t="shared" si="37"/>
        <v>1640144</v>
      </c>
      <c r="AU61" s="88">
        <f t="shared" si="37"/>
        <v>1263768</v>
      </c>
      <c r="AV61" s="88">
        <f t="shared" si="37"/>
        <v>1726947</v>
      </c>
      <c r="AW61" s="88">
        <f t="shared" si="37"/>
        <v>1848014</v>
      </c>
      <c r="AX61" s="88">
        <f t="shared" si="37"/>
        <v>2210042</v>
      </c>
      <c r="AY61" s="88">
        <f t="shared" si="37"/>
        <v>1620169</v>
      </c>
      <c r="AZ61" s="88">
        <f t="shared" si="37"/>
        <v>3501600</v>
      </c>
      <c r="BA61" s="88">
        <f t="shared" si="37"/>
        <v>2774802</v>
      </c>
      <c r="BB61" s="88">
        <f t="shared" si="37"/>
        <v>1006343</v>
      </c>
      <c r="BC61" s="88">
        <f t="shared" si="37"/>
        <v>0</v>
      </c>
      <c r="BD61" s="88">
        <f t="shared" si="37"/>
        <v>0</v>
      </c>
      <c r="BE61" s="88">
        <f t="shared" si="37"/>
        <v>0</v>
      </c>
      <c r="BF61" s="88">
        <f t="shared" si="37"/>
        <v>17591829</v>
      </c>
      <c r="BG61" s="89"/>
      <c r="BH61" s="88">
        <f t="shared" ref="BH61" si="38">SUM(BH54:BH60)</f>
        <v>7690000</v>
      </c>
      <c r="BI61" s="69">
        <f t="shared" si="29"/>
        <v>9901829</v>
      </c>
      <c r="BJ61" s="83">
        <f t="shared" si="30"/>
        <v>1.2876240572171651</v>
      </c>
      <c r="BL61" s="88">
        <f t="shared" ref="BL61" si="39">SUM(BL54:BL60)</f>
        <v>473750.4</v>
      </c>
      <c r="BM61" s="89"/>
      <c r="BN61" s="31"/>
      <c r="BO61" s="31"/>
      <c r="BP61" s="67" t="s">
        <v>135</v>
      </c>
      <c r="BQ61" s="43">
        <f t="shared" ref="BQ61:BX61" si="40">AS62</f>
        <v>-4616676</v>
      </c>
      <c r="BR61" s="43">
        <f t="shared" si="40"/>
        <v>-609140</v>
      </c>
      <c r="BS61" s="43">
        <f t="shared" si="40"/>
        <v>-510601</v>
      </c>
      <c r="BT61" s="43">
        <f t="shared" si="40"/>
        <v>-701978</v>
      </c>
      <c r="BU61" s="43">
        <f t="shared" si="40"/>
        <v>-709205</v>
      </c>
      <c r="BV61" s="43">
        <f t="shared" si="40"/>
        <v>-955239</v>
      </c>
      <c r="BW61" s="43">
        <f t="shared" si="40"/>
        <v>-611728</v>
      </c>
      <c r="BX61" s="43">
        <f t="shared" si="40"/>
        <v>-1511190</v>
      </c>
      <c r="BY61" s="43">
        <v>-1116844.3193886129</v>
      </c>
      <c r="BZ61" s="90">
        <f>BB62</f>
        <v>-435564.63</v>
      </c>
      <c r="CA61" s="72">
        <f t="shared" ref="CA61:CC61" si="41">SUM(CA53:CA60)</f>
        <v>-1016328.1162948657</v>
      </c>
      <c r="CB61" s="72">
        <f t="shared" si="41"/>
        <v>-1048338.592829267</v>
      </c>
      <c r="CC61" s="72">
        <f t="shared" si="41"/>
        <v>-957849.40640417021</v>
      </c>
      <c r="CD61" s="72">
        <f t="shared" ref="CD61:CD63" si="42">SUM(BR61:CC61)</f>
        <v>-10184006.064916916</v>
      </c>
      <c r="DT61"/>
      <c r="DU61"/>
      <c r="DV61" s="31"/>
      <c r="DW61" s="31"/>
      <c r="DX61" s="31"/>
      <c r="DY61" s="31"/>
      <c r="DZ61" s="31"/>
      <c r="EB61" s="32"/>
      <c r="EC61" s="32"/>
      <c r="ED61" s="32"/>
      <c r="EE61" s="33"/>
      <c r="EF61" s="33"/>
    </row>
    <row r="62" spans="1:136" x14ac:dyDescent="0.25">
      <c r="A62" s="67" t="s">
        <v>135</v>
      </c>
      <c r="B62" s="84">
        <v>0</v>
      </c>
      <c r="C62" s="84">
        <v>-929818</v>
      </c>
      <c r="D62" s="84">
        <v>-6078476</v>
      </c>
      <c r="E62" s="84">
        <v>-4616677</v>
      </c>
      <c r="G62" s="85">
        <v>0</v>
      </c>
      <c r="H62" s="85">
        <v>0</v>
      </c>
      <c r="I62" s="85">
        <v>-45590</v>
      </c>
      <c r="J62" s="85">
        <v>-14454</v>
      </c>
      <c r="K62" s="85">
        <v>-1836</v>
      </c>
      <c r="L62" s="85">
        <v>-16369</v>
      </c>
      <c r="M62" s="85">
        <v>-3719</v>
      </c>
      <c r="N62" s="85">
        <v>-46930</v>
      </c>
      <c r="O62" s="85">
        <v>-93617</v>
      </c>
      <c r="P62" s="85">
        <v>-148557</v>
      </c>
      <c r="Q62" s="85">
        <v>-220923</v>
      </c>
      <c r="R62" s="85">
        <v>-337824</v>
      </c>
      <c r="S62" s="85">
        <f>SUM(G62:R62)</f>
        <v>-929819</v>
      </c>
      <c r="T62" s="85">
        <v>-466873</v>
      </c>
      <c r="U62" s="85">
        <v>-156371</v>
      </c>
      <c r="V62" s="85">
        <v>-423220</v>
      </c>
      <c r="W62" s="85">
        <v>-947606</v>
      </c>
      <c r="X62" s="85">
        <v>-689611</v>
      </c>
      <c r="Y62" s="85">
        <v>-388168</v>
      </c>
      <c r="Z62" s="85">
        <v>-544260</v>
      </c>
      <c r="AA62" s="85">
        <v>-638487</v>
      </c>
      <c r="AB62" s="85">
        <v>-320641</v>
      </c>
      <c r="AC62" s="85">
        <v>-792496</v>
      </c>
      <c r="AD62" s="85">
        <v>-318449</v>
      </c>
      <c r="AE62" s="85">
        <v>-392295</v>
      </c>
      <c r="AF62" s="69">
        <f>SUM(T62:AE62)</f>
        <v>-6078477</v>
      </c>
      <c r="AG62" s="85">
        <v>-241516</v>
      </c>
      <c r="AH62" s="85">
        <v>-370810</v>
      </c>
      <c r="AI62" s="85">
        <v>-313754</v>
      </c>
      <c r="AJ62" s="85">
        <v>-247789</v>
      </c>
      <c r="AK62" s="85">
        <v>-249312</v>
      </c>
      <c r="AL62" s="85">
        <v>-375233</v>
      </c>
      <c r="AM62" s="85">
        <v>-222444</v>
      </c>
      <c r="AN62" s="85">
        <v>-434801</v>
      </c>
      <c r="AO62" s="85">
        <v>-570292</v>
      </c>
      <c r="AP62" s="85">
        <v>-799246</v>
      </c>
      <c r="AQ62" s="85">
        <v>-318858</v>
      </c>
      <c r="AR62" s="85">
        <v>-472621</v>
      </c>
      <c r="AS62" s="85">
        <f>SUM(AG62:AR62)</f>
        <v>-4616676</v>
      </c>
      <c r="AT62" s="85">
        <v>-609140</v>
      </c>
      <c r="AU62" s="85">
        <v>-510601</v>
      </c>
      <c r="AV62" s="85">
        <v>-701978</v>
      </c>
      <c r="AW62" s="85">
        <v>-709205</v>
      </c>
      <c r="AX62" s="85">
        <v>-955239</v>
      </c>
      <c r="AY62" s="85">
        <v>-611728</v>
      </c>
      <c r="AZ62" s="85">
        <v>-1511190</v>
      </c>
      <c r="BA62" s="85">
        <v>-1116845</v>
      </c>
      <c r="BB62" s="91">
        <v>-435564.63</v>
      </c>
      <c r="BC62" s="85">
        <v>0</v>
      </c>
      <c r="BD62" s="85">
        <v>0</v>
      </c>
      <c r="BE62" s="85">
        <v>0</v>
      </c>
      <c r="BF62" s="85">
        <f>SUM(AT62:BE62)</f>
        <v>-7161490.6299999999</v>
      </c>
      <c r="BG62" s="86"/>
      <c r="BH62" s="86"/>
      <c r="BI62" s="86"/>
      <c r="BJ62" s="86"/>
      <c r="BL62" s="85">
        <f>-BL54*0.37</f>
        <v>-175287.64800000002</v>
      </c>
      <c r="BM62" s="86"/>
      <c r="BN62" s="31"/>
      <c r="BO62" s="31"/>
      <c r="BP62" s="67" t="s">
        <v>136</v>
      </c>
      <c r="BQ62" s="72">
        <f>SUM(BQ35:BQ42)-SUM(BQ25:BQ32)</f>
        <v>-762311.61000000127</v>
      </c>
      <c r="BR62" s="72">
        <f>SUM(BR35:BR42)-SUM(BR25:BR32)</f>
        <v>-106955.2899999998</v>
      </c>
      <c r="BS62" s="72">
        <f t="shared" ref="BS62:BV62" si="43">SUM(BS35:BS42)-SUM(BS25:BS32)</f>
        <v>-84365.350000000093</v>
      </c>
      <c r="BT62" s="72">
        <f t="shared" si="43"/>
        <v>-115982.7200000002</v>
      </c>
      <c r="BU62" s="72">
        <f t="shared" si="43"/>
        <v>-110953.27000000002</v>
      </c>
      <c r="BV62" s="72">
        <f t="shared" si="43"/>
        <v>-149542.40999999968</v>
      </c>
      <c r="BW62" s="72">
        <f t="shared" ref="BW62:CC62" si="44">SUM(BW35:BW42)-SUM(BW25:BW32)</f>
        <v>-113096.75750000007</v>
      </c>
      <c r="BX62" s="72">
        <f t="shared" si="44"/>
        <v>-212504.50999999978</v>
      </c>
      <c r="BY62" s="72">
        <f t="shared" ref="BY62" si="45">SUM(BY35:BY42)-SUM(BY25:BY32)</f>
        <v>-173509.70000000019</v>
      </c>
      <c r="BZ62" s="72">
        <f t="shared" si="44"/>
        <v>-78801.501053518848</v>
      </c>
      <c r="CA62" s="72">
        <f t="shared" si="44"/>
        <v>-152361.93887584563</v>
      </c>
      <c r="CB62" s="72">
        <f t="shared" si="44"/>
        <v>-155724.97742459876</v>
      </c>
      <c r="CC62" s="72">
        <f t="shared" si="44"/>
        <v>-145855.58966949675</v>
      </c>
      <c r="CD62" s="72">
        <f t="shared" si="42"/>
        <v>-1599654.0145234598</v>
      </c>
      <c r="DT62"/>
      <c r="DU62"/>
      <c r="DV62" s="31"/>
      <c r="DW62" s="31"/>
      <c r="DX62" s="31"/>
      <c r="DY62" s="31"/>
      <c r="DZ62" s="31"/>
      <c r="EB62" s="32"/>
      <c r="EC62" s="32"/>
      <c r="ED62" s="32"/>
      <c r="EE62" s="33"/>
      <c r="EF62" s="33"/>
    </row>
    <row r="63" spans="1:136" x14ac:dyDescent="0.25">
      <c r="A63" s="9" t="s">
        <v>137</v>
      </c>
      <c r="B63" s="87">
        <f>SUM(B61:B62)</f>
        <v>2787828</v>
      </c>
      <c r="C63" s="87">
        <f>SUM(C61:C62)</f>
        <v>4238712</v>
      </c>
      <c r="D63" s="87">
        <f t="shared" ref="D63:BF63" si="46">SUM(D61:D62)</f>
        <v>10554918</v>
      </c>
      <c r="E63" s="87">
        <f t="shared" si="46"/>
        <v>8025358</v>
      </c>
      <c r="G63" s="87">
        <f t="shared" si="46"/>
        <v>517706</v>
      </c>
      <c r="H63" s="87">
        <f t="shared" si="46"/>
        <v>25855</v>
      </c>
      <c r="I63" s="87">
        <f t="shared" si="46"/>
        <v>455930</v>
      </c>
      <c r="J63" s="87">
        <f t="shared" si="46"/>
        <v>420241</v>
      </c>
      <c r="K63" s="87">
        <f t="shared" si="46"/>
        <v>125439</v>
      </c>
      <c r="L63" s="87">
        <f t="shared" si="46"/>
        <v>180424</v>
      </c>
      <c r="M63" s="87">
        <f t="shared" si="46"/>
        <v>86485</v>
      </c>
      <c r="N63" s="87">
        <f t="shared" si="46"/>
        <v>532221</v>
      </c>
      <c r="O63" s="87">
        <f t="shared" si="46"/>
        <v>748887</v>
      </c>
      <c r="P63" s="87">
        <f t="shared" si="46"/>
        <v>486223</v>
      </c>
      <c r="Q63" s="87">
        <f t="shared" si="46"/>
        <v>428233</v>
      </c>
      <c r="R63" s="87">
        <f t="shared" si="46"/>
        <v>231067</v>
      </c>
      <c r="S63" s="87">
        <f t="shared" si="46"/>
        <v>4238711</v>
      </c>
      <c r="T63" s="87">
        <f t="shared" si="46"/>
        <v>904716</v>
      </c>
      <c r="U63" s="87">
        <f t="shared" si="46"/>
        <v>1353502</v>
      </c>
      <c r="V63" s="87">
        <f t="shared" si="46"/>
        <v>341192</v>
      </c>
      <c r="W63" s="87">
        <f t="shared" si="46"/>
        <v>1832056</v>
      </c>
      <c r="X63" s="87">
        <f t="shared" si="46"/>
        <v>95152</v>
      </c>
      <c r="Y63" s="87">
        <f t="shared" si="46"/>
        <v>1251887</v>
      </c>
      <c r="Z63" s="87">
        <f t="shared" si="46"/>
        <v>819281</v>
      </c>
      <c r="AA63" s="87">
        <f t="shared" si="46"/>
        <v>947961</v>
      </c>
      <c r="AB63" s="87">
        <f t="shared" si="46"/>
        <v>685660</v>
      </c>
      <c r="AC63" s="87">
        <f t="shared" si="46"/>
        <v>975950</v>
      </c>
      <c r="AD63" s="87">
        <f t="shared" si="46"/>
        <v>627622</v>
      </c>
      <c r="AE63" s="87">
        <f t="shared" si="46"/>
        <v>719939</v>
      </c>
      <c r="AF63" s="87">
        <f t="shared" si="46"/>
        <v>10554918</v>
      </c>
      <c r="AG63" s="87">
        <f t="shared" si="46"/>
        <v>387476</v>
      </c>
      <c r="AH63" s="87">
        <f t="shared" si="46"/>
        <v>696845</v>
      </c>
      <c r="AI63" s="87">
        <f t="shared" si="46"/>
        <v>470624</v>
      </c>
      <c r="AJ63" s="87">
        <f t="shared" si="46"/>
        <v>472066</v>
      </c>
      <c r="AK63" s="87">
        <f t="shared" si="46"/>
        <v>493256</v>
      </c>
      <c r="AL63" s="87">
        <f t="shared" si="46"/>
        <v>557239</v>
      </c>
      <c r="AM63" s="87">
        <f t="shared" si="46"/>
        <v>1083674</v>
      </c>
      <c r="AN63" s="87">
        <f t="shared" si="46"/>
        <v>835195</v>
      </c>
      <c r="AO63" s="87">
        <f t="shared" si="46"/>
        <v>1025191</v>
      </c>
      <c r="AP63" s="87">
        <f t="shared" si="46"/>
        <v>547507</v>
      </c>
      <c r="AQ63" s="87">
        <f t="shared" si="46"/>
        <v>559591</v>
      </c>
      <c r="AR63" s="87">
        <f t="shared" si="46"/>
        <v>896694</v>
      </c>
      <c r="AS63" s="87">
        <f t="shared" si="46"/>
        <v>8025358</v>
      </c>
      <c r="AT63" s="87">
        <f t="shared" si="46"/>
        <v>1031004</v>
      </c>
      <c r="AU63" s="87">
        <f t="shared" si="46"/>
        <v>753167</v>
      </c>
      <c r="AV63" s="87">
        <f t="shared" si="46"/>
        <v>1024969</v>
      </c>
      <c r="AW63" s="87">
        <f t="shared" si="46"/>
        <v>1138809</v>
      </c>
      <c r="AX63" s="87">
        <f t="shared" si="46"/>
        <v>1254803</v>
      </c>
      <c r="AY63" s="87">
        <f t="shared" si="46"/>
        <v>1008441</v>
      </c>
      <c r="AZ63" s="87">
        <f t="shared" si="46"/>
        <v>1990410</v>
      </c>
      <c r="BA63" s="87">
        <f t="shared" si="46"/>
        <v>1657957</v>
      </c>
      <c r="BB63" s="87">
        <f t="shared" si="46"/>
        <v>570778.37</v>
      </c>
      <c r="BC63" s="87">
        <f t="shared" si="46"/>
        <v>0</v>
      </c>
      <c r="BD63" s="87">
        <f t="shared" si="46"/>
        <v>0</v>
      </c>
      <c r="BE63" s="87">
        <f t="shared" si="46"/>
        <v>0</v>
      </c>
      <c r="BF63" s="87">
        <f t="shared" si="46"/>
        <v>10430338.370000001</v>
      </c>
      <c r="BG63" s="87"/>
      <c r="BH63" s="87"/>
      <c r="BI63" s="87"/>
      <c r="BJ63" s="87"/>
      <c r="BL63" s="87">
        <f t="shared" ref="BL63" si="47">SUM(BL61:BL62)</f>
        <v>298462.75199999998</v>
      </c>
      <c r="BM63" s="87"/>
      <c r="BN63" s="31"/>
      <c r="BO63" s="31"/>
      <c r="BP63" s="67" t="s">
        <v>129</v>
      </c>
      <c r="BQ63" s="74">
        <f t="shared" ref="BQ63:BY64" si="48">AS58</f>
        <v>-29937</v>
      </c>
      <c r="BR63" s="74">
        <f t="shared" si="48"/>
        <v>-81</v>
      </c>
      <c r="BS63" s="74">
        <f t="shared" si="48"/>
        <v>-10549</v>
      </c>
      <c r="BT63" s="74">
        <f t="shared" si="48"/>
        <v>-119142</v>
      </c>
      <c r="BU63" s="74">
        <f t="shared" si="48"/>
        <v>-5772</v>
      </c>
      <c r="BV63" s="74">
        <f t="shared" si="48"/>
        <v>-25450</v>
      </c>
      <c r="BW63" s="74">
        <f t="shared" si="48"/>
        <v>-369</v>
      </c>
      <c r="BX63" s="74">
        <f t="shared" si="48"/>
        <v>-35374</v>
      </c>
      <c r="BY63" s="74">
        <f t="shared" si="48"/>
        <v>-47494</v>
      </c>
      <c r="BZ63" s="92"/>
      <c r="CA63" s="92"/>
      <c r="CB63" s="92"/>
      <c r="CC63" s="92"/>
      <c r="CD63" s="72">
        <f t="shared" si="42"/>
        <v>-244231</v>
      </c>
      <c r="DT63"/>
      <c r="DU63"/>
      <c r="DV63" s="31"/>
      <c r="DW63" s="31"/>
      <c r="DX63" s="31"/>
      <c r="DY63" s="31"/>
      <c r="DZ63" s="31"/>
      <c r="EB63" s="32"/>
      <c r="EC63" s="32"/>
      <c r="ED63" s="32"/>
      <c r="EE63" s="33"/>
      <c r="EF63" s="33"/>
    </row>
    <row r="64" spans="1:136" x14ac:dyDescent="0.25">
      <c r="A64" s="45"/>
      <c r="B64" s="34"/>
      <c r="C64" s="34"/>
      <c r="D64" s="34"/>
      <c r="E64" s="34"/>
      <c r="G64" s="35"/>
      <c r="H64" s="35"/>
      <c r="I64" s="35"/>
      <c r="J64" s="35"/>
      <c r="K64" s="36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/>
      <c r="BC64" s="35"/>
      <c r="BD64" s="35"/>
      <c r="BE64" s="35"/>
      <c r="BF64" s="35"/>
      <c r="BG64" s="35"/>
      <c r="BH64" s="35"/>
      <c r="BI64" s="35"/>
      <c r="BJ64" s="35"/>
      <c r="BL64" s="31"/>
      <c r="BM64" s="31"/>
      <c r="BN64" s="31"/>
      <c r="BO64" s="31"/>
      <c r="BP64" s="67" t="s">
        <v>131</v>
      </c>
      <c r="BQ64" s="93">
        <v>-126077</v>
      </c>
      <c r="BR64" s="93">
        <f t="shared" si="48"/>
        <v>-12094</v>
      </c>
      <c r="BS64" s="93">
        <f t="shared" si="48"/>
        <v>-16852</v>
      </c>
      <c r="BT64" s="93">
        <f t="shared" si="48"/>
        <v>-20317</v>
      </c>
      <c r="BU64" s="93">
        <f t="shared" si="48"/>
        <v>-21052</v>
      </c>
      <c r="BV64" s="93">
        <f t="shared" si="48"/>
        <v>-35328</v>
      </c>
      <c r="BW64" s="93">
        <f t="shared" si="48"/>
        <v>-23703</v>
      </c>
      <c r="BX64" s="93">
        <f t="shared" si="48"/>
        <v>-40387</v>
      </c>
      <c r="BY64" s="93">
        <f t="shared" si="48"/>
        <v>-41585</v>
      </c>
      <c r="BZ64" s="94">
        <f t="shared" ref="BZ64:CC64" si="49">-BZ25*0.02</f>
        <v>-17159.54</v>
      </c>
      <c r="CA64" s="94">
        <f t="shared" si="49"/>
        <v>-33000</v>
      </c>
      <c r="CB64" s="94">
        <f t="shared" si="49"/>
        <v>-34000</v>
      </c>
      <c r="CC64" s="94">
        <f t="shared" si="49"/>
        <v>-30000</v>
      </c>
      <c r="CD64" s="47">
        <f>SUM(BR64:CC64)</f>
        <v>-325477.54000000004</v>
      </c>
      <c r="DT64"/>
      <c r="DU64"/>
      <c r="DV64" s="31"/>
      <c r="DW64" s="31"/>
      <c r="DX64" s="31"/>
      <c r="DY64" s="31"/>
      <c r="DZ64" s="31"/>
      <c r="EB64" s="32"/>
      <c r="EC64" s="32"/>
      <c r="ED64" s="32"/>
      <c r="EE64" s="33"/>
      <c r="EF64" s="33"/>
    </row>
    <row r="65" spans="1:176" x14ac:dyDescent="0.25">
      <c r="A65" s="45"/>
      <c r="B65" s="34"/>
      <c r="C65" s="34"/>
      <c r="D65" s="34"/>
      <c r="E65" s="34"/>
      <c r="G65" s="35"/>
      <c r="H65" s="35"/>
      <c r="I65" s="35"/>
      <c r="J65" s="35"/>
      <c r="K65" s="36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  <c r="AY65" s="35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L65" s="31"/>
      <c r="BM65" s="31"/>
      <c r="BN65" s="31"/>
      <c r="BO65" s="31"/>
      <c r="BP65" s="9" t="s">
        <v>137</v>
      </c>
      <c r="BQ65" s="20">
        <f t="shared" ref="BQ65:CD65" si="50">BQ61+BQ50+BQ63+BQ64+BQ62</f>
        <v>8017684</v>
      </c>
      <c r="BR65" s="20">
        <f t="shared" si="50"/>
        <v>1031005</v>
      </c>
      <c r="BS65" s="20">
        <f t="shared" si="50"/>
        <v>753166</v>
      </c>
      <c r="BT65" s="20">
        <f t="shared" si="50"/>
        <v>1024970</v>
      </c>
      <c r="BU65" s="20">
        <f t="shared" si="50"/>
        <v>1138810</v>
      </c>
      <c r="BV65" s="20">
        <f t="shared" si="50"/>
        <v>1254802</v>
      </c>
      <c r="BW65" s="20">
        <f t="shared" si="50"/>
        <v>1008439.75</v>
      </c>
      <c r="BX65" s="20">
        <f t="shared" si="50"/>
        <v>1990411</v>
      </c>
      <c r="BY65" s="20">
        <f t="shared" si="50"/>
        <v>1671829.6806113871</v>
      </c>
      <c r="BZ65" s="20">
        <f t="shared" si="50"/>
        <v>955548.32894648123</v>
      </c>
      <c r="CA65" s="20">
        <f t="shared" si="50"/>
        <v>1664857.5638769076</v>
      </c>
      <c r="CB65" s="20">
        <f t="shared" si="50"/>
        <v>1599107.8583175628</v>
      </c>
      <c r="CC65" s="20">
        <f t="shared" si="50"/>
        <v>1516209.289640619</v>
      </c>
      <c r="CD65" s="78">
        <f t="shared" si="50"/>
        <v>15609156.471392961</v>
      </c>
      <c r="DT65"/>
      <c r="DU65"/>
      <c r="DV65" s="31"/>
      <c r="DW65" s="31"/>
      <c r="DX65" s="31"/>
      <c r="DY65" s="31"/>
      <c r="DZ65" s="31"/>
      <c r="EB65" s="32"/>
      <c r="EC65" s="32"/>
      <c r="ED65" s="32"/>
      <c r="EE65" s="33"/>
      <c r="EF65" s="33"/>
    </row>
    <row r="66" spans="1:176" x14ac:dyDescent="0.25">
      <c r="A66" s="45"/>
      <c r="B66" s="34"/>
      <c r="C66" s="34"/>
      <c r="D66" s="34"/>
      <c r="E66" s="34"/>
      <c r="G66" s="35"/>
      <c r="H66" s="35"/>
      <c r="I66" s="35"/>
      <c r="J66" s="35"/>
      <c r="K66" s="36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35"/>
      <c r="AM66" s="35"/>
      <c r="AN66" s="35"/>
      <c r="AO66" s="35"/>
      <c r="AP66" s="35"/>
      <c r="AQ66" s="35"/>
      <c r="AR66" s="35"/>
      <c r="AS66" s="35"/>
      <c r="AT66" s="35"/>
      <c r="AU66" s="35"/>
      <c r="AV66" s="35"/>
      <c r="AW66" s="35"/>
      <c r="AX66" s="35"/>
      <c r="AY66" s="35"/>
      <c r="AZ66" s="35"/>
      <c r="BA66" s="35"/>
      <c r="BB66" s="35"/>
      <c r="BC66" s="35"/>
      <c r="BD66" s="35"/>
      <c r="BE66" s="35"/>
      <c r="BF66" s="35"/>
      <c r="BG66" s="35"/>
      <c r="BH66" s="35"/>
      <c r="BI66" s="35"/>
      <c r="BJ66" s="35"/>
      <c r="BL66" s="31"/>
      <c r="BM66" s="31"/>
      <c r="BN66" s="31"/>
      <c r="BO66" s="31"/>
      <c r="BP66" s="31"/>
      <c r="BQ66" s="35"/>
      <c r="BR66" s="35"/>
      <c r="BS66" s="35"/>
      <c r="BT66" s="35"/>
      <c r="BU66" s="35"/>
      <c r="BV66" s="35"/>
      <c r="BW66" s="43"/>
      <c r="BX66" s="43"/>
      <c r="BY66" s="43"/>
      <c r="BZ66" s="35"/>
      <c r="CA66" s="35"/>
      <c r="CB66" s="35"/>
      <c r="CC66" s="35"/>
      <c r="CD66" s="38"/>
      <c r="DT66"/>
      <c r="DU66"/>
      <c r="DV66" s="31"/>
      <c r="DW66" s="31"/>
      <c r="DX66" s="31"/>
      <c r="DY66" s="31"/>
      <c r="DZ66" s="31"/>
      <c r="EB66" s="32"/>
      <c r="EC66" s="32"/>
      <c r="ED66" s="32"/>
      <c r="EE66" s="33"/>
      <c r="EF66" s="33"/>
    </row>
    <row r="67" spans="1:176" x14ac:dyDescent="0.25">
      <c r="A67" s="9" t="s">
        <v>138</v>
      </c>
      <c r="B67" s="87"/>
      <c r="C67" s="87"/>
      <c r="D67" s="87"/>
      <c r="E67" s="87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L67" s="69"/>
      <c r="BM67" s="69"/>
      <c r="BN67" s="69"/>
      <c r="BO67" s="69"/>
      <c r="BP67" s="9" t="s">
        <v>138</v>
      </c>
      <c r="BQ67" s="69"/>
      <c r="BR67" s="69"/>
      <c r="BS67" s="69"/>
      <c r="BT67" s="69"/>
      <c r="BU67" s="69"/>
      <c r="BV67" s="95"/>
      <c r="CD67" s="69"/>
      <c r="EA67" s="1" t="s">
        <v>139</v>
      </c>
      <c r="EB67" s="96">
        <f>10000*3*0.5</f>
        <v>15000</v>
      </c>
      <c r="EC67" s="97">
        <f>EB67</f>
        <v>15000</v>
      </c>
      <c r="ED67" s="96">
        <f>10000*12*0.5</f>
        <v>60000</v>
      </c>
      <c r="EE67" s="96">
        <f>ED67</f>
        <v>60000</v>
      </c>
      <c r="EM67" s="82"/>
      <c r="EN67" s="82"/>
      <c r="EO67" s="82"/>
      <c r="EP67" s="82"/>
      <c r="EQ67" s="82"/>
      <c r="ER67" s="82"/>
      <c r="ES67" s="82"/>
      <c r="ET67" s="82"/>
      <c r="EU67" s="82"/>
      <c r="EV67" s="82"/>
      <c r="EW67" s="82"/>
      <c r="EX67" s="82"/>
      <c r="EY67" s="82"/>
      <c r="EZ67" s="82"/>
      <c r="FA67" s="82"/>
      <c r="FB67" s="82"/>
      <c r="FC67" s="82"/>
      <c r="FD67" s="82"/>
      <c r="FE67" s="82"/>
      <c r="FF67" s="82"/>
      <c r="FG67" s="82"/>
      <c r="FH67" s="82"/>
      <c r="FI67" s="82"/>
      <c r="FJ67" s="82"/>
      <c r="FK67" s="82"/>
      <c r="FL67" s="82"/>
      <c r="FM67" s="82"/>
      <c r="FN67" s="82"/>
      <c r="FO67" s="82"/>
      <c r="FP67" s="82"/>
      <c r="FQ67" s="82"/>
      <c r="FR67" s="82"/>
      <c r="FS67" s="82"/>
      <c r="FT67" s="82"/>
    </row>
    <row r="68" spans="1:176" x14ac:dyDescent="0.25">
      <c r="A68" t="s">
        <v>140</v>
      </c>
      <c r="B68" s="82">
        <v>0</v>
      </c>
      <c r="C68" s="82">
        <v>1460928</v>
      </c>
      <c r="D68" s="82">
        <v>19545</v>
      </c>
      <c r="E68" s="82">
        <v>0</v>
      </c>
      <c r="F68" s="82"/>
      <c r="G68" s="69">
        <v>104687</v>
      </c>
      <c r="H68" s="69">
        <v>125875</v>
      </c>
      <c r="I68" s="69">
        <v>109743</v>
      </c>
      <c r="J68" s="69">
        <v>140951</v>
      </c>
      <c r="K68" s="69">
        <v>107806</v>
      </c>
      <c r="L68" s="69">
        <v>168606</v>
      </c>
      <c r="M68" s="69">
        <v>131470</v>
      </c>
      <c r="N68" s="69">
        <v>102434</v>
      </c>
      <c r="O68" s="69">
        <v>99191</v>
      </c>
      <c r="P68" s="69">
        <v>174271</v>
      </c>
      <c r="Q68" s="69">
        <v>113660</v>
      </c>
      <c r="R68" s="69">
        <v>82233</v>
      </c>
      <c r="S68" s="69">
        <f t="shared" ref="S68:S119" si="51">SUM(G68:R68)</f>
        <v>1460927</v>
      </c>
      <c r="T68" s="69">
        <v>0</v>
      </c>
      <c r="U68" s="69">
        <v>0</v>
      </c>
      <c r="V68" s="69">
        <v>0</v>
      </c>
      <c r="W68" s="69">
        <v>0</v>
      </c>
      <c r="X68" s="69">
        <v>0</v>
      </c>
      <c r="Y68" s="69">
        <v>0</v>
      </c>
      <c r="Z68" s="69">
        <v>0</v>
      </c>
      <c r="AA68" s="69">
        <v>0</v>
      </c>
      <c r="AB68" s="69">
        <v>0</v>
      </c>
      <c r="AC68" s="69">
        <v>0</v>
      </c>
      <c r="AD68" s="69">
        <v>0</v>
      </c>
      <c r="AE68" s="69">
        <v>19545</v>
      </c>
      <c r="AF68" s="69">
        <f t="shared" ref="AF68:AF119" si="52">SUM(T68:AE68)</f>
        <v>19545</v>
      </c>
      <c r="AG68" s="69">
        <v>0</v>
      </c>
      <c r="AH68" s="69">
        <v>0</v>
      </c>
      <c r="AI68" s="69">
        <v>0</v>
      </c>
      <c r="AJ68" s="69">
        <v>0</v>
      </c>
      <c r="AK68" s="69">
        <v>0</v>
      </c>
      <c r="AL68" s="69">
        <v>0</v>
      </c>
      <c r="AM68" s="69">
        <v>0</v>
      </c>
      <c r="AN68" s="69">
        <v>0</v>
      </c>
      <c r="AO68" s="69">
        <v>0</v>
      </c>
      <c r="AP68" s="69">
        <v>0</v>
      </c>
      <c r="AQ68" s="69">
        <v>0</v>
      </c>
      <c r="AR68" s="69">
        <v>0</v>
      </c>
      <c r="AS68" s="69">
        <f t="shared" ref="AS68:AS119" si="53">SUM(AG68:AR68)</f>
        <v>0</v>
      </c>
      <c r="AT68" s="69">
        <v>0</v>
      </c>
      <c r="AU68" s="69">
        <v>0</v>
      </c>
      <c r="AV68" s="69">
        <v>0</v>
      </c>
      <c r="AW68" s="69">
        <v>0</v>
      </c>
      <c r="AX68" s="69">
        <v>0</v>
      </c>
      <c r="AY68" s="69">
        <v>0</v>
      </c>
      <c r="AZ68" s="69">
        <v>0</v>
      </c>
      <c r="BA68" s="69">
        <v>-5130</v>
      </c>
      <c r="BB68" s="69">
        <v>0</v>
      </c>
      <c r="BC68" s="69">
        <v>0</v>
      </c>
      <c r="BD68" s="69">
        <v>0</v>
      </c>
      <c r="BE68" s="69">
        <v>0</v>
      </c>
      <c r="BF68" s="69">
        <f t="shared" ref="BF68:BF119" si="54">SUM(AT68:BE68)</f>
        <v>-5130</v>
      </c>
      <c r="BG68" s="69"/>
      <c r="BH68" s="69"/>
      <c r="BI68" s="69"/>
      <c r="BJ68" s="69"/>
      <c r="BL68" s="69"/>
      <c r="BM68" s="69"/>
      <c r="BN68" s="69"/>
      <c r="BO68" s="69"/>
      <c r="BP68" t="s">
        <v>140</v>
      </c>
      <c r="BQ68" s="6">
        <f t="shared" ref="BQ68:BY96" si="55">AS68</f>
        <v>0</v>
      </c>
      <c r="BR68" s="6">
        <f t="shared" si="55"/>
        <v>0</v>
      </c>
      <c r="BS68" s="6">
        <f t="shared" si="55"/>
        <v>0</v>
      </c>
      <c r="BT68" s="6">
        <f t="shared" si="55"/>
        <v>0</v>
      </c>
      <c r="BU68" s="6">
        <f t="shared" si="55"/>
        <v>0</v>
      </c>
      <c r="BV68" s="6">
        <f t="shared" si="55"/>
        <v>0</v>
      </c>
      <c r="BW68" s="6">
        <f t="shared" si="55"/>
        <v>0</v>
      </c>
      <c r="BX68" s="6">
        <f t="shared" si="55"/>
        <v>0</v>
      </c>
      <c r="BY68" s="6">
        <f t="shared" si="55"/>
        <v>-5130</v>
      </c>
      <c r="BZ68" s="69"/>
      <c r="CA68" s="69"/>
      <c r="CB68" s="69"/>
      <c r="CC68" s="69"/>
      <c r="CD68" s="69"/>
      <c r="EB68" s="98">
        <f>SUM(EB67:EB67)</f>
        <v>15000</v>
      </c>
      <c r="EC68" s="98">
        <f>SUM(EC67:EC67)</f>
        <v>15000</v>
      </c>
      <c r="ED68" s="98">
        <f>SUM(ED67:ED67)</f>
        <v>60000</v>
      </c>
      <c r="EE68" s="98">
        <f>SUM(EE67:EE67)</f>
        <v>60000</v>
      </c>
      <c r="EK68" s="82"/>
      <c r="EL68" s="82"/>
      <c r="EM68" s="82"/>
      <c r="EN68" s="82"/>
      <c r="EO68" s="82"/>
      <c r="EP68" s="82"/>
      <c r="EQ68" s="82"/>
      <c r="ER68" s="82"/>
      <c r="ES68" s="82"/>
      <c r="ET68" s="82"/>
      <c r="EU68" s="82"/>
      <c r="EV68" s="82"/>
      <c r="EW68" s="82"/>
      <c r="EX68" s="82"/>
      <c r="EY68" s="82"/>
      <c r="EZ68" s="82"/>
      <c r="FA68" s="82"/>
      <c r="FB68" s="82"/>
      <c r="FC68" s="82"/>
      <c r="FD68" s="82"/>
      <c r="FE68" s="82"/>
      <c r="FF68" s="82"/>
      <c r="FG68" s="82"/>
      <c r="FH68" s="82"/>
      <c r="FI68" s="82"/>
      <c r="FJ68" s="82"/>
      <c r="FK68" s="82"/>
      <c r="FL68" s="82"/>
      <c r="FM68" s="82"/>
      <c r="FN68" s="82"/>
      <c r="FO68" s="82"/>
    </row>
    <row r="69" spans="1:176" x14ac:dyDescent="0.25">
      <c r="A69" t="s">
        <v>141</v>
      </c>
      <c r="B69" s="82">
        <v>0</v>
      </c>
      <c r="C69" s="82">
        <v>0</v>
      </c>
      <c r="D69" s="82">
        <v>65162</v>
      </c>
      <c r="E69" s="82">
        <v>63133</v>
      </c>
      <c r="F69" s="82"/>
      <c r="G69" s="69">
        <v>0</v>
      </c>
      <c r="H69" s="69">
        <v>0</v>
      </c>
      <c r="I69" s="69">
        <v>0</v>
      </c>
      <c r="J69" s="69">
        <v>0</v>
      </c>
      <c r="K69" s="69">
        <v>0</v>
      </c>
      <c r="L69" s="69">
        <v>0</v>
      </c>
      <c r="M69" s="69">
        <v>0</v>
      </c>
      <c r="N69" s="69">
        <v>0</v>
      </c>
      <c r="O69" s="69">
        <v>0</v>
      </c>
      <c r="P69" s="69">
        <v>0</v>
      </c>
      <c r="Q69" s="69">
        <v>0</v>
      </c>
      <c r="R69" s="69">
        <v>0</v>
      </c>
      <c r="S69" s="69">
        <f t="shared" si="51"/>
        <v>0</v>
      </c>
      <c r="T69" s="69">
        <v>0</v>
      </c>
      <c r="U69" s="69">
        <v>0</v>
      </c>
      <c r="V69" s="69">
        <v>0</v>
      </c>
      <c r="W69" s="69">
        <v>23747</v>
      </c>
      <c r="X69" s="69">
        <v>4688</v>
      </c>
      <c r="Y69" s="69">
        <v>4843</v>
      </c>
      <c r="Z69" s="69">
        <v>4764</v>
      </c>
      <c r="AA69" s="69">
        <v>4923</v>
      </c>
      <c r="AB69" s="69">
        <v>4079</v>
      </c>
      <c r="AC69" s="69">
        <v>7012</v>
      </c>
      <c r="AD69" s="69">
        <v>4443</v>
      </c>
      <c r="AE69" s="69">
        <v>6663</v>
      </c>
      <c r="AF69" s="69">
        <f t="shared" si="52"/>
        <v>65162</v>
      </c>
      <c r="AG69" s="69">
        <v>4184</v>
      </c>
      <c r="AH69" s="69">
        <v>4221</v>
      </c>
      <c r="AI69" s="69">
        <v>3799</v>
      </c>
      <c r="AJ69" s="69">
        <v>7485</v>
      </c>
      <c r="AK69" s="69">
        <v>4691</v>
      </c>
      <c r="AL69" s="69">
        <v>5388</v>
      </c>
      <c r="AM69" s="69">
        <v>4656</v>
      </c>
      <c r="AN69" s="69">
        <v>3376</v>
      </c>
      <c r="AO69" s="69">
        <v>5672</v>
      </c>
      <c r="AP69" s="69">
        <v>6541</v>
      </c>
      <c r="AQ69" s="69">
        <v>6508</v>
      </c>
      <c r="AR69" s="69">
        <v>6612</v>
      </c>
      <c r="AS69" s="69">
        <f t="shared" si="53"/>
        <v>63133</v>
      </c>
      <c r="AT69" s="69">
        <v>6817</v>
      </c>
      <c r="AU69" s="69">
        <v>6485</v>
      </c>
      <c r="AV69" s="69">
        <v>10301</v>
      </c>
      <c r="AW69" s="69">
        <v>1229</v>
      </c>
      <c r="AX69" s="69">
        <v>2978</v>
      </c>
      <c r="AY69" s="69">
        <v>2817</v>
      </c>
      <c r="AZ69" s="69">
        <v>2947</v>
      </c>
      <c r="BA69" s="69">
        <v>961</v>
      </c>
      <c r="BB69" s="69">
        <v>0</v>
      </c>
      <c r="BC69" s="69">
        <v>0</v>
      </c>
      <c r="BD69" s="69">
        <v>0</v>
      </c>
      <c r="BE69" s="69">
        <v>0</v>
      </c>
      <c r="BF69" s="69">
        <f t="shared" si="54"/>
        <v>34535</v>
      </c>
      <c r="BG69" s="99"/>
      <c r="BH69" s="69"/>
      <c r="BI69" s="69"/>
      <c r="BJ69" s="69"/>
      <c r="BL69" s="69"/>
      <c r="BM69" s="69"/>
      <c r="BN69" s="69"/>
      <c r="BO69" s="69"/>
      <c r="BP69" t="s">
        <v>141</v>
      </c>
      <c r="BQ69" s="6">
        <f t="shared" si="55"/>
        <v>63133</v>
      </c>
      <c r="BR69" s="69">
        <f t="shared" si="55"/>
        <v>6817</v>
      </c>
      <c r="BS69" s="69">
        <f t="shared" si="55"/>
        <v>6485</v>
      </c>
      <c r="BT69" s="69">
        <f t="shared" si="55"/>
        <v>10301</v>
      </c>
      <c r="BU69" s="69">
        <f t="shared" si="55"/>
        <v>1229</v>
      </c>
      <c r="BV69" s="69">
        <f t="shared" si="55"/>
        <v>2978</v>
      </c>
      <c r="BW69" s="69">
        <f t="shared" si="55"/>
        <v>2817</v>
      </c>
      <c r="BX69" s="69">
        <f t="shared" si="55"/>
        <v>2947</v>
      </c>
      <c r="BY69" s="69">
        <f t="shared" si="55"/>
        <v>961</v>
      </c>
      <c r="BZ69" s="69">
        <f>AVERAGE($BU69:$BX69)</f>
        <v>2492.75</v>
      </c>
      <c r="CA69" s="69">
        <f t="shared" ref="CA69:CC84" si="56">AVERAGE($BU69:$BX69)</f>
        <v>2492.75</v>
      </c>
      <c r="CB69" s="69">
        <f t="shared" si="56"/>
        <v>2492.75</v>
      </c>
      <c r="CC69" s="69">
        <f t="shared" si="56"/>
        <v>2492.75</v>
      </c>
      <c r="CD69" s="69">
        <f t="shared" ref="CD69:CD119" si="57">SUM(BR69:CC69)</f>
        <v>44506</v>
      </c>
      <c r="CF69" s="7">
        <v>52269.625</v>
      </c>
      <c r="CG69" s="95">
        <f>CD69-CF69</f>
        <v>-7763.625</v>
      </c>
      <c r="CH69" s="1" t="s">
        <v>142</v>
      </c>
      <c r="DS69" s="95"/>
      <c r="DT69" s="100">
        <v>1</v>
      </c>
      <c r="DU69" s="100">
        <f>100%-DT69</f>
        <v>0</v>
      </c>
      <c r="DV69" s="95">
        <f t="shared" ref="DV69:DV108" si="58">SUM(BR69:BT69)*DT69</f>
        <v>23603</v>
      </c>
      <c r="DW69" s="95">
        <f t="shared" ref="DW69:DW79" si="59">SUM(BR69:BT69)-DV69</f>
        <v>0</v>
      </c>
      <c r="DX69" s="95">
        <f t="shared" ref="DX69:DX108" si="60">AS69*DT69</f>
        <v>63133</v>
      </c>
      <c r="DY69" s="95">
        <f t="shared" ref="DY69:DY79" si="61">AS69-DX69</f>
        <v>0</v>
      </c>
      <c r="DZ69" s="95"/>
      <c r="EA69" s="1" t="s">
        <v>143</v>
      </c>
      <c r="EB69" s="95" t="e">
        <f>#REF!</f>
        <v>#REF!</v>
      </c>
      <c r="EC69" s="95" t="e">
        <f>#REF!</f>
        <v>#REF!</v>
      </c>
      <c r="ED69" s="1" t="e">
        <f>#REF!</f>
        <v>#REF!</v>
      </c>
      <c r="EE69" s="95" t="e">
        <f>#REF!</f>
        <v>#REF!</v>
      </c>
      <c r="EK69" s="82"/>
      <c r="EL69" s="82"/>
      <c r="EM69" s="82"/>
      <c r="EN69" s="82"/>
      <c r="EO69" s="82"/>
      <c r="EP69" s="82"/>
      <c r="EQ69" s="82"/>
      <c r="ER69" s="82"/>
      <c r="ES69" s="82"/>
      <c r="ET69" s="82"/>
      <c r="EU69" s="82"/>
      <c r="EV69" s="82"/>
      <c r="EW69" s="82"/>
      <c r="EX69" s="82"/>
      <c r="EY69" s="82"/>
      <c r="EZ69" s="82"/>
      <c r="FA69" s="82"/>
      <c r="FB69" s="82"/>
      <c r="FC69" s="82"/>
      <c r="FD69" s="82"/>
      <c r="FE69" s="82"/>
      <c r="FF69" s="82"/>
      <c r="FG69" s="82"/>
      <c r="FH69" s="82"/>
      <c r="FI69" s="82"/>
      <c r="FJ69" s="82"/>
      <c r="FK69" s="82"/>
      <c r="FL69" s="82"/>
      <c r="FM69" s="82"/>
      <c r="FN69" s="82"/>
      <c r="FO69" s="82"/>
    </row>
    <row r="70" spans="1:176" x14ac:dyDescent="0.25">
      <c r="A70" t="s">
        <v>144</v>
      </c>
      <c r="B70" s="82">
        <v>1086675</v>
      </c>
      <c r="C70" s="82">
        <v>3542</v>
      </c>
      <c r="D70" s="82">
        <v>962125</v>
      </c>
      <c r="E70" s="82">
        <v>878114</v>
      </c>
      <c r="F70" s="82"/>
      <c r="G70" s="69">
        <v>-12133</v>
      </c>
      <c r="H70" s="69">
        <v>0</v>
      </c>
      <c r="I70" s="69">
        <v>0</v>
      </c>
      <c r="J70" s="69">
        <v>0</v>
      </c>
      <c r="K70" s="69">
        <v>0</v>
      </c>
      <c r="L70" s="69">
        <v>0</v>
      </c>
      <c r="M70" s="69">
        <v>0</v>
      </c>
      <c r="N70" s="69">
        <v>0</v>
      </c>
      <c r="O70" s="69">
        <v>0</v>
      </c>
      <c r="P70" s="69">
        <v>0</v>
      </c>
      <c r="Q70" s="69">
        <v>0</v>
      </c>
      <c r="R70" s="69">
        <v>15674</v>
      </c>
      <c r="S70" s="69">
        <f t="shared" si="51"/>
        <v>3541</v>
      </c>
      <c r="T70" s="69">
        <v>46353</v>
      </c>
      <c r="U70" s="69">
        <v>67315</v>
      </c>
      <c r="V70" s="69">
        <v>113762</v>
      </c>
      <c r="W70" s="69">
        <v>99879</v>
      </c>
      <c r="X70" s="69">
        <v>115410</v>
      </c>
      <c r="Y70" s="69">
        <v>21473</v>
      </c>
      <c r="Z70" s="69">
        <v>75715</v>
      </c>
      <c r="AA70" s="69">
        <v>74219</v>
      </c>
      <c r="AB70" s="69">
        <v>186151</v>
      </c>
      <c r="AC70" s="69">
        <v>2817</v>
      </c>
      <c r="AD70" s="69">
        <v>65599</v>
      </c>
      <c r="AE70" s="69">
        <v>93431</v>
      </c>
      <c r="AF70" s="69">
        <f t="shared" si="52"/>
        <v>962124</v>
      </c>
      <c r="AG70" s="69">
        <v>55832</v>
      </c>
      <c r="AH70" s="69">
        <v>79937</v>
      </c>
      <c r="AI70" s="69">
        <v>74638</v>
      </c>
      <c r="AJ70" s="69">
        <v>99445</v>
      </c>
      <c r="AK70" s="69">
        <v>69847</v>
      </c>
      <c r="AL70" s="69">
        <v>65672</v>
      </c>
      <c r="AM70" s="69">
        <v>64467</v>
      </c>
      <c r="AN70" s="69">
        <v>63533</v>
      </c>
      <c r="AO70" s="69">
        <v>94664</v>
      </c>
      <c r="AP70" s="69">
        <v>70867</v>
      </c>
      <c r="AQ70" s="69">
        <v>69000</v>
      </c>
      <c r="AR70" s="69">
        <v>70211</v>
      </c>
      <c r="AS70" s="69">
        <f t="shared" si="53"/>
        <v>878113</v>
      </c>
      <c r="AT70" s="69">
        <v>70904</v>
      </c>
      <c r="AU70" s="69">
        <v>70845</v>
      </c>
      <c r="AV70" s="69">
        <v>110737</v>
      </c>
      <c r="AW70" s="69">
        <v>67828</v>
      </c>
      <c r="AX70" s="69">
        <v>61801</v>
      </c>
      <c r="AY70" s="69">
        <v>68999</v>
      </c>
      <c r="AZ70" s="69">
        <v>81149</v>
      </c>
      <c r="BA70" s="69">
        <v>104480</v>
      </c>
      <c r="BB70" s="69">
        <v>32165</v>
      </c>
      <c r="BC70" s="69">
        <v>0</v>
      </c>
      <c r="BD70" s="69">
        <v>0</v>
      </c>
      <c r="BE70" s="69">
        <v>0</v>
      </c>
      <c r="BF70" s="69">
        <f t="shared" si="54"/>
        <v>668908</v>
      </c>
      <c r="BG70" s="99"/>
      <c r="BH70" s="69"/>
      <c r="BI70" s="69"/>
      <c r="BJ70" s="69"/>
      <c r="BL70" s="69"/>
      <c r="BM70" s="69"/>
      <c r="BN70" s="69"/>
      <c r="BO70" s="69"/>
      <c r="BP70" t="s">
        <v>144</v>
      </c>
      <c r="BQ70" s="6">
        <f t="shared" si="55"/>
        <v>878113</v>
      </c>
      <c r="BR70" s="69">
        <f t="shared" si="55"/>
        <v>70904</v>
      </c>
      <c r="BS70" s="69">
        <f t="shared" si="55"/>
        <v>70845</v>
      </c>
      <c r="BT70" s="69">
        <f t="shared" si="55"/>
        <v>110737</v>
      </c>
      <c r="BU70" s="69">
        <f t="shared" si="55"/>
        <v>67828</v>
      </c>
      <c r="BV70" s="69">
        <f t="shared" si="55"/>
        <v>61801</v>
      </c>
      <c r="BW70" s="69">
        <f t="shared" si="55"/>
        <v>68999</v>
      </c>
      <c r="BX70" s="69">
        <f t="shared" si="55"/>
        <v>81149</v>
      </c>
      <c r="BY70" s="69">
        <f t="shared" si="55"/>
        <v>104480</v>
      </c>
      <c r="BZ70" s="101">
        <v>85544.25</v>
      </c>
      <c r="CA70" s="101">
        <v>85544.25</v>
      </c>
      <c r="CB70" s="101">
        <v>85544.25</v>
      </c>
      <c r="CC70" s="101">
        <v>85544.25</v>
      </c>
      <c r="CD70" s="69">
        <f t="shared" si="57"/>
        <v>978920</v>
      </c>
      <c r="CF70" s="7">
        <v>1002756.375</v>
      </c>
      <c r="CG70" s="95">
        <f t="shared" ref="CG70:CG133" si="62">CD70-CF70</f>
        <v>-23836.375</v>
      </c>
      <c r="DS70" s="95"/>
      <c r="DT70" s="100">
        <v>1</v>
      </c>
      <c r="DU70" s="100">
        <f t="shared" ref="DU70:DU108" si="63">100%-DT70</f>
        <v>0</v>
      </c>
      <c r="DV70" s="95">
        <f t="shared" si="58"/>
        <v>252486</v>
      </c>
      <c r="DW70" s="95">
        <f t="shared" si="59"/>
        <v>0</v>
      </c>
      <c r="DX70" s="95">
        <f t="shared" si="60"/>
        <v>878113</v>
      </c>
      <c r="DY70" s="95">
        <f t="shared" si="61"/>
        <v>0</v>
      </c>
      <c r="DZ70" s="95"/>
      <c r="EA70" s="1" t="s">
        <v>145</v>
      </c>
      <c r="EB70" s="102" t="e">
        <f>EB68/EB69</f>
        <v>#REF!</v>
      </c>
      <c r="EC70" s="102" t="e">
        <f>EC68/EC69</f>
        <v>#REF!</v>
      </c>
      <c r="ED70" s="102" t="e">
        <f>ED68/ED69</f>
        <v>#REF!</v>
      </c>
      <c r="EE70" s="102" t="e">
        <f>EE68/EE69</f>
        <v>#REF!</v>
      </c>
      <c r="EK70" s="82"/>
      <c r="EL70" s="82"/>
      <c r="EM70" s="82"/>
      <c r="EN70" s="82"/>
      <c r="EO70" s="82"/>
      <c r="EP70" s="82"/>
      <c r="EQ70" s="82"/>
      <c r="ER70" s="82"/>
      <c r="ES70" s="82"/>
      <c r="ET70" s="82"/>
      <c r="EU70" s="82"/>
      <c r="EV70" s="82"/>
      <c r="EW70" s="82"/>
      <c r="EX70" s="82"/>
      <c r="EY70" s="82"/>
      <c r="EZ70" s="82"/>
      <c r="FA70" s="82"/>
      <c r="FB70" s="82"/>
      <c r="FC70" s="82"/>
      <c r="FD70" s="82"/>
      <c r="FE70" s="82"/>
      <c r="FF70" s="82"/>
      <c r="FG70" s="82"/>
      <c r="FH70" s="82"/>
      <c r="FI70" s="82"/>
      <c r="FJ70" s="82"/>
      <c r="FK70" s="82"/>
      <c r="FL70" s="82"/>
      <c r="FM70" s="82"/>
      <c r="FN70" s="82"/>
      <c r="FO70" s="82"/>
    </row>
    <row r="71" spans="1:176" x14ac:dyDescent="0.25">
      <c r="A71" t="s">
        <v>146</v>
      </c>
      <c r="B71" s="82">
        <v>18271</v>
      </c>
      <c r="C71" s="82">
        <v>24493</v>
      </c>
      <c r="D71" s="82">
        <v>100680</v>
      </c>
      <c r="E71" s="82">
        <v>55494</v>
      </c>
      <c r="F71" s="82"/>
      <c r="G71" s="69">
        <v>1666</v>
      </c>
      <c r="H71" s="69">
        <v>1999</v>
      </c>
      <c r="I71" s="69">
        <v>1743</v>
      </c>
      <c r="J71" s="69">
        <v>2260</v>
      </c>
      <c r="K71" s="69">
        <v>1736</v>
      </c>
      <c r="L71" s="69">
        <v>2263</v>
      </c>
      <c r="M71" s="69">
        <v>1773</v>
      </c>
      <c r="N71" s="69">
        <v>1628</v>
      </c>
      <c r="O71" s="69">
        <v>2254</v>
      </c>
      <c r="P71" s="69">
        <v>3351</v>
      </c>
      <c r="Q71" s="69">
        <v>1800</v>
      </c>
      <c r="R71" s="69">
        <v>2021</v>
      </c>
      <c r="S71" s="69">
        <f t="shared" si="51"/>
        <v>24494</v>
      </c>
      <c r="T71" s="69">
        <v>7474</v>
      </c>
      <c r="U71" s="69">
        <v>8682</v>
      </c>
      <c r="V71" s="69">
        <v>10240</v>
      </c>
      <c r="W71" s="69">
        <v>3554</v>
      </c>
      <c r="X71" s="69">
        <v>9437</v>
      </c>
      <c r="Y71" s="69">
        <v>6334</v>
      </c>
      <c r="Z71" s="69">
        <v>8810</v>
      </c>
      <c r="AA71" s="69">
        <v>9475</v>
      </c>
      <c r="AB71" s="69">
        <v>9573</v>
      </c>
      <c r="AC71" s="69">
        <v>15924</v>
      </c>
      <c r="AD71" s="69">
        <v>6839</v>
      </c>
      <c r="AE71" s="69">
        <v>4337</v>
      </c>
      <c r="AF71" s="69">
        <f t="shared" si="52"/>
        <v>100679</v>
      </c>
      <c r="AG71" s="69">
        <v>3324</v>
      </c>
      <c r="AH71" s="69">
        <v>4576</v>
      </c>
      <c r="AI71" s="69">
        <v>3613</v>
      </c>
      <c r="AJ71" s="69">
        <v>6012</v>
      </c>
      <c r="AK71" s="69">
        <v>4010</v>
      </c>
      <c r="AL71" s="69">
        <v>4207</v>
      </c>
      <c r="AM71" s="69">
        <v>4239</v>
      </c>
      <c r="AN71" s="69">
        <v>4404</v>
      </c>
      <c r="AO71" s="69">
        <v>6729</v>
      </c>
      <c r="AP71" s="69">
        <v>4816</v>
      </c>
      <c r="AQ71" s="69">
        <v>4799</v>
      </c>
      <c r="AR71" s="69">
        <v>4766</v>
      </c>
      <c r="AS71" s="69">
        <f t="shared" si="53"/>
        <v>55495</v>
      </c>
      <c r="AT71" s="69">
        <v>4833</v>
      </c>
      <c r="AU71" s="69">
        <v>5021</v>
      </c>
      <c r="AV71" s="69">
        <v>6719</v>
      </c>
      <c r="AW71" s="69">
        <v>5414</v>
      </c>
      <c r="AX71" s="69">
        <v>5073</v>
      </c>
      <c r="AY71" s="69">
        <v>5229</v>
      </c>
      <c r="AZ71" s="69">
        <v>2755</v>
      </c>
      <c r="BA71" s="69">
        <v>0</v>
      </c>
      <c r="BB71" s="69">
        <v>0</v>
      </c>
      <c r="BC71" s="69">
        <v>0</v>
      </c>
      <c r="BD71" s="69">
        <v>0</v>
      </c>
      <c r="BE71" s="69">
        <v>0</v>
      </c>
      <c r="BF71" s="69">
        <f t="shared" si="54"/>
        <v>35044</v>
      </c>
      <c r="BG71" s="99"/>
      <c r="BH71" s="69"/>
      <c r="BI71" s="69"/>
      <c r="BJ71" s="69"/>
      <c r="BL71" s="69"/>
      <c r="BM71" s="69"/>
      <c r="BN71" s="69"/>
      <c r="BO71" s="69"/>
      <c r="BP71" t="s">
        <v>146</v>
      </c>
      <c r="BQ71" s="6">
        <f t="shared" si="55"/>
        <v>55495</v>
      </c>
      <c r="BR71" s="69">
        <f t="shared" si="55"/>
        <v>4833</v>
      </c>
      <c r="BS71" s="69">
        <f t="shared" si="55"/>
        <v>5021</v>
      </c>
      <c r="BT71" s="69">
        <f t="shared" si="55"/>
        <v>6719</v>
      </c>
      <c r="BU71" s="69">
        <f t="shared" si="55"/>
        <v>5414</v>
      </c>
      <c r="BV71" s="69">
        <f t="shared" si="55"/>
        <v>5073</v>
      </c>
      <c r="BW71" s="69">
        <f t="shared" si="55"/>
        <v>5229</v>
      </c>
      <c r="BX71" s="69">
        <f t="shared" si="55"/>
        <v>2755</v>
      </c>
      <c r="BY71" s="69">
        <f t="shared" si="55"/>
        <v>0</v>
      </c>
      <c r="BZ71" s="69">
        <f>AVERAGE($BU71:$BX71)</f>
        <v>4617.75</v>
      </c>
      <c r="CA71" s="69">
        <f t="shared" si="56"/>
        <v>4617.75</v>
      </c>
      <c r="CB71" s="69">
        <f t="shared" si="56"/>
        <v>4617.75</v>
      </c>
      <c r="CC71" s="69">
        <f t="shared" si="56"/>
        <v>4617.75</v>
      </c>
      <c r="CD71" s="69">
        <f t="shared" si="57"/>
        <v>53515</v>
      </c>
      <c r="CF71" s="7">
        <v>60441.625</v>
      </c>
      <c r="CG71" s="95">
        <f t="shared" si="62"/>
        <v>-6926.625</v>
      </c>
      <c r="DS71" s="95"/>
      <c r="DT71" s="100">
        <v>1</v>
      </c>
      <c r="DU71" s="100">
        <f t="shared" si="63"/>
        <v>0</v>
      </c>
      <c r="DV71" s="95">
        <f t="shared" si="58"/>
        <v>16573</v>
      </c>
      <c r="DW71" s="95">
        <f t="shared" si="59"/>
        <v>0</v>
      </c>
      <c r="DX71" s="95">
        <f t="shared" si="60"/>
        <v>55495</v>
      </c>
      <c r="DY71" s="95">
        <f t="shared" si="61"/>
        <v>0</v>
      </c>
      <c r="DZ71" s="95"/>
      <c r="EC71" s="1">
        <v>0.52</v>
      </c>
      <c r="EK71" s="82"/>
      <c r="EL71" s="82"/>
      <c r="EM71" s="82"/>
      <c r="EN71" s="82"/>
      <c r="EO71" s="82"/>
      <c r="EP71" s="82"/>
      <c r="EQ71" s="82"/>
      <c r="ER71" s="82"/>
      <c r="ES71" s="82"/>
      <c r="ET71" s="82"/>
      <c r="EU71" s="82"/>
      <c r="EV71" s="82"/>
      <c r="EW71" s="82"/>
      <c r="EX71" s="82"/>
      <c r="EY71" s="82"/>
      <c r="EZ71" s="82"/>
      <c r="FA71" s="82"/>
      <c r="FB71" s="82"/>
      <c r="FC71" s="82"/>
      <c r="FD71" s="82"/>
      <c r="FE71" s="82"/>
      <c r="FF71" s="82"/>
      <c r="FG71" s="82"/>
      <c r="FH71" s="82"/>
      <c r="FI71" s="82"/>
      <c r="FJ71" s="82"/>
      <c r="FK71" s="82"/>
      <c r="FL71" s="82"/>
      <c r="FM71" s="82"/>
      <c r="FN71" s="82"/>
      <c r="FO71" s="82"/>
    </row>
    <row r="72" spans="1:176" x14ac:dyDescent="0.25">
      <c r="A72" t="s">
        <v>147</v>
      </c>
      <c r="B72" s="82">
        <v>0</v>
      </c>
      <c r="C72" s="82">
        <v>0</v>
      </c>
      <c r="D72" s="82">
        <v>77684</v>
      </c>
      <c r="E72" s="82">
        <v>0</v>
      </c>
      <c r="F72" s="82"/>
      <c r="G72" s="69">
        <v>0</v>
      </c>
      <c r="H72" s="69">
        <v>0</v>
      </c>
      <c r="I72" s="69">
        <v>0</v>
      </c>
      <c r="J72" s="69">
        <v>0</v>
      </c>
      <c r="K72" s="69">
        <v>0</v>
      </c>
      <c r="L72" s="69">
        <v>0</v>
      </c>
      <c r="M72" s="69">
        <v>0</v>
      </c>
      <c r="N72" s="69">
        <v>0</v>
      </c>
      <c r="O72" s="69">
        <v>0</v>
      </c>
      <c r="P72" s="69">
        <v>0</v>
      </c>
      <c r="Q72" s="69">
        <v>0</v>
      </c>
      <c r="R72" s="69">
        <v>0</v>
      </c>
      <c r="S72" s="69">
        <f t="shared" si="51"/>
        <v>0</v>
      </c>
      <c r="T72" s="69">
        <v>0</v>
      </c>
      <c r="U72" s="69">
        <v>0</v>
      </c>
      <c r="V72" s="69">
        <v>0</v>
      </c>
      <c r="W72" s="69">
        <v>56910</v>
      </c>
      <c r="X72" s="69">
        <v>0</v>
      </c>
      <c r="Y72" s="69">
        <v>0</v>
      </c>
      <c r="Z72" s="69">
        <v>0</v>
      </c>
      <c r="AA72" s="69">
        <v>0</v>
      </c>
      <c r="AB72" s="69">
        <v>0</v>
      </c>
      <c r="AC72" s="69">
        <v>0</v>
      </c>
      <c r="AD72" s="69">
        <v>0</v>
      </c>
      <c r="AE72" s="69">
        <v>20774</v>
      </c>
      <c r="AF72" s="69">
        <f t="shared" si="52"/>
        <v>77684</v>
      </c>
      <c r="AG72" s="69">
        <v>0</v>
      </c>
      <c r="AH72" s="69">
        <v>0</v>
      </c>
      <c r="AI72" s="69">
        <v>0</v>
      </c>
      <c r="AJ72" s="69">
        <v>0</v>
      </c>
      <c r="AK72" s="69">
        <v>0</v>
      </c>
      <c r="AL72" s="69">
        <v>0</v>
      </c>
      <c r="AM72" s="69">
        <v>0</v>
      </c>
      <c r="AN72" s="69">
        <v>0</v>
      </c>
      <c r="AO72" s="69">
        <v>0</v>
      </c>
      <c r="AP72" s="69">
        <v>0</v>
      </c>
      <c r="AQ72" s="69">
        <v>0</v>
      </c>
      <c r="AR72" s="69">
        <v>0</v>
      </c>
      <c r="AS72" s="69">
        <f t="shared" si="53"/>
        <v>0</v>
      </c>
      <c r="AT72" s="69">
        <v>0</v>
      </c>
      <c r="AU72" s="69">
        <v>0</v>
      </c>
      <c r="AV72" s="69">
        <v>0</v>
      </c>
      <c r="AW72" s="69">
        <v>0</v>
      </c>
      <c r="AX72" s="69">
        <v>0</v>
      </c>
      <c r="AY72" s="69">
        <v>0</v>
      </c>
      <c r="AZ72" s="69">
        <v>0</v>
      </c>
      <c r="BA72" s="69">
        <v>0</v>
      </c>
      <c r="BB72" s="69">
        <v>0</v>
      </c>
      <c r="BC72" s="69">
        <v>0</v>
      </c>
      <c r="BD72" s="69">
        <v>0</v>
      </c>
      <c r="BE72" s="69">
        <v>0</v>
      </c>
      <c r="BF72" s="69">
        <f t="shared" si="54"/>
        <v>0</v>
      </c>
      <c r="BG72" s="99"/>
      <c r="BH72" s="69"/>
      <c r="BI72" s="69"/>
      <c r="BJ72" s="69"/>
      <c r="BL72" s="69"/>
      <c r="BM72" s="69"/>
      <c r="BN72" s="69"/>
      <c r="BO72" s="69"/>
      <c r="BP72" t="s">
        <v>147</v>
      </c>
      <c r="BQ72" s="6">
        <f t="shared" si="55"/>
        <v>0</v>
      </c>
      <c r="BR72" s="69">
        <f t="shared" si="55"/>
        <v>0</v>
      </c>
      <c r="BS72" s="69">
        <f t="shared" si="55"/>
        <v>0</v>
      </c>
      <c r="BT72" s="69">
        <f t="shared" si="55"/>
        <v>0</v>
      </c>
      <c r="BU72" s="69">
        <f t="shared" si="55"/>
        <v>0</v>
      </c>
      <c r="BV72" s="69">
        <f t="shared" si="55"/>
        <v>0</v>
      </c>
      <c r="BW72" s="69">
        <f t="shared" si="55"/>
        <v>0</v>
      </c>
      <c r="BX72" s="69">
        <f t="shared" si="55"/>
        <v>0</v>
      </c>
      <c r="BY72" s="69">
        <f t="shared" si="55"/>
        <v>0</v>
      </c>
      <c r="BZ72" s="69">
        <f t="shared" ref="BZ72:BZ84" si="64">AVERAGE($BU72:$BX72)</f>
        <v>0</v>
      </c>
      <c r="CA72" s="69">
        <f t="shared" si="56"/>
        <v>0</v>
      </c>
      <c r="CB72" s="69">
        <f t="shared" si="56"/>
        <v>0</v>
      </c>
      <c r="CC72" s="69">
        <f t="shared" si="56"/>
        <v>0</v>
      </c>
      <c r="CD72" s="69">
        <f t="shared" si="57"/>
        <v>0</v>
      </c>
      <c r="CF72" s="7">
        <v>0</v>
      </c>
      <c r="CG72" s="95">
        <f t="shared" si="62"/>
        <v>0</v>
      </c>
      <c r="DS72" s="95"/>
      <c r="DT72" s="100">
        <v>1</v>
      </c>
      <c r="DU72" s="100">
        <f t="shared" si="63"/>
        <v>0</v>
      </c>
      <c r="DV72" s="95">
        <f t="shared" si="58"/>
        <v>0</v>
      </c>
      <c r="DW72" s="95">
        <f t="shared" si="59"/>
        <v>0</v>
      </c>
      <c r="DX72" s="95">
        <f t="shared" si="60"/>
        <v>0</v>
      </c>
      <c r="DY72" s="95">
        <f t="shared" si="61"/>
        <v>0</v>
      </c>
      <c r="DZ72" s="95"/>
      <c r="EC72" s="103" t="e">
        <f>SUM(EB70:EC70)</f>
        <v>#REF!</v>
      </c>
      <c r="ED72" s="65" t="e">
        <f>-SUM(#REF!)/SUM(BR3:BT3)</f>
        <v>#REF!</v>
      </c>
      <c r="EE72" s="103" t="e">
        <f>SUM(EC72:ED72)</f>
        <v>#REF!</v>
      </c>
      <c r="EF72" s="95"/>
      <c r="EK72" s="82"/>
      <c r="EL72" s="82"/>
      <c r="EM72" s="82"/>
      <c r="EN72" s="82"/>
      <c r="EO72" s="82"/>
      <c r="EP72" s="82"/>
      <c r="EQ72" s="82"/>
      <c r="ER72" s="82"/>
      <c r="ES72" s="82"/>
      <c r="ET72" s="82"/>
      <c r="EU72" s="82"/>
      <c r="EV72" s="82"/>
      <c r="EW72" s="82"/>
      <c r="EX72" s="82"/>
      <c r="EY72" s="82"/>
      <c r="EZ72" s="82"/>
      <c r="FA72" s="82"/>
      <c r="FB72" s="82"/>
      <c r="FC72" s="82"/>
      <c r="FD72" s="82"/>
      <c r="FE72" s="82"/>
      <c r="FF72" s="82"/>
      <c r="FG72" s="82"/>
      <c r="FH72" s="82"/>
      <c r="FI72" s="82"/>
      <c r="FJ72" s="82"/>
      <c r="FK72" s="82"/>
      <c r="FL72" s="82"/>
      <c r="FM72" s="82"/>
      <c r="FN72" s="82"/>
      <c r="FO72" s="82"/>
    </row>
    <row r="73" spans="1:176" x14ac:dyDescent="0.25">
      <c r="A73" t="s">
        <v>148</v>
      </c>
      <c r="B73" s="82">
        <v>0</v>
      </c>
      <c r="C73" s="82">
        <v>760</v>
      </c>
      <c r="D73" s="82">
        <v>217999</v>
      </c>
      <c r="E73" s="82">
        <v>265426</v>
      </c>
      <c r="F73" s="82"/>
      <c r="G73" s="69">
        <v>0</v>
      </c>
      <c r="H73" s="69">
        <v>0</v>
      </c>
      <c r="I73" s="69">
        <v>0</v>
      </c>
      <c r="J73" s="69">
        <v>0</v>
      </c>
      <c r="K73" s="69">
        <v>0</v>
      </c>
      <c r="L73" s="69">
        <v>0</v>
      </c>
      <c r="M73" s="69">
        <v>0</v>
      </c>
      <c r="N73" s="69">
        <v>0</v>
      </c>
      <c r="O73" s="69">
        <v>0</v>
      </c>
      <c r="P73" s="69">
        <v>0</v>
      </c>
      <c r="Q73" s="69">
        <v>0</v>
      </c>
      <c r="R73" s="69">
        <v>760</v>
      </c>
      <c r="S73" s="69">
        <f t="shared" si="51"/>
        <v>760</v>
      </c>
      <c r="T73" s="69">
        <v>2786</v>
      </c>
      <c r="U73" s="69">
        <v>4107</v>
      </c>
      <c r="V73" s="69">
        <v>4814</v>
      </c>
      <c r="W73" s="69">
        <v>54022</v>
      </c>
      <c r="X73" s="69">
        <v>17953</v>
      </c>
      <c r="Y73" s="69">
        <v>9039</v>
      </c>
      <c r="Z73" s="69">
        <v>15214</v>
      </c>
      <c r="AA73" s="69">
        <v>14895</v>
      </c>
      <c r="AB73" s="69">
        <v>14983</v>
      </c>
      <c r="AC73" s="69">
        <v>32316</v>
      </c>
      <c r="AD73" s="69">
        <v>21539</v>
      </c>
      <c r="AE73" s="69">
        <v>26331</v>
      </c>
      <c r="AF73" s="69">
        <f t="shared" si="52"/>
        <v>217999</v>
      </c>
      <c r="AG73" s="69">
        <v>15918</v>
      </c>
      <c r="AH73" s="69">
        <v>22972</v>
      </c>
      <c r="AI73" s="69">
        <v>22932</v>
      </c>
      <c r="AJ73" s="69">
        <v>32848</v>
      </c>
      <c r="AK73" s="69">
        <v>19692</v>
      </c>
      <c r="AL73" s="69">
        <v>19585</v>
      </c>
      <c r="AM73" s="69">
        <v>20246</v>
      </c>
      <c r="AN73" s="69">
        <v>20094</v>
      </c>
      <c r="AO73" s="69">
        <v>30240</v>
      </c>
      <c r="AP73" s="69">
        <v>21572</v>
      </c>
      <c r="AQ73" s="69">
        <v>19976</v>
      </c>
      <c r="AR73" s="69">
        <v>19351</v>
      </c>
      <c r="AS73" s="69">
        <f t="shared" si="53"/>
        <v>265426</v>
      </c>
      <c r="AT73" s="69">
        <v>20514</v>
      </c>
      <c r="AU73" s="69">
        <v>21772</v>
      </c>
      <c r="AV73" s="69">
        <v>40159</v>
      </c>
      <c r="AW73" s="69">
        <v>28829</v>
      </c>
      <c r="AX73" s="69">
        <v>28586</v>
      </c>
      <c r="AY73" s="69">
        <v>23666</v>
      </c>
      <c r="AZ73" s="69">
        <v>27424</v>
      </c>
      <c r="BA73" s="69">
        <v>37217</v>
      </c>
      <c r="BB73" s="69">
        <v>10277</v>
      </c>
      <c r="BC73" s="69">
        <v>0</v>
      </c>
      <c r="BD73" s="69">
        <v>0</v>
      </c>
      <c r="BE73" s="69">
        <v>0</v>
      </c>
      <c r="BF73" s="69">
        <f t="shared" si="54"/>
        <v>238444</v>
      </c>
      <c r="BG73" s="99"/>
      <c r="BH73" s="69"/>
      <c r="BI73" s="69"/>
      <c r="BJ73" s="69"/>
      <c r="BL73" s="69"/>
      <c r="BM73" s="69"/>
      <c r="BN73" s="69"/>
      <c r="BO73" s="69"/>
      <c r="BP73" t="s">
        <v>148</v>
      </c>
      <c r="BQ73" s="6">
        <f t="shared" si="55"/>
        <v>265426</v>
      </c>
      <c r="BR73" s="69">
        <f t="shared" si="55"/>
        <v>20514</v>
      </c>
      <c r="BS73" s="69">
        <f t="shared" si="55"/>
        <v>21772</v>
      </c>
      <c r="BT73" s="69">
        <f t="shared" si="55"/>
        <v>40159</v>
      </c>
      <c r="BU73" s="69">
        <f t="shared" si="55"/>
        <v>28829</v>
      </c>
      <c r="BV73" s="69">
        <f t="shared" si="55"/>
        <v>28586</v>
      </c>
      <c r="BW73" s="69">
        <f t="shared" si="55"/>
        <v>23666</v>
      </c>
      <c r="BX73" s="69">
        <f t="shared" si="55"/>
        <v>27424</v>
      </c>
      <c r="BY73" s="69">
        <f t="shared" si="55"/>
        <v>37217</v>
      </c>
      <c r="BZ73" s="69">
        <f t="shared" si="64"/>
        <v>27126.25</v>
      </c>
      <c r="CA73" s="69">
        <f t="shared" si="56"/>
        <v>27126.25</v>
      </c>
      <c r="CB73" s="69">
        <f t="shared" si="56"/>
        <v>27126.25</v>
      </c>
      <c r="CC73" s="69">
        <f t="shared" si="56"/>
        <v>27126.25</v>
      </c>
      <c r="CD73" s="69">
        <f t="shared" si="57"/>
        <v>336672</v>
      </c>
      <c r="CF73" s="7">
        <v>340144.375</v>
      </c>
      <c r="CG73" s="95">
        <f t="shared" si="62"/>
        <v>-3472.375</v>
      </c>
      <c r="DS73" s="95"/>
      <c r="DT73" s="100">
        <v>1</v>
      </c>
      <c r="DU73" s="100">
        <f t="shared" si="63"/>
        <v>0</v>
      </c>
      <c r="DV73" s="95">
        <f t="shared" si="58"/>
        <v>82445</v>
      </c>
      <c r="DW73" s="95">
        <f t="shared" si="59"/>
        <v>0</v>
      </c>
      <c r="DX73" s="95">
        <f t="shared" si="60"/>
        <v>265426</v>
      </c>
      <c r="DY73" s="95">
        <f t="shared" si="61"/>
        <v>0</v>
      </c>
      <c r="DZ73" s="95"/>
      <c r="EB73" s="32">
        <v>45315</v>
      </c>
      <c r="EC73" s="32">
        <v>45346</v>
      </c>
      <c r="ED73" s="32">
        <v>45375</v>
      </c>
      <c r="EE73" s="33" t="s">
        <v>149</v>
      </c>
      <c r="EF73" s="33">
        <v>2023</v>
      </c>
      <c r="EK73" s="82"/>
      <c r="EL73" s="82"/>
      <c r="EM73" s="82"/>
      <c r="EN73" s="82"/>
      <c r="EO73" s="82"/>
      <c r="EP73" s="82"/>
      <c r="EQ73" s="82"/>
      <c r="ER73" s="82"/>
      <c r="ES73" s="82"/>
      <c r="ET73" s="82"/>
      <c r="EU73" s="82"/>
      <c r="EV73" s="82"/>
      <c r="EW73" s="82"/>
      <c r="EX73" s="82"/>
      <c r="EY73" s="82"/>
      <c r="EZ73" s="82"/>
      <c r="FA73" s="82"/>
      <c r="FB73" s="82"/>
      <c r="FC73" s="82"/>
      <c r="FD73" s="82"/>
      <c r="FE73" s="82"/>
      <c r="FF73" s="82"/>
      <c r="FG73" s="82"/>
      <c r="FH73" s="82"/>
      <c r="FI73" s="82"/>
      <c r="FJ73" s="82"/>
      <c r="FK73" s="82"/>
      <c r="FL73" s="82"/>
      <c r="FM73" s="82"/>
      <c r="FN73" s="82"/>
      <c r="FO73" s="82"/>
    </row>
    <row r="74" spans="1:176" x14ac:dyDescent="0.25">
      <c r="A74" t="s">
        <v>150</v>
      </c>
      <c r="B74" s="82">
        <v>0</v>
      </c>
      <c r="C74" s="82">
        <v>0</v>
      </c>
      <c r="D74" s="82">
        <v>20557</v>
      </c>
      <c r="E74" s="82">
        <v>34557</v>
      </c>
      <c r="F74" s="82"/>
      <c r="G74" s="69">
        <v>0</v>
      </c>
      <c r="H74" s="69">
        <v>0</v>
      </c>
      <c r="I74" s="69">
        <v>0</v>
      </c>
      <c r="J74" s="69">
        <v>0</v>
      </c>
      <c r="K74" s="69">
        <v>0</v>
      </c>
      <c r="L74" s="69">
        <v>0</v>
      </c>
      <c r="M74" s="69">
        <v>0</v>
      </c>
      <c r="N74" s="69">
        <v>0</v>
      </c>
      <c r="O74" s="69">
        <v>0</v>
      </c>
      <c r="P74" s="69">
        <v>0</v>
      </c>
      <c r="Q74" s="69">
        <v>0</v>
      </c>
      <c r="R74" s="69">
        <v>0</v>
      </c>
      <c r="S74" s="69">
        <f t="shared" si="51"/>
        <v>0</v>
      </c>
      <c r="T74" s="69">
        <v>6293</v>
      </c>
      <c r="U74" s="69">
        <v>3092</v>
      </c>
      <c r="V74" s="69">
        <v>2997</v>
      </c>
      <c r="W74" s="69">
        <v>-10359</v>
      </c>
      <c r="X74" s="69">
        <v>1500</v>
      </c>
      <c r="Y74" s="69">
        <v>412</v>
      </c>
      <c r="Z74" s="69">
        <v>3326</v>
      </c>
      <c r="AA74" s="69">
        <v>2382</v>
      </c>
      <c r="AB74" s="69">
        <v>0</v>
      </c>
      <c r="AC74" s="69">
        <v>3671</v>
      </c>
      <c r="AD74" s="69">
        <v>3172</v>
      </c>
      <c r="AE74" s="69">
        <v>4071</v>
      </c>
      <c r="AF74" s="69">
        <f t="shared" si="52"/>
        <v>20557</v>
      </c>
      <c r="AG74" s="69">
        <v>2137</v>
      </c>
      <c r="AH74" s="69">
        <v>3349</v>
      </c>
      <c r="AI74" s="69">
        <v>3074</v>
      </c>
      <c r="AJ74" s="69">
        <v>4735</v>
      </c>
      <c r="AK74" s="69">
        <v>3081</v>
      </c>
      <c r="AL74" s="69">
        <v>2956</v>
      </c>
      <c r="AM74" s="69">
        <v>1204</v>
      </c>
      <c r="AN74" s="69">
        <v>3534</v>
      </c>
      <c r="AO74" s="69">
        <v>2367</v>
      </c>
      <c r="AP74" s="69">
        <v>2035</v>
      </c>
      <c r="AQ74" s="69">
        <v>3040</v>
      </c>
      <c r="AR74" s="69">
        <v>3046</v>
      </c>
      <c r="AS74" s="69">
        <f t="shared" si="53"/>
        <v>34558</v>
      </c>
      <c r="AT74" s="69">
        <v>3029</v>
      </c>
      <c r="AU74" s="69">
        <v>2547</v>
      </c>
      <c r="AV74" s="69">
        <v>4496</v>
      </c>
      <c r="AW74" s="69">
        <v>2642</v>
      </c>
      <c r="AX74" s="69">
        <v>1100</v>
      </c>
      <c r="AY74" s="69">
        <v>0</v>
      </c>
      <c r="AZ74" s="69">
        <v>0</v>
      </c>
      <c r="BA74" s="69">
        <v>0</v>
      </c>
      <c r="BB74" s="69">
        <v>0</v>
      </c>
      <c r="BC74" s="69">
        <v>0</v>
      </c>
      <c r="BD74" s="69">
        <v>0</v>
      </c>
      <c r="BE74" s="69">
        <v>0</v>
      </c>
      <c r="BF74" s="69">
        <f t="shared" si="54"/>
        <v>13814</v>
      </c>
      <c r="BG74" s="99"/>
      <c r="BH74" s="69"/>
      <c r="BI74" s="69"/>
      <c r="BJ74" s="69"/>
      <c r="BL74" s="69"/>
      <c r="BM74" s="69"/>
      <c r="BN74" s="69"/>
      <c r="BO74" s="69"/>
      <c r="BP74" t="s">
        <v>150</v>
      </c>
      <c r="BQ74" s="6">
        <f t="shared" si="55"/>
        <v>34558</v>
      </c>
      <c r="BR74" s="69">
        <f t="shared" si="55"/>
        <v>3029</v>
      </c>
      <c r="BS74" s="69">
        <f t="shared" si="55"/>
        <v>2547</v>
      </c>
      <c r="BT74" s="69">
        <f t="shared" si="55"/>
        <v>4496</v>
      </c>
      <c r="BU74" s="69">
        <f t="shared" si="55"/>
        <v>2642</v>
      </c>
      <c r="BV74" s="69">
        <f t="shared" si="55"/>
        <v>1100</v>
      </c>
      <c r="BW74" s="69">
        <f t="shared" si="55"/>
        <v>0</v>
      </c>
      <c r="BX74" s="69">
        <f t="shared" si="55"/>
        <v>0</v>
      </c>
      <c r="BY74" s="69">
        <f t="shared" si="55"/>
        <v>0</v>
      </c>
      <c r="BZ74" s="69">
        <f t="shared" si="64"/>
        <v>935.5</v>
      </c>
      <c r="CA74" s="69">
        <f t="shared" si="56"/>
        <v>935.5</v>
      </c>
      <c r="CB74" s="69">
        <f t="shared" si="56"/>
        <v>935.5</v>
      </c>
      <c r="CC74" s="69">
        <f t="shared" si="56"/>
        <v>935.5</v>
      </c>
      <c r="CD74" s="69">
        <f t="shared" si="57"/>
        <v>17556</v>
      </c>
      <c r="CF74" s="7">
        <v>18959.25</v>
      </c>
      <c r="CG74" s="95">
        <f t="shared" si="62"/>
        <v>-1403.25</v>
      </c>
      <c r="DS74" s="95"/>
      <c r="DT74" s="100">
        <v>1</v>
      </c>
      <c r="DU74" s="100">
        <f t="shared" si="63"/>
        <v>0</v>
      </c>
      <c r="DV74" s="95">
        <f t="shared" si="58"/>
        <v>10072</v>
      </c>
      <c r="DW74" s="95">
        <f t="shared" si="59"/>
        <v>0</v>
      </c>
      <c r="DX74" s="95">
        <f t="shared" si="60"/>
        <v>34558</v>
      </c>
      <c r="DY74" s="95">
        <f t="shared" si="61"/>
        <v>0</v>
      </c>
      <c r="DZ74" s="95"/>
      <c r="EA74" s="1" t="s">
        <v>151</v>
      </c>
      <c r="EB74" s="95">
        <f>BR93+BR98</f>
        <v>225089</v>
      </c>
      <c r="EC74" s="95">
        <f>BS93+BS98</f>
        <v>268757</v>
      </c>
      <c r="ED74" s="95">
        <f>BT93+BT98</f>
        <v>399688</v>
      </c>
      <c r="EE74" s="10">
        <f>SUM(BR93:BT93,BR98:BT98)</f>
        <v>893534</v>
      </c>
      <c r="EF74" s="10">
        <f>SUM(AS93,AS98)</f>
        <v>657851</v>
      </c>
      <c r="EK74" s="82"/>
      <c r="EL74" s="82"/>
      <c r="EM74" s="82"/>
      <c r="EN74" s="82"/>
      <c r="EO74" s="82"/>
      <c r="EP74" s="82"/>
      <c r="EQ74" s="82"/>
      <c r="ER74" s="82"/>
      <c r="ES74" s="82"/>
      <c r="ET74" s="82"/>
      <c r="EU74" s="82"/>
      <c r="EV74" s="82"/>
      <c r="EW74" s="82"/>
      <c r="EX74" s="82"/>
      <c r="EY74" s="82"/>
      <c r="EZ74" s="82"/>
      <c r="FA74" s="82"/>
      <c r="FB74" s="82"/>
      <c r="FC74" s="82"/>
      <c r="FD74" s="82"/>
      <c r="FE74" s="82"/>
      <c r="FF74" s="82"/>
      <c r="FG74" s="82"/>
      <c r="FH74" s="82"/>
      <c r="FI74" s="82"/>
      <c r="FJ74" s="82"/>
      <c r="FK74" s="82"/>
      <c r="FL74" s="82"/>
      <c r="FM74" s="82"/>
      <c r="FN74" s="82"/>
      <c r="FO74" s="82"/>
    </row>
    <row r="75" spans="1:176" x14ac:dyDescent="0.25">
      <c r="A75" t="s">
        <v>152</v>
      </c>
      <c r="B75" s="82">
        <v>0</v>
      </c>
      <c r="C75" s="82">
        <v>4371</v>
      </c>
      <c r="D75" s="82">
        <v>739453</v>
      </c>
      <c r="E75" s="82">
        <v>1102215</v>
      </c>
      <c r="F75" s="82"/>
      <c r="G75" s="69">
        <v>0</v>
      </c>
      <c r="H75" s="69">
        <v>0</v>
      </c>
      <c r="I75" s="69">
        <v>0</v>
      </c>
      <c r="J75" s="69">
        <v>0</v>
      </c>
      <c r="K75" s="69">
        <v>0</v>
      </c>
      <c r="L75" s="69">
        <v>0</v>
      </c>
      <c r="M75" s="69">
        <v>0</v>
      </c>
      <c r="N75" s="69">
        <v>0</v>
      </c>
      <c r="O75" s="69">
        <v>0</v>
      </c>
      <c r="P75" s="69">
        <v>0</v>
      </c>
      <c r="Q75" s="69">
        <v>0</v>
      </c>
      <c r="R75" s="69">
        <v>4371</v>
      </c>
      <c r="S75" s="69">
        <f t="shared" si="51"/>
        <v>4371</v>
      </c>
      <c r="T75" s="69">
        <v>17611</v>
      </c>
      <c r="U75" s="69">
        <v>34037</v>
      </c>
      <c r="V75" s="69">
        <v>52595</v>
      </c>
      <c r="W75" s="69">
        <v>129386</v>
      </c>
      <c r="X75" s="69">
        <v>86945</v>
      </c>
      <c r="Y75" s="69">
        <v>6366</v>
      </c>
      <c r="Z75" s="69">
        <v>53635</v>
      </c>
      <c r="AA75" s="69">
        <v>45996</v>
      </c>
      <c r="AB75" s="69">
        <v>59786</v>
      </c>
      <c r="AC75" s="69">
        <v>98709</v>
      </c>
      <c r="AD75" s="69">
        <v>67778</v>
      </c>
      <c r="AE75" s="69">
        <v>86609</v>
      </c>
      <c r="AF75" s="69">
        <f t="shared" si="52"/>
        <v>739453</v>
      </c>
      <c r="AG75" s="69">
        <v>55421</v>
      </c>
      <c r="AH75" s="69">
        <v>63213</v>
      </c>
      <c r="AI75" s="69">
        <v>63073</v>
      </c>
      <c r="AJ75" s="69">
        <v>101590</v>
      </c>
      <c r="AK75" s="69">
        <v>66519</v>
      </c>
      <c r="AL75" s="69">
        <v>81085</v>
      </c>
      <c r="AM75" s="69">
        <v>91042</v>
      </c>
      <c r="AN75" s="69">
        <v>99014</v>
      </c>
      <c r="AO75" s="69">
        <v>156502</v>
      </c>
      <c r="AP75" s="69">
        <v>111750</v>
      </c>
      <c r="AQ75" s="69">
        <v>109408</v>
      </c>
      <c r="AR75" s="69">
        <v>103599</v>
      </c>
      <c r="AS75" s="69">
        <f t="shared" si="53"/>
        <v>1102216</v>
      </c>
      <c r="AT75" s="69">
        <v>104925</v>
      </c>
      <c r="AU75" s="69">
        <v>109736</v>
      </c>
      <c r="AV75" s="69">
        <v>171955</v>
      </c>
      <c r="AW75" s="69">
        <v>105550</v>
      </c>
      <c r="AX75" s="69">
        <v>106945</v>
      </c>
      <c r="AY75" s="69">
        <v>109563</v>
      </c>
      <c r="AZ75" s="69">
        <v>110581</v>
      </c>
      <c r="BA75" s="69">
        <v>175464</v>
      </c>
      <c r="BB75" s="69">
        <v>48129</v>
      </c>
      <c r="BC75" s="69">
        <v>0</v>
      </c>
      <c r="BD75" s="69">
        <v>0</v>
      </c>
      <c r="BE75" s="69">
        <v>0</v>
      </c>
      <c r="BF75" s="69">
        <f t="shared" si="54"/>
        <v>1042848</v>
      </c>
      <c r="BG75" s="99"/>
      <c r="BH75" s="69"/>
      <c r="BI75" s="69"/>
      <c r="BJ75" s="69"/>
      <c r="BL75" s="69"/>
      <c r="BM75" s="69"/>
      <c r="BN75" s="69"/>
      <c r="BO75" s="69"/>
      <c r="BP75" t="s">
        <v>152</v>
      </c>
      <c r="BQ75" s="6">
        <f t="shared" si="55"/>
        <v>1102216</v>
      </c>
      <c r="BR75" s="69">
        <f t="shared" si="55"/>
        <v>104925</v>
      </c>
      <c r="BS75" s="69">
        <f t="shared" si="55"/>
        <v>109736</v>
      </c>
      <c r="BT75" s="69">
        <f t="shared" si="55"/>
        <v>171955</v>
      </c>
      <c r="BU75" s="69">
        <f t="shared" si="55"/>
        <v>105550</v>
      </c>
      <c r="BV75" s="69">
        <f t="shared" si="55"/>
        <v>106945</v>
      </c>
      <c r="BW75" s="69">
        <f t="shared" si="55"/>
        <v>109563</v>
      </c>
      <c r="BX75" s="69">
        <f t="shared" si="55"/>
        <v>110581</v>
      </c>
      <c r="BY75" s="69">
        <f t="shared" si="55"/>
        <v>175464</v>
      </c>
      <c r="BZ75" s="69">
        <f t="shared" si="64"/>
        <v>108159.75</v>
      </c>
      <c r="CA75" s="69">
        <f t="shared" si="56"/>
        <v>108159.75</v>
      </c>
      <c r="CB75" s="69">
        <f t="shared" si="56"/>
        <v>108159.75</v>
      </c>
      <c r="CC75" s="69">
        <f t="shared" si="56"/>
        <v>108159.75</v>
      </c>
      <c r="CD75" s="69">
        <f t="shared" si="57"/>
        <v>1427358</v>
      </c>
      <c r="CF75" s="7">
        <v>1414133.625</v>
      </c>
      <c r="CG75" s="95">
        <f t="shared" si="62"/>
        <v>13224.375</v>
      </c>
      <c r="DS75" s="95"/>
      <c r="DU75" s="100">
        <f t="shared" si="63"/>
        <v>1</v>
      </c>
      <c r="DV75" s="95">
        <f t="shared" si="58"/>
        <v>0</v>
      </c>
      <c r="DW75" s="95">
        <f t="shared" si="59"/>
        <v>386616</v>
      </c>
      <c r="DX75" s="95">
        <f t="shared" si="60"/>
        <v>0</v>
      </c>
      <c r="DY75" s="95">
        <f t="shared" si="61"/>
        <v>1102216</v>
      </c>
      <c r="DZ75" s="95"/>
      <c r="EA75" s="1" t="s">
        <v>153</v>
      </c>
      <c r="EB75" s="95" t="e">
        <f>#REF!</f>
        <v>#REF!</v>
      </c>
      <c r="EC75" s="95" t="e">
        <f>#REF!</f>
        <v>#REF!</v>
      </c>
      <c r="ED75" s="95" t="e">
        <f>#REF!</f>
        <v>#REF!</v>
      </c>
      <c r="EE75" s="95" t="e">
        <f>#REF!</f>
        <v>#REF!</v>
      </c>
      <c r="EF75" s="95" t="e">
        <f>#REF!</f>
        <v>#REF!</v>
      </c>
      <c r="EK75" s="82"/>
      <c r="EL75" s="82"/>
      <c r="EM75" s="82"/>
      <c r="EN75" s="82"/>
      <c r="EO75" s="82"/>
      <c r="EP75" s="82"/>
      <c r="EQ75" s="82"/>
      <c r="ER75" s="82"/>
      <c r="ES75" s="82"/>
      <c r="ET75" s="82"/>
      <c r="EU75" s="82"/>
      <c r="EV75" s="82"/>
      <c r="EW75" s="82"/>
      <c r="EX75" s="82"/>
      <c r="EY75" s="82"/>
      <c r="EZ75" s="82"/>
      <c r="FA75" s="82"/>
      <c r="FB75" s="82"/>
      <c r="FC75" s="82"/>
      <c r="FD75" s="82"/>
      <c r="FE75" s="82"/>
      <c r="FF75" s="82"/>
      <c r="FG75" s="82"/>
      <c r="FH75" s="82"/>
      <c r="FI75" s="82"/>
      <c r="FJ75" s="82"/>
      <c r="FK75" s="82"/>
      <c r="FL75" s="82"/>
      <c r="FM75" s="82"/>
      <c r="FN75" s="82"/>
      <c r="FO75" s="82"/>
    </row>
    <row r="76" spans="1:176" x14ac:dyDescent="0.25">
      <c r="A76" t="s">
        <v>154</v>
      </c>
      <c r="B76" s="82">
        <v>0</v>
      </c>
      <c r="C76" s="82">
        <v>0</v>
      </c>
      <c r="D76" s="82">
        <v>30342</v>
      </c>
      <c r="E76" s="82">
        <v>0</v>
      </c>
      <c r="F76" s="82"/>
      <c r="G76" s="69">
        <v>0</v>
      </c>
      <c r="H76" s="69">
        <v>0</v>
      </c>
      <c r="I76" s="69">
        <v>0</v>
      </c>
      <c r="J76" s="69">
        <v>0</v>
      </c>
      <c r="K76" s="69">
        <v>0</v>
      </c>
      <c r="L76" s="69">
        <v>0</v>
      </c>
      <c r="M76" s="69">
        <v>0</v>
      </c>
      <c r="N76" s="69">
        <v>0</v>
      </c>
      <c r="O76" s="69">
        <v>0</v>
      </c>
      <c r="P76" s="69">
        <v>0</v>
      </c>
      <c r="Q76" s="69">
        <v>0</v>
      </c>
      <c r="R76" s="69">
        <v>0</v>
      </c>
      <c r="S76" s="69">
        <f t="shared" si="51"/>
        <v>0</v>
      </c>
      <c r="T76" s="69">
        <v>0</v>
      </c>
      <c r="U76" s="69">
        <v>0</v>
      </c>
      <c r="V76" s="69">
        <v>0</v>
      </c>
      <c r="W76" s="69">
        <v>30342</v>
      </c>
      <c r="X76" s="69">
        <v>0</v>
      </c>
      <c r="Y76" s="69">
        <v>0</v>
      </c>
      <c r="Z76" s="69">
        <v>0</v>
      </c>
      <c r="AA76" s="69">
        <v>0</v>
      </c>
      <c r="AB76" s="69">
        <v>0</v>
      </c>
      <c r="AC76" s="69">
        <v>0</v>
      </c>
      <c r="AD76" s="69">
        <v>0</v>
      </c>
      <c r="AE76" s="69">
        <v>0</v>
      </c>
      <c r="AF76" s="69">
        <f t="shared" si="52"/>
        <v>30342</v>
      </c>
      <c r="AG76" s="69">
        <v>0</v>
      </c>
      <c r="AH76" s="69">
        <v>0</v>
      </c>
      <c r="AI76" s="69">
        <v>0</v>
      </c>
      <c r="AJ76" s="69">
        <v>0</v>
      </c>
      <c r="AK76" s="69">
        <v>0</v>
      </c>
      <c r="AL76" s="69">
        <v>0</v>
      </c>
      <c r="AM76" s="69">
        <v>0</v>
      </c>
      <c r="AN76" s="69">
        <v>0</v>
      </c>
      <c r="AO76" s="69">
        <v>0</v>
      </c>
      <c r="AP76" s="69">
        <v>0</v>
      </c>
      <c r="AQ76" s="69">
        <v>0</v>
      </c>
      <c r="AR76" s="69">
        <v>0</v>
      </c>
      <c r="AS76" s="69">
        <f t="shared" si="53"/>
        <v>0</v>
      </c>
      <c r="AT76" s="69">
        <v>0</v>
      </c>
      <c r="AU76" s="69">
        <v>0</v>
      </c>
      <c r="AV76" s="69">
        <v>0</v>
      </c>
      <c r="AW76" s="69">
        <v>0</v>
      </c>
      <c r="AX76" s="69">
        <v>0</v>
      </c>
      <c r="AY76" s="69">
        <v>0</v>
      </c>
      <c r="AZ76" s="69">
        <v>0</v>
      </c>
      <c r="BA76" s="69">
        <v>0</v>
      </c>
      <c r="BB76" s="69">
        <v>0</v>
      </c>
      <c r="BC76" s="69">
        <v>0</v>
      </c>
      <c r="BD76" s="69">
        <v>0</v>
      </c>
      <c r="BE76" s="69">
        <v>0</v>
      </c>
      <c r="BF76" s="69">
        <f t="shared" si="54"/>
        <v>0</v>
      </c>
      <c r="BG76" s="99"/>
      <c r="BH76" s="69"/>
      <c r="BI76" s="69"/>
      <c r="BJ76" s="69"/>
      <c r="BL76" s="69"/>
      <c r="BM76" s="69"/>
      <c r="BN76" s="69"/>
      <c r="BO76" s="69"/>
      <c r="BP76" t="s">
        <v>154</v>
      </c>
      <c r="BQ76" s="6">
        <f t="shared" si="55"/>
        <v>0</v>
      </c>
      <c r="BR76" s="69">
        <f t="shared" si="55"/>
        <v>0</v>
      </c>
      <c r="BS76" s="69">
        <f t="shared" si="55"/>
        <v>0</v>
      </c>
      <c r="BT76" s="69">
        <f t="shared" si="55"/>
        <v>0</v>
      </c>
      <c r="BU76" s="69">
        <f t="shared" si="55"/>
        <v>0</v>
      </c>
      <c r="BV76" s="69">
        <f t="shared" si="55"/>
        <v>0</v>
      </c>
      <c r="BW76" s="69">
        <f t="shared" si="55"/>
        <v>0</v>
      </c>
      <c r="BX76" s="69">
        <f t="shared" si="55"/>
        <v>0</v>
      </c>
      <c r="BY76" s="69">
        <f t="shared" si="55"/>
        <v>0</v>
      </c>
      <c r="BZ76" s="69">
        <f t="shared" si="64"/>
        <v>0</v>
      </c>
      <c r="CA76" s="69">
        <f t="shared" si="56"/>
        <v>0</v>
      </c>
      <c r="CB76" s="69">
        <f t="shared" si="56"/>
        <v>0</v>
      </c>
      <c r="CC76" s="69">
        <f t="shared" si="56"/>
        <v>0</v>
      </c>
      <c r="CD76" s="69">
        <f t="shared" si="57"/>
        <v>0</v>
      </c>
      <c r="CF76" s="7">
        <v>0</v>
      </c>
      <c r="CG76" s="95">
        <f t="shared" si="62"/>
        <v>0</v>
      </c>
      <c r="DS76" s="95"/>
      <c r="DU76" s="100">
        <f t="shared" si="63"/>
        <v>1</v>
      </c>
      <c r="DV76" s="95">
        <f t="shared" si="58"/>
        <v>0</v>
      </c>
      <c r="DW76" s="95">
        <f t="shared" si="59"/>
        <v>0</v>
      </c>
      <c r="DX76" s="95">
        <f t="shared" si="60"/>
        <v>0</v>
      </c>
      <c r="DY76" s="95">
        <f t="shared" si="61"/>
        <v>0</v>
      </c>
      <c r="DZ76" s="95"/>
      <c r="EA76" s="1" t="s">
        <v>155</v>
      </c>
      <c r="EB76" s="102" t="e">
        <f>EB74/EB75</f>
        <v>#REF!</v>
      </c>
      <c r="EC76" s="102" t="e">
        <f t="shared" ref="EC76:ED76" si="65">EC74/EC75</f>
        <v>#REF!</v>
      </c>
      <c r="ED76" s="102" t="e">
        <f t="shared" si="65"/>
        <v>#REF!</v>
      </c>
      <c r="EE76" s="102" t="e">
        <f>EE74/EE75</f>
        <v>#REF!</v>
      </c>
      <c r="EF76" s="102" t="e">
        <f>EF74/EF75</f>
        <v>#REF!</v>
      </c>
      <c r="EK76" s="82"/>
      <c r="EL76" s="82"/>
      <c r="EM76" s="82"/>
      <c r="EN76" s="82"/>
      <c r="EO76" s="82"/>
      <c r="EP76" s="82"/>
      <c r="EQ76" s="82"/>
      <c r="ER76" s="82"/>
      <c r="ES76" s="82"/>
      <c r="ET76" s="82"/>
      <c r="EU76" s="82"/>
      <c r="EV76" s="82"/>
      <c r="EW76" s="82"/>
      <c r="EX76" s="82"/>
      <c r="EY76" s="82"/>
      <c r="EZ76" s="82"/>
      <c r="FA76" s="82"/>
      <c r="FB76" s="82"/>
      <c r="FC76" s="82"/>
      <c r="FD76" s="82"/>
      <c r="FE76" s="82"/>
      <c r="FF76" s="82"/>
      <c r="FG76" s="82"/>
      <c r="FH76" s="82"/>
      <c r="FI76" s="82"/>
      <c r="FJ76" s="82"/>
      <c r="FK76" s="82"/>
      <c r="FL76" s="82"/>
      <c r="FM76" s="82"/>
      <c r="FN76" s="82"/>
      <c r="FO76" s="82"/>
    </row>
    <row r="77" spans="1:176" x14ac:dyDescent="0.25">
      <c r="A77" t="s">
        <v>156</v>
      </c>
      <c r="B77" s="82">
        <v>0</v>
      </c>
      <c r="C77" s="82">
        <v>0</v>
      </c>
      <c r="D77" s="82">
        <v>224010</v>
      </c>
      <c r="E77" s="82">
        <v>257739</v>
      </c>
      <c r="F77" s="82"/>
      <c r="G77" s="69">
        <v>0</v>
      </c>
      <c r="H77" s="69">
        <v>0</v>
      </c>
      <c r="I77" s="69">
        <v>0</v>
      </c>
      <c r="J77" s="69">
        <v>0</v>
      </c>
      <c r="K77" s="69">
        <v>0</v>
      </c>
      <c r="L77" s="69">
        <v>0</v>
      </c>
      <c r="M77" s="69">
        <v>0</v>
      </c>
      <c r="N77" s="69">
        <v>0</v>
      </c>
      <c r="O77" s="69">
        <v>0</v>
      </c>
      <c r="P77" s="69">
        <v>0</v>
      </c>
      <c r="Q77" s="69">
        <v>0</v>
      </c>
      <c r="R77" s="69">
        <v>0</v>
      </c>
      <c r="S77" s="69">
        <f t="shared" si="51"/>
        <v>0</v>
      </c>
      <c r="T77" s="69">
        <v>0</v>
      </c>
      <c r="U77" s="69">
        <v>0</v>
      </c>
      <c r="V77" s="69">
        <v>0</v>
      </c>
      <c r="W77" s="69">
        <v>91002</v>
      </c>
      <c r="X77" s="69">
        <v>11855</v>
      </c>
      <c r="Y77" s="69">
        <v>13704</v>
      </c>
      <c r="Z77" s="69">
        <v>13639</v>
      </c>
      <c r="AA77" s="69">
        <v>13330</v>
      </c>
      <c r="AB77" s="69">
        <v>13314</v>
      </c>
      <c r="AC77" s="69">
        <v>27196</v>
      </c>
      <c r="AD77" s="69">
        <v>17945</v>
      </c>
      <c r="AE77" s="69">
        <v>22024</v>
      </c>
      <c r="AF77" s="69">
        <f t="shared" si="52"/>
        <v>224009</v>
      </c>
      <c r="AG77" s="69">
        <v>13082</v>
      </c>
      <c r="AH77" s="69">
        <v>18469</v>
      </c>
      <c r="AI77" s="69">
        <v>19653</v>
      </c>
      <c r="AJ77" s="69">
        <v>29543</v>
      </c>
      <c r="AK77" s="69">
        <v>19771</v>
      </c>
      <c r="AL77" s="69">
        <v>19541</v>
      </c>
      <c r="AM77" s="69">
        <v>18956</v>
      </c>
      <c r="AN77" s="69">
        <v>20594</v>
      </c>
      <c r="AO77" s="69">
        <v>32658</v>
      </c>
      <c r="AP77" s="69">
        <v>21497</v>
      </c>
      <c r="AQ77" s="69">
        <v>22165</v>
      </c>
      <c r="AR77" s="69">
        <v>21812</v>
      </c>
      <c r="AS77" s="69">
        <f t="shared" si="53"/>
        <v>257741</v>
      </c>
      <c r="AT77" s="69">
        <v>23015</v>
      </c>
      <c r="AU77" s="69">
        <v>23111</v>
      </c>
      <c r="AV77" s="69">
        <v>34717</v>
      </c>
      <c r="AW77" s="69">
        <v>23087</v>
      </c>
      <c r="AX77" s="69">
        <v>23610</v>
      </c>
      <c r="AY77" s="69">
        <v>23818</v>
      </c>
      <c r="AZ77" s="69">
        <v>23230</v>
      </c>
      <c r="BA77" s="69">
        <v>33326</v>
      </c>
      <c r="BB77" s="69">
        <v>9539</v>
      </c>
      <c r="BC77" s="69">
        <v>0</v>
      </c>
      <c r="BD77" s="69">
        <v>0</v>
      </c>
      <c r="BE77" s="69">
        <v>0</v>
      </c>
      <c r="BF77" s="69">
        <f t="shared" si="54"/>
        <v>217453</v>
      </c>
      <c r="BG77" s="99"/>
      <c r="BH77" s="69"/>
      <c r="BI77" s="69"/>
      <c r="BJ77" s="69"/>
      <c r="BL77" s="69"/>
      <c r="BM77" s="69"/>
      <c r="BN77" s="69"/>
      <c r="BO77" s="69"/>
      <c r="BP77" t="s">
        <v>156</v>
      </c>
      <c r="BQ77" s="6">
        <f t="shared" si="55"/>
        <v>257741</v>
      </c>
      <c r="BR77" s="69">
        <f t="shared" si="55"/>
        <v>23015</v>
      </c>
      <c r="BS77" s="69">
        <f t="shared" si="55"/>
        <v>23111</v>
      </c>
      <c r="BT77" s="69">
        <f t="shared" si="55"/>
        <v>34717</v>
      </c>
      <c r="BU77" s="69">
        <f t="shared" si="55"/>
        <v>23087</v>
      </c>
      <c r="BV77" s="69">
        <f t="shared" si="55"/>
        <v>23610</v>
      </c>
      <c r="BW77" s="69">
        <f t="shared" si="55"/>
        <v>23818</v>
      </c>
      <c r="BX77" s="69">
        <f t="shared" si="55"/>
        <v>23230</v>
      </c>
      <c r="BY77" s="69">
        <f t="shared" si="55"/>
        <v>33326</v>
      </c>
      <c r="BZ77" s="69">
        <f t="shared" si="64"/>
        <v>23436.25</v>
      </c>
      <c r="CA77" s="69">
        <f t="shared" si="56"/>
        <v>23436.25</v>
      </c>
      <c r="CB77" s="69">
        <f t="shared" si="56"/>
        <v>23436.25</v>
      </c>
      <c r="CC77" s="69">
        <f t="shared" si="56"/>
        <v>23436.25</v>
      </c>
      <c r="CD77" s="69">
        <f t="shared" si="57"/>
        <v>301659</v>
      </c>
      <c r="CF77" s="7">
        <v>303487.375</v>
      </c>
      <c r="CG77" s="95">
        <f t="shared" si="62"/>
        <v>-1828.375</v>
      </c>
      <c r="DS77" s="95"/>
      <c r="DT77" s="100">
        <v>0.1</v>
      </c>
      <c r="DU77" s="100">
        <f t="shared" si="63"/>
        <v>0.9</v>
      </c>
      <c r="DV77" s="95">
        <f t="shared" si="58"/>
        <v>8084.3</v>
      </c>
      <c r="DW77" s="95">
        <f t="shared" si="59"/>
        <v>72758.7</v>
      </c>
      <c r="DX77" s="95">
        <f t="shared" si="60"/>
        <v>25774.100000000002</v>
      </c>
      <c r="DY77" s="95">
        <f t="shared" si="61"/>
        <v>231966.9</v>
      </c>
      <c r="DZ77" s="95"/>
      <c r="EK77" s="82"/>
      <c r="EL77" s="82"/>
      <c r="EM77" s="82"/>
      <c r="EN77" s="82"/>
      <c r="EO77" s="82"/>
      <c r="EP77" s="82"/>
      <c r="EQ77" s="82"/>
      <c r="ER77" s="82"/>
      <c r="ES77" s="82"/>
      <c r="ET77" s="82"/>
      <c r="EU77" s="82"/>
      <c r="EV77" s="82"/>
      <c r="EW77" s="82"/>
      <c r="EX77" s="82"/>
      <c r="EY77" s="82"/>
      <c r="EZ77" s="82"/>
      <c r="FA77" s="82"/>
      <c r="FB77" s="82"/>
      <c r="FC77" s="82"/>
      <c r="FD77" s="82"/>
      <c r="FE77" s="82"/>
      <c r="FF77" s="82"/>
      <c r="FG77" s="82"/>
      <c r="FH77" s="82"/>
      <c r="FI77" s="82"/>
      <c r="FJ77" s="82"/>
      <c r="FK77" s="82"/>
      <c r="FL77" s="82"/>
      <c r="FM77" s="82"/>
      <c r="FN77" s="82"/>
      <c r="FO77" s="82"/>
    </row>
    <row r="78" spans="1:176" x14ac:dyDescent="0.25">
      <c r="A78" t="s">
        <v>157</v>
      </c>
      <c r="B78" s="82">
        <v>0</v>
      </c>
      <c r="C78" s="82">
        <v>1007</v>
      </c>
      <c r="D78" s="82">
        <v>36537</v>
      </c>
      <c r="E78" s="82">
        <v>43741</v>
      </c>
      <c r="F78" s="82"/>
      <c r="G78" s="69">
        <v>0</v>
      </c>
      <c r="H78" s="69">
        <v>0</v>
      </c>
      <c r="I78" s="69">
        <v>0</v>
      </c>
      <c r="J78" s="69">
        <v>0</v>
      </c>
      <c r="K78" s="69">
        <v>0</v>
      </c>
      <c r="L78" s="69">
        <v>0</v>
      </c>
      <c r="M78" s="69">
        <v>0</v>
      </c>
      <c r="N78" s="69">
        <v>0</v>
      </c>
      <c r="O78" s="69">
        <v>0</v>
      </c>
      <c r="P78" s="69">
        <v>0</v>
      </c>
      <c r="Q78" s="69">
        <v>0</v>
      </c>
      <c r="R78" s="69">
        <v>1007</v>
      </c>
      <c r="S78" s="69">
        <f t="shared" si="51"/>
        <v>1007</v>
      </c>
      <c r="T78" s="69">
        <v>3551</v>
      </c>
      <c r="U78" s="69">
        <v>4380</v>
      </c>
      <c r="V78" s="69">
        <v>6450</v>
      </c>
      <c r="W78" s="69">
        <v>5549</v>
      </c>
      <c r="X78" s="69">
        <v>7508</v>
      </c>
      <c r="Y78" s="69">
        <v>-4984</v>
      </c>
      <c r="Z78" s="69">
        <v>3509</v>
      </c>
      <c r="AA78" s="69">
        <v>2076</v>
      </c>
      <c r="AB78" s="69">
        <v>1689</v>
      </c>
      <c r="AC78" s="69">
        <v>2280</v>
      </c>
      <c r="AD78" s="69">
        <v>1839</v>
      </c>
      <c r="AE78" s="69">
        <v>2689</v>
      </c>
      <c r="AF78" s="69">
        <f t="shared" si="52"/>
        <v>36536</v>
      </c>
      <c r="AG78" s="69">
        <v>1653</v>
      </c>
      <c r="AH78" s="69">
        <v>2204</v>
      </c>
      <c r="AI78" s="69">
        <v>1913</v>
      </c>
      <c r="AJ78" s="69">
        <v>3475</v>
      </c>
      <c r="AK78" s="69">
        <v>2490</v>
      </c>
      <c r="AL78" s="69">
        <v>3002</v>
      </c>
      <c r="AM78" s="69">
        <v>2226</v>
      </c>
      <c r="AN78" s="69">
        <v>3168</v>
      </c>
      <c r="AO78" s="69">
        <v>4497</v>
      </c>
      <c r="AP78" s="69">
        <v>4176</v>
      </c>
      <c r="AQ78" s="69">
        <v>6242</v>
      </c>
      <c r="AR78" s="69">
        <v>8694</v>
      </c>
      <c r="AS78" s="69">
        <f t="shared" si="53"/>
        <v>43740</v>
      </c>
      <c r="AT78" s="69">
        <v>9264</v>
      </c>
      <c r="AU78" s="69">
        <v>11878</v>
      </c>
      <c r="AV78" s="69">
        <v>14994</v>
      </c>
      <c r="AW78" s="69">
        <v>10420</v>
      </c>
      <c r="AX78" s="69">
        <v>10702</v>
      </c>
      <c r="AY78" s="69">
        <v>8377</v>
      </c>
      <c r="AZ78" s="69">
        <v>7223</v>
      </c>
      <c r="BA78" s="69">
        <v>1717</v>
      </c>
      <c r="BB78" s="69">
        <v>601</v>
      </c>
      <c r="BC78" s="69">
        <v>0</v>
      </c>
      <c r="BD78" s="69">
        <v>0</v>
      </c>
      <c r="BE78" s="69">
        <v>0</v>
      </c>
      <c r="BF78" s="69">
        <f t="shared" si="54"/>
        <v>75176</v>
      </c>
      <c r="BG78" s="99"/>
      <c r="BH78" s="69"/>
      <c r="BI78" s="69"/>
      <c r="BJ78" s="69"/>
      <c r="BL78" s="69"/>
      <c r="BM78" s="69"/>
      <c r="BN78" s="69"/>
      <c r="BO78" s="69"/>
      <c r="BP78" t="s">
        <v>157</v>
      </c>
      <c r="BQ78" s="6">
        <f t="shared" si="55"/>
        <v>43740</v>
      </c>
      <c r="BR78" s="69">
        <f t="shared" si="55"/>
        <v>9264</v>
      </c>
      <c r="BS78" s="69">
        <f t="shared" si="55"/>
        <v>11878</v>
      </c>
      <c r="BT78" s="69">
        <f t="shared" si="55"/>
        <v>14994</v>
      </c>
      <c r="BU78" s="69">
        <f t="shared" si="55"/>
        <v>10420</v>
      </c>
      <c r="BV78" s="69">
        <f t="shared" si="55"/>
        <v>10702</v>
      </c>
      <c r="BW78" s="69">
        <f t="shared" si="55"/>
        <v>8377</v>
      </c>
      <c r="BX78" s="69">
        <f t="shared" si="55"/>
        <v>7223</v>
      </c>
      <c r="BY78" s="69">
        <f t="shared" si="55"/>
        <v>1717</v>
      </c>
      <c r="BZ78" s="69">
        <f t="shared" si="64"/>
        <v>9180.5</v>
      </c>
      <c r="CA78" s="69">
        <f t="shared" si="56"/>
        <v>9180.5</v>
      </c>
      <c r="CB78" s="69">
        <f t="shared" si="56"/>
        <v>9180.5</v>
      </c>
      <c r="CC78" s="69">
        <f t="shared" si="56"/>
        <v>9180.5</v>
      </c>
      <c r="CD78" s="69">
        <f t="shared" si="57"/>
        <v>111297</v>
      </c>
      <c r="CF78" s="7">
        <v>127670.875</v>
      </c>
      <c r="CG78" s="95">
        <f t="shared" si="62"/>
        <v>-16373.875</v>
      </c>
      <c r="DS78" s="95"/>
      <c r="DT78" s="100">
        <v>0.1</v>
      </c>
      <c r="DU78" s="100">
        <f t="shared" si="63"/>
        <v>0.9</v>
      </c>
      <c r="DV78" s="95">
        <f t="shared" si="58"/>
        <v>3613.6000000000004</v>
      </c>
      <c r="DW78" s="95">
        <f t="shared" si="59"/>
        <v>32522.400000000001</v>
      </c>
      <c r="DX78" s="95">
        <f t="shared" si="60"/>
        <v>4374</v>
      </c>
      <c r="DY78" s="95">
        <f t="shared" si="61"/>
        <v>39366</v>
      </c>
      <c r="DZ78" s="95"/>
      <c r="EK78" s="82"/>
      <c r="EL78" s="82"/>
      <c r="EM78" s="82"/>
      <c r="EN78" s="82"/>
      <c r="EO78" s="82"/>
      <c r="EP78" s="82"/>
      <c r="EQ78" s="82"/>
      <c r="ER78" s="82"/>
      <c r="ES78" s="82"/>
      <c r="ET78" s="82"/>
      <c r="EU78" s="82"/>
      <c r="EV78" s="82"/>
      <c r="EW78" s="82"/>
      <c r="EX78" s="82"/>
      <c r="EY78" s="82"/>
      <c r="EZ78" s="82"/>
      <c r="FA78" s="82"/>
      <c r="FB78" s="82"/>
      <c r="FC78" s="82"/>
      <c r="FD78" s="82"/>
      <c r="FE78" s="82"/>
      <c r="FF78" s="82"/>
      <c r="FG78" s="82"/>
      <c r="FH78" s="82"/>
      <c r="FI78" s="82"/>
      <c r="FJ78" s="82"/>
      <c r="FK78" s="82"/>
      <c r="FL78" s="82"/>
      <c r="FM78" s="82"/>
      <c r="FN78" s="82"/>
      <c r="FO78" s="82"/>
    </row>
    <row r="79" spans="1:176" x14ac:dyDescent="0.25">
      <c r="A79" t="s">
        <v>158</v>
      </c>
      <c r="B79" s="82">
        <v>288366</v>
      </c>
      <c r="C79" s="82">
        <v>2712</v>
      </c>
      <c r="D79" s="82">
        <v>79542</v>
      </c>
      <c r="E79" s="82">
        <v>0</v>
      </c>
      <c r="F79" s="82"/>
      <c r="G79" s="69">
        <v>-4587</v>
      </c>
      <c r="H79" s="69">
        <v>0</v>
      </c>
      <c r="I79" s="69">
        <v>0</v>
      </c>
      <c r="J79" s="69">
        <v>0</v>
      </c>
      <c r="K79" s="69">
        <v>0</v>
      </c>
      <c r="L79" s="69">
        <v>0</v>
      </c>
      <c r="M79" s="69">
        <v>0</v>
      </c>
      <c r="N79" s="69">
        <v>0</v>
      </c>
      <c r="O79" s="69">
        <v>0</v>
      </c>
      <c r="P79" s="69">
        <v>0</v>
      </c>
      <c r="Q79" s="69">
        <v>0</v>
      </c>
      <c r="R79" s="69">
        <v>7299</v>
      </c>
      <c r="S79" s="69">
        <f t="shared" si="51"/>
        <v>2712</v>
      </c>
      <c r="T79" s="69">
        <v>26436</v>
      </c>
      <c r="U79" s="69">
        <v>39142</v>
      </c>
      <c r="V79" s="69">
        <v>51226</v>
      </c>
      <c r="W79" s="69">
        <v>-64468</v>
      </c>
      <c r="X79" s="69">
        <v>-5383</v>
      </c>
      <c r="Y79" s="69">
        <v>7277</v>
      </c>
      <c r="Z79" s="69">
        <v>8515</v>
      </c>
      <c r="AA79" s="69">
        <v>7760</v>
      </c>
      <c r="AB79" s="69">
        <v>7805</v>
      </c>
      <c r="AC79" s="69">
        <v>1233</v>
      </c>
      <c r="AD79" s="69">
        <v>0</v>
      </c>
      <c r="AE79" s="69">
        <v>0</v>
      </c>
      <c r="AF79" s="69">
        <f t="shared" si="52"/>
        <v>79543</v>
      </c>
      <c r="AG79" s="69">
        <v>0</v>
      </c>
      <c r="AH79" s="69">
        <v>0</v>
      </c>
      <c r="AI79" s="69">
        <v>0</v>
      </c>
      <c r="AJ79" s="69">
        <v>0</v>
      </c>
      <c r="AK79" s="69">
        <v>0</v>
      </c>
      <c r="AL79" s="69">
        <v>0</v>
      </c>
      <c r="AM79" s="69">
        <v>0</v>
      </c>
      <c r="AN79" s="69">
        <v>0</v>
      </c>
      <c r="AO79" s="69">
        <v>0</v>
      </c>
      <c r="AP79" s="69">
        <v>0</v>
      </c>
      <c r="AQ79" s="69">
        <v>0</v>
      </c>
      <c r="AR79" s="69">
        <v>0</v>
      </c>
      <c r="AS79" s="69">
        <f t="shared" si="53"/>
        <v>0</v>
      </c>
      <c r="AT79" s="69">
        <v>0</v>
      </c>
      <c r="AU79" s="69">
        <v>2494</v>
      </c>
      <c r="AV79" s="69">
        <v>1692</v>
      </c>
      <c r="AW79" s="69">
        <v>3295</v>
      </c>
      <c r="AX79" s="69">
        <v>5737</v>
      </c>
      <c r="AY79" s="69">
        <v>6144</v>
      </c>
      <c r="AZ79" s="69">
        <v>6420</v>
      </c>
      <c r="BA79" s="69">
        <v>12980</v>
      </c>
      <c r="BB79" s="69">
        <v>4271</v>
      </c>
      <c r="BC79" s="69">
        <v>0</v>
      </c>
      <c r="BD79" s="69">
        <v>0</v>
      </c>
      <c r="BE79" s="69">
        <v>0</v>
      </c>
      <c r="BF79" s="69">
        <f t="shared" si="54"/>
        <v>43033</v>
      </c>
      <c r="BG79" s="99"/>
      <c r="BH79" s="69"/>
      <c r="BI79" s="69"/>
      <c r="BJ79" s="69"/>
      <c r="BL79" s="69"/>
      <c r="BM79" s="69"/>
      <c r="BN79" s="69"/>
      <c r="BO79" s="69"/>
      <c r="BP79" t="s">
        <v>158</v>
      </c>
      <c r="BQ79" s="6">
        <f t="shared" si="55"/>
        <v>0</v>
      </c>
      <c r="BR79" s="69">
        <f t="shared" si="55"/>
        <v>0</v>
      </c>
      <c r="BS79" s="69">
        <f t="shared" si="55"/>
        <v>2494</v>
      </c>
      <c r="BT79" s="69">
        <f t="shared" si="55"/>
        <v>1692</v>
      </c>
      <c r="BU79" s="69">
        <f t="shared" si="55"/>
        <v>3295</v>
      </c>
      <c r="BV79" s="69">
        <f t="shared" si="55"/>
        <v>5737</v>
      </c>
      <c r="BW79" s="69">
        <f t="shared" si="55"/>
        <v>6144</v>
      </c>
      <c r="BX79" s="69">
        <f t="shared" si="55"/>
        <v>6420</v>
      </c>
      <c r="BY79" s="69">
        <f t="shared" si="55"/>
        <v>12980</v>
      </c>
      <c r="BZ79" s="69">
        <f t="shared" si="64"/>
        <v>5399</v>
      </c>
      <c r="CA79" s="69">
        <f t="shared" si="56"/>
        <v>5399</v>
      </c>
      <c r="CB79" s="69">
        <f t="shared" si="56"/>
        <v>5399</v>
      </c>
      <c r="CC79" s="69">
        <f t="shared" si="56"/>
        <v>5399</v>
      </c>
      <c r="CD79" s="69">
        <f t="shared" si="57"/>
        <v>60358</v>
      </c>
      <c r="CF79" s="7">
        <v>55476.5</v>
      </c>
      <c r="CG79" s="95">
        <f t="shared" si="62"/>
        <v>4881.5</v>
      </c>
      <c r="DS79" s="95"/>
      <c r="DT79" s="100">
        <v>1</v>
      </c>
      <c r="DU79" s="100">
        <f t="shared" si="63"/>
        <v>0</v>
      </c>
      <c r="DV79" s="95">
        <f t="shared" si="58"/>
        <v>4186</v>
      </c>
      <c r="DW79" s="95">
        <f t="shared" si="59"/>
        <v>0</v>
      </c>
      <c r="DX79" s="95">
        <f t="shared" si="60"/>
        <v>0</v>
      </c>
      <c r="DY79" s="95">
        <f t="shared" si="61"/>
        <v>0</v>
      </c>
      <c r="DZ79" s="95"/>
      <c r="EA79" s="1" t="s">
        <v>159</v>
      </c>
      <c r="EB79" s="95" t="e">
        <f>#REF!</f>
        <v>#REF!</v>
      </c>
      <c r="EC79" s="95" t="e">
        <f>#REF!</f>
        <v>#REF!</v>
      </c>
      <c r="ED79" s="95" t="e">
        <f>#REF!</f>
        <v>#REF!</v>
      </c>
      <c r="EE79" s="10" t="e">
        <f>SUM(#REF!)</f>
        <v>#REF!</v>
      </c>
      <c r="EF79" s="10">
        <f>AS54</f>
        <v>11093323</v>
      </c>
      <c r="EK79" s="82"/>
      <c r="EL79" s="82"/>
      <c r="EM79" s="82"/>
      <c r="EN79" s="82"/>
      <c r="EO79" s="82"/>
      <c r="EP79" s="82"/>
      <c r="EQ79" s="82"/>
      <c r="ER79" s="82"/>
      <c r="ES79" s="82"/>
      <c r="ET79" s="82"/>
      <c r="EU79" s="82"/>
      <c r="EV79" s="82"/>
      <c r="EW79" s="82"/>
      <c r="EX79" s="82"/>
      <c r="EY79" s="82"/>
      <c r="EZ79" s="82"/>
      <c r="FA79" s="82"/>
      <c r="FB79" s="82"/>
      <c r="FC79" s="82"/>
      <c r="FD79" s="82"/>
      <c r="FE79" s="82"/>
      <c r="FF79" s="82"/>
      <c r="FG79" s="82"/>
      <c r="FH79" s="82"/>
      <c r="FI79" s="82"/>
      <c r="FJ79" s="82"/>
      <c r="FK79" s="82"/>
      <c r="FL79" s="82"/>
      <c r="FM79" s="82"/>
      <c r="FN79" s="82"/>
      <c r="FO79" s="82"/>
    </row>
    <row r="80" spans="1:176" x14ac:dyDescent="0.25">
      <c r="A80" s="104" t="s">
        <v>160</v>
      </c>
      <c r="B80" s="82">
        <v>0</v>
      </c>
      <c r="C80" s="82">
        <v>0</v>
      </c>
      <c r="D80" s="82">
        <v>0</v>
      </c>
      <c r="E80" s="82">
        <v>0</v>
      </c>
      <c r="F80" s="82"/>
      <c r="G80" s="69">
        <v>0</v>
      </c>
      <c r="H80" s="69">
        <v>0</v>
      </c>
      <c r="I80" s="69">
        <v>0</v>
      </c>
      <c r="J80" s="69">
        <v>0</v>
      </c>
      <c r="K80" s="69">
        <v>0</v>
      </c>
      <c r="L80" s="69">
        <v>0</v>
      </c>
      <c r="M80" s="69">
        <v>0</v>
      </c>
      <c r="N80" s="69">
        <v>0</v>
      </c>
      <c r="O80" s="69">
        <v>0</v>
      </c>
      <c r="P80" s="69">
        <v>0</v>
      </c>
      <c r="Q80" s="69">
        <v>0</v>
      </c>
      <c r="R80" s="69">
        <v>0</v>
      </c>
      <c r="S80" s="69">
        <f t="shared" si="51"/>
        <v>0</v>
      </c>
      <c r="T80" s="69">
        <v>0</v>
      </c>
      <c r="U80" s="69">
        <v>0</v>
      </c>
      <c r="V80" s="69">
        <v>0</v>
      </c>
      <c r="W80" s="69">
        <v>0</v>
      </c>
      <c r="X80" s="69">
        <v>0</v>
      </c>
      <c r="Y80" s="69">
        <v>0</v>
      </c>
      <c r="Z80" s="69">
        <v>0</v>
      </c>
      <c r="AA80" s="69">
        <v>0</v>
      </c>
      <c r="AB80" s="69">
        <v>0</v>
      </c>
      <c r="AC80" s="69">
        <v>0</v>
      </c>
      <c r="AD80" s="69">
        <v>0</v>
      </c>
      <c r="AE80" s="69">
        <v>0</v>
      </c>
      <c r="AF80" s="69">
        <f t="shared" si="52"/>
        <v>0</v>
      </c>
      <c r="AG80" s="69">
        <v>0</v>
      </c>
      <c r="AH80" s="69">
        <v>0</v>
      </c>
      <c r="AI80" s="69">
        <v>0</v>
      </c>
      <c r="AJ80" s="69">
        <v>0</v>
      </c>
      <c r="AK80" s="69">
        <v>0</v>
      </c>
      <c r="AL80" s="69">
        <v>0</v>
      </c>
      <c r="AM80" s="69">
        <v>0</v>
      </c>
      <c r="AN80" s="69">
        <v>0</v>
      </c>
      <c r="AO80" s="69">
        <v>0</v>
      </c>
      <c r="AP80" s="69">
        <v>0</v>
      </c>
      <c r="AQ80" s="69">
        <v>0</v>
      </c>
      <c r="AR80" s="69">
        <v>0</v>
      </c>
      <c r="AS80" s="69">
        <f t="shared" si="53"/>
        <v>0</v>
      </c>
      <c r="AT80" s="69">
        <v>0</v>
      </c>
      <c r="AU80" s="69">
        <v>0</v>
      </c>
      <c r="AV80" s="70">
        <v>0</v>
      </c>
      <c r="AW80" s="69">
        <v>0</v>
      </c>
      <c r="AX80" s="69">
        <v>0</v>
      </c>
      <c r="AY80" s="69">
        <v>0</v>
      </c>
      <c r="AZ80" s="69">
        <v>0</v>
      </c>
      <c r="BA80" s="69">
        <v>0</v>
      </c>
      <c r="BB80" s="69">
        <v>0</v>
      </c>
      <c r="BC80" s="69">
        <v>0</v>
      </c>
      <c r="BD80" s="69">
        <v>0</v>
      </c>
      <c r="BE80" s="69">
        <v>0</v>
      </c>
      <c r="BF80" s="69">
        <f t="shared" si="54"/>
        <v>0</v>
      </c>
      <c r="BG80" s="99"/>
      <c r="BH80" s="69"/>
      <c r="BI80" s="69"/>
      <c r="BJ80" s="69"/>
      <c r="BL80" s="69"/>
      <c r="BM80" s="69"/>
      <c r="BN80" s="69"/>
      <c r="BO80" s="69"/>
      <c r="BP80" s="104" t="s">
        <v>160</v>
      </c>
      <c r="BQ80" s="6">
        <f t="shared" si="55"/>
        <v>0</v>
      </c>
      <c r="BR80" s="69">
        <f t="shared" si="55"/>
        <v>0</v>
      </c>
      <c r="BS80" s="69">
        <f t="shared" si="55"/>
        <v>0</v>
      </c>
      <c r="BT80" s="69">
        <f t="shared" si="55"/>
        <v>0</v>
      </c>
      <c r="BU80" s="69">
        <f t="shared" si="55"/>
        <v>0</v>
      </c>
      <c r="BV80" s="69">
        <f t="shared" si="55"/>
        <v>0</v>
      </c>
      <c r="BW80" s="69">
        <f t="shared" si="55"/>
        <v>0</v>
      </c>
      <c r="BX80" s="69">
        <f t="shared" si="55"/>
        <v>0</v>
      </c>
      <c r="BY80" s="69">
        <f t="shared" si="55"/>
        <v>0</v>
      </c>
      <c r="BZ80" s="105">
        <f t="shared" ref="BZ80:CC80" si="66">$BU$80</f>
        <v>0</v>
      </c>
      <c r="CA80" s="105">
        <f t="shared" si="66"/>
        <v>0</v>
      </c>
      <c r="CB80" s="105">
        <f t="shared" si="66"/>
        <v>0</v>
      </c>
      <c r="CC80" s="105">
        <f t="shared" si="66"/>
        <v>0</v>
      </c>
      <c r="CD80" s="69">
        <f t="shared" si="57"/>
        <v>0</v>
      </c>
      <c r="CF80" s="7">
        <v>0</v>
      </c>
      <c r="CG80" s="95">
        <f t="shared" si="62"/>
        <v>0</v>
      </c>
      <c r="DS80" s="95"/>
      <c r="DT80" s="1">
        <v>0</v>
      </c>
      <c r="DU80" s="100">
        <v>0</v>
      </c>
      <c r="DV80" s="95">
        <f t="shared" si="58"/>
        <v>0</v>
      </c>
      <c r="DW80" s="106"/>
      <c r="DX80" s="95">
        <f t="shared" si="60"/>
        <v>0</v>
      </c>
      <c r="DY80" s="106"/>
      <c r="DZ80" s="95"/>
      <c r="EA80" s="1" t="s">
        <v>161</v>
      </c>
      <c r="EB80" s="107" t="e">
        <f>#REF!</f>
        <v>#REF!</v>
      </c>
      <c r="EC80" s="107" t="e">
        <f>#REF!</f>
        <v>#REF!</v>
      </c>
      <c r="ED80" s="107" t="e">
        <f>#REF!</f>
        <v>#REF!</v>
      </c>
      <c r="EE80" s="107" t="e">
        <f>SUM(#REF!)</f>
        <v>#REF!</v>
      </c>
      <c r="EF80" s="107">
        <f>AS62</f>
        <v>-4616676</v>
      </c>
      <c r="EK80" s="82"/>
      <c r="EL80" s="82"/>
      <c r="EM80" s="82"/>
      <c r="EN80" s="82"/>
      <c r="EO80" s="82"/>
      <c r="EP80" s="82"/>
      <c r="EQ80" s="82"/>
      <c r="ER80" s="82"/>
      <c r="ES80" s="82"/>
      <c r="ET80" s="82"/>
      <c r="EU80" s="82"/>
      <c r="EV80" s="82"/>
      <c r="EW80" s="82"/>
      <c r="EX80" s="82"/>
      <c r="EY80" s="82"/>
      <c r="EZ80" s="82"/>
      <c r="FA80" s="82"/>
      <c r="FB80" s="82"/>
      <c r="FC80" s="82"/>
      <c r="FD80" s="82"/>
      <c r="FE80" s="82"/>
      <c r="FF80" s="82"/>
      <c r="FG80" s="82"/>
      <c r="FH80" s="82"/>
      <c r="FI80" s="82"/>
      <c r="FJ80" s="82"/>
      <c r="FK80" s="82"/>
      <c r="FL80" s="82"/>
      <c r="FM80" s="82"/>
      <c r="FN80" s="82"/>
      <c r="FO80" s="82"/>
    </row>
    <row r="81" spans="1:171" x14ac:dyDescent="0.25">
      <c r="A81" t="s">
        <v>162</v>
      </c>
      <c r="B81" s="82">
        <v>0</v>
      </c>
      <c r="C81" s="82">
        <v>0</v>
      </c>
      <c r="D81" s="82">
        <v>0</v>
      </c>
      <c r="E81" s="82">
        <v>12934</v>
      </c>
      <c r="F81" s="82"/>
      <c r="G81" s="69">
        <v>0</v>
      </c>
      <c r="H81" s="69">
        <v>0</v>
      </c>
      <c r="I81" s="69">
        <v>0</v>
      </c>
      <c r="J81" s="69">
        <v>0</v>
      </c>
      <c r="K81" s="69">
        <v>0</v>
      </c>
      <c r="L81" s="69">
        <v>0</v>
      </c>
      <c r="M81" s="69">
        <v>0</v>
      </c>
      <c r="N81" s="69">
        <v>0</v>
      </c>
      <c r="O81" s="69">
        <v>0</v>
      </c>
      <c r="P81" s="69">
        <v>0</v>
      </c>
      <c r="Q81" s="69">
        <v>0</v>
      </c>
      <c r="R81" s="69">
        <v>0</v>
      </c>
      <c r="S81" s="69">
        <f t="shared" si="51"/>
        <v>0</v>
      </c>
      <c r="T81" s="69">
        <v>0</v>
      </c>
      <c r="U81" s="69">
        <v>0</v>
      </c>
      <c r="V81" s="69">
        <v>0</v>
      </c>
      <c r="W81" s="69">
        <v>0</v>
      </c>
      <c r="X81" s="69">
        <v>0</v>
      </c>
      <c r="Y81" s="69">
        <v>0</v>
      </c>
      <c r="Z81" s="69">
        <v>0</v>
      </c>
      <c r="AA81" s="69">
        <v>0</v>
      </c>
      <c r="AB81" s="69">
        <v>0</v>
      </c>
      <c r="AC81" s="69">
        <v>0</v>
      </c>
      <c r="AD81" s="69">
        <v>0</v>
      </c>
      <c r="AE81" s="69">
        <v>0</v>
      </c>
      <c r="AF81" s="69">
        <f t="shared" si="52"/>
        <v>0</v>
      </c>
      <c r="AG81" s="69">
        <v>0</v>
      </c>
      <c r="AH81" s="69">
        <v>1662</v>
      </c>
      <c r="AI81" s="69">
        <v>3799</v>
      </c>
      <c r="AJ81" s="69">
        <v>3886</v>
      </c>
      <c r="AK81" s="69">
        <v>3588</v>
      </c>
      <c r="AL81" s="69">
        <v>0</v>
      </c>
      <c r="AM81" s="69">
        <v>0</v>
      </c>
      <c r="AN81" s="69">
        <v>0</v>
      </c>
      <c r="AO81" s="69">
        <v>0</v>
      </c>
      <c r="AP81" s="69">
        <v>0</v>
      </c>
      <c r="AQ81" s="69">
        <v>0</v>
      </c>
      <c r="AR81" s="69">
        <v>0</v>
      </c>
      <c r="AS81" s="69">
        <f t="shared" si="53"/>
        <v>12935</v>
      </c>
      <c r="AT81" s="69">
        <v>0</v>
      </c>
      <c r="AU81" s="69">
        <v>0</v>
      </c>
      <c r="AV81" s="69">
        <v>0</v>
      </c>
      <c r="AW81" s="69">
        <v>0</v>
      </c>
      <c r="AX81" s="69">
        <v>0</v>
      </c>
      <c r="AY81" s="69">
        <v>0</v>
      </c>
      <c r="AZ81" s="69">
        <v>0</v>
      </c>
      <c r="BA81" s="69">
        <v>0</v>
      </c>
      <c r="BB81" s="69">
        <v>0</v>
      </c>
      <c r="BC81" s="69">
        <v>0</v>
      </c>
      <c r="BD81" s="69">
        <v>0</v>
      </c>
      <c r="BE81" s="69">
        <v>0</v>
      </c>
      <c r="BF81" s="69">
        <f t="shared" si="54"/>
        <v>0</v>
      </c>
      <c r="BG81" s="99"/>
      <c r="BH81" s="69"/>
      <c r="BI81" s="69"/>
      <c r="BJ81" s="69"/>
      <c r="BL81" s="69"/>
      <c r="BM81" s="69"/>
      <c r="BN81" s="69"/>
      <c r="BO81" s="69"/>
      <c r="BP81" t="s">
        <v>162</v>
      </c>
      <c r="BQ81" s="6">
        <f t="shared" si="55"/>
        <v>12935</v>
      </c>
      <c r="BR81" s="69">
        <f t="shared" si="55"/>
        <v>0</v>
      </c>
      <c r="BS81" s="69">
        <f t="shared" si="55"/>
        <v>0</v>
      </c>
      <c r="BT81" s="69">
        <f t="shared" si="55"/>
        <v>0</v>
      </c>
      <c r="BU81" s="69">
        <f t="shared" si="55"/>
        <v>0</v>
      </c>
      <c r="BV81" s="69">
        <f t="shared" si="55"/>
        <v>0</v>
      </c>
      <c r="BW81" s="69">
        <f t="shared" si="55"/>
        <v>0</v>
      </c>
      <c r="BX81" s="69">
        <f t="shared" si="55"/>
        <v>0</v>
      </c>
      <c r="BY81" s="69">
        <f t="shared" si="55"/>
        <v>0</v>
      </c>
      <c r="BZ81" s="69">
        <f t="shared" si="64"/>
        <v>0</v>
      </c>
      <c r="CA81" s="69">
        <f t="shared" si="56"/>
        <v>0</v>
      </c>
      <c r="CB81" s="69">
        <f t="shared" si="56"/>
        <v>0</v>
      </c>
      <c r="CC81" s="69">
        <f t="shared" si="56"/>
        <v>0</v>
      </c>
      <c r="CD81" s="69">
        <f t="shared" si="57"/>
        <v>0</v>
      </c>
      <c r="CF81" s="7">
        <v>0</v>
      </c>
      <c r="CG81" s="95">
        <f t="shared" si="62"/>
        <v>0</v>
      </c>
      <c r="DS81" s="95"/>
      <c r="DU81" s="100">
        <f t="shared" si="63"/>
        <v>1</v>
      </c>
      <c r="DV81" s="95">
        <f t="shared" si="58"/>
        <v>0</v>
      </c>
      <c r="DW81" s="95">
        <f t="shared" ref="DW81:DW110" si="67">SUM(BR81:BT81)-DV81</f>
        <v>0</v>
      </c>
      <c r="DX81" s="95">
        <f t="shared" si="60"/>
        <v>0</v>
      </c>
      <c r="DY81" s="95">
        <f t="shared" ref="DY81:DY119" si="68">AS81-DX81</f>
        <v>12935</v>
      </c>
      <c r="DZ81" s="95"/>
      <c r="EA81" s="1" t="s">
        <v>163</v>
      </c>
      <c r="EB81" s="108" t="e">
        <f>SUM(EB79:EB80)</f>
        <v>#REF!</v>
      </c>
      <c r="EC81" s="108" t="e">
        <f t="shared" ref="EC81:ED81" si="69">SUM(EC79:EC80)</f>
        <v>#REF!</v>
      </c>
      <c r="ED81" s="108" t="e">
        <f t="shared" si="69"/>
        <v>#REF!</v>
      </c>
      <c r="EE81" s="108" t="e">
        <f>SUM(EE79:EE80)</f>
        <v>#REF!</v>
      </c>
      <c r="EF81" s="108">
        <f>SUM(EF79:EF80)</f>
        <v>6476647</v>
      </c>
      <c r="EK81" s="82"/>
      <c r="EL81" s="82"/>
      <c r="EM81" s="82"/>
      <c r="EN81" s="82"/>
      <c r="EO81" s="82"/>
      <c r="EP81" s="82"/>
      <c r="EQ81" s="82"/>
      <c r="ER81" s="82"/>
      <c r="ES81" s="82"/>
      <c r="ET81" s="82"/>
      <c r="EU81" s="82"/>
      <c r="EV81" s="82"/>
      <c r="EW81" s="82"/>
      <c r="EX81" s="82"/>
      <c r="EY81" s="82"/>
      <c r="EZ81" s="82"/>
      <c r="FA81" s="82"/>
      <c r="FB81" s="82"/>
      <c r="FC81" s="82"/>
      <c r="FD81" s="82"/>
      <c r="FE81" s="82"/>
      <c r="FF81" s="82"/>
      <c r="FG81" s="82"/>
      <c r="FH81" s="82"/>
      <c r="FI81" s="82"/>
      <c r="FJ81" s="82"/>
      <c r="FK81" s="82"/>
      <c r="FL81" s="82"/>
      <c r="FM81" s="82"/>
      <c r="FN81" s="82"/>
      <c r="FO81" s="82"/>
    </row>
    <row r="82" spans="1:171" x14ac:dyDescent="0.25">
      <c r="A82" t="s">
        <v>164</v>
      </c>
      <c r="B82" s="82">
        <v>0</v>
      </c>
      <c r="C82" s="82">
        <v>0</v>
      </c>
      <c r="D82" s="82">
        <v>0</v>
      </c>
      <c r="E82" s="82">
        <v>11387</v>
      </c>
      <c r="F82" s="82"/>
      <c r="G82" s="69">
        <v>0</v>
      </c>
      <c r="H82" s="69">
        <v>0</v>
      </c>
      <c r="I82" s="69">
        <v>0</v>
      </c>
      <c r="J82" s="69">
        <v>0</v>
      </c>
      <c r="K82" s="69">
        <v>0</v>
      </c>
      <c r="L82" s="69">
        <v>0</v>
      </c>
      <c r="M82" s="69">
        <v>0</v>
      </c>
      <c r="N82" s="69">
        <v>0</v>
      </c>
      <c r="O82" s="69">
        <v>0</v>
      </c>
      <c r="P82" s="69">
        <v>0</v>
      </c>
      <c r="Q82" s="69">
        <v>0</v>
      </c>
      <c r="R82" s="69">
        <v>0</v>
      </c>
      <c r="S82" s="69">
        <f t="shared" si="51"/>
        <v>0</v>
      </c>
      <c r="T82" s="69">
        <v>0</v>
      </c>
      <c r="U82" s="69">
        <v>0</v>
      </c>
      <c r="V82" s="69">
        <v>0</v>
      </c>
      <c r="W82" s="69">
        <v>0</v>
      </c>
      <c r="X82" s="69">
        <v>0</v>
      </c>
      <c r="Y82" s="69">
        <v>0</v>
      </c>
      <c r="Z82" s="69">
        <v>0</v>
      </c>
      <c r="AA82" s="69">
        <v>0</v>
      </c>
      <c r="AB82" s="69">
        <v>0</v>
      </c>
      <c r="AC82" s="69">
        <v>0</v>
      </c>
      <c r="AD82" s="69">
        <v>0</v>
      </c>
      <c r="AE82" s="69">
        <v>0</v>
      </c>
      <c r="AF82" s="69">
        <f t="shared" si="52"/>
        <v>0</v>
      </c>
      <c r="AG82" s="69">
        <v>0</v>
      </c>
      <c r="AH82" s="69">
        <v>0</v>
      </c>
      <c r="AI82" s="69">
        <v>0</v>
      </c>
      <c r="AJ82" s="69">
        <v>0</v>
      </c>
      <c r="AK82" s="69">
        <v>0</v>
      </c>
      <c r="AL82" s="69">
        <v>0</v>
      </c>
      <c r="AM82" s="69">
        <v>0</v>
      </c>
      <c r="AN82" s="69">
        <v>1519</v>
      </c>
      <c r="AO82" s="69">
        <v>4563</v>
      </c>
      <c r="AP82" s="69">
        <v>2427</v>
      </c>
      <c r="AQ82" s="69">
        <v>139</v>
      </c>
      <c r="AR82" s="69">
        <v>2739</v>
      </c>
      <c r="AS82" s="69">
        <f t="shared" si="53"/>
        <v>11387</v>
      </c>
      <c r="AT82" s="69">
        <v>2744</v>
      </c>
      <c r="AU82" s="69">
        <v>2933</v>
      </c>
      <c r="AV82" s="69">
        <v>3896</v>
      </c>
      <c r="AW82" s="69">
        <v>2723</v>
      </c>
      <c r="AX82" s="69">
        <v>1891</v>
      </c>
      <c r="AY82" s="69">
        <v>0</v>
      </c>
      <c r="AZ82" s="69">
        <v>0</v>
      </c>
      <c r="BA82" s="69">
        <v>0</v>
      </c>
      <c r="BB82" s="69">
        <v>0</v>
      </c>
      <c r="BC82" s="69">
        <v>0</v>
      </c>
      <c r="BD82" s="69">
        <v>0</v>
      </c>
      <c r="BE82" s="69">
        <v>0</v>
      </c>
      <c r="BF82" s="69">
        <f t="shared" si="54"/>
        <v>14187</v>
      </c>
      <c r="BG82" s="99"/>
      <c r="BH82" s="69"/>
      <c r="BI82" s="69"/>
      <c r="BJ82" s="69"/>
      <c r="BL82" s="69"/>
      <c r="BM82" s="69"/>
      <c r="BN82" s="69"/>
      <c r="BO82" s="69"/>
      <c r="BP82" t="s">
        <v>164</v>
      </c>
      <c r="BQ82" s="6">
        <f t="shared" si="55"/>
        <v>11387</v>
      </c>
      <c r="BR82" s="69">
        <f t="shared" si="55"/>
        <v>2744</v>
      </c>
      <c r="BS82" s="69">
        <f t="shared" si="55"/>
        <v>2933</v>
      </c>
      <c r="BT82" s="69">
        <f t="shared" si="55"/>
        <v>3896</v>
      </c>
      <c r="BU82" s="69">
        <f t="shared" si="55"/>
        <v>2723</v>
      </c>
      <c r="BV82" s="69">
        <f t="shared" si="55"/>
        <v>1891</v>
      </c>
      <c r="BW82" s="69">
        <f t="shared" si="55"/>
        <v>0</v>
      </c>
      <c r="BX82" s="69">
        <f t="shared" si="55"/>
        <v>0</v>
      </c>
      <c r="BY82" s="69">
        <f t="shared" si="55"/>
        <v>0</v>
      </c>
      <c r="BZ82" s="69">
        <f t="shared" si="64"/>
        <v>1153.5</v>
      </c>
      <c r="CA82" s="69">
        <f t="shared" si="56"/>
        <v>1153.5</v>
      </c>
      <c r="CB82" s="69">
        <f t="shared" si="56"/>
        <v>1153.5</v>
      </c>
      <c r="CC82" s="69">
        <f t="shared" si="56"/>
        <v>1153.5</v>
      </c>
      <c r="CD82" s="69">
        <f t="shared" si="57"/>
        <v>18801</v>
      </c>
      <c r="CF82" s="7">
        <v>20531.25</v>
      </c>
      <c r="CG82" s="95">
        <f t="shared" si="62"/>
        <v>-1730.25</v>
      </c>
      <c r="DS82" s="95"/>
      <c r="DT82" s="100">
        <v>0.5</v>
      </c>
      <c r="DU82" s="100">
        <f t="shared" si="63"/>
        <v>0.5</v>
      </c>
      <c r="DV82" s="95">
        <f t="shared" si="58"/>
        <v>4786.5</v>
      </c>
      <c r="DW82" s="95">
        <f t="shared" si="67"/>
        <v>4786.5</v>
      </c>
      <c r="DX82" s="95">
        <f t="shared" si="60"/>
        <v>5693.5</v>
      </c>
      <c r="DY82" s="95">
        <f t="shared" si="68"/>
        <v>5693.5</v>
      </c>
      <c r="DZ82" s="95"/>
      <c r="EA82" s="1" t="s">
        <v>165</v>
      </c>
      <c r="EB82" s="95" t="e">
        <f>#REF!</f>
        <v>#REF!</v>
      </c>
      <c r="EC82" s="95" t="e">
        <f>#REF!</f>
        <v>#REF!</v>
      </c>
      <c r="ED82" s="95" t="e">
        <f>#REF!</f>
        <v>#REF!</v>
      </c>
      <c r="EE82" s="95" t="e">
        <f>#REF!</f>
        <v>#REF!</v>
      </c>
      <c r="EF82" s="95" t="e">
        <f>#REF!</f>
        <v>#REF!</v>
      </c>
      <c r="EK82" s="82"/>
      <c r="EL82" s="82"/>
      <c r="EM82" s="82"/>
      <c r="EN82" s="82"/>
      <c r="EO82" s="82"/>
      <c r="EP82" s="82"/>
      <c r="EQ82" s="82"/>
      <c r="ER82" s="82"/>
      <c r="ES82" s="82"/>
      <c r="ET82" s="82"/>
      <c r="EU82" s="82"/>
      <c r="EV82" s="82"/>
      <c r="EW82" s="82"/>
      <c r="EX82" s="82"/>
      <c r="EY82" s="82"/>
      <c r="EZ82" s="82"/>
      <c r="FA82" s="82"/>
      <c r="FB82" s="82"/>
      <c r="FC82" s="82"/>
      <c r="FD82" s="82"/>
      <c r="FE82" s="82"/>
      <c r="FF82" s="82"/>
      <c r="FG82" s="82"/>
      <c r="FH82" s="82"/>
      <c r="FI82" s="82"/>
      <c r="FJ82" s="82"/>
      <c r="FK82" s="82"/>
      <c r="FL82" s="82"/>
      <c r="FM82" s="82"/>
      <c r="FN82" s="82"/>
      <c r="FO82" s="82"/>
    </row>
    <row r="83" spans="1:171" x14ac:dyDescent="0.25">
      <c r="A83" t="s">
        <v>138</v>
      </c>
      <c r="B83" s="82">
        <v>0</v>
      </c>
      <c r="C83" s="82">
        <v>0</v>
      </c>
      <c r="D83" s="82">
        <v>976144</v>
      </c>
      <c r="E83" s="82">
        <v>0</v>
      </c>
      <c r="F83" s="82"/>
      <c r="G83" s="69">
        <v>0</v>
      </c>
      <c r="H83" s="69">
        <v>0</v>
      </c>
      <c r="I83" s="69">
        <v>0</v>
      </c>
      <c r="J83" s="69">
        <v>0</v>
      </c>
      <c r="K83" s="69">
        <v>0</v>
      </c>
      <c r="L83" s="69">
        <v>0</v>
      </c>
      <c r="M83" s="69">
        <v>0</v>
      </c>
      <c r="N83" s="69">
        <v>0</v>
      </c>
      <c r="O83" s="69">
        <v>0</v>
      </c>
      <c r="P83" s="69">
        <v>0</v>
      </c>
      <c r="Q83" s="69">
        <v>0</v>
      </c>
      <c r="R83" s="69">
        <v>0</v>
      </c>
      <c r="S83" s="69">
        <f t="shared" si="51"/>
        <v>0</v>
      </c>
      <c r="T83" s="69">
        <v>0</v>
      </c>
      <c r="U83" s="69">
        <v>2500</v>
      </c>
      <c r="V83" s="69">
        <v>0</v>
      </c>
      <c r="W83" s="69">
        <v>3588</v>
      </c>
      <c r="X83" s="69">
        <v>4866</v>
      </c>
      <c r="Y83" s="69">
        <v>0</v>
      </c>
      <c r="Z83" s="69">
        <v>6068</v>
      </c>
      <c r="AA83" s="69">
        <v>9471</v>
      </c>
      <c r="AB83" s="69">
        <v>2345</v>
      </c>
      <c r="AC83" s="69">
        <v>3363</v>
      </c>
      <c r="AD83" s="69">
        <v>0</v>
      </c>
      <c r="AE83" s="69">
        <v>943944</v>
      </c>
      <c r="AF83" s="69">
        <f t="shared" si="52"/>
        <v>976145</v>
      </c>
      <c r="AG83" s="69">
        <v>0</v>
      </c>
      <c r="AH83" s="69">
        <v>0</v>
      </c>
      <c r="AI83" s="69">
        <v>0</v>
      </c>
      <c r="AJ83" s="69">
        <v>0</v>
      </c>
      <c r="AK83" s="69">
        <v>0</v>
      </c>
      <c r="AL83" s="69">
        <v>0</v>
      </c>
      <c r="AM83" s="69">
        <v>0</v>
      </c>
      <c r="AN83" s="69">
        <v>0</v>
      </c>
      <c r="AO83" s="69">
        <v>0</v>
      </c>
      <c r="AP83" s="69">
        <v>0</v>
      </c>
      <c r="AQ83" s="69">
        <v>0</v>
      </c>
      <c r="AR83" s="69">
        <v>0</v>
      </c>
      <c r="AS83" s="69">
        <f t="shared" si="53"/>
        <v>0</v>
      </c>
      <c r="AT83" s="69">
        <v>0</v>
      </c>
      <c r="AU83" s="69">
        <v>0</v>
      </c>
      <c r="AV83" s="69">
        <v>0</v>
      </c>
      <c r="AW83" s="69">
        <v>0</v>
      </c>
      <c r="AX83" s="69">
        <v>0</v>
      </c>
      <c r="AY83" s="69">
        <v>0</v>
      </c>
      <c r="AZ83" s="69">
        <v>0</v>
      </c>
      <c r="BA83" s="69">
        <v>0</v>
      </c>
      <c r="BB83" s="69">
        <v>0</v>
      </c>
      <c r="BC83" s="69">
        <v>0</v>
      </c>
      <c r="BD83" s="69">
        <v>0</v>
      </c>
      <c r="BE83" s="69">
        <v>0</v>
      </c>
      <c r="BF83" s="69">
        <f t="shared" si="54"/>
        <v>0</v>
      </c>
      <c r="BG83" s="99"/>
      <c r="BH83" s="69"/>
      <c r="BI83" s="69"/>
      <c r="BJ83" s="69"/>
      <c r="BL83" s="69"/>
      <c r="BM83" s="69"/>
      <c r="BN83" s="69"/>
      <c r="BO83" s="69"/>
      <c r="BP83" t="s">
        <v>138</v>
      </c>
      <c r="BQ83" s="6">
        <f t="shared" si="55"/>
        <v>0</v>
      </c>
      <c r="BR83" s="69">
        <f t="shared" si="55"/>
        <v>0</v>
      </c>
      <c r="BS83" s="69">
        <f t="shared" si="55"/>
        <v>0</v>
      </c>
      <c r="BT83" s="69">
        <f t="shared" si="55"/>
        <v>0</v>
      </c>
      <c r="BU83" s="69">
        <f t="shared" si="55"/>
        <v>0</v>
      </c>
      <c r="BV83" s="69">
        <f t="shared" si="55"/>
        <v>0</v>
      </c>
      <c r="BW83" s="69">
        <f t="shared" si="55"/>
        <v>0</v>
      </c>
      <c r="BX83" s="69">
        <f t="shared" si="55"/>
        <v>0</v>
      </c>
      <c r="BY83" s="69">
        <f t="shared" si="55"/>
        <v>0</v>
      </c>
      <c r="BZ83" s="69">
        <f t="shared" si="64"/>
        <v>0</v>
      </c>
      <c r="CA83" s="69">
        <f t="shared" si="56"/>
        <v>0</v>
      </c>
      <c r="CB83" s="69">
        <f t="shared" si="56"/>
        <v>0</v>
      </c>
      <c r="CC83" s="69">
        <f t="shared" si="56"/>
        <v>0</v>
      </c>
      <c r="CD83" s="69">
        <f t="shared" si="57"/>
        <v>0</v>
      </c>
      <c r="CF83" s="7">
        <v>0</v>
      </c>
      <c r="CG83" s="95">
        <f t="shared" si="62"/>
        <v>0</v>
      </c>
      <c r="DS83" s="95"/>
      <c r="DU83" s="100">
        <f t="shared" si="63"/>
        <v>1</v>
      </c>
      <c r="DV83" s="95">
        <f t="shared" si="58"/>
        <v>0</v>
      </c>
      <c r="DW83" s="95">
        <f t="shared" si="67"/>
        <v>0</v>
      </c>
      <c r="DX83" s="95">
        <f t="shared" si="60"/>
        <v>0</v>
      </c>
      <c r="DY83" s="95">
        <f t="shared" si="68"/>
        <v>0</v>
      </c>
      <c r="DZ83" s="95"/>
      <c r="EA83" s="1" t="s">
        <v>166</v>
      </c>
      <c r="EB83" s="102" t="e">
        <f>EB79/EB82</f>
        <v>#REF!</v>
      </c>
      <c r="EC83" s="102" t="e">
        <f t="shared" ref="EC83:ED83" si="70">EC79/EC82</f>
        <v>#REF!</v>
      </c>
      <c r="ED83" s="102" t="e">
        <f t="shared" si="70"/>
        <v>#REF!</v>
      </c>
      <c r="EE83" s="102" t="e">
        <f>EE79/EE82</f>
        <v>#REF!</v>
      </c>
      <c r="EF83" s="102" t="e">
        <f>EF79/EF82</f>
        <v>#REF!</v>
      </c>
      <c r="EK83" s="82"/>
      <c r="EL83" s="82"/>
      <c r="EM83" s="82"/>
      <c r="EN83" s="82"/>
      <c r="EO83" s="82"/>
      <c r="EP83" s="82"/>
      <c r="EQ83" s="82"/>
      <c r="ER83" s="82"/>
      <c r="ES83" s="82"/>
      <c r="ET83" s="82"/>
      <c r="EU83" s="82"/>
      <c r="EV83" s="82"/>
      <c r="EW83" s="82"/>
      <c r="EX83" s="82"/>
      <c r="EY83" s="82"/>
      <c r="EZ83" s="82"/>
      <c r="FA83" s="82"/>
      <c r="FB83" s="82"/>
      <c r="FC83" s="82"/>
      <c r="FD83" s="82"/>
      <c r="FE83" s="82"/>
      <c r="FF83" s="82"/>
      <c r="FG83" s="82"/>
      <c r="FH83" s="82"/>
      <c r="FI83" s="82"/>
      <c r="FJ83" s="82"/>
      <c r="FK83" s="82"/>
      <c r="FL83" s="82"/>
      <c r="FM83" s="82"/>
      <c r="FN83" s="82"/>
      <c r="FO83" s="82"/>
    </row>
    <row r="84" spans="1:171" x14ac:dyDescent="0.25">
      <c r="A84" t="s">
        <v>167</v>
      </c>
      <c r="B84" s="82">
        <v>0</v>
      </c>
      <c r="C84" s="82">
        <v>11837</v>
      </c>
      <c r="D84" s="82">
        <v>133714</v>
      </c>
      <c r="E84" s="82">
        <v>19068</v>
      </c>
      <c r="F84" s="82"/>
      <c r="G84" s="69">
        <v>0</v>
      </c>
      <c r="H84" s="69">
        <v>0</v>
      </c>
      <c r="I84" s="69">
        <v>0</v>
      </c>
      <c r="J84" s="69">
        <v>0</v>
      </c>
      <c r="K84" s="69">
        <v>0</v>
      </c>
      <c r="L84" s="69">
        <v>0</v>
      </c>
      <c r="M84" s="69">
        <v>0</v>
      </c>
      <c r="N84" s="69">
        <v>8765</v>
      </c>
      <c r="O84" s="69">
        <v>0</v>
      </c>
      <c r="P84" s="69">
        <v>0</v>
      </c>
      <c r="Q84" s="69">
        <v>1692</v>
      </c>
      <c r="R84" s="69">
        <v>1380</v>
      </c>
      <c r="S84" s="69">
        <f t="shared" si="51"/>
        <v>11837</v>
      </c>
      <c r="T84" s="69">
        <v>9652</v>
      </c>
      <c r="U84" s="69">
        <v>2676</v>
      </c>
      <c r="V84" s="69">
        <v>8162</v>
      </c>
      <c r="W84" s="69">
        <v>1373</v>
      </c>
      <c r="X84" s="69">
        <v>1162</v>
      </c>
      <c r="Y84" s="69">
        <v>26560</v>
      </c>
      <c r="Z84" s="69">
        <v>21943</v>
      </c>
      <c r="AA84" s="69">
        <v>10398</v>
      </c>
      <c r="AB84" s="69">
        <v>28752</v>
      </c>
      <c r="AC84" s="69">
        <v>10096</v>
      </c>
      <c r="AD84" s="69">
        <v>11632</v>
      </c>
      <c r="AE84" s="69">
        <v>1310</v>
      </c>
      <c r="AF84" s="69">
        <f t="shared" si="52"/>
        <v>133716</v>
      </c>
      <c r="AG84" s="69">
        <v>1156</v>
      </c>
      <c r="AH84" s="69">
        <v>0</v>
      </c>
      <c r="AI84" s="69">
        <v>0</v>
      </c>
      <c r="AJ84" s="69">
        <v>0</v>
      </c>
      <c r="AK84" s="69">
        <v>0</v>
      </c>
      <c r="AL84" s="69">
        <v>0</v>
      </c>
      <c r="AM84" s="69">
        <v>0</v>
      </c>
      <c r="AN84" s="69">
        <v>0</v>
      </c>
      <c r="AO84" s="69">
        <v>0</v>
      </c>
      <c r="AP84" s="69">
        <v>721</v>
      </c>
      <c r="AQ84" s="69">
        <v>5645</v>
      </c>
      <c r="AR84" s="69">
        <v>11545</v>
      </c>
      <c r="AS84" s="69">
        <f t="shared" si="53"/>
        <v>19067</v>
      </c>
      <c r="AT84" s="69">
        <v>559</v>
      </c>
      <c r="AU84" s="69">
        <v>1616</v>
      </c>
      <c r="AV84" s="69">
        <v>5927</v>
      </c>
      <c r="AW84" s="69">
        <v>0</v>
      </c>
      <c r="AX84" s="69">
        <v>14871</v>
      </c>
      <c r="AY84" s="69">
        <v>8182</v>
      </c>
      <c r="AZ84" s="69">
        <v>2000</v>
      </c>
      <c r="BA84" s="69">
        <v>0</v>
      </c>
      <c r="BB84" s="69">
        <v>0</v>
      </c>
      <c r="BC84" s="69">
        <v>0</v>
      </c>
      <c r="BD84" s="69">
        <v>0</v>
      </c>
      <c r="BE84" s="69">
        <v>0</v>
      </c>
      <c r="BF84" s="69">
        <f t="shared" si="54"/>
        <v>33155</v>
      </c>
      <c r="BG84" s="99"/>
      <c r="BH84" s="69"/>
      <c r="BI84" s="69"/>
      <c r="BJ84" s="69"/>
      <c r="BL84" s="69"/>
      <c r="BM84" s="69"/>
      <c r="BN84" s="69"/>
      <c r="BO84" s="69"/>
      <c r="BP84" t="s">
        <v>167</v>
      </c>
      <c r="BQ84" s="6">
        <f t="shared" si="55"/>
        <v>19067</v>
      </c>
      <c r="BR84" s="69">
        <f t="shared" si="55"/>
        <v>559</v>
      </c>
      <c r="BS84" s="69">
        <f t="shared" si="55"/>
        <v>1616</v>
      </c>
      <c r="BT84" s="69">
        <f t="shared" si="55"/>
        <v>5927</v>
      </c>
      <c r="BU84" s="69">
        <f t="shared" si="55"/>
        <v>0</v>
      </c>
      <c r="BV84" s="69">
        <f t="shared" si="55"/>
        <v>14871</v>
      </c>
      <c r="BW84" s="69">
        <f t="shared" si="55"/>
        <v>8182</v>
      </c>
      <c r="BX84" s="69">
        <f t="shared" si="55"/>
        <v>2000</v>
      </c>
      <c r="BY84" s="69">
        <f t="shared" si="55"/>
        <v>0</v>
      </c>
      <c r="BZ84" s="69">
        <f t="shared" si="64"/>
        <v>6263.25</v>
      </c>
      <c r="CA84" s="69">
        <f t="shared" si="56"/>
        <v>6263.25</v>
      </c>
      <c r="CB84" s="69">
        <f t="shared" si="56"/>
        <v>6263.25</v>
      </c>
      <c r="CC84" s="69">
        <f t="shared" si="56"/>
        <v>6263.25</v>
      </c>
      <c r="CD84" s="69">
        <f t="shared" si="57"/>
        <v>58208</v>
      </c>
      <c r="CF84" s="7">
        <v>66673.875</v>
      </c>
      <c r="CG84" s="95">
        <f t="shared" si="62"/>
        <v>-8465.875</v>
      </c>
      <c r="DS84" s="95"/>
      <c r="DU84" s="100">
        <f t="shared" si="63"/>
        <v>1</v>
      </c>
      <c r="DV84" s="95">
        <f t="shared" si="58"/>
        <v>0</v>
      </c>
      <c r="DW84" s="95">
        <f t="shared" si="67"/>
        <v>8102</v>
      </c>
      <c r="DX84" s="95">
        <f t="shared" si="60"/>
        <v>0</v>
      </c>
      <c r="DY84" s="95">
        <f t="shared" si="68"/>
        <v>19067</v>
      </c>
      <c r="DZ84" s="95"/>
      <c r="EA84" s="1" t="s">
        <v>168</v>
      </c>
      <c r="EB84" s="102" t="e">
        <f>EB81/EB82</f>
        <v>#REF!</v>
      </c>
      <c r="EC84" s="102" t="e">
        <f t="shared" ref="EC84:ED84" si="71">EC81/EC82</f>
        <v>#REF!</v>
      </c>
      <c r="ED84" s="102" t="e">
        <f t="shared" si="71"/>
        <v>#REF!</v>
      </c>
      <c r="EE84" s="102" t="e">
        <f>EE81/EE82</f>
        <v>#REF!</v>
      </c>
      <c r="EF84" s="102" t="e">
        <f>EF81/EF82</f>
        <v>#REF!</v>
      </c>
      <c r="EK84" s="82"/>
      <c r="EL84" s="82"/>
      <c r="EM84" s="82"/>
      <c r="EN84" s="82"/>
      <c r="EO84" s="82"/>
      <c r="EP84" s="82"/>
      <c r="EQ84" s="82"/>
      <c r="ER84" s="82"/>
      <c r="ES84" s="82"/>
      <c r="ET84" s="82"/>
      <c r="EU84" s="82"/>
      <c r="EV84" s="82"/>
      <c r="EW84" s="82"/>
      <c r="EX84" s="82"/>
      <c r="EY84" s="82"/>
      <c r="EZ84" s="82"/>
      <c r="FA84" s="82"/>
      <c r="FB84" s="82"/>
      <c r="FC84" s="82"/>
      <c r="FD84" s="82"/>
      <c r="FE84" s="82"/>
      <c r="FF84" s="82"/>
      <c r="FG84" s="82"/>
      <c r="FH84" s="82"/>
      <c r="FI84" s="82"/>
      <c r="FJ84" s="82"/>
      <c r="FK84" s="82"/>
      <c r="FL84" s="82"/>
      <c r="FM84" s="82"/>
      <c r="FN84" s="82"/>
      <c r="FO84" s="82"/>
    </row>
    <row r="85" spans="1:171" x14ac:dyDescent="0.25">
      <c r="A85" s="109" t="s">
        <v>169</v>
      </c>
      <c r="B85" s="82"/>
      <c r="C85" s="82"/>
      <c r="D85" s="82"/>
      <c r="E85" s="82"/>
      <c r="F85" s="82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>
        <v>0</v>
      </c>
      <c r="AU85" s="69">
        <v>0</v>
      </c>
      <c r="AV85" s="69">
        <v>0</v>
      </c>
      <c r="AW85" s="69">
        <v>0</v>
      </c>
      <c r="AX85" s="69">
        <v>0</v>
      </c>
      <c r="AY85" s="69">
        <v>0</v>
      </c>
      <c r="AZ85" s="69">
        <v>7771</v>
      </c>
      <c r="BA85" s="69">
        <v>34185</v>
      </c>
      <c r="BB85" s="69">
        <v>4710</v>
      </c>
      <c r="BC85" s="69">
        <v>0</v>
      </c>
      <c r="BD85" s="69">
        <v>0</v>
      </c>
      <c r="BE85" s="69">
        <v>0</v>
      </c>
      <c r="BF85" s="69">
        <f t="shared" si="54"/>
        <v>46666</v>
      </c>
      <c r="BG85" s="99"/>
      <c r="BH85" s="69"/>
      <c r="BI85" s="69"/>
      <c r="BJ85" s="69"/>
      <c r="BL85" s="69"/>
      <c r="BM85" s="69"/>
      <c r="BN85" s="69"/>
      <c r="BO85" s="69"/>
      <c r="BP85" s="109" t="s">
        <v>169</v>
      </c>
      <c r="BQ85" s="6">
        <f t="shared" si="55"/>
        <v>0</v>
      </c>
      <c r="BR85" s="69">
        <f t="shared" si="55"/>
        <v>0</v>
      </c>
      <c r="BS85" s="69">
        <f t="shared" si="55"/>
        <v>0</v>
      </c>
      <c r="BT85" s="69">
        <f t="shared" si="55"/>
        <v>0</v>
      </c>
      <c r="BU85" s="69">
        <f t="shared" si="55"/>
        <v>0</v>
      </c>
      <c r="BV85" s="69">
        <f t="shared" si="55"/>
        <v>0</v>
      </c>
      <c r="BW85" s="69">
        <f t="shared" si="55"/>
        <v>0</v>
      </c>
      <c r="BX85" s="69">
        <f t="shared" si="55"/>
        <v>7771</v>
      </c>
      <c r="BY85" s="69">
        <f t="shared" si="55"/>
        <v>34185</v>
      </c>
      <c r="BZ85" s="69">
        <f>AVERAGE($BX85:$BY85)</f>
        <v>20978</v>
      </c>
      <c r="CA85" s="69">
        <f t="shared" ref="CA85:CC85" si="72">AVERAGE($BX85:$BY85)</f>
        <v>20978</v>
      </c>
      <c r="CB85" s="69">
        <f t="shared" si="72"/>
        <v>20978</v>
      </c>
      <c r="CC85" s="69">
        <f t="shared" si="72"/>
        <v>20978</v>
      </c>
      <c r="CD85" s="69">
        <f t="shared" si="57"/>
        <v>125868</v>
      </c>
      <c r="CF85" s="7">
        <v>19817</v>
      </c>
      <c r="CG85" s="95">
        <f t="shared" si="62"/>
        <v>106051</v>
      </c>
      <c r="DS85" s="95"/>
      <c r="DU85" s="100">
        <f t="shared" si="63"/>
        <v>1</v>
      </c>
      <c r="DV85" s="95">
        <f t="shared" si="58"/>
        <v>0</v>
      </c>
      <c r="DW85" s="95">
        <f t="shared" ref="DW85" si="73">SUM(BR85:BT85)-DV85</f>
        <v>0</v>
      </c>
      <c r="DX85" s="95">
        <f t="shared" si="60"/>
        <v>0</v>
      </c>
      <c r="DY85" s="95">
        <f t="shared" si="68"/>
        <v>0</v>
      </c>
      <c r="DZ85" s="95"/>
      <c r="EB85" s="102"/>
      <c r="EC85" s="102"/>
      <c r="ED85" s="102"/>
      <c r="EE85" s="102"/>
      <c r="EF85" s="102"/>
      <c r="EK85" s="82"/>
      <c r="EL85" s="82"/>
      <c r="EM85" s="82"/>
      <c r="EN85" s="82"/>
      <c r="EO85" s="82"/>
      <c r="EP85" s="82"/>
      <c r="EQ85" s="82"/>
      <c r="ER85" s="82"/>
      <c r="ES85" s="82"/>
      <c r="ET85" s="82"/>
      <c r="EU85" s="82"/>
      <c r="EV85" s="82"/>
      <c r="EW85" s="82"/>
      <c r="EX85" s="82"/>
      <c r="EY85" s="82"/>
      <c r="EZ85" s="82"/>
      <c r="FA85" s="82"/>
      <c r="FB85" s="82"/>
      <c r="FC85" s="82"/>
      <c r="FD85" s="82"/>
      <c r="FE85" s="82"/>
      <c r="FF85" s="82"/>
      <c r="FG85" s="82"/>
      <c r="FH85" s="82"/>
      <c r="FI85" s="82"/>
      <c r="FJ85" s="82"/>
      <c r="FK85" s="82"/>
      <c r="FL85" s="82"/>
      <c r="FM85" s="82"/>
      <c r="FN85" s="82"/>
      <c r="FO85" s="82"/>
    </row>
    <row r="86" spans="1:171" x14ac:dyDescent="0.25">
      <c r="A86" t="s">
        <v>170</v>
      </c>
      <c r="B86" s="82">
        <v>123843</v>
      </c>
      <c r="C86" s="82">
        <v>94863</v>
      </c>
      <c r="D86" s="82">
        <v>4212</v>
      </c>
      <c r="E86" s="82">
        <v>657</v>
      </c>
      <c r="F86" s="82"/>
      <c r="G86" s="69">
        <v>2616</v>
      </c>
      <c r="H86" s="69">
        <v>0</v>
      </c>
      <c r="I86" s="69">
        <v>1095</v>
      </c>
      <c r="J86" s="69">
        <v>0</v>
      </c>
      <c r="K86" s="69">
        <v>2000</v>
      </c>
      <c r="L86" s="69">
        <v>1159</v>
      </c>
      <c r="M86" s="69">
        <v>0</v>
      </c>
      <c r="N86" s="69">
        <v>200</v>
      </c>
      <c r="O86" s="69">
        <v>0</v>
      </c>
      <c r="P86" s="69">
        <v>0</v>
      </c>
      <c r="Q86" s="69">
        <v>-2400</v>
      </c>
      <c r="R86" s="69">
        <v>90195</v>
      </c>
      <c r="S86" s="69">
        <f t="shared" si="51"/>
        <v>94865</v>
      </c>
      <c r="T86" s="69">
        <v>0</v>
      </c>
      <c r="U86" s="69">
        <v>0</v>
      </c>
      <c r="V86" s="69">
        <v>205</v>
      </c>
      <c r="W86" s="69">
        <v>1850</v>
      </c>
      <c r="X86" s="69">
        <v>205</v>
      </c>
      <c r="Y86" s="69">
        <v>0</v>
      </c>
      <c r="Z86" s="69">
        <v>271</v>
      </c>
      <c r="AA86" s="69">
        <v>0</v>
      </c>
      <c r="AB86" s="69">
        <v>0</v>
      </c>
      <c r="AC86" s="69">
        <v>0</v>
      </c>
      <c r="AD86" s="69">
        <v>0</v>
      </c>
      <c r="AE86" s="69">
        <v>1682</v>
      </c>
      <c r="AF86" s="69">
        <f t="shared" si="52"/>
        <v>4213</v>
      </c>
      <c r="AG86" s="69">
        <v>0</v>
      </c>
      <c r="AH86" s="69">
        <v>0</v>
      </c>
      <c r="AI86" s="69">
        <v>0</v>
      </c>
      <c r="AJ86" s="69">
        <v>0</v>
      </c>
      <c r="AK86" s="69">
        <v>0</v>
      </c>
      <c r="AL86" s="69">
        <v>0</v>
      </c>
      <c r="AM86" s="69">
        <v>0</v>
      </c>
      <c r="AN86" s="69">
        <v>0</v>
      </c>
      <c r="AO86" s="69">
        <v>0</v>
      </c>
      <c r="AP86" s="69">
        <v>0</v>
      </c>
      <c r="AQ86" s="69">
        <v>0</v>
      </c>
      <c r="AR86" s="69">
        <v>657</v>
      </c>
      <c r="AS86" s="69">
        <f t="shared" si="53"/>
        <v>657</v>
      </c>
      <c r="AT86" s="69">
        <v>0</v>
      </c>
      <c r="AU86" s="69">
        <v>25000</v>
      </c>
      <c r="AV86" s="69">
        <v>25000</v>
      </c>
      <c r="AW86" s="69">
        <v>25000</v>
      </c>
      <c r="AX86" s="69">
        <v>25000</v>
      </c>
      <c r="AY86" s="69">
        <v>25166</v>
      </c>
      <c r="AZ86" s="69">
        <v>23605</v>
      </c>
      <c r="BA86" s="69">
        <v>25000</v>
      </c>
      <c r="BB86" s="69">
        <v>25000</v>
      </c>
      <c r="BC86" s="69">
        <v>0</v>
      </c>
      <c r="BD86" s="69">
        <v>0</v>
      </c>
      <c r="BE86" s="69">
        <v>0</v>
      </c>
      <c r="BF86" s="69">
        <f t="shared" si="54"/>
        <v>198771</v>
      </c>
      <c r="BG86" s="99"/>
      <c r="BH86" s="69"/>
      <c r="BI86" s="69"/>
      <c r="BJ86" s="69"/>
      <c r="BL86" s="69"/>
      <c r="BM86" s="69"/>
      <c r="BN86" s="69"/>
      <c r="BO86" s="69"/>
      <c r="BP86" t="s">
        <v>170</v>
      </c>
      <c r="BQ86" s="6">
        <f t="shared" si="55"/>
        <v>657</v>
      </c>
      <c r="BR86" s="69">
        <f t="shared" si="55"/>
        <v>0</v>
      </c>
      <c r="BS86" s="69">
        <f t="shared" si="55"/>
        <v>25000</v>
      </c>
      <c r="BT86" s="69">
        <f t="shared" si="55"/>
        <v>25000</v>
      </c>
      <c r="BU86" s="69">
        <f t="shared" si="55"/>
        <v>25000</v>
      </c>
      <c r="BV86" s="69">
        <f t="shared" si="55"/>
        <v>25000</v>
      </c>
      <c r="BW86" s="69">
        <f t="shared" si="55"/>
        <v>25166</v>
      </c>
      <c r="BX86" s="69">
        <f t="shared" si="55"/>
        <v>23605</v>
      </c>
      <c r="BY86" s="69">
        <f t="shared" si="55"/>
        <v>25000</v>
      </c>
      <c r="BZ86" s="110">
        <v>25000</v>
      </c>
      <c r="CA86" s="110">
        <v>25000</v>
      </c>
      <c r="CB86" s="110">
        <v>25000</v>
      </c>
      <c r="CC86" s="110">
        <v>25000</v>
      </c>
      <c r="CD86" s="69">
        <f t="shared" si="57"/>
        <v>273771</v>
      </c>
      <c r="CF86" s="7">
        <v>249826</v>
      </c>
      <c r="CG86" s="95">
        <f t="shared" si="62"/>
        <v>23945</v>
      </c>
      <c r="CH86" s="1" t="s">
        <v>171</v>
      </c>
      <c r="DS86" s="95"/>
      <c r="DU86" s="100">
        <f t="shared" si="63"/>
        <v>1</v>
      </c>
      <c r="DV86" s="95">
        <f t="shared" si="58"/>
        <v>0</v>
      </c>
      <c r="DW86" s="95">
        <f t="shared" si="67"/>
        <v>50000</v>
      </c>
      <c r="DX86" s="95">
        <f t="shared" si="60"/>
        <v>0</v>
      </c>
      <c r="DY86" s="95">
        <f t="shared" si="68"/>
        <v>657</v>
      </c>
      <c r="DZ86" s="95"/>
      <c r="EE86" s="82"/>
      <c r="EK86" s="82"/>
      <c r="EL86" s="82"/>
      <c r="EM86" s="82"/>
      <c r="EN86" s="82"/>
      <c r="EO86" s="82"/>
      <c r="EP86" s="82"/>
      <c r="EQ86" s="82"/>
      <c r="ER86" s="82"/>
      <c r="ES86" s="82"/>
      <c r="ET86" s="82"/>
      <c r="EU86" s="82"/>
      <c r="EV86" s="82"/>
      <c r="EW86" s="82"/>
      <c r="EX86" s="82"/>
      <c r="EY86" s="82"/>
      <c r="EZ86" s="82"/>
      <c r="FA86" s="82"/>
      <c r="FB86" s="82"/>
      <c r="FC86" s="82"/>
      <c r="FD86" s="82"/>
      <c r="FE86" s="82"/>
      <c r="FF86" s="82"/>
      <c r="FG86" s="82"/>
      <c r="FH86" s="82"/>
      <c r="FI86" s="82"/>
      <c r="FJ86" s="82"/>
      <c r="FK86" s="82"/>
      <c r="FL86" s="82"/>
      <c r="FM86" s="82"/>
      <c r="FN86" s="82"/>
      <c r="FO86" s="82"/>
    </row>
    <row r="87" spans="1:171" x14ac:dyDescent="0.25">
      <c r="A87" t="s">
        <v>172</v>
      </c>
      <c r="B87" s="82">
        <v>60175</v>
      </c>
      <c r="C87" s="82">
        <v>111999</v>
      </c>
      <c r="D87" s="82">
        <v>279562</v>
      </c>
      <c r="E87" s="82">
        <v>340627</v>
      </c>
      <c r="F87" s="82"/>
      <c r="G87" s="69">
        <v>9129</v>
      </c>
      <c r="H87" s="69">
        <v>6908</v>
      </c>
      <c r="I87" s="69">
        <v>11047</v>
      </c>
      <c r="J87" s="69">
        <v>17142</v>
      </c>
      <c r="K87" s="69">
        <v>6615</v>
      </c>
      <c r="L87" s="69">
        <v>4565</v>
      </c>
      <c r="M87" s="69">
        <v>10136</v>
      </c>
      <c r="N87" s="69">
        <v>6396</v>
      </c>
      <c r="O87" s="69">
        <v>12354</v>
      </c>
      <c r="P87" s="69">
        <v>3795</v>
      </c>
      <c r="Q87" s="69">
        <v>15858</v>
      </c>
      <c r="R87" s="69">
        <v>8055</v>
      </c>
      <c r="S87" s="69">
        <f t="shared" si="51"/>
        <v>112000</v>
      </c>
      <c r="T87" s="69">
        <v>8964</v>
      </c>
      <c r="U87" s="69">
        <v>27792</v>
      </c>
      <c r="V87" s="69">
        <v>16085</v>
      </c>
      <c r="W87" s="69">
        <v>12434</v>
      </c>
      <c r="X87" s="69">
        <v>10336</v>
      </c>
      <c r="Y87" s="69">
        <v>23310</v>
      </c>
      <c r="Z87" s="69">
        <v>20289</v>
      </c>
      <c r="AA87" s="69">
        <v>24299</v>
      </c>
      <c r="AB87" s="69">
        <v>28484</v>
      </c>
      <c r="AC87" s="69">
        <v>25191</v>
      </c>
      <c r="AD87" s="69">
        <v>30165</v>
      </c>
      <c r="AE87" s="69">
        <v>52213</v>
      </c>
      <c r="AF87" s="69">
        <f t="shared" si="52"/>
        <v>279562</v>
      </c>
      <c r="AG87" s="69">
        <v>31149</v>
      </c>
      <c r="AH87" s="69">
        <v>20035</v>
      </c>
      <c r="AI87" s="69">
        <v>52620</v>
      </c>
      <c r="AJ87" s="69">
        <v>20096</v>
      </c>
      <c r="AK87" s="69">
        <v>22189</v>
      </c>
      <c r="AL87" s="69">
        <v>26817</v>
      </c>
      <c r="AM87" s="69">
        <v>19342</v>
      </c>
      <c r="AN87" s="69">
        <v>26034</v>
      </c>
      <c r="AO87" s="69">
        <v>31721</v>
      </c>
      <c r="AP87" s="69">
        <v>28472</v>
      </c>
      <c r="AQ87" s="69">
        <v>25323</v>
      </c>
      <c r="AR87" s="69">
        <v>36828</v>
      </c>
      <c r="AS87" s="69">
        <f t="shared" si="53"/>
        <v>340626</v>
      </c>
      <c r="AT87" s="69">
        <v>29497</v>
      </c>
      <c r="AU87" s="69">
        <v>42528</v>
      </c>
      <c r="AV87" s="69">
        <v>32178</v>
      </c>
      <c r="AW87" s="69">
        <v>25431</v>
      </c>
      <c r="AX87" s="69">
        <v>50857</v>
      </c>
      <c r="AY87" s="69">
        <v>34222</v>
      </c>
      <c r="AZ87" s="69">
        <v>55615</v>
      </c>
      <c r="BA87" s="69">
        <v>43557</v>
      </c>
      <c r="BB87" s="69">
        <v>38859</v>
      </c>
      <c r="BC87" s="69">
        <v>0</v>
      </c>
      <c r="BD87" s="69">
        <v>0</v>
      </c>
      <c r="BE87" s="69">
        <v>0</v>
      </c>
      <c r="BF87" s="69">
        <f t="shared" si="54"/>
        <v>352744</v>
      </c>
      <c r="BG87" s="99"/>
      <c r="BH87" s="69"/>
      <c r="BI87" s="69"/>
      <c r="BJ87" s="69"/>
      <c r="BL87" s="69"/>
      <c r="BM87" s="69"/>
      <c r="BN87" s="69"/>
      <c r="BO87" s="69"/>
      <c r="BP87" t="s">
        <v>172</v>
      </c>
      <c r="BQ87" s="6">
        <f t="shared" si="55"/>
        <v>340626</v>
      </c>
      <c r="BR87" s="69">
        <f t="shared" si="55"/>
        <v>29497</v>
      </c>
      <c r="BS87" s="69">
        <f t="shared" si="55"/>
        <v>42528</v>
      </c>
      <c r="BT87" s="69">
        <f t="shared" si="55"/>
        <v>32178</v>
      </c>
      <c r="BU87" s="69">
        <f t="shared" si="55"/>
        <v>25431</v>
      </c>
      <c r="BV87" s="69">
        <f t="shared" si="55"/>
        <v>50857</v>
      </c>
      <c r="BW87" s="69">
        <f t="shared" si="55"/>
        <v>34222</v>
      </c>
      <c r="BX87" s="69">
        <f t="shared" si="55"/>
        <v>55615</v>
      </c>
      <c r="BY87" s="69">
        <f t="shared" si="55"/>
        <v>43557</v>
      </c>
      <c r="BZ87" s="71">
        <f>AVERAGE($BV$87:$BX$87)</f>
        <v>46898</v>
      </c>
      <c r="CA87" s="71">
        <f t="shared" ref="CA87:CC87" si="74">AVERAGE($BV$87:$BX$87)</f>
        <v>46898</v>
      </c>
      <c r="CB87" s="71">
        <f t="shared" si="74"/>
        <v>46898</v>
      </c>
      <c r="CC87" s="71">
        <f t="shared" si="74"/>
        <v>46898</v>
      </c>
      <c r="CD87" s="69">
        <f t="shared" si="57"/>
        <v>501477</v>
      </c>
      <c r="CF87" s="7">
        <v>521315.75</v>
      </c>
      <c r="CG87" s="95">
        <f t="shared" si="62"/>
        <v>-19838.75</v>
      </c>
      <c r="CH87" s="1" t="s">
        <v>173</v>
      </c>
      <c r="DS87" s="95"/>
      <c r="DT87" s="100">
        <v>0.1</v>
      </c>
      <c r="DU87" s="100">
        <f t="shared" si="63"/>
        <v>0.9</v>
      </c>
      <c r="DV87" s="95">
        <f t="shared" si="58"/>
        <v>10420.300000000001</v>
      </c>
      <c r="DW87" s="95">
        <f t="shared" si="67"/>
        <v>93782.7</v>
      </c>
      <c r="DX87" s="95">
        <f t="shared" si="60"/>
        <v>34062.6</v>
      </c>
      <c r="DY87" s="95">
        <f t="shared" si="68"/>
        <v>306563.40000000002</v>
      </c>
      <c r="DZ87" s="95"/>
      <c r="EE87" s="82"/>
      <c r="EK87" s="82"/>
      <c r="EL87" s="82"/>
      <c r="EM87" s="82"/>
      <c r="EN87" s="82"/>
      <c r="EO87" s="82"/>
      <c r="EP87" s="82"/>
      <c r="EQ87" s="82"/>
      <c r="ER87" s="82"/>
      <c r="ES87" s="82"/>
      <c r="ET87" s="82"/>
      <c r="EU87" s="82"/>
      <c r="EV87" s="82"/>
      <c r="EW87" s="82"/>
      <c r="EX87" s="82"/>
      <c r="EY87" s="82"/>
      <c r="EZ87" s="82"/>
      <c r="FA87" s="82"/>
      <c r="FB87" s="82"/>
      <c r="FC87" s="82"/>
      <c r="FD87" s="82"/>
      <c r="FE87" s="82"/>
      <c r="FF87" s="82"/>
      <c r="FG87" s="82"/>
      <c r="FH87" s="82"/>
      <c r="FI87" s="82"/>
      <c r="FJ87" s="82"/>
      <c r="FK87" s="82"/>
      <c r="FL87" s="82"/>
      <c r="FM87" s="82"/>
      <c r="FN87" s="82"/>
      <c r="FO87" s="82"/>
    </row>
    <row r="88" spans="1:171" x14ac:dyDescent="0.25">
      <c r="A88" t="s">
        <v>174</v>
      </c>
      <c r="B88" s="82">
        <v>528711</v>
      </c>
      <c r="C88" s="82">
        <v>649449</v>
      </c>
      <c r="D88" s="82">
        <v>362924</v>
      </c>
      <c r="E88" s="82">
        <v>227876</v>
      </c>
      <c r="F88" s="82"/>
      <c r="G88" s="69">
        <v>44956</v>
      </c>
      <c r="H88" s="69">
        <v>33426</v>
      </c>
      <c r="I88" s="69">
        <v>68856</v>
      </c>
      <c r="J88" s="69">
        <v>73276</v>
      </c>
      <c r="K88" s="69">
        <v>34752</v>
      </c>
      <c r="L88" s="69">
        <v>92841</v>
      </c>
      <c r="M88" s="69">
        <v>32626</v>
      </c>
      <c r="N88" s="69">
        <v>78567</v>
      </c>
      <c r="O88" s="69">
        <v>30182</v>
      </c>
      <c r="P88" s="69">
        <v>45230</v>
      </c>
      <c r="Q88" s="69">
        <v>70454</v>
      </c>
      <c r="R88" s="69">
        <v>44283</v>
      </c>
      <c r="S88" s="69">
        <f t="shared" si="51"/>
        <v>649449</v>
      </c>
      <c r="T88" s="69">
        <v>73575</v>
      </c>
      <c r="U88" s="69">
        <v>60130</v>
      </c>
      <c r="V88" s="69">
        <v>61276</v>
      </c>
      <c r="W88" s="69">
        <v>20982</v>
      </c>
      <c r="X88" s="69">
        <v>31032</v>
      </c>
      <c r="Y88" s="69">
        <v>31808</v>
      </c>
      <c r="Z88" s="69">
        <v>41554</v>
      </c>
      <c r="AA88" s="69">
        <v>13270</v>
      </c>
      <c r="AB88" s="69">
        <v>-56406</v>
      </c>
      <c r="AC88" s="69">
        <v>45267</v>
      </c>
      <c r="AD88" s="69">
        <v>11951</v>
      </c>
      <c r="AE88" s="69">
        <v>28485</v>
      </c>
      <c r="AF88" s="69">
        <f t="shared" si="52"/>
        <v>362924</v>
      </c>
      <c r="AG88" s="69">
        <v>1168</v>
      </c>
      <c r="AH88" s="69">
        <v>17805</v>
      </c>
      <c r="AI88" s="69">
        <v>44140</v>
      </c>
      <c r="AJ88" s="69">
        <v>53007</v>
      </c>
      <c r="AK88" s="69">
        <v>16949</v>
      </c>
      <c r="AL88" s="69">
        <v>8602</v>
      </c>
      <c r="AM88" s="69">
        <v>7852</v>
      </c>
      <c r="AN88" s="69">
        <v>33124</v>
      </c>
      <c r="AO88" s="69">
        <v>14724</v>
      </c>
      <c r="AP88" s="69">
        <v>10554</v>
      </c>
      <c r="AQ88" s="69">
        <v>14823</v>
      </c>
      <c r="AR88" s="69">
        <v>5128</v>
      </c>
      <c r="AS88" s="69">
        <f t="shared" si="53"/>
        <v>227876</v>
      </c>
      <c r="AT88" s="69">
        <v>10809</v>
      </c>
      <c r="AU88" s="69">
        <v>6610</v>
      </c>
      <c r="AV88" s="69">
        <v>3735</v>
      </c>
      <c r="AW88" s="69">
        <v>6724</v>
      </c>
      <c r="AX88" s="69">
        <v>2499</v>
      </c>
      <c r="AY88" s="69">
        <v>658</v>
      </c>
      <c r="AZ88" s="69">
        <v>2771</v>
      </c>
      <c r="BA88" s="69">
        <v>9668</v>
      </c>
      <c r="BB88" s="69">
        <v>351</v>
      </c>
      <c r="BC88" s="69">
        <v>0</v>
      </c>
      <c r="BD88" s="69">
        <v>0</v>
      </c>
      <c r="BE88" s="69">
        <v>0</v>
      </c>
      <c r="BF88" s="69">
        <f t="shared" si="54"/>
        <v>43825</v>
      </c>
      <c r="BG88" s="99"/>
      <c r="BH88" s="69"/>
      <c r="BI88" s="69"/>
      <c r="BJ88" s="69"/>
      <c r="BL88" s="69"/>
      <c r="BM88" s="69"/>
      <c r="BN88" s="69"/>
      <c r="BO88" s="69"/>
      <c r="BP88" t="s">
        <v>174</v>
      </c>
      <c r="BQ88" s="6">
        <f t="shared" si="55"/>
        <v>227876</v>
      </c>
      <c r="BR88" s="69">
        <f t="shared" si="55"/>
        <v>10809</v>
      </c>
      <c r="BS88" s="69">
        <f t="shared" si="55"/>
        <v>6610</v>
      </c>
      <c r="BT88" s="69">
        <f t="shared" si="55"/>
        <v>3735</v>
      </c>
      <c r="BU88" s="69">
        <f t="shared" si="55"/>
        <v>6724</v>
      </c>
      <c r="BV88" s="69">
        <f t="shared" si="55"/>
        <v>2499</v>
      </c>
      <c r="BW88" s="69">
        <f t="shared" si="55"/>
        <v>658</v>
      </c>
      <c r="BX88" s="69">
        <f t="shared" si="55"/>
        <v>2771</v>
      </c>
      <c r="BY88" s="69">
        <f t="shared" si="55"/>
        <v>9668</v>
      </c>
      <c r="BZ88" s="105">
        <f t="shared" ref="BZ88:CC88" si="75">SUM($BU88:$BX88)/SUM($BU$3:$BX$3)*BZ$3</f>
        <v>2221.2510462774617</v>
      </c>
      <c r="CA88" s="105">
        <f t="shared" si="75"/>
        <v>4177.0530227822674</v>
      </c>
      <c r="CB88" s="105">
        <f t="shared" si="75"/>
        <v>4721.4235754045712</v>
      </c>
      <c r="CC88" s="105">
        <f t="shared" si="75"/>
        <v>3853.5491543264034</v>
      </c>
      <c r="CD88" s="69">
        <f t="shared" si="57"/>
        <v>58447.276798790699</v>
      </c>
      <c r="CF88" s="7">
        <v>50043.825870819092</v>
      </c>
      <c r="CG88" s="95">
        <f t="shared" si="62"/>
        <v>8403.4509279716076</v>
      </c>
      <c r="CH88" s="1" t="s">
        <v>173</v>
      </c>
      <c r="DS88" s="95"/>
      <c r="DT88" s="100">
        <v>1</v>
      </c>
      <c r="DU88" s="100">
        <f t="shared" si="63"/>
        <v>0</v>
      </c>
      <c r="DV88" s="95">
        <f t="shared" si="58"/>
        <v>21154</v>
      </c>
      <c r="DW88" s="95">
        <f t="shared" si="67"/>
        <v>0</v>
      </c>
      <c r="DX88" s="95">
        <f t="shared" si="60"/>
        <v>227876</v>
      </c>
      <c r="DY88" s="95">
        <f t="shared" si="68"/>
        <v>0</v>
      </c>
      <c r="DZ88" s="95"/>
      <c r="EE88" s="82"/>
      <c r="EK88" s="82"/>
      <c r="EL88" s="82"/>
      <c r="EM88" s="82"/>
      <c r="EN88" s="82"/>
      <c r="EO88" s="82"/>
      <c r="EP88" s="82"/>
      <c r="EQ88" s="82"/>
      <c r="ER88" s="82"/>
      <c r="ES88" s="82"/>
      <c r="ET88" s="82"/>
      <c r="EU88" s="82"/>
      <c r="EV88" s="82"/>
      <c r="EW88" s="82"/>
      <c r="EX88" s="82"/>
      <c r="EY88" s="82"/>
      <c r="EZ88" s="82"/>
      <c r="FA88" s="82"/>
      <c r="FB88" s="82"/>
      <c r="FC88" s="82"/>
      <c r="FD88" s="82"/>
      <c r="FE88" s="82"/>
      <c r="FF88" s="82"/>
      <c r="FG88" s="82"/>
      <c r="FH88" s="82"/>
      <c r="FI88" s="82"/>
      <c r="FJ88" s="82"/>
      <c r="FK88" s="82"/>
      <c r="FL88" s="82"/>
      <c r="FM88" s="82"/>
      <c r="FN88" s="82"/>
      <c r="FO88" s="82"/>
    </row>
    <row r="89" spans="1:171" x14ac:dyDescent="0.25">
      <c r="A89" t="s">
        <v>175</v>
      </c>
      <c r="B89" s="82">
        <v>113955</v>
      </c>
      <c r="C89" s="82">
        <v>294887</v>
      </c>
      <c r="D89" s="82">
        <v>181919</v>
      </c>
      <c r="E89" s="82">
        <v>52102</v>
      </c>
      <c r="F89" s="82"/>
      <c r="G89" s="69">
        <v>6083</v>
      </c>
      <c r="H89" s="69">
        <v>30662</v>
      </c>
      <c r="I89" s="69">
        <v>23761</v>
      </c>
      <c r="J89" s="69">
        <v>22772</v>
      </c>
      <c r="K89" s="69">
        <v>16065</v>
      </c>
      <c r="L89" s="69">
        <v>30732</v>
      </c>
      <c r="M89" s="69">
        <v>13995</v>
      </c>
      <c r="N89" s="69">
        <v>26767</v>
      </c>
      <c r="O89" s="69">
        <v>35068</v>
      </c>
      <c r="P89" s="69">
        <v>25393</v>
      </c>
      <c r="Q89" s="69">
        <v>45957</v>
      </c>
      <c r="R89" s="69">
        <v>17632</v>
      </c>
      <c r="S89" s="69">
        <f t="shared" si="51"/>
        <v>294887</v>
      </c>
      <c r="T89" s="69">
        <v>14405</v>
      </c>
      <c r="U89" s="69">
        <v>22692</v>
      </c>
      <c r="V89" s="69">
        <v>20820</v>
      </c>
      <c r="W89" s="69">
        <v>14212</v>
      </c>
      <c r="X89" s="69">
        <v>3457</v>
      </c>
      <c r="Y89" s="69">
        <v>9685</v>
      </c>
      <c r="Z89" s="69">
        <v>22471</v>
      </c>
      <c r="AA89" s="69">
        <v>17727</v>
      </c>
      <c r="AB89" s="69">
        <v>14759</v>
      </c>
      <c r="AC89" s="69">
        <v>19036</v>
      </c>
      <c r="AD89" s="69">
        <v>12826</v>
      </c>
      <c r="AE89" s="69">
        <v>9830</v>
      </c>
      <c r="AF89" s="69">
        <f t="shared" si="52"/>
        <v>181920</v>
      </c>
      <c r="AG89" s="69">
        <v>-340</v>
      </c>
      <c r="AH89" s="69">
        <v>763</v>
      </c>
      <c r="AI89" s="69">
        <v>189</v>
      </c>
      <c r="AJ89" s="69">
        <v>2175</v>
      </c>
      <c r="AK89" s="69">
        <v>1258</v>
      </c>
      <c r="AL89" s="69">
        <v>3060</v>
      </c>
      <c r="AM89" s="69">
        <v>16828</v>
      </c>
      <c r="AN89" s="69">
        <v>381</v>
      </c>
      <c r="AO89" s="69">
        <v>1140</v>
      </c>
      <c r="AP89" s="69">
        <v>10138</v>
      </c>
      <c r="AQ89" s="69">
        <v>15358</v>
      </c>
      <c r="AR89" s="69">
        <v>1151</v>
      </c>
      <c r="AS89" s="69">
        <f t="shared" si="53"/>
        <v>52101</v>
      </c>
      <c r="AT89" s="69">
        <v>332</v>
      </c>
      <c r="AU89" s="69">
        <v>23163</v>
      </c>
      <c r="AV89" s="69">
        <v>1059</v>
      </c>
      <c r="AW89" s="69">
        <v>517</v>
      </c>
      <c r="AX89" s="69">
        <v>211</v>
      </c>
      <c r="AY89" s="69">
        <v>658</v>
      </c>
      <c r="AZ89" s="69">
        <v>410</v>
      </c>
      <c r="BA89" s="69">
        <v>9469</v>
      </c>
      <c r="BB89" s="69">
        <v>6690</v>
      </c>
      <c r="BC89" s="69">
        <v>0</v>
      </c>
      <c r="BD89" s="69">
        <v>0</v>
      </c>
      <c r="BE89" s="69">
        <v>0</v>
      </c>
      <c r="BF89" s="69">
        <f t="shared" si="54"/>
        <v>42509</v>
      </c>
      <c r="BG89" s="99"/>
      <c r="BH89" s="69"/>
      <c r="BI89" s="69"/>
      <c r="BJ89" s="69"/>
      <c r="BL89" s="69"/>
      <c r="BM89" s="69"/>
      <c r="BN89" s="69"/>
      <c r="BO89" s="69"/>
      <c r="BP89" t="s">
        <v>175</v>
      </c>
      <c r="BQ89" s="6">
        <f t="shared" si="55"/>
        <v>52101</v>
      </c>
      <c r="BR89" s="69">
        <f t="shared" si="55"/>
        <v>332</v>
      </c>
      <c r="BS89" s="69">
        <f t="shared" si="55"/>
        <v>23163</v>
      </c>
      <c r="BT89" s="69">
        <f t="shared" si="55"/>
        <v>1059</v>
      </c>
      <c r="BU89" s="69">
        <f t="shared" si="55"/>
        <v>517</v>
      </c>
      <c r="BV89" s="69">
        <f t="shared" si="55"/>
        <v>211</v>
      </c>
      <c r="BW89" s="69">
        <f t="shared" si="55"/>
        <v>658</v>
      </c>
      <c r="BX89" s="69">
        <f t="shared" si="55"/>
        <v>410</v>
      </c>
      <c r="BY89" s="69">
        <f t="shared" si="55"/>
        <v>9469</v>
      </c>
      <c r="BZ89" s="71">
        <f t="shared" ref="BZ89:CC89" si="76">+$AS$89/12</f>
        <v>4341.75</v>
      </c>
      <c r="CA89" s="71">
        <f t="shared" si="76"/>
        <v>4341.75</v>
      </c>
      <c r="CB89" s="71">
        <f t="shared" si="76"/>
        <v>4341.75</v>
      </c>
      <c r="CC89" s="71">
        <f t="shared" si="76"/>
        <v>4341.75</v>
      </c>
      <c r="CD89" s="69">
        <f t="shared" si="57"/>
        <v>53186</v>
      </c>
      <c r="CF89" s="7">
        <v>48957.916666666672</v>
      </c>
      <c r="CG89" s="95">
        <f t="shared" si="62"/>
        <v>4228.0833333333285</v>
      </c>
      <c r="CH89" s="1" t="s">
        <v>173</v>
      </c>
      <c r="DS89" s="95"/>
      <c r="DU89" s="100">
        <f t="shared" si="63"/>
        <v>1</v>
      </c>
      <c r="DV89" s="95">
        <f t="shared" si="58"/>
        <v>0</v>
      </c>
      <c r="DW89" s="95">
        <f t="shared" si="67"/>
        <v>24554</v>
      </c>
      <c r="DX89" s="95">
        <f t="shared" si="60"/>
        <v>0</v>
      </c>
      <c r="DY89" s="95">
        <f t="shared" si="68"/>
        <v>52101</v>
      </c>
      <c r="DZ89" s="95"/>
      <c r="EE89" s="82"/>
      <c r="EK89" s="82"/>
      <c r="EL89" s="82"/>
      <c r="EM89" s="82"/>
      <c r="EN89" s="82"/>
      <c r="EO89" s="82"/>
      <c r="EP89" s="82"/>
      <c r="EQ89" s="82"/>
      <c r="ER89" s="82"/>
      <c r="ES89" s="82"/>
      <c r="ET89" s="82"/>
      <c r="EU89" s="82"/>
      <c r="EV89" s="82"/>
      <c r="EW89" s="82"/>
      <c r="EX89" s="82"/>
      <c r="EY89" s="82"/>
      <c r="EZ89" s="82"/>
      <c r="FA89" s="82"/>
      <c r="FB89" s="82"/>
      <c r="FC89" s="82"/>
      <c r="FD89" s="82"/>
      <c r="FE89" s="82"/>
      <c r="FF89" s="82"/>
      <c r="FG89" s="82"/>
      <c r="FH89" s="82"/>
      <c r="FI89" s="82"/>
      <c r="FJ89" s="82"/>
      <c r="FK89" s="82"/>
      <c r="FL89" s="82"/>
      <c r="FM89" s="82"/>
      <c r="FN89" s="82"/>
      <c r="FO89" s="82"/>
    </row>
    <row r="90" spans="1:171" x14ac:dyDescent="0.25">
      <c r="A90" t="s">
        <v>176</v>
      </c>
      <c r="B90" s="82">
        <v>0</v>
      </c>
      <c r="C90" s="82">
        <v>8828</v>
      </c>
      <c r="D90" s="82">
        <v>-13</v>
      </c>
      <c r="E90" s="82">
        <v>14195</v>
      </c>
      <c r="F90" s="82"/>
      <c r="G90" s="69">
        <v>0</v>
      </c>
      <c r="H90" s="69">
        <v>0</v>
      </c>
      <c r="I90" s="69">
        <v>0</v>
      </c>
      <c r="J90" s="69">
        <v>0</v>
      </c>
      <c r="K90" s="69">
        <v>0</v>
      </c>
      <c r="L90" s="69">
        <v>0</v>
      </c>
      <c r="M90" s="69">
        <v>0</v>
      </c>
      <c r="N90" s="69">
        <v>0</v>
      </c>
      <c r="O90" s="69">
        <v>0</v>
      </c>
      <c r="P90" s="69">
        <v>0</v>
      </c>
      <c r="Q90" s="69">
        <v>8828</v>
      </c>
      <c r="R90" s="69">
        <v>0</v>
      </c>
      <c r="S90" s="69">
        <f t="shared" si="51"/>
        <v>8828</v>
      </c>
      <c r="T90" s="69">
        <v>8205</v>
      </c>
      <c r="U90" s="69">
        <v>0</v>
      </c>
      <c r="V90" s="69">
        <v>99</v>
      </c>
      <c r="W90" s="69">
        <v>-483</v>
      </c>
      <c r="X90" s="69">
        <v>0</v>
      </c>
      <c r="Y90" s="69">
        <v>0</v>
      </c>
      <c r="Z90" s="69">
        <v>-79</v>
      </c>
      <c r="AA90" s="69">
        <v>791</v>
      </c>
      <c r="AB90" s="69">
        <v>3623</v>
      </c>
      <c r="AC90" s="69">
        <v>15863</v>
      </c>
      <c r="AD90" s="69">
        <v>-37168</v>
      </c>
      <c r="AE90" s="69">
        <v>9137</v>
      </c>
      <c r="AF90" s="69">
        <f t="shared" si="52"/>
        <v>-12</v>
      </c>
      <c r="AG90" s="69">
        <v>0</v>
      </c>
      <c r="AH90" s="69">
        <v>164</v>
      </c>
      <c r="AI90" s="69">
        <v>9345</v>
      </c>
      <c r="AJ90" s="69">
        <v>5586</v>
      </c>
      <c r="AK90" s="69">
        <v>0</v>
      </c>
      <c r="AL90" s="69">
        <v>0</v>
      </c>
      <c r="AM90" s="69">
        <v>0</v>
      </c>
      <c r="AN90" s="69">
        <v>0</v>
      </c>
      <c r="AO90" s="69">
        <v>-900</v>
      </c>
      <c r="AP90" s="69">
        <v>0</v>
      </c>
      <c r="AQ90" s="69">
        <v>0</v>
      </c>
      <c r="AR90" s="69">
        <v>0</v>
      </c>
      <c r="AS90" s="69">
        <f t="shared" si="53"/>
        <v>14195</v>
      </c>
      <c r="AT90" s="69">
        <v>0</v>
      </c>
      <c r="AU90" s="69">
        <v>0</v>
      </c>
      <c r="AV90" s="69">
        <v>0</v>
      </c>
      <c r="AW90" s="69">
        <v>0</v>
      </c>
      <c r="AX90" s="69">
        <v>0</v>
      </c>
      <c r="AY90" s="69">
        <v>0</v>
      </c>
      <c r="AZ90" s="69">
        <v>0</v>
      </c>
      <c r="BA90" s="69">
        <v>0</v>
      </c>
      <c r="BB90" s="69">
        <v>0</v>
      </c>
      <c r="BC90" s="69">
        <v>0</v>
      </c>
      <c r="BD90" s="69">
        <v>0</v>
      </c>
      <c r="BE90" s="69">
        <v>0</v>
      </c>
      <c r="BF90" s="69">
        <f t="shared" si="54"/>
        <v>0</v>
      </c>
      <c r="BG90" s="99"/>
      <c r="BH90" s="69"/>
      <c r="BI90" s="69"/>
      <c r="BJ90" s="69"/>
      <c r="BL90" s="69"/>
      <c r="BM90" s="69"/>
      <c r="BN90" s="69"/>
      <c r="BO90" s="69"/>
      <c r="BP90" t="s">
        <v>176</v>
      </c>
      <c r="BQ90" s="6">
        <f t="shared" si="55"/>
        <v>14195</v>
      </c>
      <c r="BR90" s="69">
        <f t="shared" si="55"/>
        <v>0</v>
      </c>
      <c r="BS90" s="69">
        <f t="shared" si="55"/>
        <v>0</v>
      </c>
      <c r="BT90" s="69">
        <f t="shared" si="55"/>
        <v>0</v>
      </c>
      <c r="BU90" s="69">
        <f t="shared" si="55"/>
        <v>0</v>
      </c>
      <c r="BV90" s="69">
        <f t="shared" si="55"/>
        <v>0</v>
      </c>
      <c r="BW90" s="69">
        <f t="shared" si="55"/>
        <v>0</v>
      </c>
      <c r="BX90" s="69">
        <f t="shared" si="55"/>
        <v>0</v>
      </c>
      <c r="BY90" s="69">
        <f t="shared" si="55"/>
        <v>0</v>
      </c>
      <c r="BZ90" s="69">
        <f t="shared" ref="BZ90:CC100" si="77">AVERAGE($BR90:$BT90)</f>
        <v>0</v>
      </c>
      <c r="CA90" s="69">
        <f t="shared" si="77"/>
        <v>0</v>
      </c>
      <c r="CB90" s="69">
        <f t="shared" si="77"/>
        <v>0</v>
      </c>
      <c r="CC90" s="69">
        <f t="shared" si="77"/>
        <v>0</v>
      </c>
      <c r="CD90" s="69">
        <f t="shared" si="57"/>
        <v>0</v>
      </c>
      <c r="CF90" s="7">
        <v>0</v>
      </c>
      <c r="CG90" s="95">
        <f t="shared" si="62"/>
        <v>0</v>
      </c>
      <c r="DS90" s="95"/>
      <c r="DU90" s="100">
        <f t="shared" si="63"/>
        <v>1</v>
      </c>
      <c r="DV90" s="95">
        <f t="shared" si="58"/>
        <v>0</v>
      </c>
      <c r="DW90" s="95">
        <f t="shared" si="67"/>
        <v>0</v>
      </c>
      <c r="DX90" s="95">
        <f t="shared" si="60"/>
        <v>0</v>
      </c>
      <c r="DY90" s="95">
        <f t="shared" si="68"/>
        <v>14195</v>
      </c>
      <c r="DZ90" s="95"/>
      <c r="EE90" s="82"/>
      <c r="EK90" s="82"/>
      <c r="EL90" s="82"/>
      <c r="EM90" s="82"/>
      <c r="EN90" s="82"/>
      <c r="EO90" s="82"/>
      <c r="EP90" s="82"/>
      <c r="EQ90" s="82"/>
      <c r="ER90" s="82"/>
      <c r="ES90" s="82"/>
      <c r="ET90" s="82"/>
      <c r="EU90" s="82"/>
      <c r="EV90" s="82"/>
      <c r="EW90" s="82"/>
      <c r="EX90" s="82"/>
      <c r="EY90" s="82"/>
      <c r="EZ90" s="82"/>
      <c r="FA90" s="82"/>
      <c r="FB90" s="82"/>
      <c r="FC90" s="82"/>
      <c r="FD90" s="82"/>
      <c r="FE90" s="82"/>
      <c r="FF90" s="82"/>
      <c r="FG90" s="82"/>
      <c r="FH90" s="82"/>
      <c r="FI90" s="82"/>
      <c r="FJ90" s="82"/>
      <c r="FK90" s="82"/>
      <c r="FL90" s="82"/>
      <c r="FM90" s="82"/>
      <c r="FN90" s="82"/>
      <c r="FO90" s="82"/>
    </row>
    <row r="91" spans="1:171" x14ac:dyDescent="0.25">
      <c r="A91" s="111" t="s">
        <v>177</v>
      </c>
      <c r="B91" s="82">
        <v>0</v>
      </c>
      <c r="C91" s="82">
        <v>605</v>
      </c>
      <c r="D91" s="82">
        <v>2538</v>
      </c>
      <c r="E91" s="82">
        <v>38719</v>
      </c>
      <c r="F91" s="82"/>
      <c r="G91" s="69">
        <v>0</v>
      </c>
      <c r="H91" s="69">
        <v>0</v>
      </c>
      <c r="I91" s="69">
        <v>0</v>
      </c>
      <c r="J91" s="69">
        <v>0</v>
      </c>
      <c r="K91" s="69">
        <v>0</v>
      </c>
      <c r="L91" s="69">
        <v>0</v>
      </c>
      <c r="M91" s="69">
        <v>0</v>
      </c>
      <c r="N91" s="69">
        <v>0</v>
      </c>
      <c r="O91" s="69">
        <v>0</v>
      </c>
      <c r="P91" s="69">
        <v>0</v>
      </c>
      <c r="Q91" s="69">
        <v>0</v>
      </c>
      <c r="R91" s="69">
        <v>605</v>
      </c>
      <c r="S91" s="69">
        <f t="shared" si="51"/>
        <v>605</v>
      </c>
      <c r="T91" s="69">
        <v>0</v>
      </c>
      <c r="U91" s="69">
        <v>0</v>
      </c>
      <c r="V91" s="69">
        <v>0</v>
      </c>
      <c r="W91" s="69">
        <v>0</v>
      </c>
      <c r="X91" s="69">
        <v>0</v>
      </c>
      <c r="Y91" s="69">
        <v>0</v>
      </c>
      <c r="Z91" s="69">
        <v>0</v>
      </c>
      <c r="AA91" s="69">
        <v>0</v>
      </c>
      <c r="AB91" s="69">
        <v>0</v>
      </c>
      <c r="AC91" s="69">
        <v>32</v>
      </c>
      <c r="AD91" s="69">
        <v>314</v>
      </c>
      <c r="AE91" s="69">
        <v>2192</v>
      </c>
      <c r="AF91" s="69">
        <f t="shared" si="52"/>
        <v>2538</v>
      </c>
      <c r="AG91" s="69">
        <v>308</v>
      </c>
      <c r="AH91" s="69">
        <v>427</v>
      </c>
      <c r="AI91" s="69">
        <v>33137</v>
      </c>
      <c r="AJ91" s="69">
        <v>100</v>
      </c>
      <c r="AK91" s="69">
        <v>243</v>
      </c>
      <c r="AL91" s="69">
        <v>429</v>
      </c>
      <c r="AM91" s="69">
        <v>779</v>
      </c>
      <c r="AN91" s="69">
        <v>643</v>
      </c>
      <c r="AO91" s="69">
        <v>569</v>
      </c>
      <c r="AP91" s="69">
        <v>726</v>
      </c>
      <c r="AQ91" s="69">
        <v>462</v>
      </c>
      <c r="AR91" s="69">
        <v>896</v>
      </c>
      <c r="AS91" s="69">
        <f t="shared" si="53"/>
        <v>38719</v>
      </c>
      <c r="AT91" s="69">
        <v>3437</v>
      </c>
      <c r="AU91" s="69">
        <v>873</v>
      </c>
      <c r="AV91" s="69">
        <v>1002</v>
      </c>
      <c r="AW91" s="69">
        <v>699</v>
      </c>
      <c r="AX91" s="69">
        <v>1696</v>
      </c>
      <c r="AY91" s="69">
        <v>1188</v>
      </c>
      <c r="AZ91" s="69">
        <v>1193</v>
      </c>
      <c r="BA91" s="69">
        <v>1360</v>
      </c>
      <c r="BB91" s="69">
        <v>458</v>
      </c>
      <c r="BC91" s="69">
        <v>0</v>
      </c>
      <c r="BD91" s="69">
        <v>0</v>
      </c>
      <c r="BE91" s="69">
        <v>0</v>
      </c>
      <c r="BF91" s="69">
        <f t="shared" si="54"/>
        <v>11906</v>
      </c>
      <c r="BG91" s="99"/>
      <c r="BH91" s="69"/>
      <c r="BI91" s="69"/>
      <c r="BJ91" s="69"/>
      <c r="BL91" s="69"/>
      <c r="BM91" s="69"/>
      <c r="BN91" s="69"/>
      <c r="BO91" s="69"/>
      <c r="BP91" s="111" t="s">
        <v>177</v>
      </c>
      <c r="BQ91" s="6">
        <f t="shared" si="55"/>
        <v>38719</v>
      </c>
      <c r="BR91" s="69">
        <f t="shared" si="55"/>
        <v>3437</v>
      </c>
      <c r="BS91" s="69">
        <f t="shared" si="55"/>
        <v>873</v>
      </c>
      <c r="BT91" s="69">
        <f t="shared" si="55"/>
        <v>1002</v>
      </c>
      <c r="BU91" s="69">
        <f t="shared" si="55"/>
        <v>699</v>
      </c>
      <c r="BV91" s="69">
        <f t="shared" si="55"/>
        <v>1696</v>
      </c>
      <c r="BW91" s="69">
        <f t="shared" si="55"/>
        <v>1188</v>
      </c>
      <c r="BX91" s="69">
        <f t="shared" si="55"/>
        <v>1193</v>
      </c>
      <c r="BY91" s="69">
        <f t="shared" si="55"/>
        <v>1360</v>
      </c>
      <c r="BZ91" s="112">
        <f t="shared" ref="BZ91:CC91" si="78">BZ36*0.003</f>
        <v>463.19469026548677</v>
      </c>
      <c r="CA91" s="112">
        <f t="shared" si="78"/>
        <v>929.2035398230089</v>
      </c>
      <c r="CB91" s="112">
        <f t="shared" si="78"/>
        <v>929.2035398230089</v>
      </c>
      <c r="CC91" s="112">
        <f t="shared" si="78"/>
        <v>929.2035398230089</v>
      </c>
      <c r="CD91" s="69">
        <f t="shared" si="57"/>
        <v>14698.805309734515</v>
      </c>
      <c r="CF91" s="7">
        <v>14689.017699115046</v>
      </c>
      <c r="CG91" s="95">
        <f t="shared" si="62"/>
        <v>9.7876106194689783</v>
      </c>
      <c r="DS91" s="95"/>
      <c r="DU91" s="100">
        <f t="shared" si="63"/>
        <v>1</v>
      </c>
      <c r="DV91" s="95">
        <f t="shared" si="58"/>
        <v>0</v>
      </c>
      <c r="DW91" s="95">
        <f t="shared" si="67"/>
        <v>5312</v>
      </c>
      <c r="DX91" s="95">
        <f t="shared" si="60"/>
        <v>0</v>
      </c>
      <c r="DY91" s="95">
        <f t="shared" si="68"/>
        <v>38719</v>
      </c>
      <c r="DZ91" s="95"/>
      <c r="EE91" s="82"/>
      <c r="EF91" s="82"/>
      <c r="EG91" s="82"/>
      <c r="EH91" s="82"/>
      <c r="EI91" s="82"/>
      <c r="EJ91" s="82"/>
      <c r="EK91" s="82"/>
      <c r="EL91" s="82"/>
      <c r="EM91" s="82"/>
      <c r="EN91" s="82"/>
      <c r="EO91" s="82"/>
      <c r="EP91" s="82"/>
      <c r="EQ91" s="82"/>
      <c r="ER91" s="82"/>
      <c r="ES91" s="82"/>
      <c r="ET91" s="82"/>
      <c r="EU91" s="82"/>
      <c r="EV91" s="82"/>
      <c r="EW91" s="82"/>
      <c r="EX91" s="82"/>
      <c r="EY91" s="82"/>
      <c r="EZ91" s="82"/>
      <c r="FA91" s="82"/>
      <c r="FB91" s="82"/>
      <c r="FC91" s="82"/>
      <c r="FD91" s="82"/>
      <c r="FE91" s="82"/>
      <c r="FF91" s="82"/>
      <c r="FG91" s="82"/>
      <c r="FH91" s="82"/>
      <c r="FI91" s="82"/>
      <c r="FJ91" s="82"/>
      <c r="FK91" s="82"/>
      <c r="FL91" s="82"/>
      <c r="FM91" s="82"/>
      <c r="FN91" s="82"/>
      <c r="FO91" s="82"/>
    </row>
    <row r="92" spans="1:171" x14ac:dyDescent="0.25">
      <c r="A92" t="s">
        <v>178</v>
      </c>
      <c r="B92" s="82">
        <v>0</v>
      </c>
      <c r="C92" s="82">
        <v>0</v>
      </c>
      <c r="D92" s="82">
        <v>0</v>
      </c>
      <c r="E92" s="82">
        <v>25978</v>
      </c>
      <c r="F92" s="82"/>
      <c r="G92" s="69">
        <v>0</v>
      </c>
      <c r="H92" s="69">
        <v>0</v>
      </c>
      <c r="I92" s="69">
        <v>0</v>
      </c>
      <c r="J92" s="69">
        <v>0</v>
      </c>
      <c r="K92" s="69">
        <v>0</v>
      </c>
      <c r="L92" s="69">
        <v>0</v>
      </c>
      <c r="M92" s="69">
        <v>0</v>
      </c>
      <c r="N92" s="69">
        <v>0</v>
      </c>
      <c r="O92" s="69">
        <v>0</v>
      </c>
      <c r="P92" s="69">
        <v>0</v>
      </c>
      <c r="Q92" s="69">
        <v>0</v>
      </c>
      <c r="R92" s="69">
        <v>0</v>
      </c>
      <c r="S92" s="69">
        <f t="shared" si="51"/>
        <v>0</v>
      </c>
      <c r="T92" s="69">
        <v>0</v>
      </c>
      <c r="U92" s="69">
        <v>0</v>
      </c>
      <c r="V92" s="69">
        <v>0</v>
      </c>
      <c r="W92" s="69">
        <v>0</v>
      </c>
      <c r="X92" s="69">
        <v>0</v>
      </c>
      <c r="Y92" s="69">
        <v>0</v>
      </c>
      <c r="Z92" s="69">
        <v>0</v>
      </c>
      <c r="AA92" s="69">
        <v>0</v>
      </c>
      <c r="AB92" s="69">
        <v>0</v>
      </c>
      <c r="AC92" s="69">
        <v>0</v>
      </c>
      <c r="AD92" s="69">
        <v>0</v>
      </c>
      <c r="AE92" s="69">
        <v>0</v>
      </c>
      <c r="AF92" s="69">
        <f t="shared" si="52"/>
        <v>0</v>
      </c>
      <c r="AG92" s="69">
        <v>0</v>
      </c>
      <c r="AH92" s="69">
        <v>0</v>
      </c>
      <c r="AI92" s="69">
        <v>0</v>
      </c>
      <c r="AJ92" s="69">
        <v>0</v>
      </c>
      <c r="AK92" s="69">
        <v>0</v>
      </c>
      <c r="AL92" s="69">
        <v>2213</v>
      </c>
      <c r="AM92" s="69">
        <v>10650</v>
      </c>
      <c r="AN92" s="69">
        <v>8543</v>
      </c>
      <c r="AO92" s="69">
        <v>4572</v>
      </c>
      <c r="AP92" s="69">
        <v>0</v>
      </c>
      <c r="AQ92" s="69">
        <v>0</v>
      </c>
      <c r="AR92" s="69">
        <v>0</v>
      </c>
      <c r="AS92" s="69">
        <f t="shared" si="53"/>
        <v>25978</v>
      </c>
      <c r="AT92" s="69">
        <v>23625</v>
      </c>
      <c r="AU92" s="69">
        <v>23700</v>
      </c>
      <c r="AV92" s="69">
        <v>45875</v>
      </c>
      <c r="AW92" s="69">
        <v>46975</v>
      </c>
      <c r="AX92" s="69">
        <v>46200</v>
      </c>
      <c r="AY92" s="69">
        <v>48490</v>
      </c>
      <c r="AZ92" s="69">
        <v>54425</v>
      </c>
      <c r="BA92" s="69">
        <v>48614</v>
      </c>
      <c r="BB92" s="69">
        <v>75037</v>
      </c>
      <c r="BC92" s="69">
        <v>0</v>
      </c>
      <c r="BD92" s="69">
        <v>0</v>
      </c>
      <c r="BE92" s="69">
        <v>0</v>
      </c>
      <c r="BF92" s="69">
        <f t="shared" si="54"/>
        <v>412941</v>
      </c>
      <c r="BG92" s="99"/>
      <c r="BH92" s="69"/>
      <c r="BI92" s="69"/>
      <c r="BJ92" s="69"/>
      <c r="BL92" s="69"/>
      <c r="BM92" s="69"/>
      <c r="BN92" s="69"/>
      <c r="BO92" s="69"/>
      <c r="BP92" t="s">
        <v>178</v>
      </c>
      <c r="BQ92" s="6">
        <f t="shared" si="55"/>
        <v>25978</v>
      </c>
      <c r="BR92" s="69">
        <f t="shared" si="55"/>
        <v>23625</v>
      </c>
      <c r="BS92" s="69">
        <f t="shared" si="55"/>
        <v>23700</v>
      </c>
      <c r="BT92" s="69">
        <f t="shared" si="55"/>
        <v>45875</v>
      </c>
      <c r="BU92" s="69">
        <f t="shared" si="55"/>
        <v>46975</v>
      </c>
      <c r="BV92" s="69">
        <f t="shared" si="55"/>
        <v>46200</v>
      </c>
      <c r="BW92" s="69">
        <f t="shared" si="55"/>
        <v>48490</v>
      </c>
      <c r="BX92" s="69">
        <f t="shared" si="55"/>
        <v>54425</v>
      </c>
      <c r="BY92" s="69">
        <f t="shared" si="55"/>
        <v>48614</v>
      </c>
      <c r="BZ92" s="105">
        <v>70000</v>
      </c>
      <c r="CA92" s="105">
        <v>70000</v>
      </c>
      <c r="CB92" s="105">
        <v>70000</v>
      </c>
      <c r="CC92" s="105">
        <v>70000</v>
      </c>
      <c r="CD92" s="69">
        <f t="shared" si="57"/>
        <v>617904</v>
      </c>
      <c r="CF92" s="7">
        <v>558412</v>
      </c>
      <c r="CG92" s="95">
        <f t="shared" si="62"/>
        <v>59492</v>
      </c>
      <c r="DS92" s="95"/>
      <c r="DU92" s="100">
        <f t="shared" si="63"/>
        <v>1</v>
      </c>
      <c r="DV92" s="95">
        <f t="shared" si="58"/>
        <v>0</v>
      </c>
      <c r="DW92" s="95">
        <f t="shared" si="67"/>
        <v>93200</v>
      </c>
      <c r="DX92" s="95">
        <f t="shared" si="60"/>
        <v>0</v>
      </c>
      <c r="DY92" s="95">
        <f t="shared" si="68"/>
        <v>25978</v>
      </c>
      <c r="DZ92" s="95"/>
      <c r="EE92" s="82"/>
      <c r="EF92" s="82"/>
      <c r="EG92" s="82"/>
      <c r="EH92" s="82"/>
      <c r="EI92" s="82"/>
      <c r="EJ92" s="82"/>
      <c r="EK92" s="82"/>
      <c r="EL92" s="82"/>
      <c r="EM92" s="82"/>
      <c r="EN92" s="82"/>
      <c r="EO92" s="82"/>
      <c r="EP92" s="82"/>
      <c r="EQ92" s="82"/>
      <c r="ER92" s="82"/>
      <c r="ES92" s="82"/>
      <c r="ET92" s="82"/>
      <c r="EU92" s="82"/>
      <c r="EV92" s="82"/>
      <c r="EW92" s="82"/>
      <c r="EX92" s="82"/>
      <c r="EY92" s="82"/>
      <c r="EZ92" s="82"/>
      <c r="FA92" s="82"/>
      <c r="FB92" s="82"/>
      <c r="FC92" s="82"/>
      <c r="FD92" s="82"/>
      <c r="FE92" s="82"/>
      <c r="FF92" s="82"/>
      <c r="FG92" s="82"/>
      <c r="FH92" s="82"/>
      <c r="FI92" s="82"/>
      <c r="FJ92" s="82"/>
      <c r="FK92" s="82"/>
      <c r="FL92" s="82"/>
      <c r="FM92" s="82"/>
      <c r="FN92" s="82"/>
      <c r="FO92" s="82"/>
    </row>
    <row r="93" spans="1:171" x14ac:dyDescent="0.25">
      <c r="A93" t="s">
        <v>179</v>
      </c>
      <c r="B93" s="82">
        <v>-55996</v>
      </c>
      <c r="C93" s="82">
        <v>765843</v>
      </c>
      <c r="D93" s="82">
        <v>3329336</v>
      </c>
      <c r="E93" s="82">
        <v>380878</v>
      </c>
      <c r="F93" s="82"/>
      <c r="G93" s="69">
        <v>0</v>
      </c>
      <c r="H93" s="69">
        <v>0</v>
      </c>
      <c r="I93" s="69">
        <v>0</v>
      </c>
      <c r="J93" s="69">
        <v>0</v>
      </c>
      <c r="K93" s="69">
        <v>0</v>
      </c>
      <c r="L93" s="69">
        <v>0</v>
      </c>
      <c r="M93" s="69">
        <v>0</v>
      </c>
      <c r="N93" s="69">
        <v>128753</v>
      </c>
      <c r="O93" s="69">
        <v>76220</v>
      </c>
      <c r="P93" s="69">
        <v>410091</v>
      </c>
      <c r="Q93" s="69">
        <v>419921</v>
      </c>
      <c r="R93" s="69">
        <v>-269142</v>
      </c>
      <c r="S93" s="69">
        <f t="shared" si="51"/>
        <v>765843</v>
      </c>
      <c r="T93" s="69">
        <v>84194</v>
      </c>
      <c r="U93" s="69">
        <v>629598</v>
      </c>
      <c r="V93" s="69">
        <v>357608</v>
      </c>
      <c r="W93" s="69">
        <v>0</v>
      </c>
      <c r="X93" s="69">
        <v>0</v>
      </c>
      <c r="Y93" s="69">
        <v>1041578</v>
      </c>
      <c r="Z93" s="69">
        <v>59470</v>
      </c>
      <c r="AA93" s="69">
        <v>124851</v>
      </c>
      <c r="AB93" s="69">
        <v>1523435</v>
      </c>
      <c r="AC93" s="69">
        <v>304840</v>
      </c>
      <c r="AD93" s="69">
        <v>-796236</v>
      </c>
      <c r="AE93" s="69">
        <v>0</v>
      </c>
      <c r="AF93" s="69">
        <f t="shared" si="52"/>
        <v>3329338</v>
      </c>
      <c r="AG93" s="69">
        <v>0</v>
      </c>
      <c r="AH93" s="69">
        <v>236891</v>
      </c>
      <c r="AI93" s="69">
        <v>26594</v>
      </c>
      <c r="AJ93" s="69">
        <v>0</v>
      </c>
      <c r="AK93" s="69">
        <v>12000</v>
      </c>
      <c r="AL93" s="69">
        <v>17500</v>
      </c>
      <c r="AM93" s="69">
        <v>0</v>
      </c>
      <c r="AN93" s="69">
        <v>144</v>
      </c>
      <c r="AO93" s="69">
        <v>0</v>
      </c>
      <c r="AP93" s="69">
        <v>0</v>
      </c>
      <c r="AQ93" s="69">
        <v>0</v>
      </c>
      <c r="AR93" s="69">
        <v>87750</v>
      </c>
      <c r="AS93" s="69">
        <f t="shared" si="53"/>
        <v>380879</v>
      </c>
      <c r="AT93" s="69">
        <v>186354</v>
      </c>
      <c r="AU93" s="69">
        <v>268757</v>
      </c>
      <c r="AV93" s="69">
        <v>352024</v>
      </c>
      <c r="AW93" s="69">
        <v>523634</v>
      </c>
      <c r="AX93" s="69">
        <v>740343</v>
      </c>
      <c r="AY93" s="69">
        <v>778868</v>
      </c>
      <c r="AZ93" s="69">
        <v>1703785</v>
      </c>
      <c r="BA93" s="69">
        <v>1158343</v>
      </c>
      <c r="BB93" s="69">
        <v>1102524</v>
      </c>
      <c r="BC93" s="69">
        <v>0</v>
      </c>
      <c r="BD93" s="69">
        <v>0</v>
      </c>
      <c r="BE93" s="69">
        <v>0</v>
      </c>
      <c r="BF93" s="69">
        <f t="shared" si="54"/>
        <v>6814632</v>
      </c>
      <c r="BG93" s="99"/>
      <c r="BH93" s="69"/>
      <c r="BI93" s="69"/>
      <c r="BJ93" s="69"/>
      <c r="BL93" s="69">
        <v>212586</v>
      </c>
      <c r="BM93" s="69"/>
      <c r="BN93" s="69"/>
      <c r="BO93" s="69"/>
      <c r="BP93" t="s">
        <v>179</v>
      </c>
      <c r="BQ93" s="6">
        <f t="shared" si="55"/>
        <v>380879</v>
      </c>
      <c r="BR93" s="69">
        <f t="shared" si="55"/>
        <v>186354</v>
      </c>
      <c r="BS93" s="69">
        <f t="shared" si="55"/>
        <v>268757</v>
      </c>
      <c r="BT93" s="69">
        <f t="shared" si="55"/>
        <v>352024</v>
      </c>
      <c r="BU93" s="69">
        <f t="shared" si="55"/>
        <v>523634</v>
      </c>
      <c r="BV93" s="69">
        <f t="shared" si="55"/>
        <v>740343</v>
      </c>
      <c r="BW93" s="69">
        <f t="shared" si="55"/>
        <v>778868</v>
      </c>
      <c r="BX93" s="69">
        <f t="shared" si="55"/>
        <v>1703785</v>
      </c>
      <c r="BY93" s="69">
        <f t="shared" si="55"/>
        <v>1158343</v>
      </c>
      <c r="BZ93" s="71">
        <f>(BZ22*BZ6)+25000+100000+238000+300000+60000+115618</f>
        <v>1178281.4834112767</v>
      </c>
      <c r="CA93" s="71">
        <f>CA22*CA6+150000</f>
        <v>816671.79503198597</v>
      </c>
      <c r="CB93" s="71">
        <f>CB22*CB6+150000</f>
        <v>772057.38466647628</v>
      </c>
      <c r="CC93" s="71">
        <f>CC22*CC6+125000</f>
        <v>774041.45761517249</v>
      </c>
      <c r="CD93" s="69">
        <f t="shared" si="57"/>
        <v>9253160.1207249109</v>
      </c>
      <c r="CE93" s="65" t="s">
        <v>180</v>
      </c>
      <c r="CF93" s="7">
        <v>7205212.5276855016</v>
      </c>
      <c r="CG93" s="95">
        <f t="shared" si="62"/>
        <v>2047947.5930394093</v>
      </c>
      <c r="CH93" s="1" t="s">
        <v>173</v>
      </c>
      <c r="DS93" s="95"/>
      <c r="DU93" s="100">
        <f t="shared" si="63"/>
        <v>1</v>
      </c>
      <c r="DV93" s="95">
        <f t="shared" si="58"/>
        <v>0</v>
      </c>
      <c r="DW93" s="95">
        <f t="shared" si="67"/>
        <v>807135</v>
      </c>
      <c r="DX93" s="95">
        <f t="shared" si="60"/>
        <v>0</v>
      </c>
      <c r="DY93" s="95">
        <f t="shared" si="68"/>
        <v>380879</v>
      </c>
      <c r="DZ93" s="95"/>
      <c r="EE93" s="82"/>
      <c r="EF93" s="82"/>
      <c r="EG93" s="82"/>
      <c r="EH93" s="82"/>
      <c r="EI93" s="82"/>
      <c r="EJ93" s="82"/>
      <c r="EK93" s="82"/>
      <c r="EL93" s="82"/>
      <c r="EM93" s="82"/>
      <c r="EN93" s="82"/>
      <c r="EO93" s="82"/>
      <c r="EP93" s="82"/>
      <c r="EQ93" s="82"/>
      <c r="ER93" s="82"/>
      <c r="ES93" s="82"/>
      <c r="ET93" s="82"/>
      <c r="EU93" s="82"/>
      <c r="EV93" s="82"/>
      <c r="EW93" s="82"/>
      <c r="EX93" s="82"/>
      <c r="EY93" s="82"/>
      <c r="EZ93" s="82"/>
      <c r="FA93" s="82"/>
      <c r="FB93" s="82"/>
      <c r="FC93" s="82"/>
      <c r="FD93" s="82"/>
      <c r="FE93" s="82"/>
      <c r="FF93" s="82"/>
      <c r="FG93" s="82"/>
      <c r="FH93" s="82"/>
      <c r="FI93" s="82"/>
      <c r="FJ93" s="82"/>
      <c r="FK93" s="82"/>
      <c r="FL93" s="82"/>
      <c r="FM93" s="82"/>
      <c r="FN93" s="82"/>
      <c r="FO93" s="82"/>
    </row>
    <row r="94" spans="1:171" x14ac:dyDescent="0.25">
      <c r="A94" t="s">
        <v>181</v>
      </c>
      <c r="B94" s="82">
        <v>0</v>
      </c>
      <c r="C94" s="82">
        <v>21949</v>
      </c>
      <c r="D94" s="82">
        <v>281719</v>
      </c>
      <c r="E94" s="82">
        <v>33084</v>
      </c>
      <c r="F94" s="82"/>
      <c r="G94" s="69">
        <v>0</v>
      </c>
      <c r="H94" s="69">
        <v>0</v>
      </c>
      <c r="I94" s="69">
        <v>0</v>
      </c>
      <c r="J94" s="69">
        <v>0</v>
      </c>
      <c r="K94" s="69">
        <v>0</v>
      </c>
      <c r="L94" s="69">
        <v>0</v>
      </c>
      <c r="M94" s="69">
        <v>0</v>
      </c>
      <c r="N94" s="69">
        <v>0</v>
      </c>
      <c r="O94" s="69">
        <v>0</v>
      </c>
      <c r="P94" s="69">
        <v>11360</v>
      </c>
      <c r="Q94" s="69">
        <v>6271</v>
      </c>
      <c r="R94" s="69">
        <v>4317</v>
      </c>
      <c r="S94" s="69">
        <f t="shared" si="51"/>
        <v>21948</v>
      </c>
      <c r="T94" s="69">
        <v>10160</v>
      </c>
      <c r="U94" s="69">
        <v>15697</v>
      </c>
      <c r="V94" s="69">
        <v>17384</v>
      </c>
      <c r="W94" s="69">
        <v>7165</v>
      </c>
      <c r="X94" s="69">
        <v>11710</v>
      </c>
      <c r="Y94" s="69">
        <v>28130</v>
      </c>
      <c r="Z94" s="69">
        <v>3003</v>
      </c>
      <c r="AA94" s="69">
        <v>29655</v>
      </c>
      <c r="AB94" s="69">
        <v>148487</v>
      </c>
      <c r="AC94" s="69">
        <v>1591</v>
      </c>
      <c r="AD94" s="69">
        <v>8736</v>
      </c>
      <c r="AE94" s="69">
        <v>0</v>
      </c>
      <c r="AF94" s="69">
        <f t="shared" si="52"/>
        <v>281718</v>
      </c>
      <c r="AG94" s="69">
        <v>3570</v>
      </c>
      <c r="AH94" s="69">
        <v>8437</v>
      </c>
      <c r="AI94" s="69">
        <v>338</v>
      </c>
      <c r="AJ94" s="69">
        <v>250</v>
      </c>
      <c r="AK94" s="69">
        <v>0</v>
      </c>
      <c r="AL94" s="69">
        <v>0</v>
      </c>
      <c r="AM94" s="69">
        <v>6869</v>
      </c>
      <c r="AN94" s="69">
        <v>6730</v>
      </c>
      <c r="AO94" s="69">
        <v>250</v>
      </c>
      <c r="AP94" s="69">
        <v>5104</v>
      </c>
      <c r="AQ94" s="69">
        <v>0</v>
      </c>
      <c r="AR94" s="69">
        <v>1537</v>
      </c>
      <c r="AS94" s="69">
        <f t="shared" si="53"/>
        <v>33085</v>
      </c>
      <c r="AT94" s="69">
        <v>3610</v>
      </c>
      <c r="AU94" s="69">
        <v>6026</v>
      </c>
      <c r="AV94" s="69">
        <v>9541</v>
      </c>
      <c r="AW94" s="69">
        <v>11613</v>
      </c>
      <c r="AX94" s="69">
        <v>1598</v>
      </c>
      <c r="AY94" s="69">
        <v>7424</v>
      </c>
      <c r="AZ94" s="69">
        <v>16127</v>
      </c>
      <c r="BA94" s="69">
        <v>13988</v>
      </c>
      <c r="BB94" s="69">
        <v>9259</v>
      </c>
      <c r="BC94" s="69">
        <v>0</v>
      </c>
      <c r="BD94" s="69">
        <v>0</v>
      </c>
      <c r="BE94" s="69">
        <v>0</v>
      </c>
      <c r="BF94" s="69">
        <f t="shared" si="54"/>
        <v>79186</v>
      </c>
      <c r="BG94" s="99"/>
      <c r="BH94" s="69"/>
      <c r="BI94" s="69"/>
      <c r="BJ94" s="69"/>
      <c r="BL94" s="69"/>
      <c r="BM94" s="69"/>
      <c r="BN94" s="69"/>
      <c r="BO94" s="69"/>
      <c r="BP94" t="s">
        <v>181</v>
      </c>
      <c r="BQ94" s="6">
        <f t="shared" si="55"/>
        <v>33085</v>
      </c>
      <c r="BR94" s="69">
        <f t="shared" si="55"/>
        <v>3610</v>
      </c>
      <c r="BS94" s="69">
        <f t="shared" si="55"/>
        <v>6026</v>
      </c>
      <c r="BT94" s="69">
        <f t="shared" si="55"/>
        <v>9541</v>
      </c>
      <c r="BU94" s="69">
        <f t="shared" si="55"/>
        <v>11613</v>
      </c>
      <c r="BV94" s="69">
        <f t="shared" si="55"/>
        <v>1598</v>
      </c>
      <c r="BW94" s="69">
        <f t="shared" si="55"/>
        <v>7424</v>
      </c>
      <c r="BX94" s="69">
        <f t="shared" si="55"/>
        <v>16127</v>
      </c>
      <c r="BY94" s="69">
        <f t="shared" si="55"/>
        <v>13988</v>
      </c>
      <c r="BZ94" s="105">
        <f t="shared" ref="BZ94:CC94" si="79">SUM($BU94:$BX94)/SUM($BU$3:$BX$3)*BZ$3</f>
        <v>6454.1282772092982</v>
      </c>
      <c r="CA94" s="105">
        <f t="shared" si="79"/>
        <v>12136.960419184456</v>
      </c>
      <c r="CB94" s="105">
        <f t="shared" si="79"/>
        <v>13718.698504507021</v>
      </c>
      <c r="CC94" s="105">
        <f t="shared" si="79"/>
        <v>11196.978660397346</v>
      </c>
      <c r="CD94" s="69">
        <f t="shared" si="57"/>
        <v>113433.76586129812</v>
      </c>
      <c r="CE94" s="65"/>
      <c r="CF94" s="7">
        <v>108333.44351043676</v>
      </c>
      <c r="CG94" s="95">
        <f t="shared" si="62"/>
        <v>5100.3223508613592</v>
      </c>
      <c r="CH94" s="1" t="s">
        <v>173</v>
      </c>
      <c r="DS94" s="95"/>
      <c r="DU94" s="100">
        <f t="shared" si="63"/>
        <v>1</v>
      </c>
      <c r="DV94" s="95">
        <f t="shared" si="58"/>
        <v>0</v>
      </c>
      <c r="DW94" s="95">
        <f t="shared" si="67"/>
        <v>19177</v>
      </c>
      <c r="DX94" s="95">
        <f t="shared" si="60"/>
        <v>0</v>
      </c>
      <c r="DY94" s="95">
        <f t="shared" si="68"/>
        <v>33085</v>
      </c>
      <c r="DZ94" s="95"/>
      <c r="EE94" s="82"/>
      <c r="EF94" s="82"/>
      <c r="EG94" s="82"/>
      <c r="EH94" s="82"/>
      <c r="EI94" s="82"/>
      <c r="EJ94" s="82"/>
      <c r="EK94" s="82"/>
      <c r="EL94" s="82"/>
      <c r="EM94" s="82"/>
      <c r="EN94" s="82"/>
      <c r="EO94" s="82"/>
      <c r="EP94" s="82"/>
      <c r="EQ94" s="82"/>
      <c r="ER94" s="82"/>
      <c r="ES94" s="82"/>
      <c r="ET94" s="82"/>
      <c r="EU94" s="82"/>
      <c r="EV94" s="82"/>
      <c r="EW94" s="82"/>
      <c r="EX94" s="82"/>
      <c r="EY94" s="82"/>
      <c r="EZ94" s="82"/>
      <c r="FA94" s="82"/>
      <c r="FB94" s="82"/>
      <c r="FC94" s="82"/>
      <c r="FD94" s="82"/>
      <c r="FE94" s="82"/>
      <c r="FF94" s="82"/>
      <c r="FG94" s="82"/>
      <c r="FH94" s="82"/>
      <c r="FI94" s="82"/>
      <c r="FJ94" s="82"/>
      <c r="FK94" s="82"/>
      <c r="FL94" s="82"/>
      <c r="FM94" s="82"/>
      <c r="FN94" s="82"/>
      <c r="FO94" s="82"/>
    </row>
    <row r="95" spans="1:171" x14ac:dyDescent="0.25">
      <c r="A95" s="111" t="s">
        <v>182</v>
      </c>
      <c r="B95" s="82">
        <v>0</v>
      </c>
      <c r="C95" s="82">
        <v>-125572</v>
      </c>
      <c r="D95" s="82">
        <v>55728</v>
      </c>
      <c r="E95" s="82">
        <v>119514</v>
      </c>
      <c r="F95" s="82"/>
      <c r="G95" s="69">
        <v>0</v>
      </c>
      <c r="H95" s="69">
        <v>0</v>
      </c>
      <c r="I95" s="69">
        <v>0</v>
      </c>
      <c r="J95" s="69">
        <v>0</v>
      </c>
      <c r="K95" s="69">
        <v>0</v>
      </c>
      <c r="L95" s="69">
        <v>0</v>
      </c>
      <c r="M95" s="69">
        <v>0</v>
      </c>
      <c r="N95" s="69">
        <v>0</v>
      </c>
      <c r="O95" s="69">
        <v>0</v>
      </c>
      <c r="P95" s="69">
        <v>0</v>
      </c>
      <c r="Q95" s="69">
        <v>-125572</v>
      </c>
      <c r="R95" s="69">
        <v>0</v>
      </c>
      <c r="S95" s="69">
        <f t="shared" si="51"/>
        <v>-125572</v>
      </c>
      <c r="T95" s="69">
        <v>8205</v>
      </c>
      <c r="U95" s="69">
        <v>1000</v>
      </c>
      <c r="V95" s="69">
        <v>0</v>
      </c>
      <c r="W95" s="69">
        <v>1000</v>
      </c>
      <c r="X95" s="69">
        <v>1000</v>
      </c>
      <c r="Y95" s="69">
        <v>0</v>
      </c>
      <c r="Z95" s="69">
        <v>0</v>
      </c>
      <c r="AA95" s="69">
        <v>0</v>
      </c>
      <c r="AB95" s="69">
        <v>0</v>
      </c>
      <c r="AC95" s="69">
        <v>0</v>
      </c>
      <c r="AD95" s="69">
        <v>0</v>
      </c>
      <c r="AE95" s="69">
        <v>44524</v>
      </c>
      <c r="AF95" s="69">
        <f t="shared" si="52"/>
        <v>55729</v>
      </c>
      <c r="AG95" s="69">
        <v>5196</v>
      </c>
      <c r="AH95" s="69">
        <v>5933</v>
      </c>
      <c r="AI95" s="69">
        <v>16760</v>
      </c>
      <c r="AJ95" s="69">
        <v>16462</v>
      </c>
      <c r="AK95" s="69">
        <v>10554</v>
      </c>
      <c r="AL95" s="69">
        <v>-33514</v>
      </c>
      <c r="AM95" s="69">
        <v>17634</v>
      </c>
      <c r="AN95" s="69">
        <v>14494</v>
      </c>
      <c r="AO95" s="69">
        <v>39841</v>
      </c>
      <c r="AP95" s="69">
        <v>13820</v>
      </c>
      <c r="AQ95" s="69">
        <v>-1448</v>
      </c>
      <c r="AR95" s="69">
        <v>13781</v>
      </c>
      <c r="AS95" s="69">
        <f t="shared" si="53"/>
        <v>119513</v>
      </c>
      <c r="AT95" s="69">
        <v>12299</v>
      </c>
      <c r="AU95" s="69">
        <v>16852</v>
      </c>
      <c r="AV95" s="69">
        <v>20317</v>
      </c>
      <c r="AW95" s="69">
        <v>20963</v>
      </c>
      <c r="AX95" s="69">
        <v>35373</v>
      </c>
      <c r="AY95" s="69">
        <v>8903</v>
      </c>
      <c r="AZ95" s="69">
        <v>40837</v>
      </c>
      <c r="BA95" s="69">
        <v>41531</v>
      </c>
      <c r="BB95" s="69">
        <v>13673</v>
      </c>
      <c r="BC95" s="69">
        <v>0</v>
      </c>
      <c r="BD95" s="69">
        <v>0</v>
      </c>
      <c r="BE95" s="69">
        <v>0</v>
      </c>
      <c r="BF95" s="69">
        <f t="shared" si="54"/>
        <v>210748</v>
      </c>
      <c r="BG95" s="99"/>
      <c r="BH95" s="69"/>
      <c r="BI95" s="69"/>
      <c r="BJ95" s="69"/>
      <c r="BL95" s="69"/>
      <c r="BM95" s="69"/>
      <c r="BN95" s="69"/>
      <c r="BO95" s="69"/>
      <c r="BP95" s="111" t="s">
        <v>182</v>
      </c>
      <c r="BQ95" s="6">
        <f t="shared" si="55"/>
        <v>119513</v>
      </c>
      <c r="BR95" s="69">
        <f t="shared" si="55"/>
        <v>12299</v>
      </c>
      <c r="BS95" s="69">
        <f t="shared" si="55"/>
        <v>16852</v>
      </c>
      <c r="BT95" s="69">
        <f t="shared" si="55"/>
        <v>20317</v>
      </c>
      <c r="BU95" s="69">
        <f t="shared" si="55"/>
        <v>20963</v>
      </c>
      <c r="BV95" s="69">
        <f t="shared" si="55"/>
        <v>35373</v>
      </c>
      <c r="BW95" s="69">
        <f t="shared" si="55"/>
        <v>8903</v>
      </c>
      <c r="BX95" s="69">
        <f t="shared" si="55"/>
        <v>40837</v>
      </c>
      <c r="BY95" s="69">
        <f t="shared" si="55"/>
        <v>41531</v>
      </c>
      <c r="BZ95" s="112">
        <f t="shared" ref="BZ95:CC95" si="80">BZ35*0.02</f>
        <v>16342.419047619047</v>
      </c>
      <c r="CA95" s="112">
        <f t="shared" si="80"/>
        <v>31428.571428571428</v>
      </c>
      <c r="CB95" s="112">
        <f t="shared" si="80"/>
        <v>32380.952380952378</v>
      </c>
      <c r="CC95" s="112">
        <f t="shared" si="80"/>
        <v>28571.428571428569</v>
      </c>
      <c r="CD95" s="69">
        <f t="shared" si="57"/>
        <v>305798.37142857141</v>
      </c>
      <c r="CF95" s="7">
        <v>299395.85714285716</v>
      </c>
      <c r="CG95" s="95">
        <f t="shared" si="62"/>
        <v>6402.5142857142491</v>
      </c>
      <c r="CH95" s="1" t="s">
        <v>173</v>
      </c>
      <c r="DS95" s="95"/>
      <c r="DU95" s="100">
        <f t="shared" si="63"/>
        <v>1</v>
      </c>
      <c r="DV95" s="95">
        <f t="shared" si="58"/>
        <v>0</v>
      </c>
      <c r="DW95" s="95">
        <f t="shared" si="67"/>
        <v>49468</v>
      </c>
      <c r="DX95" s="95">
        <f t="shared" si="60"/>
        <v>0</v>
      </c>
      <c r="DY95" s="95">
        <f t="shared" si="68"/>
        <v>119513</v>
      </c>
      <c r="DZ95" s="95"/>
      <c r="EE95" s="82"/>
      <c r="EF95" s="82"/>
      <c r="EG95" s="82"/>
      <c r="EH95" s="82"/>
      <c r="EI95" s="82"/>
      <c r="EJ95" s="82"/>
      <c r="EK95" s="82"/>
      <c r="EL95" s="82"/>
      <c r="EM95" s="82"/>
      <c r="EN95" s="82"/>
      <c r="EO95" s="82"/>
      <c r="EP95" s="82"/>
      <c r="EQ95" s="82"/>
      <c r="ER95" s="82"/>
      <c r="ES95" s="82"/>
      <c r="ET95" s="82"/>
      <c r="EU95" s="82"/>
      <c r="EV95" s="82"/>
      <c r="EW95" s="82"/>
      <c r="EX95" s="82"/>
      <c r="EY95" s="82"/>
      <c r="EZ95" s="82"/>
      <c r="FA95" s="82"/>
      <c r="FB95" s="82"/>
      <c r="FC95" s="82"/>
      <c r="FD95" s="82"/>
      <c r="FE95" s="82"/>
      <c r="FF95" s="82"/>
      <c r="FG95" s="82"/>
      <c r="FH95" s="82"/>
      <c r="FI95" s="82"/>
      <c r="FJ95" s="82"/>
      <c r="FK95" s="82"/>
      <c r="FL95" s="82"/>
      <c r="FM95" s="82"/>
      <c r="FN95" s="82"/>
      <c r="FO95" s="82"/>
    </row>
    <row r="96" spans="1:171" x14ac:dyDescent="0.25">
      <c r="A96" t="s">
        <v>183</v>
      </c>
      <c r="B96" s="82">
        <v>0</v>
      </c>
      <c r="C96" s="82">
        <v>700</v>
      </c>
      <c r="D96" s="82">
        <v>5500</v>
      </c>
      <c r="E96" s="82">
        <v>12609</v>
      </c>
      <c r="F96" s="82"/>
      <c r="G96" s="69">
        <v>0</v>
      </c>
      <c r="H96" s="69">
        <v>0</v>
      </c>
      <c r="I96" s="69">
        <v>0</v>
      </c>
      <c r="J96" s="69">
        <v>700</v>
      </c>
      <c r="K96" s="69">
        <v>0</v>
      </c>
      <c r="L96" s="69">
        <v>0</v>
      </c>
      <c r="M96" s="69">
        <v>0</v>
      </c>
      <c r="N96" s="69">
        <v>0</v>
      </c>
      <c r="O96" s="69">
        <v>0</v>
      </c>
      <c r="P96" s="69">
        <v>0</v>
      </c>
      <c r="Q96" s="69">
        <v>0</v>
      </c>
      <c r="R96" s="69">
        <v>0</v>
      </c>
      <c r="S96" s="69">
        <f t="shared" si="51"/>
        <v>700</v>
      </c>
      <c r="T96" s="69">
        <v>0</v>
      </c>
      <c r="U96" s="69">
        <v>0</v>
      </c>
      <c r="V96" s="69">
        <v>0</v>
      </c>
      <c r="W96" s="69">
        <v>5500</v>
      </c>
      <c r="X96" s="69">
        <v>0</v>
      </c>
      <c r="Y96" s="69">
        <v>0</v>
      </c>
      <c r="Z96" s="69">
        <v>0</v>
      </c>
      <c r="AA96" s="69">
        <v>0</v>
      </c>
      <c r="AB96" s="69">
        <v>0</v>
      </c>
      <c r="AC96" s="69">
        <v>0</v>
      </c>
      <c r="AD96" s="69">
        <v>0</v>
      </c>
      <c r="AE96" s="69">
        <v>0</v>
      </c>
      <c r="AF96" s="69">
        <f t="shared" si="52"/>
        <v>5500</v>
      </c>
      <c r="AG96" s="69">
        <v>0</v>
      </c>
      <c r="AH96" s="69">
        <v>0</v>
      </c>
      <c r="AI96" s="69">
        <v>0</v>
      </c>
      <c r="AJ96" s="69">
        <v>218</v>
      </c>
      <c r="AK96" s="69">
        <v>0</v>
      </c>
      <c r="AL96" s="69">
        <v>6328</v>
      </c>
      <c r="AM96" s="69">
        <v>633</v>
      </c>
      <c r="AN96" s="69">
        <v>2346</v>
      </c>
      <c r="AO96" s="69">
        <v>850</v>
      </c>
      <c r="AP96" s="69">
        <v>1940</v>
      </c>
      <c r="AQ96" s="69">
        <v>0</v>
      </c>
      <c r="AR96" s="69">
        <v>294</v>
      </c>
      <c r="AS96" s="69">
        <f t="shared" si="53"/>
        <v>12609</v>
      </c>
      <c r="AT96" s="69">
        <v>0</v>
      </c>
      <c r="AU96" s="69">
        <v>1178</v>
      </c>
      <c r="AV96" s="69">
        <v>1029</v>
      </c>
      <c r="AW96" s="69">
        <v>5150</v>
      </c>
      <c r="AX96" s="69">
        <v>271</v>
      </c>
      <c r="AY96" s="69">
        <v>75</v>
      </c>
      <c r="AZ96" s="69">
        <v>224</v>
      </c>
      <c r="BA96" s="69">
        <v>2064</v>
      </c>
      <c r="BB96" s="69">
        <v>0</v>
      </c>
      <c r="BC96" s="69">
        <v>0</v>
      </c>
      <c r="BD96" s="69">
        <v>0</v>
      </c>
      <c r="BE96" s="69">
        <v>0</v>
      </c>
      <c r="BF96" s="69">
        <f t="shared" si="54"/>
        <v>9991</v>
      </c>
      <c r="BG96" s="99"/>
      <c r="BH96" s="69"/>
      <c r="BI96" s="69"/>
      <c r="BJ96" s="69"/>
      <c r="BL96" s="69"/>
      <c r="BM96" s="69"/>
      <c r="BN96" s="69"/>
      <c r="BO96" s="69"/>
      <c r="BP96" t="s">
        <v>183</v>
      </c>
      <c r="BQ96" s="6">
        <f t="shared" si="55"/>
        <v>12609</v>
      </c>
      <c r="BR96" s="69">
        <f t="shared" si="55"/>
        <v>0</v>
      </c>
      <c r="BS96" s="69">
        <f t="shared" si="55"/>
        <v>1178</v>
      </c>
      <c r="BT96" s="69">
        <f t="shared" ref="BT96:BY118" si="81">AV96</f>
        <v>1029</v>
      </c>
      <c r="BU96" s="69">
        <f t="shared" si="81"/>
        <v>5150</v>
      </c>
      <c r="BV96" s="69">
        <f t="shared" si="81"/>
        <v>271</v>
      </c>
      <c r="BW96" s="69">
        <f t="shared" si="81"/>
        <v>75</v>
      </c>
      <c r="BX96" s="69">
        <f t="shared" si="81"/>
        <v>224</v>
      </c>
      <c r="BY96" s="69">
        <f t="shared" si="81"/>
        <v>2064</v>
      </c>
      <c r="BZ96" s="69">
        <f t="shared" si="77"/>
        <v>735.66666666666663</v>
      </c>
      <c r="CA96" s="69">
        <f t="shared" si="77"/>
        <v>735.66666666666663</v>
      </c>
      <c r="CB96" s="69">
        <f t="shared" si="77"/>
        <v>735.66666666666663</v>
      </c>
      <c r="CC96" s="69">
        <f t="shared" si="77"/>
        <v>735.66666666666663</v>
      </c>
      <c r="CD96" s="69">
        <f t="shared" si="57"/>
        <v>12933.666666666664</v>
      </c>
      <c r="CF96" s="7">
        <v>0</v>
      </c>
      <c r="CG96" s="95">
        <f t="shared" si="62"/>
        <v>12933.666666666664</v>
      </c>
      <c r="DS96" s="95"/>
      <c r="DU96" s="100">
        <f t="shared" si="63"/>
        <v>1</v>
      </c>
      <c r="DV96" s="95">
        <f t="shared" si="58"/>
        <v>0</v>
      </c>
      <c r="DW96" s="95">
        <f t="shared" si="67"/>
        <v>2207</v>
      </c>
      <c r="DX96" s="95">
        <f t="shared" si="60"/>
        <v>0</v>
      </c>
      <c r="DY96" s="95">
        <f t="shared" si="68"/>
        <v>12609</v>
      </c>
      <c r="DZ96" s="95"/>
      <c r="EE96" s="82"/>
      <c r="EF96" s="82"/>
      <c r="EG96" s="82"/>
      <c r="EH96" s="82"/>
      <c r="EI96" s="82"/>
      <c r="EJ96" s="82"/>
      <c r="EK96" s="82"/>
      <c r="EL96" s="82"/>
      <c r="EM96" s="82"/>
      <c r="EN96" s="82"/>
      <c r="EO96" s="82"/>
      <c r="EP96" s="82"/>
      <c r="EQ96" s="82"/>
      <c r="ER96" s="82"/>
      <c r="ES96" s="82"/>
      <c r="ET96" s="82"/>
      <c r="EU96" s="82"/>
      <c r="EV96" s="82"/>
      <c r="EW96" s="82"/>
      <c r="EX96" s="82"/>
      <c r="EY96" s="82"/>
      <c r="EZ96" s="82"/>
      <c r="FA96" s="82"/>
      <c r="FB96" s="82"/>
      <c r="FC96" s="82"/>
      <c r="FD96" s="82"/>
      <c r="FE96" s="82"/>
      <c r="FF96" s="82"/>
      <c r="FG96" s="82"/>
      <c r="FH96" s="82"/>
      <c r="FI96" s="82"/>
      <c r="FJ96" s="82"/>
      <c r="FK96" s="82"/>
      <c r="FL96" s="82"/>
      <c r="FM96" s="82"/>
      <c r="FN96" s="82"/>
      <c r="FO96" s="82"/>
    </row>
    <row r="97" spans="1:171" x14ac:dyDescent="0.25">
      <c r="A97" t="s">
        <v>184</v>
      </c>
      <c r="B97" s="82">
        <v>0</v>
      </c>
      <c r="C97" s="82">
        <v>0</v>
      </c>
      <c r="D97" s="82">
        <v>0</v>
      </c>
      <c r="E97" s="82">
        <v>195475</v>
      </c>
      <c r="F97" s="82"/>
      <c r="G97" s="69">
        <v>0</v>
      </c>
      <c r="H97" s="69">
        <v>0</v>
      </c>
      <c r="I97" s="69">
        <v>0</v>
      </c>
      <c r="J97" s="69">
        <v>0</v>
      </c>
      <c r="K97" s="69">
        <v>0</v>
      </c>
      <c r="L97" s="69">
        <v>0</v>
      </c>
      <c r="M97" s="69">
        <v>0</v>
      </c>
      <c r="N97" s="69">
        <v>0</v>
      </c>
      <c r="O97" s="69">
        <v>0</v>
      </c>
      <c r="P97" s="69">
        <v>0</v>
      </c>
      <c r="Q97" s="69">
        <v>0</v>
      </c>
      <c r="R97" s="69">
        <v>0</v>
      </c>
      <c r="S97" s="69">
        <f t="shared" si="51"/>
        <v>0</v>
      </c>
      <c r="T97" s="69">
        <v>0</v>
      </c>
      <c r="U97" s="69">
        <v>0</v>
      </c>
      <c r="V97" s="69">
        <v>0</v>
      </c>
      <c r="W97" s="69">
        <v>0</v>
      </c>
      <c r="X97" s="69">
        <v>0</v>
      </c>
      <c r="Y97" s="69">
        <v>0</v>
      </c>
      <c r="Z97" s="69">
        <v>0</v>
      </c>
      <c r="AA97" s="69">
        <v>0</v>
      </c>
      <c r="AB97" s="69">
        <v>0</v>
      </c>
      <c r="AC97" s="69">
        <v>0</v>
      </c>
      <c r="AD97" s="69">
        <v>0</v>
      </c>
      <c r="AE97" s="69">
        <v>0</v>
      </c>
      <c r="AF97" s="69">
        <f t="shared" si="52"/>
        <v>0</v>
      </c>
      <c r="AG97" s="69">
        <v>12740</v>
      </c>
      <c r="AH97" s="69">
        <v>6470</v>
      </c>
      <c r="AI97" s="69">
        <v>15090</v>
      </c>
      <c r="AJ97" s="69">
        <v>38278</v>
      </c>
      <c r="AK97" s="69">
        <v>11825</v>
      </c>
      <c r="AL97" s="69">
        <v>13270</v>
      </c>
      <c r="AM97" s="69">
        <v>10050</v>
      </c>
      <c r="AN97" s="69">
        <v>21833</v>
      </c>
      <c r="AO97" s="69">
        <v>20900</v>
      </c>
      <c r="AP97" s="69">
        <v>11445</v>
      </c>
      <c r="AQ97" s="69">
        <v>19940</v>
      </c>
      <c r="AR97" s="69">
        <v>13635</v>
      </c>
      <c r="AS97" s="69">
        <f t="shared" si="53"/>
        <v>195476</v>
      </c>
      <c r="AT97" s="69">
        <v>17400</v>
      </c>
      <c r="AU97" s="69">
        <v>29380</v>
      </c>
      <c r="AV97" s="69">
        <v>13530</v>
      </c>
      <c r="AW97" s="69">
        <v>22765</v>
      </c>
      <c r="AX97" s="69">
        <v>18644</v>
      </c>
      <c r="AY97" s="69">
        <v>9414</v>
      </c>
      <c r="AZ97" s="69">
        <v>23072</v>
      </c>
      <c r="BA97" s="69">
        <v>1546</v>
      </c>
      <c r="BB97" s="69">
        <v>34766</v>
      </c>
      <c r="BC97" s="69">
        <v>0</v>
      </c>
      <c r="BD97" s="69">
        <v>0</v>
      </c>
      <c r="BE97" s="69">
        <v>0</v>
      </c>
      <c r="BF97" s="69">
        <f t="shared" si="54"/>
        <v>170517</v>
      </c>
      <c r="BG97" s="99"/>
      <c r="BH97" s="69"/>
      <c r="BI97" s="69"/>
      <c r="BJ97" s="69"/>
      <c r="BL97" s="69"/>
      <c r="BM97" s="69"/>
      <c r="BN97" s="69"/>
      <c r="BO97" s="69"/>
      <c r="BP97" t="s">
        <v>184</v>
      </c>
      <c r="BQ97" s="6">
        <f t="shared" ref="BQ97:BY119" si="82">AS97</f>
        <v>195476</v>
      </c>
      <c r="BR97" s="69">
        <f t="shared" si="82"/>
        <v>17400</v>
      </c>
      <c r="BS97" s="69">
        <f t="shared" si="82"/>
        <v>29380</v>
      </c>
      <c r="BT97" s="69">
        <f t="shared" si="81"/>
        <v>13530</v>
      </c>
      <c r="BU97" s="69">
        <f t="shared" si="81"/>
        <v>22765</v>
      </c>
      <c r="BV97" s="69">
        <f t="shared" si="81"/>
        <v>18644</v>
      </c>
      <c r="BW97" s="69">
        <f t="shared" si="81"/>
        <v>9414</v>
      </c>
      <c r="BX97" s="69">
        <f t="shared" si="81"/>
        <v>23072</v>
      </c>
      <c r="BY97" s="69">
        <f t="shared" si="81"/>
        <v>1546</v>
      </c>
      <c r="BZ97" s="71">
        <f t="shared" ref="BZ97:CC97" si="83">$AS$97/12</f>
        <v>16289.666666666666</v>
      </c>
      <c r="CA97" s="71">
        <f t="shared" si="83"/>
        <v>16289.666666666666</v>
      </c>
      <c r="CB97" s="71">
        <f t="shared" si="83"/>
        <v>16289.666666666666</v>
      </c>
      <c r="CC97" s="71">
        <f t="shared" si="83"/>
        <v>16289.666666666666</v>
      </c>
      <c r="CD97" s="69">
        <f t="shared" si="57"/>
        <v>200909.66666666663</v>
      </c>
      <c r="CF97" s="7">
        <v>216864.58333333328</v>
      </c>
      <c r="CG97" s="95">
        <f t="shared" si="62"/>
        <v>-15954.916666666657</v>
      </c>
      <c r="DS97" s="95"/>
      <c r="DT97" s="100">
        <v>0.1</v>
      </c>
      <c r="DU97" s="100">
        <f t="shared" si="63"/>
        <v>0.9</v>
      </c>
      <c r="DV97" s="95">
        <f t="shared" si="58"/>
        <v>6031</v>
      </c>
      <c r="DW97" s="95">
        <f t="shared" si="67"/>
        <v>54279</v>
      </c>
      <c r="DX97" s="95">
        <f t="shared" si="60"/>
        <v>19547.600000000002</v>
      </c>
      <c r="DY97" s="95">
        <f t="shared" si="68"/>
        <v>175928.4</v>
      </c>
      <c r="DZ97" s="95"/>
      <c r="EE97" s="82"/>
      <c r="EF97" s="82"/>
      <c r="EG97" s="82"/>
      <c r="EH97" s="82"/>
      <c r="EI97" s="82"/>
      <c r="EJ97" s="82"/>
      <c r="EK97" s="82"/>
      <c r="EL97" s="82"/>
      <c r="EM97" s="82"/>
      <c r="EN97" s="82"/>
      <c r="EO97" s="82"/>
      <c r="EP97" s="82"/>
      <c r="EQ97" s="82"/>
      <c r="ER97" s="82"/>
      <c r="ES97" s="82"/>
      <c r="ET97" s="82"/>
      <c r="EU97" s="82"/>
      <c r="EV97" s="82"/>
      <c r="EW97" s="82"/>
      <c r="EX97" s="82"/>
      <c r="EY97" s="82"/>
      <c r="EZ97" s="82"/>
      <c r="FA97" s="82"/>
      <c r="FB97" s="82"/>
      <c r="FC97" s="82"/>
      <c r="FD97" s="82"/>
      <c r="FE97" s="82"/>
      <c r="FF97" s="82"/>
      <c r="FG97" s="82"/>
      <c r="FH97" s="82"/>
      <c r="FI97" s="82"/>
      <c r="FJ97" s="82"/>
      <c r="FK97" s="82"/>
      <c r="FL97" s="82"/>
      <c r="FM97" s="82"/>
      <c r="FN97" s="82"/>
      <c r="FO97" s="82"/>
    </row>
    <row r="98" spans="1:171" x14ac:dyDescent="0.25">
      <c r="A98" t="s">
        <v>185</v>
      </c>
      <c r="B98" s="82">
        <v>0</v>
      </c>
      <c r="C98" s="82">
        <v>0</v>
      </c>
      <c r="D98" s="82">
        <v>0</v>
      </c>
      <c r="E98" s="82">
        <v>276972</v>
      </c>
      <c r="F98" s="82"/>
      <c r="G98" s="69">
        <v>0</v>
      </c>
      <c r="H98" s="69">
        <v>0</v>
      </c>
      <c r="I98" s="69">
        <v>0</v>
      </c>
      <c r="J98" s="69">
        <v>0</v>
      </c>
      <c r="K98" s="69">
        <v>0</v>
      </c>
      <c r="L98" s="69">
        <v>0</v>
      </c>
      <c r="M98" s="69">
        <v>0</v>
      </c>
      <c r="N98" s="69">
        <v>0</v>
      </c>
      <c r="O98" s="69">
        <v>0</v>
      </c>
      <c r="P98" s="69">
        <v>0</v>
      </c>
      <c r="Q98" s="69">
        <v>0</v>
      </c>
      <c r="R98" s="69">
        <v>0</v>
      </c>
      <c r="S98" s="69">
        <f t="shared" si="51"/>
        <v>0</v>
      </c>
      <c r="T98" s="69">
        <v>0</v>
      </c>
      <c r="U98" s="69">
        <v>0</v>
      </c>
      <c r="V98" s="69">
        <v>0</v>
      </c>
      <c r="W98" s="69">
        <v>0</v>
      </c>
      <c r="X98" s="69">
        <v>0</v>
      </c>
      <c r="Y98" s="69">
        <v>0</v>
      </c>
      <c r="Z98" s="69">
        <v>0</v>
      </c>
      <c r="AA98" s="69">
        <v>0</v>
      </c>
      <c r="AB98" s="69">
        <v>0</v>
      </c>
      <c r="AC98" s="69">
        <v>0</v>
      </c>
      <c r="AD98" s="69">
        <v>0</v>
      </c>
      <c r="AE98" s="69">
        <v>0</v>
      </c>
      <c r="AF98" s="69">
        <f t="shared" si="52"/>
        <v>0</v>
      </c>
      <c r="AG98" s="69">
        <v>0</v>
      </c>
      <c r="AH98" s="69">
        <v>0</v>
      </c>
      <c r="AI98" s="69">
        <v>0</v>
      </c>
      <c r="AJ98" s="69">
        <v>0</v>
      </c>
      <c r="AK98" s="69">
        <v>0</v>
      </c>
      <c r="AL98" s="69">
        <v>0</v>
      </c>
      <c r="AM98" s="69">
        <v>0</v>
      </c>
      <c r="AN98" s="69">
        <v>87222</v>
      </c>
      <c r="AO98" s="69">
        <v>22500</v>
      </c>
      <c r="AP98" s="69">
        <v>62000</v>
      </c>
      <c r="AQ98" s="69">
        <v>46900</v>
      </c>
      <c r="AR98" s="69">
        <v>58350</v>
      </c>
      <c r="AS98" s="69">
        <f t="shared" si="53"/>
        <v>276972</v>
      </c>
      <c r="AT98" s="69">
        <v>38735</v>
      </c>
      <c r="AU98" s="69">
        <v>0</v>
      </c>
      <c r="AV98" s="69">
        <v>47664</v>
      </c>
      <c r="AW98" s="69">
        <v>38750</v>
      </c>
      <c r="AX98" s="69">
        <v>37200</v>
      </c>
      <c r="AY98" s="69">
        <v>18600</v>
      </c>
      <c r="AZ98" s="69">
        <v>35418</v>
      </c>
      <c r="BA98" s="69">
        <v>78858</v>
      </c>
      <c r="BB98" s="69">
        <v>0</v>
      </c>
      <c r="BC98" s="69">
        <v>0</v>
      </c>
      <c r="BD98" s="69">
        <v>0</v>
      </c>
      <c r="BE98" s="69">
        <v>0</v>
      </c>
      <c r="BF98" s="69">
        <f t="shared" si="54"/>
        <v>295225</v>
      </c>
      <c r="BG98" s="99"/>
      <c r="BH98" s="69"/>
      <c r="BI98" s="69"/>
      <c r="BJ98" s="69"/>
      <c r="BL98" s="69">
        <v>38750</v>
      </c>
      <c r="BM98" s="69"/>
      <c r="BN98" s="69"/>
      <c r="BO98" s="69"/>
      <c r="BP98" t="s">
        <v>185</v>
      </c>
      <c r="BQ98" s="6">
        <f t="shared" si="82"/>
        <v>276972</v>
      </c>
      <c r="BR98" s="69">
        <f t="shared" si="82"/>
        <v>38735</v>
      </c>
      <c r="BS98" s="69">
        <f t="shared" si="82"/>
        <v>0</v>
      </c>
      <c r="BT98" s="69">
        <f t="shared" si="81"/>
        <v>47664</v>
      </c>
      <c r="BU98" s="69">
        <f t="shared" si="81"/>
        <v>38750</v>
      </c>
      <c r="BV98" s="69">
        <f t="shared" si="81"/>
        <v>37200</v>
      </c>
      <c r="BW98" s="69">
        <f t="shared" si="81"/>
        <v>18600</v>
      </c>
      <c r="BX98" s="69">
        <f t="shared" si="81"/>
        <v>35418</v>
      </c>
      <c r="BY98" s="69">
        <f t="shared" si="81"/>
        <v>78858</v>
      </c>
      <c r="BZ98" s="113">
        <f t="shared" ref="BZ98:CC98" si="84">AVERAGE($BW98:$BX98)</f>
        <v>27009</v>
      </c>
      <c r="CA98" s="113">
        <f t="shared" si="84"/>
        <v>27009</v>
      </c>
      <c r="CB98" s="113">
        <f t="shared" si="84"/>
        <v>27009</v>
      </c>
      <c r="CC98" s="113">
        <f t="shared" si="84"/>
        <v>27009</v>
      </c>
      <c r="CD98" s="69">
        <f t="shared" si="57"/>
        <v>403261</v>
      </c>
      <c r="CF98" s="7">
        <v>351412</v>
      </c>
      <c r="CG98" s="95">
        <f t="shared" si="62"/>
        <v>51849</v>
      </c>
      <c r="DS98" s="95"/>
      <c r="DU98" s="100">
        <f t="shared" si="63"/>
        <v>1</v>
      </c>
      <c r="DV98" s="95">
        <f t="shared" si="58"/>
        <v>0</v>
      </c>
      <c r="DW98" s="95">
        <f t="shared" si="67"/>
        <v>86399</v>
      </c>
      <c r="DX98" s="95">
        <f t="shared" si="60"/>
        <v>0</v>
      </c>
      <c r="DY98" s="95">
        <f t="shared" si="68"/>
        <v>276972</v>
      </c>
      <c r="DZ98" s="95"/>
      <c r="EE98" s="82"/>
      <c r="EF98" s="82"/>
      <c r="EG98" s="82"/>
      <c r="EH98" s="82"/>
      <c r="EI98" s="82"/>
      <c r="EJ98" s="82"/>
      <c r="EK98" s="82"/>
      <c r="EL98" s="82"/>
      <c r="EM98" s="82"/>
      <c r="EN98" s="82"/>
      <c r="EO98" s="82"/>
      <c r="EP98" s="82"/>
      <c r="EQ98" s="82"/>
      <c r="ER98" s="82"/>
      <c r="ES98" s="82"/>
      <c r="ET98" s="82"/>
      <c r="EU98" s="82"/>
      <c r="EV98" s="82"/>
      <c r="EW98" s="82"/>
      <c r="EX98" s="82"/>
      <c r="EY98" s="82"/>
      <c r="EZ98" s="82"/>
      <c r="FA98" s="82"/>
      <c r="FB98" s="82"/>
      <c r="FC98" s="82"/>
      <c r="FD98" s="82"/>
      <c r="FE98" s="82"/>
      <c r="FF98" s="82"/>
      <c r="FG98" s="82"/>
      <c r="FH98" s="82"/>
      <c r="FI98" s="82"/>
      <c r="FJ98" s="82"/>
      <c r="FK98" s="82"/>
      <c r="FL98" s="82"/>
      <c r="FM98" s="82"/>
      <c r="FN98" s="82"/>
      <c r="FO98" s="82"/>
    </row>
    <row r="99" spans="1:171" x14ac:dyDescent="0.25">
      <c r="A99" t="s">
        <v>186</v>
      </c>
      <c r="B99" s="82">
        <v>0</v>
      </c>
      <c r="C99" s="82">
        <v>0</v>
      </c>
      <c r="D99" s="82">
        <v>0</v>
      </c>
      <c r="E99" s="82">
        <v>54</v>
      </c>
      <c r="F99" s="82"/>
      <c r="G99" s="69">
        <v>0</v>
      </c>
      <c r="H99" s="69">
        <v>0</v>
      </c>
      <c r="I99" s="69">
        <v>0</v>
      </c>
      <c r="J99" s="69">
        <v>0</v>
      </c>
      <c r="K99" s="69">
        <v>0</v>
      </c>
      <c r="L99" s="69">
        <v>0</v>
      </c>
      <c r="M99" s="69">
        <v>0</v>
      </c>
      <c r="N99" s="69">
        <v>0</v>
      </c>
      <c r="O99" s="69">
        <v>0</v>
      </c>
      <c r="P99" s="69">
        <v>0</v>
      </c>
      <c r="Q99" s="69">
        <v>0</v>
      </c>
      <c r="R99" s="69">
        <v>0</v>
      </c>
      <c r="S99" s="69">
        <f t="shared" si="51"/>
        <v>0</v>
      </c>
      <c r="T99" s="69">
        <v>0</v>
      </c>
      <c r="U99" s="69">
        <v>0</v>
      </c>
      <c r="V99" s="69">
        <v>0</v>
      </c>
      <c r="W99" s="69">
        <v>0</v>
      </c>
      <c r="X99" s="69">
        <v>0</v>
      </c>
      <c r="Y99" s="69">
        <v>0</v>
      </c>
      <c r="Z99" s="69">
        <v>0</v>
      </c>
      <c r="AA99" s="69">
        <v>0</v>
      </c>
      <c r="AB99" s="69">
        <v>0</v>
      </c>
      <c r="AC99" s="69">
        <v>0</v>
      </c>
      <c r="AD99" s="69">
        <v>0</v>
      </c>
      <c r="AE99" s="69">
        <v>0</v>
      </c>
      <c r="AF99" s="69">
        <f t="shared" si="52"/>
        <v>0</v>
      </c>
      <c r="AG99" s="69">
        <v>0</v>
      </c>
      <c r="AH99" s="69">
        <v>0</v>
      </c>
      <c r="AI99" s="69">
        <v>0</v>
      </c>
      <c r="AJ99" s="69">
        <v>0</v>
      </c>
      <c r="AK99" s="69">
        <v>0</v>
      </c>
      <c r="AL99" s="69">
        <v>0</v>
      </c>
      <c r="AM99" s="69">
        <v>0</v>
      </c>
      <c r="AN99" s="69">
        <v>0</v>
      </c>
      <c r="AO99" s="69">
        <v>0</v>
      </c>
      <c r="AP99" s="69">
        <v>1134</v>
      </c>
      <c r="AQ99" s="69">
        <v>0</v>
      </c>
      <c r="AR99" s="69">
        <v>-1080</v>
      </c>
      <c r="AS99" s="69">
        <f t="shared" si="53"/>
        <v>54</v>
      </c>
      <c r="AT99" s="69">
        <v>0</v>
      </c>
      <c r="AU99" s="69">
        <v>0</v>
      </c>
      <c r="AV99" s="69">
        <v>0</v>
      </c>
      <c r="AW99" s="69">
        <v>0</v>
      </c>
      <c r="AX99" s="69">
        <v>0</v>
      </c>
      <c r="AY99" s="69">
        <v>0</v>
      </c>
      <c r="AZ99" s="69">
        <v>0</v>
      </c>
      <c r="BA99" s="69">
        <v>0</v>
      </c>
      <c r="BB99" s="69">
        <v>0</v>
      </c>
      <c r="BC99" s="69">
        <v>0</v>
      </c>
      <c r="BD99" s="69">
        <v>0</v>
      </c>
      <c r="BE99" s="69">
        <v>0</v>
      </c>
      <c r="BF99" s="69">
        <f t="shared" si="54"/>
        <v>0</v>
      </c>
      <c r="BG99" s="99"/>
      <c r="BH99" s="69"/>
      <c r="BI99" s="69"/>
      <c r="BJ99" s="69"/>
      <c r="BL99" s="69"/>
      <c r="BM99" s="69"/>
      <c r="BN99" s="69"/>
      <c r="BO99" s="69"/>
      <c r="BP99" t="s">
        <v>186</v>
      </c>
      <c r="BQ99" s="6">
        <f t="shared" si="82"/>
        <v>54</v>
      </c>
      <c r="BR99" s="69">
        <f t="shared" si="82"/>
        <v>0</v>
      </c>
      <c r="BS99" s="69">
        <f t="shared" si="82"/>
        <v>0</v>
      </c>
      <c r="BT99" s="69">
        <f t="shared" si="81"/>
        <v>0</v>
      </c>
      <c r="BU99" s="69">
        <f t="shared" si="81"/>
        <v>0</v>
      </c>
      <c r="BV99" s="69">
        <f t="shared" si="81"/>
        <v>0</v>
      </c>
      <c r="BW99" s="69">
        <f t="shared" si="81"/>
        <v>0</v>
      </c>
      <c r="BX99" s="69">
        <f t="shared" si="81"/>
        <v>0</v>
      </c>
      <c r="BY99" s="69">
        <f t="shared" si="81"/>
        <v>0</v>
      </c>
      <c r="BZ99" s="69">
        <f t="shared" si="77"/>
        <v>0</v>
      </c>
      <c r="CA99" s="69">
        <f t="shared" si="77"/>
        <v>0</v>
      </c>
      <c r="CB99" s="69">
        <f t="shared" si="77"/>
        <v>0</v>
      </c>
      <c r="CC99" s="69">
        <f t="shared" si="77"/>
        <v>0</v>
      </c>
      <c r="CD99" s="69">
        <f t="shared" si="57"/>
        <v>0</v>
      </c>
      <c r="CF99" s="7">
        <v>0</v>
      </c>
      <c r="CG99" s="95">
        <f t="shared" si="62"/>
        <v>0</v>
      </c>
      <c r="DS99" s="95"/>
      <c r="DU99" s="100">
        <f t="shared" si="63"/>
        <v>1</v>
      </c>
      <c r="DV99" s="95">
        <f t="shared" si="58"/>
        <v>0</v>
      </c>
      <c r="DW99" s="95">
        <f t="shared" si="67"/>
        <v>0</v>
      </c>
      <c r="DX99" s="95">
        <f t="shared" si="60"/>
        <v>0</v>
      </c>
      <c r="DY99" s="95">
        <f t="shared" si="68"/>
        <v>54</v>
      </c>
      <c r="DZ99" s="95"/>
      <c r="EE99" s="82"/>
      <c r="EF99" s="82"/>
      <c r="EG99" s="82"/>
      <c r="EH99" s="82"/>
      <c r="EI99" s="82"/>
      <c r="EJ99" s="82"/>
      <c r="EK99" s="82"/>
      <c r="EL99" s="82"/>
      <c r="EM99" s="82"/>
      <c r="EN99" s="82"/>
      <c r="EO99" s="82"/>
      <c r="EP99" s="82"/>
      <c r="EQ99" s="82"/>
      <c r="ER99" s="82"/>
      <c r="ES99" s="82"/>
      <c r="ET99" s="82"/>
      <c r="EU99" s="82"/>
      <c r="EV99" s="82"/>
      <c r="EW99" s="82"/>
      <c r="EX99" s="82"/>
      <c r="EY99" s="82"/>
      <c r="EZ99" s="82"/>
      <c r="FA99" s="82"/>
      <c r="FB99" s="82"/>
      <c r="FC99" s="82"/>
      <c r="FD99" s="82"/>
      <c r="FE99" s="82"/>
      <c r="FF99" s="82"/>
      <c r="FG99" s="82"/>
      <c r="FH99" s="82"/>
      <c r="FI99" s="82"/>
      <c r="FJ99" s="82"/>
      <c r="FK99" s="82"/>
      <c r="FL99" s="82"/>
      <c r="FM99" s="82"/>
      <c r="FN99" s="82"/>
      <c r="FO99" s="82"/>
    </row>
    <row r="100" spans="1:171" x14ac:dyDescent="0.25">
      <c r="A100" s="114" t="s">
        <v>187</v>
      </c>
      <c r="B100" s="82">
        <v>0</v>
      </c>
      <c r="C100" s="82">
        <v>0</v>
      </c>
      <c r="D100" s="82">
        <v>0</v>
      </c>
      <c r="E100" s="82">
        <v>0</v>
      </c>
      <c r="F100" s="82"/>
      <c r="G100" s="69">
        <v>0</v>
      </c>
      <c r="H100" s="69">
        <v>0</v>
      </c>
      <c r="I100" s="69">
        <v>0</v>
      </c>
      <c r="J100" s="69">
        <v>0</v>
      </c>
      <c r="K100" s="69">
        <v>0</v>
      </c>
      <c r="L100" s="69">
        <v>0</v>
      </c>
      <c r="M100" s="69">
        <v>0</v>
      </c>
      <c r="N100" s="69">
        <v>0</v>
      </c>
      <c r="O100" s="69">
        <v>0</v>
      </c>
      <c r="P100" s="69">
        <v>0</v>
      </c>
      <c r="Q100" s="69">
        <v>0</v>
      </c>
      <c r="R100" s="69">
        <v>0</v>
      </c>
      <c r="S100" s="69">
        <f t="shared" si="51"/>
        <v>0</v>
      </c>
      <c r="T100" s="69">
        <v>0</v>
      </c>
      <c r="U100" s="69">
        <v>0</v>
      </c>
      <c r="V100" s="69">
        <v>0</v>
      </c>
      <c r="W100" s="69">
        <v>0</v>
      </c>
      <c r="X100" s="69">
        <v>0</v>
      </c>
      <c r="Y100" s="69">
        <v>0</v>
      </c>
      <c r="Z100" s="69">
        <v>0</v>
      </c>
      <c r="AA100" s="69">
        <v>0</v>
      </c>
      <c r="AB100" s="69">
        <v>0</v>
      </c>
      <c r="AC100" s="69">
        <v>0</v>
      </c>
      <c r="AD100" s="69">
        <v>0</v>
      </c>
      <c r="AE100" s="69">
        <v>0</v>
      </c>
      <c r="AF100" s="69">
        <f t="shared" si="52"/>
        <v>0</v>
      </c>
      <c r="AG100" s="69">
        <v>0</v>
      </c>
      <c r="AH100" s="69">
        <v>0</v>
      </c>
      <c r="AI100" s="69">
        <v>0</v>
      </c>
      <c r="AJ100" s="69">
        <v>0</v>
      </c>
      <c r="AK100" s="69">
        <v>0</v>
      </c>
      <c r="AL100" s="69">
        <v>0</v>
      </c>
      <c r="AM100" s="69">
        <v>0</v>
      </c>
      <c r="AN100" s="69">
        <v>0</v>
      </c>
      <c r="AO100" s="69">
        <v>0</v>
      </c>
      <c r="AP100" s="69">
        <v>0</v>
      </c>
      <c r="AQ100" s="69">
        <v>0</v>
      </c>
      <c r="AR100" s="69">
        <v>0</v>
      </c>
      <c r="AS100" s="69">
        <f t="shared" si="53"/>
        <v>0</v>
      </c>
      <c r="AT100" s="69">
        <v>0</v>
      </c>
      <c r="AU100" s="69">
        <v>0</v>
      </c>
      <c r="AV100" s="69">
        <v>0</v>
      </c>
      <c r="AW100" s="69">
        <v>0</v>
      </c>
      <c r="AX100" s="69">
        <v>0</v>
      </c>
      <c r="AY100" s="69">
        <v>0</v>
      </c>
      <c r="AZ100" s="69">
        <v>13900</v>
      </c>
      <c r="BA100" s="69">
        <v>9530</v>
      </c>
      <c r="BB100" s="69">
        <v>14530</v>
      </c>
      <c r="BC100" s="69">
        <v>0</v>
      </c>
      <c r="BD100" s="69">
        <v>0</v>
      </c>
      <c r="BE100" s="69">
        <v>0</v>
      </c>
      <c r="BF100" s="69">
        <f t="shared" si="54"/>
        <v>37960</v>
      </c>
      <c r="BG100" s="99"/>
      <c r="BH100" s="69"/>
      <c r="BI100" s="69"/>
      <c r="BJ100" s="69"/>
      <c r="BL100" s="69"/>
      <c r="BM100" s="69"/>
      <c r="BN100" s="69"/>
      <c r="BO100" s="69"/>
      <c r="BP100" s="114" t="s">
        <v>187</v>
      </c>
      <c r="BQ100" s="6">
        <f t="shared" si="82"/>
        <v>0</v>
      </c>
      <c r="BR100" s="69">
        <f t="shared" si="82"/>
        <v>0</v>
      </c>
      <c r="BS100" s="69">
        <f t="shared" si="82"/>
        <v>0</v>
      </c>
      <c r="BT100" s="69">
        <f t="shared" si="81"/>
        <v>0</v>
      </c>
      <c r="BU100" s="69">
        <f t="shared" si="81"/>
        <v>0</v>
      </c>
      <c r="BV100" s="69">
        <f t="shared" si="81"/>
        <v>0</v>
      </c>
      <c r="BW100" s="69">
        <f t="shared" si="81"/>
        <v>0</v>
      </c>
      <c r="BX100" s="69">
        <f t="shared" si="81"/>
        <v>13900</v>
      </c>
      <c r="BY100" s="69">
        <f t="shared" si="81"/>
        <v>9530</v>
      </c>
      <c r="BZ100" s="69">
        <f t="shared" si="77"/>
        <v>0</v>
      </c>
      <c r="CA100" s="69">
        <f t="shared" si="77"/>
        <v>0</v>
      </c>
      <c r="CB100" s="69">
        <f t="shared" si="77"/>
        <v>0</v>
      </c>
      <c r="CC100" s="69">
        <f t="shared" si="77"/>
        <v>0</v>
      </c>
      <c r="CD100" s="69">
        <f t="shared" si="57"/>
        <v>23430</v>
      </c>
      <c r="CF100" s="7">
        <v>0</v>
      </c>
      <c r="CG100" s="95">
        <f t="shared" si="62"/>
        <v>23430</v>
      </c>
      <c r="DS100" s="95"/>
      <c r="DU100" s="100">
        <f t="shared" si="63"/>
        <v>1</v>
      </c>
      <c r="DV100" s="95">
        <f t="shared" si="58"/>
        <v>0</v>
      </c>
      <c r="DW100" s="95">
        <f t="shared" si="67"/>
        <v>0</v>
      </c>
      <c r="DX100" s="95">
        <f t="shared" si="60"/>
        <v>0</v>
      </c>
      <c r="DY100" s="95">
        <f t="shared" si="68"/>
        <v>0</v>
      </c>
      <c r="DZ100" s="95"/>
      <c r="EE100" s="82"/>
      <c r="EF100" s="82"/>
      <c r="EG100" s="82"/>
      <c r="EH100" s="82"/>
      <c r="EI100" s="82"/>
      <c r="EJ100" s="82"/>
      <c r="EK100" s="82"/>
      <c r="EL100" s="82"/>
      <c r="EM100" s="82"/>
      <c r="EN100" s="82"/>
      <c r="EO100" s="82"/>
      <c r="EP100" s="82"/>
      <c r="EQ100" s="82"/>
      <c r="ER100" s="82"/>
      <c r="ES100" s="82"/>
      <c r="ET100" s="82"/>
      <c r="EU100" s="82"/>
      <c r="EV100" s="82"/>
      <c r="EW100" s="82"/>
      <c r="EX100" s="82"/>
      <c r="EY100" s="82"/>
      <c r="EZ100" s="82"/>
      <c r="FA100" s="82"/>
      <c r="FB100" s="82"/>
      <c r="FC100" s="82"/>
      <c r="FD100" s="82"/>
      <c r="FE100" s="82"/>
      <c r="FF100" s="82"/>
      <c r="FG100" s="82"/>
      <c r="FH100" s="82"/>
      <c r="FI100" s="82"/>
      <c r="FJ100" s="82"/>
      <c r="FK100" s="82"/>
      <c r="FL100" s="82"/>
      <c r="FM100" s="82"/>
      <c r="FN100" s="82"/>
      <c r="FO100" s="82"/>
    </row>
    <row r="101" spans="1:171" x14ac:dyDescent="0.25">
      <c r="A101" t="s">
        <v>188</v>
      </c>
      <c r="B101" s="82">
        <v>0</v>
      </c>
      <c r="C101" s="82">
        <v>38857</v>
      </c>
      <c r="D101" s="82">
        <v>2098</v>
      </c>
      <c r="E101" s="82">
        <v>33540</v>
      </c>
      <c r="F101" s="82"/>
      <c r="G101" s="69">
        <v>0</v>
      </c>
      <c r="H101" s="69">
        <v>0</v>
      </c>
      <c r="I101" s="69">
        <v>0</v>
      </c>
      <c r="J101" s="69">
        <v>0</v>
      </c>
      <c r="K101" s="69">
        <v>0</v>
      </c>
      <c r="L101" s="69">
        <v>0</v>
      </c>
      <c r="M101" s="69">
        <v>0</v>
      </c>
      <c r="N101" s="69">
        <v>0</v>
      </c>
      <c r="O101" s="69">
        <v>0</v>
      </c>
      <c r="P101" s="69">
        <v>38857</v>
      </c>
      <c r="Q101" s="69">
        <v>0</v>
      </c>
      <c r="R101" s="69">
        <v>0</v>
      </c>
      <c r="S101" s="69">
        <f t="shared" si="51"/>
        <v>38857</v>
      </c>
      <c r="T101" s="69">
        <v>0</v>
      </c>
      <c r="U101" s="69">
        <v>0</v>
      </c>
      <c r="V101" s="69">
        <v>0</v>
      </c>
      <c r="W101" s="69">
        <v>2098</v>
      </c>
      <c r="X101" s="69">
        <v>0</v>
      </c>
      <c r="Y101" s="69">
        <v>0</v>
      </c>
      <c r="Z101" s="69">
        <v>0</v>
      </c>
      <c r="AA101" s="69">
        <v>0</v>
      </c>
      <c r="AB101" s="69">
        <v>0</v>
      </c>
      <c r="AC101" s="69">
        <v>0</v>
      </c>
      <c r="AD101" s="69">
        <v>0</v>
      </c>
      <c r="AE101" s="69">
        <v>0</v>
      </c>
      <c r="AF101" s="69">
        <f t="shared" si="52"/>
        <v>2098</v>
      </c>
      <c r="AG101" s="69">
        <v>2317</v>
      </c>
      <c r="AH101" s="69">
        <v>376</v>
      </c>
      <c r="AI101" s="69">
        <v>0</v>
      </c>
      <c r="AJ101" s="69">
        <v>500</v>
      </c>
      <c r="AK101" s="69">
        <v>0</v>
      </c>
      <c r="AL101" s="69">
        <v>1968</v>
      </c>
      <c r="AM101" s="69">
        <v>124</v>
      </c>
      <c r="AN101" s="69">
        <v>624</v>
      </c>
      <c r="AO101" s="69">
        <v>468</v>
      </c>
      <c r="AP101" s="69">
        <v>2604</v>
      </c>
      <c r="AQ101" s="69">
        <v>17635</v>
      </c>
      <c r="AR101" s="69">
        <v>6924</v>
      </c>
      <c r="AS101" s="69">
        <f t="shared" si="53"/>
        <v>33540</v>
      </c>
      <c r="AT101" s="69">
        <v>3010</v>
      </c>
      <c r="AU101" s="69">
        <v>3246</v>
      </c>
      <c r="AV101" s="69">
        <v>2178</v>
      </c>
      <c r="AW101" s="69">
        <v>2593</v>
      </c>
      <c r="AX101" s="69">
        <v>5693</v>
      </c>
      <c r="AY101" s="69">
        <v>5377</v>
      </c>
      <c r="AZ101" s="69">
        <v>2152</v>
      </c>
      <c r="BA101" s="69">
        <v>1205</v>
      </c>
      <c r="BB101" s="69">
        <v>1247</v>
      </c>
      <c r="BC101" s="69">
        <v>0</v>
      </c>
      <c r="BD101" s="69">
        <v>0</v>
      </c>
      <c r="BE101" s="69">
        <v>0</v>
      </c>
      <c r="BF101" s="73">
        <f t="shared" si="54"/>
        <v>26701</v>
      </c>
      <c r="BG101" s="99">
        <f>AVERAGE(AT101:AX101)</f>
        <v>3344</v>
      </c>
      <c r="BH101" s="69"/>
      <c r="BI101" s="69"/>
      <c r="BJ101" s="69"/>
      <c r="BL101" s="69"/>
      <c r="BM101" s="69"/>
      <c r="BN101" s="69"/>
      <c r="BO101" s="69"/>
      <c r="BP101" t="s">
        <v>188</v>
      </c>
      <c r="BQ101" s="6">
        <f t="shared" si="82"/>
        <v>33540</v>
      </c>
      <c r="BR101" s="69">
        <f t="shared" si="82"/>
        <v>3010</v>
      </c>
      <c r="BS101" s="69">
        <f t="shared" si="82"/>
        <v>3246</v>
      </c>
      <c r="BT101" s="69">
        <f t="shared" si="81"/>
        <v>2178</v>
      </c>
      <c r="BU101" s="69">
        <f t="shared" si="81"/>
        <v>2593</v>
      </c>
      <c r="BV101" s="69">
        <f t="shared" si="81"/>
        <v>5693</v>
      </c>
      <c r="BW101" s="69">
        <f t="shared" si="81"/>
        <v>5377</v>
      </c>
      <c r="BX101" s="69">
        <f t="shared" si="81"/>
        <v>2152</v>
      </c>
      <c r="BY101" s="69">
        <f t="shared" si="81"/>
        <v>1205</v>
      </c>
      <c r="BZ101" s="69">
        <f t="shared" ref="BZ101:CC101" si="85">AVERAGE($BU101:$BX101)</f>
        <v>3953.75</v>
      </c>
      <c r="CA101" s="69">
        <f t="shared" si="85"/>
        <v>3953.75</v>
      </c>
      <c r="CB101" s="69">
        <f t="shared" si="85"/>
        <v>3953.75</v>
      </c>
      <c r="CC101" s="69">
        <f t="shared" si="85"/>
        <v>3953.75</v>
      </c>
      <c r="CD101" s="69">
        <f t="shared" si="57"/>
        <v>41269</v>
      </c>
      <c r="CF101" s="7">
        <v>48918.125</v>
      </c>
      <c r="CG101" s="95">
        <f t="shared" si="62"/>
        <v>-7649.125</v>
      </c>
      <c r="DS101" s="95"/>
      <c r="DT101" s="100">
        <v>1</v>
      </c>
      <c r="DU101" s="100">
        <f t="shared" si="63"/>
        <v>0</v>
      </c>
      <c r="DV101" s="95">
        <f t="shared" si="58"/>
        <v>8434</v>
      </c>
      <c r="DW101" s="95">
        <f t="shared" si="67"/>
        <v>0</v>
      </c>
      <c r="DX101" s="95">
        <f t="shared" si="60"/>
        <v>33540</v>
      </c>
      <c r="DY101" s="95">
        <f t="shared" si="68"/>
        <v>0</v>
      </c>
      <c r="DZ101" s="95"/>
      <c r="EE101" s="82"/>
      <c r="EF101" s="82"/>
      <c r="EG101" s="82"/>
      <c r="EH101" s="82"/>
      <c r="EI101" s="82"/>
      <c r="EJ101" s="82"/>
      <c r="EK101" s="82"/>
      <c r="EL101" s="82"/>
      <c r="EM101" s="82"/>
      <c r="EN101" s="82"/>
      <c r="EO101" s="82"/>
      <c r="EP101" s="82"/>
      <c r="EQ101" s="82"/>
      <c r="ER101" s="82"/>
      <c r="ES101" s="82"/>
      <c r="ET101" s="82"/>
      <c r="EU101" s="82"/>
      <c r="EV101" s="82"/>
      <c r="EW101" s="82"/>
      <c r="EX101" s="82"/>
      <c r="EY101" s="82"/>
      <c r="EZ101" s="82"/>
      <c r="FA101" s="82"/>
      <c r="FB101" s="82"/>
      <c r="FC101" s="82"/>
      <c r="FD101" s="82"/>
      <c r="FE101" s="82"/>
      <c r="FF101" s="82"/>
      <c r="FG101" s="82"/>
      <c r="FH101" s="82"/>
      <c r="FI101" s="82"/>
      <c r="FJ101" s="82"/>
      <c r="FK101" s="82"/>
      <c r="FL101" s="82"/>
      <c r="FM101" s="82"/>
      <c r="FN101" s="82"/>
      <c r="FO101" s="82"/>
    </row>
    <row r="102" spans="1:171" x14ac:dyDescent="0.25">
      <c r="A102" t="s">
        <v>189</v>
      </c>
      <c r="B102" s="82">
        <v>1772</v>
      </c>
      <c r="C102" s="82">
        <v>0</v>
      </c>
      <c r="D102" s="82">
        <v>44</v>
      </c>
      <c r="E102" s="82">
        <v>2200</v>
      </c>
      <c r="F102" s="82"/>
      <c r="G102" s="69">
        <v>0</v>
      </c>
      <c r="H102" s="69">
        <v>0</v>
      </c>
      <c r="I102" s="69">
        <v>0</v>
      </c>
      <c r="J102" s="69">
        <v>0</v>
      </c>
      <c r="K102" s="69">
        <v>0</v>
      </c>
      <c r="L102" s="69">
        <v>0</v>
      </c>
      <c r="M102" s="69">
        <v>0</v>
      </c>
      <c r="N102" s="69">
        <v>0</v>
      </c>
      <c r="O102" s="69">
        <v>0</v>
      </c>
      <c r="P102" s="69">
        <v>0</v>
      </c>
      <c r="Q102" s="69">
        <v>0</v>
      </c>
      <c r="R102" s="69">
        <v>0</v>
      </c>
      <c r="S102" s="69">
        <f t="shared" si="51"/>
        <v>0</v>
      </c>
      <c r="T102" s="69">
        <v>0</v>
      </c>
      <c r="U102" s="69">
        <v>44</v>
      </c>
      <c r="V102" s="69">
        <v>0</v>
      </c>
      <c r="W102" s="69">
        <v>0</v>
      </c>
      <c r="X102" s="69">
        <v>0</v>
      </c>
      <c r="Y102" s="69">
        <v>0</v>
      </c>
      <c r="Z102" s="69">
        <v>0</v>
      </c>
      <c r="AA102" s="69">
        <v>0</v>
      </c>
      <c r="AB102" s="69">
        <v>0</v>
      </c>
      <c r="AC102" s="69">
        <v>0</v>
      </c>
      <c r="AD102" s="69">
        <v>0</v>
      </c>
      <c r="AE102" s="69">
        <v>0</v>
      </c>
      <c r="AF102" s="69">
        <f t="shared" si="52"/>
        <v>44</v>
      </c>
      <c r="AG102" s="69">
        <v>0</v>
      </c>
      <c r="AH102" s="69">
        <v>0</v>
      </c>
      <c r="AI102" s="69">
        <v>0</v>
      </c>
      <c r="AJ102" s="69">
        <v>0</v>
      </c>
      <c r="AK102" s="69">
        <v>0</v>
      </c>
      <c r="AL102" s="69">
        <v>0</v>
      </c>
      <c r="AM102" s="69">
        <v>0</v>
      </c>
      <c r="AN102" s="69">
        <v>0</v>
      </c>
      <c r="AO102" s="69">
        <v>0</v>
      </c>
      <c r="AP102" s="69">
        <v>0</v>
      </c>
      <c r="AQ102" s="69">
        <v>0</v>
      </c>
      <c r="AR102" s="69">
        <v>2200</v>
      </c>
      <c r="AS102" s="69">
        <f t="shared" si="53"/>
        <v>2200</v>
      </c>
      <c r="AT102" s="69">
        <v>2300</v>
      </c>
      <c r="AU102" s="69">
        <v>2512</v>
      </c>
      <c r="AV102" s="69">
        <v>0</v>
      </c>
      <c r="AW102" s="69">
        <v>0</v>
      </c>
      <c r="AX102" s="69">
        <v>0</v>
      </c>
      <c r="AY102" s="69">
        <v>0</v>
      </c>
      <c r="AZ102" s="69">
        <v>0</v>
      </c>
      <c r="BA102" s="69">
        <v>120</v>
      </c>
      <c r="BB102" s="69">
        <v>0</v>
      </c>
      <c r="BC102" s="69">
        <v>0</v>
      </c>
      <c r="BD102" s="69">
        <v>0</v>
      </c>
      <c r="BE102" s="69">
        <v>0</v>
      </c>
      <c r="BF102" s="73">
        <f t="shared" si="54"/>
        <v>4932</v>
      </c>
      <c r="BG102" s="99">
        <f>AVERAGE(AT102:AU102)</f>
        <v>2406</v>
      </c>
      <c r="BH102" s="69"/>
      <c r="BI102" s="69"/>
      <c r="BJ102" s="69"/>
      <c r="BL102" s="69"/>
      <c r="BM102" s="69"/>
      <c r="BN102" s="69"/>
      <c r="BO102" s="69"/>
      <c r="BP102" t="s">
        <v>189</v>
      </c>
      <c r="BQ102" s="6">
        <f t="shared" si="82"/>
        <v>2200</v>
      </c>
      <c r="BR102" s="69">
        <f t="shared" si="82"/>
        <v>2300</v>
      </c>
      <c r="BS102" s="69">
        <f t="shared" si="82"/>
        <v>2512</v>
      </c>
      <c r="BT102" s="69">
        <f t="shared" si="81"/>
        <v>0</v>
      </c>
      <c r="BU102" s="69">
        <f t="shared" si="81"/>
        <v>0</v>
      </c>
      <c r="BV102" s="69">
        <f t="shared" si="81"/>
        <v>0</v>
      </c>
      <c r="BW102" s="69">
        <f t="shared" si="81"/>
        <v>0</v>
      </c>
      <c r="BX102" s="69">
        <f t="shared" si="81"/>
        <v>0</v>
      </c>
      <c r="BY102" s="69">
        <f t="shared" si="81"/>
        <v>120</v>
      </c>
      <c r="BZ102" s="113">
        <f t="shared" ref="BZ102:CC102" si="86">AVERAGE($BR102:$BS102)</f>
        <v>2406</v>
      </c>
      <c r="CA102" s="113">
        <f t="shared" si="86"/>
        <v>2406</v>
      </c>
      <c r="CB102" s="113">
        <f t="shared" si="86"/>
        <v>2406</v>
      </c>
      <c r="CC102" s="113">
        <f t="shared" si="86"/>
        <v>2406</v>
      </c>
      <c r="CD102" s="69">
        <f t="shared" si="57"/>
        <v>14556</v>
      </c>
      <c r="CF102" s="7">
        <v>16842</v>
      </c>
      <c r="CG102" s="95">
        <f t="shared" si="62"/>
        <v>-2286</v>
      </c>
      <c r="DS102" s="95"/>
      <c r="DT102" s="100">
        <v>1</v>
      </c>
      <c r="DU102" s="100">
        <f t="shared" si="63"/>
        <v>0</v>
      </c>
      <c r="DV102" s="95">
        <f t="shared" si="58"/>
        <v>4812</v>
      </c>
      <c r="DW102" s="95">
        <f t="shared" si="67"/>
        <v>0</v>
      </c>
      <c r="DX102" s="95">
        <f t="shared" si="60"/>
        <v>2200</v>
      </c>
      <c r="DY102" s="95">
        <f t="shared" si="68"/>
        <v>0</v>
      </c>
      <c r="DZ102" s="95"/>
      <c r="EE102" s="82"/>
      <c r="EF102" s="82"/>
      <c r="EG102" s="82"/>
      <c r="EH102" s="82"/>
      <c r="EI102" s="82"/>
      <c r="EJ102" s="82"/>
      <c r="EK102" s="82"/>
      <c r="EL102" s="82"/>
      <c r="EM102" s="82"/>
      <c r="EN102" s="82"/>
      <c r="EO102" s="82"/>
      <c r="EP102" s="82"/>
      <c r="EQ102" s="82"/>
      <c r="ER102" s="82"/>
      <c r="ES102" s="82"/>
      <c r="ET102" s="82"/>
      <c r="EU102" s="82"/>
      <c r="EV102" s="82"/>
      <c r="EW102" s="82"/>
      <c r="EX102" s="82"/>
      <c r="EY102" s="82"/>
      <c r="EZ102" s="82"/>
      <c r="FA102" s="82"/>
      <c r="FB102" s="82"/>
      <c r="FC102" s="82"/>
      <c r="FD102" s="82"/>
      <c r="FE102" s="82"/>
      <c r="FF102" s="82"/>
      <c r="FG102" s="82"/>
      <c r="FH102" s="82"/>
      <c r="FI102" s="82"/>
      <c r="FJ102" s="82"/>
      <c r="FK102" s="82"/>
      <c r="FL102" s="82"/>
      <c r="FM102" s="82"/>
      <c r="FN102" s="82"/>
      <c r="FO102" s="82"/>
    </row>
    <row r="103" spans="1:171" x14ac:dyDescent="0.25">
      <c r="A103" t="s">
        <v>190</v>
      </c>
      <c r="B103" s="82">
        <v>-8159</v>
      </c>
      <c r="C103" s="82">
        <v>-67459</v>
      </c>
      <c r="D103" s="82">
        <v>-11177</v>
      </c>
      <c r="E103" s="82">
        <v>24407</v>
      </c>
      <c r="F103" s="82"/>
      <c r="G103" s="69">
        <v>78480</v>
      </c>
      <c r="H103" s="69">
        <v>78480</v>
      </c>
      <c r="I103" s="69">
        <v>76791</v>
      </c>
      <c r="J103" s="69">
        <v>76791</v>
      </c>
      <c r="K103" s="69">
        <v>76791</v>
      </c>
      <c r="L103" s="69">
        <v>78480</v>
      </c>
      <c r="M103" s="69">
        <v>78480</v>
      </c>
      <c r="N103" s="69">
        <v>78480</v>
      </c>
      <c r="O103" s="69">
        <v>74051</v>
      </c>
      <c r="P103" s="69">
        <v>74457</v>
      </c>
      <c r="Q103" s="69">
        <v>74457</v>
      </c>
      <c r="R103" s="69">
        <v>-913198</v>
      </c>
      <c r="S103" s="69">
        <f t="shared" si="51"/>
        <v>-67460</v>
      </c>
      <c r="T103" s="69">
        <v>0</v>
      </c>
      <c r="U103" s="69">
        <v>0</v>
      </c>
      <c r="V103" s="69">
        <v>4052</v>
      </c>
      <c r="W103" s="69">
        <v>0</v>
      </c>
      <c r="X103" s="69">
        <v>0</v>
      </c>
      <c r="Y103" s="69">
        <v>-7244</v>
      </c>
      <c r="Z103" s="69">
        <v>0</v>
      </c>
      <c r="AA103" s="69">
        <v>0</v>
      </c>
      <c r="AB103" s="69">
        <v>9090</v>
      </c>
      <c r="AC103" s="69">
        <v>0</v>
      </c>
      <c r="AD103" s="69">
        <v>0</v>
      </c>
      <c r="AE103" s="69">
        <v>-17076</v>
      </c>
      <c r="AF103" s="69">
        <f t="shared" si="52"/>
        <v>-11178</v>
      </c>
      <c r="AG103" s="69">
        <v>0</v>
      </c>
      <c r="AH103" s="69">
        <v>0</v>
      </c>
      <c r="AI103" s="69">
        <v>-35513</v>
      </c>
      <c r="AJ103" s="69">
        <v>0</v>
      </c>
      <c r="AK103" s="69">
        <v>0</v>
      </c>
      <c r="AL103" s="69">
        <v>61711</v>
      </c>
      <c r="AM103" s="69">
        <v>0</v>
      </c>
      <c r="AN103" s="69">
        <v>0</v>
      </c>
      <c r="AO103" s="69">
        <v>-1791</v>
      </c>
      <c r="AP103" s="69">
        <v>0</v>
      </c>
      <c r="AQ103" s="69">
        <v>0</v>
      </c>
      <c r="AR103" s="69">
        <v>0</v>
      </c>
      <c r="AS103" s="69">
        <f t="shared" si="53"/>
        <v>24407</v>
      </c>
      <c r="AT103" s="69">
        <v>0</v>
      </c>
      <c r="AU103" s="69">
        <v>0</v>
      </c>
      <c r="AV103" s="69">
        <v>0</v>
      </c>
      <c r="AW103" s="69">
        <v>0</v>
      </c>
      <c r="AX103" s="69">
        <v>0</v>
      </c>
      <c r="AY103" s="69">
        <v>0</v>
      </c>
      <c r="AZ103" s="69">
        <v>0</v>
      </c>
      <c r="BA103" s="69">
        <v>0</v>
      </c>
      <c r="BB103" s="69">
        <v>0</v>
      </c>
      <c r="BC103" s="69">
        <v>0</v>
      </c>
      <c r="BD103" s="69">
        <v>0</v>
      </c>
      <c r="BE103" s="69">
        <v>0</v>
      </c>
      <c r="BF103" s="73">
        <f t="shared" si="54"/>
        <v>0</v>
      </c>
      <c r="BG103" s="99">
        <v>85000</v>
      </c>
      <c r="BH103" s="69"/>
      <c r="BI103" s="69"/>
      <c r="BJ103" s="69"/>
      <c r="BL103" s="69"/>
      <c r="BM103" s="69"/>
      <c r="BN103" s="69"/>
      <c r="BO103" s="69"/>
      <c r="BP103" t="s">
        <v>190</v>
      </c>
      <c r="BQ103" s="6">
        <f t="shared" si="82"/>
        <v>24407</v>
      </c>
      <c r="BR103" s="69">
        <f t="shared" si="82"/>
        <v>0</v>
      </c>
      <c r="BS103" s="69">
        <f t="shared" si="82"/>
        <v>0</v>
      </c>
      <c r="BT103" s="69">
        <f t="shared" si="81"/>
        <v>0</v>
      </c>
      <c r="BU103" s="69">
        <f t="shared" si="81"/>
        <v>0</v>
      </c>
      <c r="BV103" s="69">
        <f t="shared" si="81"/>
        <v>0</v>
      </c>
      <c r="BW103" s="69">
        <f t="shared" si="81"/>
        <v>0</v>
      </c>
      <c r="BX103" s="69">
        <f t="shared" si="81"/>
        <v>0</v>
      </c>
      <c r="BY103" s="69">
        <f t="shared" si="81"/>
        <v>0</v>
      </c>
      <c r="BZ103" s="101">
        <f>50000+(50000*24/31)</f>
        <v>88709.677419354848</v>
      </c>
      <c r="CA103" s="101">
        <v>85000</v>
      </c>
      <c r="CB103" s="101">
        <v>85000</v>
      </c>
      <c r="CC103" s="101">
        <v>85000</v>
      </c>
      <c r="CD103" s="69">
        <f t="shared" si="57"/>
        <v>343709.67741935485</v>
      </c>
      <c r="CF103" s="7">
        <v>500000</v>
      </c>
      <c r="CG103" s="95">
        <f t="shared" si="62"/>
        <v>-156290.32258064515</v>
      </c>
      <c r="CH103" s="1" t="s">
        <v>191</v>
      </c>
      <c r="DS103" s="95"/>
      <c r="DT103" s="100">
        <v>0.5</v>
      </c>
      <c r="DU103" s="100">
        <f t="shared" si="63"/>
        <v>0.5</v>
      </c>
      <c r="DV103" s="95">
        <f t="shared" si="58"/>
        <v>0</v>
      </c>
      <c r="DW103" s="95">
        <f t="shared" si="67"/>
        <v>0</v>
      </c>
      <c r="DX103" s="95">
        <f t="shared" si="60"/>
        <v>12203.5</v>
      </c>
      <c r="DY103" s="95">
        <f t="shared" si="68"/>
        <v>12203.5</v>
      </c>
      <c r="DZ103" s="95"/>
      <c r="EE103" s="82"/>
      <c r="EF103" s="82"/>
      <c r="EG103" s="82"/>
      <c r="EH103" s="82"/>
      <c r="EI103" s="82"/>
      <c r="EJ103" s="82"/>
      <c r="EK103" s="82"/>
      <c r="EL103" s="82"/>
      <c r="EM103" s="82"/>
      <c r="EN103" s="82"/>
      <c r="EO103" s="82"/>
      <c r="EP103" s="82"/>
      <c r="EQ103" s="82"/>
      <c r="ER103" s="82"/>
      <c r="ES103" s="82"/>
      <c r="ET103" s="82"/>
      <c r="EU103" s="82"/>
      <c r="EV103" s="82"/>
      <c r="EW103" s="82"/>
      <c r="EX103" s="82"/>
      <c r="EY103" s="82"/>
      <c r="EZ103" s="82"/>
      <c r="FA103" s="82"/>
      <c r="FB103" s="82"/>
      <c r="FC103" s="82"/>
      <c r="FD103" s="82"/>
      <c r="FE103" s="82"/>
      <c r="FF103" s="82"/>
      <c r="FG103" s="82"/>
      <c r="FH103" s="82"/>
      <c r="FI103" s="82"/>
      <c r="FJ103" s="82"/>
      <c r="FK103" s="82"/>
      <c r="FL103" s="82"/>
      <c r="FM103" s="82"/>
      <c r="FN103" s="82"/>
      <c r="FO103" s="82"/>
    </row>
    <row r="104" spans="1:171" x14ac:dyDescent="0.25">
      <c r="A104" t="s">
        <v>192</v>
      </c>
      <c r="B104" s="82">
        <v>109004</v>
      </c>
      <c r="C104" s="82">
        <v>259077</v>
      </c>
      <c r="D104" s="82">
        <v>64465</v>
      </c>
      <c r="E104" s="82">
        <v>209265</v>
      </c>
      <c r="F104" s="82"/>
      <c r="G104" s="69">
        <v>9577</v>
      </c>
      <c r="H104" s="69">
        <v>7973</v>
      </c>
      <c r="I104" s="69">
        <v>6594</v>
      </c>
      <c r="J104" s="69">
        <v>7218</v>
      </c>
      <c r="K104" s="69">
        <v>12205</v>
      </c>
      <c r="L104" s="69">
        <v>72908</v>
      </c>
      <c r="M104" s="69">
        <v>5690</v>
      </c>
      <c r="N104" s="69">
        <v>15461</v>
      </c>
      <c r="O104" s="69">
        <v>8613</v>
      </c>
      <c r="P104" s="69">
        <v>22614</v>
      </c>
      <c r="Q104" s="69">
        <v>9129</v>
      </c>
      <c r="R104" s="69">
        <v>81095</v>
      </c>
      <c r="S104" s="69">
        <f t="shared" si="51"/>
        <v>259077</v>
      </c>
      <c r="T104" s="69">
        <v>-49650</v>
      </c>
      <c r="U104" s="69">
        <v>4896</v>
      </c>
      <c r="V104" s="69">
        <v>5125</v>
      </c>
      <c r="W104" s="69">
        <v>14984</v>
      </c>
      <c r="X104" s="69">
        <v>4575</v>
      </c>
      <c r="Y104" s="69">
        <v>3961</v>
      </c>
      <c r="Z104" s="69">
        <v>1761</v>
      </c>
      <c r="AA104" s="69">
        <v>14811</v>
      </c>
      <c r="AB104" s="69">
        <v>1206</v>
      </c>
      <c r="AC104" s="69">
        <v>21720</v>
      </c>
      <c r="AD104" s="69">
        <v>37224</v>
      </c>
      <c r="AE104" s="69">
        <v>3852</v>
      </c>
      <c r="AF104" s="69">
        <f t="shared" si="52"/>
        <v>64465</v>
      </c>
      <c r="AG104" s="69">
        <v>4893</v>
      </c>
      <c r="AH104" s="69">
        <v>7521</v>
      </c>
      <c r="AI104" s="69">
        <v>6652</v>
      </c>
      <c r="AJ104" s="69">
        <v>9980</v>
      </c>
      <c r="AK104" s="69">
        <v>7600</v>
      </c>
      <c r="AL104" s="69">
        <v>9190</v>
      </c>
      <c r="AM104" s="69">
        <v>16224</v>
      </c>
      <c r="AN104" s="69">
        <v>107315</v>
      </c>
      <c r="AO104" s="69">
        <v>22320</v>
      </c>
      <c r="AP104" s="69">
        <v>788</v>
      </c>
      <c r="AQ104" s="69">
        <v>3447</v>
      </c>
      <c r="AR104" s="69">
        <v>13334</v>
      </c>
      <c r="AS104" s="69">
        <f t="shared" si="53"/>
        <v>209264</v>
      </c>
      <c r="AT104" s="69">
        <v>13209</v>
      </c>
      <c r="AU104" s="69">
        <v>11793</v>
      </c>
      <c r="AV104" s="69">
        <v>2744</v>
      </c>
      <c r="AW104" s="69">
        <v>7713</v>
      </c>
      <c r="AX104" s="69">
        <v>16482</v>
      </c>
      <c r="AY104" s="69">
        <v>42554</v>
      </c>
      <c r="AZ104" s="69">
        <v>31588</v>
      </c>
      <c r="BA104" s="69">
        <v>5810</v>
      </c>
      <c r="BB104" s="69">
        <v>11853</v>
      </c>
      <c r="BC104" s="69">
        <v>0</v>
      </c>
      <c r="BD104" s="69">
        <v>0</v>
      </c>
      <c r="BE104" s="69">
        <v>0</v>
      </c>
      <c r="BF104" s="73">
        <f t="shared" si="54"/>
        <v>143746</v>
      </c>
      <c r="BG104" s="99">
        <f>AVERAGE(AT104:AX104)</f>
        <v>10388.200000000001</v>
      </c>
      <c r="BH104" s="69">
        <f>SUM(BF101:BF107,BF130,BF133,BF137,BF145,BF147)</f>
        <v>1561253</v>
      </c>
      <c r="BI104" s="69"/>
      <c r="BJ104" s="69"/>
      <c r="BL104" s="69"/>
      <c r="BM104" s="69"/>
      <c r="BN104" s="69"/>
      <c r="BO104" s="69"/>
      <c r="BP104" t="s">
        <v>192</v>
      </c>
      <c r="BQ104" s="6">
        <f t="shared" si="82"/>
        <v>209264</v>
      </c>
      <c r="BR104" s="69">
        <f t="shared" si="82"/>
        <v>13209</v>
      </c>
      <c r="BS104" s="69">
        <f t="shared" si="82"/>
        <v>11793</v>
      </c>
      <c r="BT104" s="69">
        <f t="shared" si="81"/>
        <v>2744</v>
      </c>
      <c r="BU104" s="69">
        <f t="shared" si="81"/>
        <v>7713</v>
      </c>
      <c r="BV104" s="69">
        <f t="shared" si="81"/>
        <v>16482</v>
      </c>
      <c r="BW104" s="69">
        <f t="shared" si="81"/>
        <v>42554</v>
      </c>
      <c r="BX104" s="69">
        <f t="shared" si="81"/>
        <v>31588</v>
      </c>
      <c r="BY104" s="69">
        <f t="shared" si="81"/>
        <v>5810</v>
      </c>
      <c r="BZ104" s="105">
        <f t="shared" ref="BZ104:CC104" si="87">SUM($BR104:$BT104)/SUM($BR$3:$BT$3)*BZ$3</f>
        <v>8946.8911731329845</v>
      </c>
      <c r="CA104" s="105">
        <f t="shared" si="87"/>
        <v>16824.590305480917</v>
      </c>
      <c r="CB104" s="105">
        <f t="shared" si="87"/>
        <v>19017.239398581954</v>
      </c>
      <c r="CC104" s="105">
        <f t="shared" si="87"/>
        <v>15521.561586591746</v>
      </c>
      <c r="CD104" s="69">
        <f t="shared" si="57"/>
        <v>192203.28246378762</v>
      </c>
      <c r="CF104" s="7">
        <v>189317.03067520692</v>
      </c>
      <c r="CG104" s="95">
        <f t="shared" si="62"/>
        <v>2886.2517885807029</v>
      </c>
      <c r="CH104" s="1" t="s">
        <v>173</v>
      </c>
      <c r="DS104" s="95"/>
      <c r="DT104" s="100">
        <v>1</v>
      </c>
      <c r="DU104" s="100">
        <f t="shared" si="63"/>
        <v>0</v>
      </c>
      <c r="DV104" s="95">
        <f t="shared" si="58"/>
        <v>27746</v>
      </c>
      <c r="DW104" s="95">
        <f t="shared" si="67"/>
        <v>0</v>
      </c>
      <c r="DX104" s="95">
        <f t="shared" si="60"/>
        <v>209264</v>
      </c>
      <c r="DY104" s="95">
        <f t="shared" si="68"/>
        <v>0</v>
      </c>
      <c r="DZ104" s="95"/>
      <c r="EE104" s="82"/>
      <c r="EF104" s="82"/>
      <c r="EG104" s="82"/>
      <c r="EH104" s="82"/>
      <c r="EI104" s="82"/>
      <c r="EJ104" s="82"/>
      <c r="EK104" s="82"/>
      <c r="EL104" s="82"/>
      <c r="EM104" s="82"/>
      <c r="EN104" s="82"/>
      <c r="EO104" s="82"/>
      <c r="EP104" s="82"/>
      <c r="EQ104" s="82"/>
      <c r="ER104" s="82"/>
      <c r="ES104" s="82"/>
      <c r="ET104" s="82"/>
      <c r="EU104" s="82"/>
      <c r="EV104" s="82"/>
      <c r="EW104" s="82"/>
      <c r="EX104" s="82"/>
      <c r="EY104" s="82"/>
      <c r="EZ104" s="82"/>
      <c r="FA104" s="82"/>
      <c r="FB104" s="82"/>
      <c r="FC104" s="82"/>
      <c r="FD104" s="82"/>
      <c r="FE104" s="82"/>
      <c r="FF104" s="82"/>
      <c r="FG104" s="82"/>
      <c r="FH104" s="82"/>
      <c r="FI104" s="82"/>
      <c r="FJ104" s="82"/>
      <c r="FK104" s="82"/>
      <c r="FL104" s="82"/>
      <c r="FM104" s="82"/>
      <c r="FN104" s="82"/>
      <c r="FO104" s="82"/>
    </row>
    <row r="105" spans="1:171" x14ac:dyDescent="0.25">
      <c r="A105" t="s">
        <v>193</v>
      </c>
      <c r="B105" s="82">
        <v>334116</v>
      </c>
      <c r="C105" s="82">
        <v>751409</v>
      </c>
      <c r="D105" s="82">
        <v>1070567</v>
      </c>
      <c r="E105" s="82">
        <v>1080657</v>
      </c>
      <c r="F105" s="82"/>
      <c r="G105" s="69">
        <v>25285</v>
      </c>
      <c r="H105" s="69">
        <v>35461</v>
      </c>
      <c r="I105" s="69">
        <v>42794</v>
      </c>
      <c r="J105" s="69">
        <v>24330</v>
      </c>
      <c r="K105" s="69">
        <v>16940</v>
      </c>
      <c r="L105" s="69">
        <v>4695</v>
      </c>
      <c r="M105" s="69">
        <v>0</v>
      </c>
      <c r="N105" s="69">
        <v>92384</v>
      </c>
      <c r="O105" s="69">
        <v>17317</v>
      </c>
      <c r="P105" s="69">
        <v>31731</v>
      </c>
      <c r="Q105" s="69">
        <v>40009</v>
      </c>
      <c r="R105" s="69">
        <v>420464</v>
      </c>
      <c r="S105" s="69">
        <f t="shared" si="51"/>
        <v>751410</v>
      </c>
      <c r="T105" s="69">
        <v>26063</v>
      </c>
      <c r="U105" s="69">
        <v>81940</v>
      </c>
      <c r="V105" s="69">
        <v>82230</v>
      </c>
      <c r="W105" s="69">
        <v>80544</v>
      </c>
      <c r="X105" s="69">
        <v>28974</v>
      </c>
      <c r="Y105" s="69">
        <v>75223</v>
      </c>
      <c r="Z105" s="69">
        <v>147505</v>
      </c>
      <c r="AA105" s="69">
        <v>80223</v>
      </c>
      <c r="AB105" s="69">
        <v>131226</v>
      </c>
      <c r="AC105" s="69">
        <v>115949</v>
      </c>
      <c r="AD105" s="69">
        <v>94826</v>
      </c>
      <c r="AE105" s="69">
        <v>125861</v>
      </c>
      <c r="AF105" s="69">
        <f t="shared" si="52"/>
        <v>1070564</v>
      </c>
      <c r="AG105" s="69">
        <v>153356</v>
      </c>
      <c r="AH105" s="69">
        <v>412145</v>
      </c>
      <c r="AI105" s="69">
        <v>-199534</v>
      </c>
      <c r="AJ105" s="69">
        <v>91315</v>
      </c>
      <c r="AK105" s="69">
        <v>85158</v>
      </c>
      <c r="AL105" s="69">
        <v>67760</v>
      </c>
      <c r="AM105" s="69">
        <v>71378</v>
      </c>
      <c r="AN105" s="69">
        <v>62724</v>
      </c>
      <c r="AO105" s="69">
        <v>60850</v>
      </c>
      <c r="AP105" s="69">
        <v>83727</v>
      </c>
      <c r="AQ105" s="69">
        <v>98891</v>
      </c>
      <c r="AR105" s="69">
        <v>92886</v>
      </c>
      <c r="AS105" s="69">
        <f t="shared" si="53"/>
        <v>1080656</v>
      </c>
      <c r="AT105" s="69">
        <v>87597</v>
      </c>
      <c r="AU105" s="69">
        <v>99619</v>
      </c>
      <c r="AV105" s="69">
        <v>87058</v>
      </c>
      <c r="AW105" s="69">
        <v>83112</v>
      </c>
      <c r="AX105" s="69">
        <v>77217</v>
      </c>
      <c r="AY105" s="69">
        <v>77445</v>
      </c>
      <c r="AZ105" s="69">
        <v>73743</v>
      </c>
      <c r="BA105" s="69">
        <v>78655</v>
      </c>
      <c r="BB105" s="69">
        <v>40793</v>
      </c>
      <c r="BC105" s="69">
        <v>0</v>
      </c>
      <c r="BD105" s="69">
        <v>0</v>
      </c>
      <c r="BE105" s="69">
        <v>0</v>
      </c>
      <c r="BF105" s="73">
        <f t="shared" si="54"/>
        <v>705239</v>
      </c>
      <c r="BG105" s="99">
        <f>AVERAGE(AT105:AX105)</f>
        <v>86920.6</v>
      </c>
      <c r="BH105" s="69">
        <f>BH104/5</f>
        <v>312250.59999999998</v>
      </c>
      <c r="BI105" s="69"/>
      <c r="BJ105" s="69"/>
      <c r="BL105" s="69"/>
      <c r="BM105" s="69"/>
      <c r="BN105" s="69"/>
      <c r="BO105" s="69"/>
      <c r="BP105" t="s">
        <v>193</v>
      </c>
      <c r="BQ105" s="6">
        <f t="shared" si="82"/>
        <v>1080656</v>
      </c>
      <c r="BR105" s="69">
        <f t="shared" si="82"/>
        <v>87597</v>
      </c>
      <c r="BS105" s="69">
        <f t="shared" si="82"/>
        <v>99619</v>
      </c>
      <c r="BT105" s="69">
        <f t="shared" si="81"/>
        <v>87058</v>
      </c>
      <c r="BU105" s="69">
        <f t="shared" si="81"/>
        <v>83112</v>
      </c>
      <c r="BV105" s="69">
        <f t="shared" si="81"/>
        <v>77217</v>
      </c>
      <c r="BW105" s="69">
        <f t="shared" si="81"/>
        <v>77445</v>
      </c>
      <c r="BX105" s="69">
        <f t="shared" si="81"/>
        <v>73743</v>
      </c>
      <c r="BY105" s="69">
        <f t="shared" si="81"/>
        <v>78655</v>
      </c>
      <c r="BZ105" s="101">
        <v>88684.428571428565</v>
      </c>
      <c r="CA105" s="101">
        <v>148684.42857142858</v>
      </c>
      <c r="CB105" s="101">
        <v>88684.428571428565</v>
      </c>
      <c r="CC105" s="101">
        <v>88684.428571428565</v>
      </c>
      <c r="CD105" s="69">
        <f t="shared" si="57"/>
        <v>1079183.7142857141</v>
      </c>
      <c r="CF105" s="7">
        <v>1029667.4285714284</v>
      </c>
      <c r="CG105" s="95">
        <f t="shared" si="62"/>
        <v>49516.285714285681</v>
      </c>
      <c r="DS105" s="95"/>
      <c r="DT105" s="100">
        <v>0.8</v>
      </c>
      <c r="DU105" s="100">
        <f t="shared" si="63"/>
        <v>0.19999999999999996</v>
      </c>
      <c r="DV105" s="95">
        <f t="shared" si="58"/>
        <v>219419.2</v>
      </c>
      <c r="DW105" s="95">
        <f t="shared" si="67"/>
        <v>54854.799999999988</v>
      </c>
      <c r="DX105" s="95">
        <f t="shared" si="60"/>
        <v>864524.80000000005</v>
      </c>
      <c r="DY105" s="95">
        <f t="shared" si="68"/>
        <v>216131.19999999995</v>
      </c>
      <c r="DZ105" s="95"/>
      <c r="EE105" s="82"/>
      <c r="EF105" s="82"/>
      <c r="EG105" s="82"/>
      <c r="EH105" s="82"/>
      <c r="EI105" s="82"/>
      <c r="EJ105" s="82"/>
      <c r="EK105" s="82"/>
      <c r="EL105" s="82"/>
      <c r="EM105" s="82"/>
      <c r="EN105" s="82"/>
      <c r="EO105" s="82"/>
      <c r="EP105" s="82"/>
      <c r="EQ105" s="82"/>
      <c r="ER105" s="82"/>
      <c r="ES105" s="82"/>
      <c r="ET105" s="82"/>
      <c r="EU105" s="82"/>
      <c r="EV105" s="82"/>
      <c r="EW105" s="82"/>
      <c r="EX105" s="82"/>
      <c r="EY105" s="82"/>
      <c r="EZ105" s="82"/>
      <c r="FA105" s="82"/>
      <c r="FB105" s="82"/>
      <c r="FC105" s="82"/>
      <c r="FD105" s="82"/>
      <c r="FE105" s="82"/>
      <c r="FF105" s="82"/>
      <c r="FG105" s="82"/>
      <c r="FH105" s="82"/>
      <c r="FI105" s="82"/>
      <c r="FJ105" s="82"/>
      <c r="FK105" s="82"/>
      <c r="FL105" s="82"/>
      <c r="FM105" s="82"/>
      <c r="FN105" s="82"/>
      <c r="FO105" s="82"/>
    </row>
    <row r="106" spans="1:171" x14ac:dyDescent="0.25">
      <c r="A106" t="s">
        <v>194</v>
      </c>
      <c r="B106" s="82">
        <v>0</v>
      </c>
      <c r="C106" s="82">
        <v>0</v>
      </c>
      <c r="D106" s="82">
        <v>0</v>
      </c>
      <c r="E106" s="82">
        <v>810</v>
      </c>
      <c r="F106" s="82"/>
      <c r="G106" s="69">
        <v>0</v>
      </c>
      <c r="H106" s="69">
        <v>0</v>
      </c>
      <c r="I106" s="69">
        <v>0</v>
      </c>
      <c r="J106" s="69">
        <v>0</v>
      </c>
      <c r="K106" s="69">
        <v>0</v>
      </c>
      <c r="L106" s="69">
        <v>0</v>
      </c>
      <c r="M106" s="69">
        <v>0</v>
      </c>
      <c r="N106" s="69">
        <v>0</v>
      </c>
      <c r="O106" s="69">
        <v>0</v>
      </c>
      <c r="P106" s="69">
        <v>0</v>
      </c>
      <c r="Q106" s="69">
        <v>0</v>
      </c>
      <c r="R106" s="69">
        <v>0</v>
      </c>
      <c r="S106" s="69">
        <f t="shared" si="51"/>
        <v>0</v>
      </c>
      <c r="T106" s="69">
        <v>0</v>
      </c>
      <c r="U106" s="69">
        <v>0</v>
      </c>
      <c r="V106" s="69">
        <v>0</v>
      </c>
      <c r="W106" s="69">
        <v>0</v>
      </c>
      <c r="X106" s="69">
        <v>0</v>
      </c>
      <c r="Y106" s="69">
        <v>0</v>
      </c>
      <c r="Z106" s="69">
        <v>0</v>
      </c>
      <c r="AA106" s="69">
        <v>0</v>
      </c>
      <c r="AB106" s="69">
        <v>0</v>
      </c>
      <c r="AC106" s="69">
        <v>0</v>
      </c>
      <c r="AD106" s="69">
        <v>0</v>
      </c>
      <c r="AE106" s="69">
        <v>0</v>
      </c>
      <c r="AF106" s="69">
        <f t="shared" si="52"/>
        <v>0</v>
      </c>
      <c r="AG106" s="69">
        <v>0</v>
      </c>
      <c r="AH106" s="69">
        <v>810</v>
      </c>
      <c r="AI106" s="69">
        <v>0</v>
      </c>
      <c r="AJ106" s="69">
        <v>0</v>
      </c>
      <c r="AK106" s="69">
        <v>0</v>
      </c>
      <c r="AL106" s="69">
        <v>0</v>
      </c>
      <c r="AM106" s="69">
        <v>0</v>
      </c>
      <c r="AN106" s="69">
        <v>0</v>
      </c>
      <c r="AO106" s="69">
        <v>0</v>
      </c>
      <c r="AP106" s="69">
        <v>0</v>
      </c>
      <c r="AQ106" s="69">
        <v>0</v>
      </c>
      <c r="AR106" s="69">
        <v>0</v>
      </c>
      <c r="AS106" s="69">
        <f t="shared" si="53"/>
        <v>810</v>
      </c>
      <c r="AT106" s="69">
        <v>150</v>
      </c>
      <c r="AU106" s="69">
        <v>120</v>
      </c>
      <c r="AV106" s="69">
        <v>0</v>
      </c>
      <c r="AW106" s="69">
        <v>0</v>
      </c>
      <c r="AX106" s="69">
        <v>0</v>
      </c>
      <c r="AY106" s="69">
        <v>52</v>
      </c>
      <c r="AZ106" s="69">
        <v>0</v>
      </c>
      <c r="BA106" s="69">
        <v>0</v>
      </c>
      <c r="BB106" s="69">
        <v>0</v>
      </c>
      <c r="BC106" s="69">
        <v>0</v>
      </c>
      <c r="BD106" s="69">
        <v>0</v>
      </c>
      <c r="BE106" s="69">
        <v>0</v>
      </c>
      <c r="BF106" s="73">
        <f t="shared" si="54"/>
        <v>322</v>
      </c>
      <c r="BG106" s="99"/>
      <c r="BH106" s="69">
        <f>85000</f>
        <v>85000</v>
      </c>
      <c r="BI106" s="69"/>
      <c r="BJ106" s="69"/>
      <c r="BL106" s="69"/>
      <c r="BM106" s="69"/>
      <c r="BN106" s="69"/>
      <c r="BO106" s="69"/>
      <c r="BP106" t="s">
        <v>194</v>
      </c>
      <c r="BQ106" s="6">
        <f t="shared" si="82"/>
        <v>810</v>
      </c>
      <c r="BR106" s="69">
        <f t="shared" si="82"/>
        <v>150</v>
      </c>
      <c r="BS106" s="69">
        <f t="shared" si="82"/>
        <v>120</v>
      </c>
      <c r="BT106" s="69">
        <f t="shared" si="81"/>
        <v>0</v>
      </c>
      <c r="BU106" s="69">
        <f t="shared" si="81"/>
        <v>0</v>
      </c>
      <c r="BV106" s="69">
        <f t="shared" si="81"/>
        <v>0</v>
      </c>
      <c r="BW106" s="69">
        <f t="shared" si="81"/>
        <v>52</v>
      </c>
      <c r="BX106" s="69">
        <f t="shared" si="81"/>
        <v>0</v>
      </c>
      <c r="BY106" s="69">
        <f t="shared" si="81"/>
        <v>0</v>
      </c>
      <c r="BZ106" s="101">
        <v>290</v>
      </c>
      <c r="CA106" s="101">
        <v>290</v>
      </c>
      <c r="CB106" s="101">
        <v>290</v>
      </c>
      <c r="CC106" s="101">
        <v>290</v>
      </c>
      <c r="CD106" s="69">
        <f t="shared" si="57"/>
        <v>1482</v>
      </c>
      <c r="CF106" s="7">
        <v>1772</v>
      </c>
      <c r="CG106" s="95">
        <f t="shared" si="62"/>
        <v>-290</v>
      </c>
      <c r="DS106" s="95"/>
      <c r="DU106" s="100">
        <f t="shared" si="63"/>
        <v>1</v>
      </c>
      <c r="DV106" s="95">
        <f t="shared" si="58"/>
        <v>0</v>
      </c>
      <c r="DW106" s="95">
        <f t="shared" si="67"/>
        <v>270</v>
      </c>
      <c r="DX106" s="95">
        <f t="shared" si="60"/>
        <v>0</v>
      </c>
      <c r="DY106" s="95">
        <f t="shared" si="68"/>
        <v>810</v>
      </c>
      <c r="DZ106" s="95"/>
      <c r="EE106" s="82"/>
      <c r="EF106" s="82"/>
      <c r="EG106" s="82"/>
      <c r="EH106" s="82"/>
      <c r="EI106" s="82"/>
      <c r="EJ106" s="82"/>
      <c r="EK106" s="82"/>
      <c r="EL106" s="82"/>
      <c r="EM106" s="82"/>
      <c r="EN106" s="82"/>
      <c r="EO106" s="82"/>
      <c r="EP106" s="82"/>
      <c r="EQ106" s="82"/>
      <c r="ER106" s="82"/>
      <c r="ES106" s="82"/>
      <c r="ET106" s="82"/>
      <c r="EU106" s="82"/>
      <c r="EV106" s="82"/>
      <c r="EW106" s="82"/>
      <c r="EX106" s="82"/>
      <c r="EY106" s="82"/>
      <c r="EZ106" s="82"/>
      <c r="FA106" s="82"/>
      <c r="FB106" s="82"/>
      <c r="FC106" s="82"/>
      <c r="FD106" s="82"/>
      <c r="FE106" s="82"/>
      <c r="FF106" s="82"/>
      <c r="FG106" s="82"/>
      <c r="FH106" s="82"/>
      <c r="FI106" s="82"/>
      <c r="FJ106" s="82"/>
      <c r="FK106" s="82"/>
      <c r="FL106" s="82"/>
      <c r="FM106" s="82"/>
      <c r="FN106" s="82"/>
      <c r="FO106" s="82"/>
    </row>
    <row r="107" spans="1:171" x14ac:dyDescent="0.25">
      <c r="A107" t="s">
        <v>195</v>
      </c>
      <c r="B107" s="82">
        <v>0</v>
      </c>
      <c r="C107" s="82">
        <v>0</v>
      </c>
      <c r="D107" s="82">
        <v>0</v>
      </c>
      <c r="E107" s="82">
        <v>3226</v>
      </c>
      <c r="F107" s="82"/>
      <c r="G107" s="69">
        <v>0</v>
      </c>
      <c r="H107" s="69">
        <v>0</v>
      </c>
      <c r="I107" s="69">
        <v>0</v>
      </c>
      <c r="J107" s="69">
        <v>0</v>
      </c>
      <c r="K107" s="69">
        <v>0</v>
      </c>
      <c r="L107" s="69">
        <v>0</v>
      </c>
      <c r="M107" s="69">
        <v>0</v>
      </c>
      <c r="N107" s="69">
        <v>0</v>
      </c>
      <c r="O107" s="69">
        <v>0</v>
      </c>
      <c r="P107" s="69">
        <v>0</v>
      </c>
      <c r="Q107" s="69">
        <v>0</v>
      </c>
      <c r="R107" s="69">
        <v>0</v>
      </c>
      <c r="S107" s="69">
        <f t="shared" si="51"/>
        <v>0</v>
      </c>
      <c r="T107" s="69">
        <v>0</v>
      </c>
      <c r="U107" s="69">
        <v>0</v>
      </c>
      <c r="V107" s="69">
        <v>0</v>
      </c>
      <c r="W107" s="69">
        <v>0</v>
      </c>
      <c r="X107" s="69">
        <v>0</v>
      </c>
      <c r="Y107" s="69">
        <v>0</v>
      </c>
      <c r="Z107" s="69">
        <v>0</v>
      </c>
      <c r="AA107" s="69">
        <v>0</v>
      </c>
      <c r="AB107" s="69">
        <v>0</v>
      </c>
      <c r="AC107" s="69">
        <v>0</v>
      </c>
      <c r="AD107" s="69">
        <v>0</v>
      </c>
      <c r="AE107" s="69">
        <v>0</v>
      </c>
      <c r="AF107" s="69">
        <f t="shared" si="52"/>
        <v>0</v>
      </c>
      <c r="AG107" s="69">
        <v>0</v>
      </c>
      <c r="AH107" s="69">
        <v>0</v>
      </c>
      <c r="AI107" s="69">
        <v>133</v>
      </c>
      <c r="AJ107" s="69">
        <v>126</v>
      </c>
      <c r="AK107" s="69">
        <v>0</v>
      </c>
      <c r="AL107" s="69">
        <v>0</v>
      </c>
      <c r="AM107" s="69">
        <v>0</v>
      </c>
      <c r="AN107" s="69">
        <v>779</v>
      </c>
      <c r="AO107" s="69">
        <v>1082</v>
      </c>
      <c r="AP107" s="69">
        <v>254</v>
      </c>
      <c r="AQ107" s="69">
        <v>333</v>
      </c>
      <c r="AR107" s="69">
        <v>518</v>
      </c>
      <c r="AS107" s="69">
        <f t="shared" si="53"/>
        <v>3225</v>
      </c>
      <c r="AT107" s="69">
        <v>772</v>
      </c>
      <c r="AU107" s="69">
        <v>11465</v>
      </c>
      <c r="AV107" s="69">
        <v>532</v>
      </c>
      <c r="AW107" s="69">
        <v>0</v>
      </c>
      <c r="AX107" s="69">
        <v>81</v>
      </c>
      <c r="AY107" s="69">
        <v>1706</v>
      </c>
      <c r="AZ107" s="69">
        <v>1214</v>
      </c>
      <c r="BA107" s="69">
        <v>0</v>
      </c>
      <c r="BB107" s="69">
        <v>72</v>
      </c>
      <c r="BC107" s="69">
        <v>0</v>
      </c>
      <c r="BD107" s="69">
        <v>0</v>
      </c>
      <c r="BE107" s="69">
        <v>0</v>
      </c>
      <c r="BF107" s="73">
        <f t="shared" si="54"/>
        <v>15842</v>
      </c>
      <c r="BG107" s="99"/>
      <c r="BH107" s="69">
        <f>SUM(BH105:BH106)</f>
        <v>397250.6</v>
      </c>
      <c r="BI107" s="69"/>
      <c r="BJ107" s="69"/>
      <c r="BL107" s="69"/>
      <c r="BM107" s="69"/>
      <c r="BN107" s="69"/>
      <c r="BO107" s="69"/>
      <c r="BP107" t="s">
        <v>195</v>
      </c>
      <c r="BQ107" s="6">
        <f t="shared" si="82"/>
        <v>3225</v>
      </c>
      <c r="BR107" s="69">
        <f t="shared" si="82"/>
        <v>772</v>
      </c>
      <c r="BS107" s="69">
        <f t="shared" si="82"/>
        <v>11465</v>
      </c>
      <c r="BT107" s="69">
        <f t="shared" si="81"/>
        <v>532</v>
      </c>
      <c r="BU107" s="69">
        <f t="shared" si="81"/>
        <v>0</v>
      </c>
      <c r="BV107" s="69">
        <f t="shared" si="81"/>
        <v>81</v>
      </c>
      <c r="BW107" s="69">
        <f t="shared" si="81"/>
        <v>1706</v>
      </c>
      <c r="BX107" s="69">
        <f t="shared" si="81"/>
        <v>1214</v>
      </c>
      <c r="BY107" s="69">
        <f t="shared" si="81"/>
        <v>0</v>
      </c>
      <c r="BZ107" s="101">
        <v>1600.3333333333335</v>
      </c>
      <c r="CA107" s="101">
        <v>1600.3333333333335</v>
      </c>
      <c r="CB107" s="101">
        <v>1600.3333333333335</v>
      </c>
      <c r="CC107" s="101">
        <v>1600.3333333333335</v>
      </c>
      <c r="CD107" s="69">
        <f t="shared" si="57"/>
        <v>22171.333333333328</v>
      </c>
      <c r="CF107" s="7">
        <v>23771.666666666661</v>
      </c>
      <c r="CG107" s="95">
        <f t="shared" si="62"/>
        <v>-1600.3333333333321</v>
      </c>
      <c r="DS107" s="95"/>
      <c r="DU107" s="100">
        <f t="shared" si="63"/>
        <v>1</v>
      </c>
      <c r="DV107" s="95">
        <f t="shared" si="58"/>
        <v>0</v>
      </c>
      <c r="DW107" s="95">
        <f t="shared" si="67"/>
        <v>12769</v>
      </c>
      <c r="DX107" s="95">
        <f t="shared" si="60"/>
        <v>0</v>
      </c>
      <c r="DY107" s="95">
        <f t="shared" si="68"/>
        <v>3225</v>
      </c>
      <c r="DZ107" s="95"/>
      <c r="EE107" s="82"/>
      <c r="EF107" s="82"/>
      <c r="EG107" s="82"/>
      <c r="EH107" s="82"/>
      <c r="EI107" s="82"/>
      <c r="EJ107" s="82"/>
      <c r="EK107" s="82"/>
      <c r="EL107" s="82"/>
      <c r="EM107" s="82"/>
      <c r="EN107" s="82"/>
      <c r="EO107" s="82"/>
      <c r="EP107" s="82"/>
      <c r="EQ107" s="82"/>
      <c r="ER107" s="82"/>
      <c r="ES107" s="82"/>
      <c r="ET107" s="82"/>
      <c r="EU107" s="82"/>
      <c r="EV107" s="82"/>
      <c r="EW107" s="82"/>
      <c r="EX107" s="82"/>
      <c r="EY107" s="82"/>
      <c r="EZ107" s="82"/>
      <c r="FA107" s="82"/>
      <c r="FB107" s="82"/>
      <c r="FC107" s="82"/>
      <c r="FD107" s="82"/>
      <c r="FE107" s="82"/>
      <c r="FF107" s="82"/>
      <c r="FG107" s="82"/>
      <c r="FH107" s="82"/>
      <c r="FI107" s="82"/>
      <c r="FJ107" s="82"/>
      <c r="FK107" s="82"/>
      <c r="FL107" s="82"/>
      <c r="FM107" s="82"/>
      <c r="FN107" s="82"/>
      <c r="FO107" s="82"/>
    </row>
    <row r="108" spans="1:171" x14ac:dyDescent="0.25">
      <c r="A108" t="s">
        <v>196</v>
      </c>
      <c r="B108" s="82">
        <v>46350</v>
      </c>
      <c r="C108" s="82">
        <v>57486</v>
      </c>
      <c r="D108" s="82">
        <v>356372</v>
      </c>
      <c r="E108" s="82">
        <v>374071</v>
      </c>
      <c r="F108" s="82"/>
      <c r="G108" s="69">
        <v>4155</v>
      </c>
      <c r="H108" s="69">
        <v>4197</v>
      </c>
      <c r="I108" s="69">
        <v>7539</v>
      </c>
      <c r="J108" s="69">
        <v>3254</v>
      </c>
      <c r="K108" s="69">
        <v>4406</v>
      </c>
      <c r="L108" s="69">
        <v>4491</v>
      </c>
      <c r="M108" s="69">
        <v>3858</v>
      </c>
      <c r="N108" s="69">
        <v>4887</v>
      </c>
      <c r="O108" s="69">
        <v>7096</v>
      </c>
      <c r="P108" s="69">
        <v>4047</v>
      </c>
      <c r="Q108" s="69">
        <v>4958</v>
      </c>
      <c r="R108" s="69">
        <v>4600</v>
      </c>
      <c r="S108" s="69">
        <f t="shared" si="51"/>
        <v>57488</v>
      </c>
      <c r="T108" s="69">
        <v>6068</v>
      </c>
      <c r="U108" s="69">
        <v>13346</v>
      </c>
      <c r="V108" s="69">
        <v>78725</v>
      </c>
      <c r="W108" s="69">
        <v>22903</v>
      </c>
      <c r="X108" s="69">
        <v>23567</v>
      </c>
      <c r="Y108" s="69">
        <v>5006</v>
      </c>
      <c r="Z108" s="69">
        <v>13363</v>
      </c>
      <c r="AA108" s="69">
        <v>11877</v>
      </c>
      <c r="AB108" s="69">
        <v>46438</v>
      </c>
      <c r="AC108" s="69">
        <v>18892</v>
      </c>
      <c r="AD108" s="69">
        <v>35543</v>
      </c>
      <c r="AE108" s="69">
        <v>80644</v>
      </c>
      <c r="AF108" s="69">
        <f t="shared" si="52"/>
        <v>356372</v>
      </c>
      <c r="AG108" s="69">
        <v>40152</v>
      </c>
      <c r="AH108" s="69">
        <v>53660</v>
      </c>
      <c r="AI108" s="69">
        <v>41179</v>
      </c>
      <c r="AJ108" s="69">
        <v>37274</v>
      </c>
      <c r="AK108" s="69">
        <v>38828</v>
      </c>
      <c r="AL108" s="69">
        <v>11252</v>
      </c>
      <c r="AM108" s="69">
        <v>25197</v>
      </c>
      <c r="AN108" s="69">
        <v>30841</v>
      </c>
      <c r="AO108" s="69">
        <v>8556</v>
      </c>
      <c r="AP108" s="69">
        <v>23572</v>
      </c>
      <c r="AQ108" s="69">
        <v>28493</v>
      </c>
      <c r="AR108" s="69">
        <v>35067</v>
      </c>
      <c r="AS108" s="69">
        <f t="shared" si="53"/>
        <v>374071</v>
      </c>
      <c r="AT108" s="69">
        <v>21937</v>
      </c>
      <c r="AU108" s="69">
        <v>24529</v>
      </c>
      <c r="AV108" s="69">
        <v>18013</v>
      </c>
      <c r="AW108" s="69">
        <v>21438</v>
      </c>
      <c r="AX108" s="69">
        <v>30944</v>
      </c>
      <c r="AY108" s="69">
        <v>24421</v>
      </c>
      <c r="AZ108" s="69">
        <v>35918</v>
      </c>
      <c r="BA108" s="69">
        <v>22909</v>
      </c>
      <c r="BB108" s="69">
        <v>39303</v>
      </c>
      <c r="BC108" s="69">
        <v>0</v>
      </c>
      <c r="BD108" s="69">
        <v>0</v>
      </c>
      <c r="BE108" s="69">
        <v>0</v>
      </c>
      <c r="BF108" s="69">
        <f t="shared" si="54"/>
        <v>239412</v>
      </c>
      <c r="BG108" s="99"/>
      <c r="BH108" s="69"/>
      <c r="BI108" s="69"/>
      <c r="BJ108" s="69"/>
      <c r="BL108" s="69"/>
      <c r="BM108" s="69"/>
      <c r="BN108" s="69"/>
      <c r="BO108" s="69"/>
      <c r="BP108" t="s">
        <v>196</v>
      </c>
      <c r="BQ108" s="6">
        <f t="shared" si="82"/>
        <v>374071</v>
      </c>
      <c r="BR108" s="69">
        <f t="shared" si="82"/>
        <v>21937</v>
      </c>
      <c r="BS108" s="69">
        <f t="shared" si="82"/>
        <v>24529</v>
      </c>
      <c r="BT108" s="69">
        <f t="shared" si="81"/>
        <v>18013</v>
      </c>
      <c r="BU108" s="69">
        <f t="shared" si="81"/>
        <v>21438</v>
      </c>
      <c r="BV108" s="69">
        <f t="shared" si="81"/>
        <v>30944</v>
      </c>
      <c r="BW108" s="69">
        <f t="shared" si="81"/>
        <v>24421</v>
      </c>
      <c r="BX108" s="69">
        <f t="shared" si="81"/>
        <v>35918</v>
      </c>
      <c r="BY108" s="69">
        <f t="shared" si="81"/>
        <v>22909</v>
      </c>
      <c r="BZ108" s="115">
        <f t="shared" ref="BZ108:CC108" si="88">AVERAGE($BV$108:$BX$108)*1.1</f>
        <v>33470.433333333334</v>
      </c>
      <c r="CA108" s="115">
        <f t="shared" si="88"/>
        <v>33470.433333333334</v>
      </c>
      <c r="CB108" s="115">
        <f t="shared" si="88"/>
        <v>33470.433333333334</v>
      </c>
      <c r="CC108" s="115">
        <f t="shared" si="88"/>
        <v>33470.433333333334</v>
      </c>
      <c r="CD108" s="69">
        <f t="shared" si="57"/>
        <v>333990.7333333334</v>
      </c>
      <c r="CF108" s="7">
        <v>436907.75</v>
      </c>
      <c r="CG108" s="95">
        <f t="shared" si="62"/>
        <v>-102917.0166666666</v>
      </c>
      <c r="CH108" s="1" t="s">
        <v>173</v>
      </c>
      <c r="DS108" s="95"/>
      <c r="DT108" s="100">
        <v>1</v>
      </c>
      <c r="DU108" s="100">
        <f t="shared" si="63"/>
        <v>0</v>
      </c>
      <c r="DV108" s="95">
        <f t="shared" si="58"/>
        <v>64479</v>
      </c>
      <c r="DW108" s="95">
        <f t="shared" si="67"/>
        <v>0</v>
      </c>
      <c r="DX108" s="95">
        <f t="shared" si="60"/>
        <v>374071</v>
      </c>
      <c r="DY108" s="95">
        <f t="shared" si="68"/>
        <v>0</v>
      </c>
      <c r="DZ108" s="95"/>
      <c r="EE108" s="82"/>
      <c r="EF108" s="82"/>
      <c r="EG108" s="82"/>
      <c r="EH108" s="82"/>
      <c r="EI108" s="82"/>
      <c r="EJ108" s="82"/>
      <c r="EK108" s="82"/>
      <c r="EL108" s="82"/>
      <c r="EM108" s="82"/>
      <c r="EN108" s="82"/>
      <c r="EO108" s="82"/>
      <c r="EP108" s="82"/>
      <c r="EQ108" s="82"/>
      <c r="ER108" s="82"/>
      <c r="ES108" s="82"/>
      <c r="ET108" s="82"/>
      <c r="EU108" s="82"/>
      <c r="EV108" s="82"/>
      <c r="EW108" s="82"/>
      <c r="EX108" s="82"/>
      <c r="EY108" s="82"/>
      <c r="EZ108" s="82"/>
      <c r="FA108" s="82"/>
      <c r="FB108" s="82"/>
      <c r="FC108" s="82"/>
      <c r="FD108" s="82"/>
      <c r="FE108" s="82"/>
      <c r="FF108" s="82"/>
      <c r="FG108" s="82"/>
      <c r="FH108" s="82"/>
      <c r="FI108" s="82"/>
      <c r="FJ108" s="82"/>
      <c r="FK108" s="82"/>
      <c r="FL108" s="82"/>
      <c r="FM108" s="82"/>
      <c r="FN108" s="82"/>
      <c r="FO108" s="82"/>
    </row>
    <row r="109" spans="1:171" x14ac:dyDescent="0.25">
      <c r="A109" t="s">
        <v>197</v>
      </c>
      <c r="B109" s="82">
        <v>0</v>
      </c>
      <c r="C109" s="82">
        <v>0</v>
      </c>
      <c r="D109" s="82">
        <v>681056</v>
      </c>
      <c r="E109" s="82">
        <v>887955</v>
      </c>
      <c r="F109" s="82"/>
      <c r="G109" s="69">
        <v>0</v>
      </c>
      <c r="H109" s="69">
        <v>0</v>
      </c>
      <c r="I109" s="69">
        <v>0</v>
      </c>
      <c r="J109" s="69">
        <v>0</v>
      </c>
      <c r="K109" s="69">
        <v>0</v>
      </c>
      <c r="L109" s="69">
        <v>0</v>
      </c>
      <c r="M109" s="69">
        <v>0</v>
      </c>
      <c r="N109" s="69">
        <v>0</v>
      </c>
      <c r="O109" s="69">
        <v>0</v>
      </c>
      <c r="P109" s="69">
        <v>0</v>
      </c>
      <c r="Q109" s="69">
        <v>0</v>
      </c>
      <c r="R109" s="69">
        <v>0</v>
      </c>
      <c r="S109" s="69">
        <f t="shared" si="51"/>
        <v>0</v>
      </c>
      <c r="T109" s="69">
        <v>4588</v>
      </c>
      <c r="U109" s="69">
        <v>52116</v>
      </c>
      <c r="V109" s="69">
        <v>6255</v>
      </c>
      <c r="W109" s="69">
        <v>158643</v>
      </c>
      <c r="X109" s="69">
        <v>4128</v>
      </c>
      <c r="Y109" s="69">
        <v>63755</v>
      </c>
      <c r="Z109" s="69">
        <v>73976</v>
      </c>
      <c r="AA109" s="69">
        <v>15212</v>
      </c>
      <c r="AB109" s="69">
        <v>-40518</v>
      </c>
      <c r="AC109" s="69">
        <v>5645</v>
      </c>
      <c r="AD109" s="69">
        <v>43710</v>
      </c>
      <c r="AE109" s="69">
        <v>293546</v>
      </c>
      <c r="AF109" s="69">
        <f t="shared" si="52"/>
        <v>681056</v>
      </c>
      <c r="AG109" s="69">
        <v>36902</v>
      </c>
      <c r="AH109" s="69">
        <v>64184</v>
      </c>
      <c r="AI109" s="69">
        <v>197321</v>
      </c>
      <c r="AJ109" s="69">
        <v>51501</v>
      </c>
      <c r="AK109" s="69">
        <v>18276</v>
      </c>
      <c r="AL109" s="69">
        <v>125119</v>
      </c>
      <c r="AM109" s="69">
        <v>55491</v>
      </c>
      <c r="AN109" s="69">
        <v>94258</v>
      </c>
      <c r="AO109" s="69">
        <v>62059</v>
      </c>
      <c r="AP109" s="69">
        <v>92248</v>
      </c>
      <c r="AQ109" s="69">
        <v>43342</v>
      </c>
      <c r="AR109" s="69">
        <v>47255</v>
      </c>
      <c r="AS109" s="69">
        <f t="shared" si="53"/>
        <v>887956</v>
      </c>
      <c r="AT109" s="69">
        <v>57394</v>
      </c>
      <c r="AU109" s="69">
        <v>64100</v>
      </c>
      <c r="AV109" s="69">
        <v>73299</v>
      </c>
      <c r="AW109" s="69">
        <v>139272</v>
      </c>
      <c r="AX109" s="69">
        <v>58296</v>
      </c>
      <c r="AY109" s="69">
        <v>71429</v>
      </c>
      <c r="AZ109" s="69">
        <v>202307</v>
      </c>
      <c r="BA109" s="69">
        <v>188884</v>
      </c>
      <c r="BB109" s="69">
        <v>167385</v>
      </c>
      <c r="BC109" s="69">
        <v>0</v>
      </c>
      <c r="BD109" s="69">
        <v>0</v>
      </c>
      <c r="BE109" s="69">
        <v>0</v>
      </c>
      <c r="BF109" s="69">
        <f t="shared" si="54"/>
        <v>1022366</v>
      </c>
      <c r="BG109" s="99"/>
      <c r="BH109" s="69"/>
      <c r="BI109" s="69"/>
      <c r="BJ109" s="69"/>
      <c r="BL109" s="69"/>
      <c r="BM109" s="69"/>
      <c r="BN109" s="69"/>
      <c r="BO109" s="69"/>
      <c r="BP109" t="s">
        <v>197</v>
      </c>
      <c r="BQ109" s="6">
        <f t="shared" si="82"/>
        <v>887956</v>
      </c>
      <c r="BR109" s="69">
        <f t="shared" si="82"/>
        <v>57394</v>
      </c>
      <c r="BS109" s="69">
        <f t="shared" si="82"/>
        <v>64100</v>
      </c>
      <c r="BT109" s="69">
        <f t="shared" si="81"/>
        <v>73299</v>
      </c>
      <c r="BU109" s="69">
        <f t="shared" si="81"/>
        <v>139272</v>
      </c>
      <c r="BV109" s="69">
        <f t="shared" si="81"/>
        <v>58296</v>
      </c>
      <c r="BW109" s="69">
        <f t="shared" si="81"/>
        <v>71429</v>
      </c>
      <c r="BX109" s="69">
        <f t="shared" si="81"/>
        <v>202307</v>
      </c>
      <c r="BY109" s="69">
        <f t="shared" si="81"/>
        <v>188884</v>
      </c>
      <c r="BZ109" s="73">
        <f t="shared" ref="BZ109:CC109" si="89">SUM($BR109:$BT109)/SUM($BR$3:$BT$3)*BZ$3</f>
        <v>62812.361143519549</v>
      </c>
      <c r="CA109" s="73">
        <f t="shared" si="89"/>
        <v>118118.37451796813</v>
      </c>
      <c r="CB109" s="73">
        <f t="shared" si="89"/>
        <v>133512.04188596463</v>
      </c>
      <c r="CC109" s="73">
        <f t="shared" si="89"/>
        <v>108970.357750197</v>
      </c>
      <c r="CD109" s="69">
        <f t="shared" si="57"/>
        <v>1278394.1352976493</v>
      </c>
      <c r="CE109" s="1" t="s">
        <v>198</v>
      </c>
      <c r="CF109" s="7">
        <v>1088210.7261894438</v>
      </c>
      <c r="CG109" s="95">
        <f t="shared" si="62"/>
        <v>190183.40910820547</v>
      </c>
      <c r="CH109" s="1" t="s">
        <v>173</v>
      </c>
      <c r="DS109" s="95"/>
      <c r="DU109" s="100">
        <v>1</v>
      </c>
      <c r="DW109" s="95">
        <f t="shared" si="67"/>
        <v>194793</v>
      </c>
      <c r="DY109" s="95">
        <f t="shared" si="68"/>
        <v>887956</v>
      </c>
      <c r="DZ109" s="95"/>
      <c r="EE109" s="82"/>
      <c r="EF109" s="82"/>
      <c r="EG109" s="82"/>
      <c r="EH109" s="82"/>
      <c r="EI109" s="82"/>
      <c r="EJ109" s="82"/>
      <c r="EK109" s="82"/>
      <c r="EL109" s="82"/>
      <c r="EM109" s="82"/>
      <c r="EN109" s="82"/>
      <c r="EO109" s="82"/>
      <c r="EP109" s="82"/>
      <c r="EQ109" s="82"/>
      <c r="ER109" s="82"/>
      <c r="ES109" s="82"/>
      <c r="ET109" s="82"/>
      <c r="EU109" s="82"/>
      <c r="EV109" s="82"/>
      <c r="EW109" s="82"/>
      <c r="EX109" s="82"/>
      <c r="EY109" s="82"/>
      <c r="EZ109" s="82"/>
      <c r="FA109" s="82"/>
      <c r="FB109" s="82"/>
      <c r="FC109" s="82"/>
      <c r="FD109" s="82"/>
      <c r="FE109" s="82"/>
      <c r="FF109" s="82"/>
      <c r="FG109" s="82"/>
      <c r="FH109" s="82"/>
      <c r="FI109" s="82"/>
      <c r="FJ109" s="82"/>
      <c r="FK109" s="82"/>
      <c r="FL109" s="82"/>
      <c r="FM109" s="82"/>
      <c r="FN109" s="82"/>
      <c r="FO109" s="82"/>
    </row>
    <row r="110" spans="1:171" x14ac:dyDescent="0.25">
      <c r="A110" t="s">
        <v>199</v>
      </c>
      <c r="B110" s="82">
        <v>64333</v>
      </c>
      <c r="C110" s="82">
        <v>17744</v>
      </c>
      <c r="D110" s="82">
        <v>0</v>
      </c>
      <c r="E110" s="82">
        <v>0</v>
      </c>
      <c r="F110" s="82"/>
      <c r="G110" s="69">
        <v>17744</v>
      </c>
      <c r="H110" s="69">
        <v>0</v>
      </c>
      <c r="I110" s="69">
        <v>0</v>
      </c>
      <c r="J110" s="69">
        <v>0</v>
      </c>
      <c r="K110" s="69">
        <v>0</v>
      </c>
      <c r="L110" s="69">
        <v>0</v>
      </c>
      <c r="M110" s="69">
        <v>0</v>
      </c>
      <c r="N110" s="69">
        <v>0</v>
      </c>
      <c r="O110" s="69">
        <v>0</v>
      </c>
      <c r="P110" s="69">
        <v>0</v>
      </c>
      <c r="Q110" s="69">
        <v>0</v>
      </c>
      <c r="R110" s="69">
        <v>0</v>
      </c>
      <c r="S110" s="69">
        <f t="shared" si="51"/>
        <v>17744</v>
      </c>
      <c r="T110" s="69">
        <v>0</v>
      </c>
      <c r="U110" s="69">
        <v>0</v>
      </c>
      <c r="V110" s="69">
        <v>0</v>
      </c>
      <c r="W110" s="69">
        <v>0</v>
      </c>
      <c r="X110" s="69">
        <v>0</v>
      </c>
      <c r="Y110" s="69">
        <v>0</v>
      </c>
      <c r="Z110" s="69">
        <v>0</v>
      </c>
      <c r="AA110" s="69">
        <v>0</v>
      </c>
      <c r="AB110" s="69">
        <v>0</v>
      </c>
      <c r="AC110" s="69">
        <v>0</v>
      </c>
      <c r="AD110" s="69">
        <v>0</v>
      </c>
      <c r="AE110" s="69">
        <v>0</v>
      </c>
      <c r="AF110" s="69">
        <f t="shared" si="52"/>
        <v>0</v>
      </c>
      <c r="AG110" s="69">
        <v>0</v>
      </c>
      <c r="AH110" s="69">
        <v>0</v>
      </c>
      <c r="AI110" s="69">
        <v>0</v>
      </c>
      <c r="AJ110" s="69">
        <v>0</v>
      </c>
      <c r="AK110" s="69">
        <v>0</v>
      </c>
      <c r="AL110" s="69">
        <v>0</v>
      </c>
      <c r="AM110" s="69">
        <v>0</v>
      </c>
      <c r="AN110" s="69">
        <v>0</v>
      </c>
      <c r="AO110" s="69">
        <v>0</v>
      </c>
      <c r="AP110" s="69">
        <v>0</v>
      </c>
      <c r="AQ110" s="69">
        <v>0</v>
      </c>
      <c r="AR110" s="69">
        <v>0</v>
      </c>
      <c r="AS110" s="69">
        <f t="shared" si="53"/>
        <v>0</v>
      </c>
      <c r="AT110" s="69">
        <v>0</v>
      </c>
      <c r="AU110" s="69">
        <v>0</v>
      </c>
      <c r="AV110" s="69">
        <v>0</v>
      </c>
      <c r="AW110" s="69">
        <v>0</v>
      </c>
      <c r="AX110" s="69">
        <v>0</v>
      </c>
      <c r="AY110" s="69">
        <v>0</v>
      </c>
      <c r="AZ110" s="69">
        <v>0</v>
      </c>
      <c r="BA110" s="69">
        <v>0</v>
      </c>
      <c r="BB110" s="69">
        <v>0</v>
      </c>
      <c r="BC110" s="69">
        <v>0</v>
      </c>
      <c r="BD110" s="69">
        <v>0</v>
      </c>
      <c r="BE110" s="69">
        <v>0</v>
      </c>
      <c r="BF110" s="69">
        <f t="shared" si="54"/>
        <v>0</v>
      </c>
      <c r="BG110" s="99"/>
      <c r="BH110" s="69"/>
      <c r="BI110" s="69"/>
      <c r="BJ110" s="69"/>
      <c r="BL110" s="69"/>
      <c r="BM110" s="69"/>
      <c r="BN110" s="69"/>
      <c r="BO110" s="69"/>
      <c r="BP110" t="s">
        <v>199</v>
      </c>
      <c r="BQ110" s="6">
        <f t="shared" si="82"/>
        <v>0</v>
      </c>
      <c r="BR110" s="69">
        <f t="shared" si="82"/>
        <v>0</v>
      </c>
      <c r="BS110" s="69">
        <f t="shared" si="82"/>
        <v>0</v>
      </c>
      <c r="BT110" s="69">
        <f t="shared" si="81"/>
        <v>0</v>
      </c>
      <c r="BU110" s="69">
        <f t="shared" si="81"/>
        <v>0</v>
      </c>
      <c r="BV110" s="69">
        <f t="shared" si="81"/>
        <v>0</v>
      </c>
      <c r="BW110" s="69">
        <f t="shared" si="81"/>
        <v>0</v>
      </c>
      <c r="BX110" s="69">
        <f t="shared" si="81"/>
        <v>0</v>
      </c>
      <c r="BY110" s="69">
        <f t="shared" si="81"/>
        <v>0</v>
      </c>
      <c r="BZ110" s="69">
        <f t="shared" ref="BZ110:CC119" si="90">AVERAGE($BR110:$BT110)</f>
        <v>0</v>
      </c>
      <c r="CA110" s="69">
        <f t="shared" si="90"/>
        <v>0</v>
      </c>
      <c r="CB110" s="69">
        <f t="shared" si="90"/>
        <v>0</v>
      </c>
      <c r="CC110" s="69">
        <f t="shared" si="90"/>
        <v>0</v>
      </c>
      <c r="CD110" s="69">
        <f t="shared" si="57"/>
        <v>0</v>
      </c>
      <c r="CF110" s="7">
        <v>0</v>
      </c>
      <c r="CG110" s="95">
        <f t="shared" si="62"/>
        <v>0</v>
      </c>
      <c r="DS110" s="95"/>
      <c r="DW110" s="95">
        <f t="shared" si="67"/>
        <v>0</v>
      </c>
      <c r="DY110" s="95">
        <f t="shared" si="68"/>
        <v>0</v>
      </c>
      <c r="DZ110" s="95"/>
      <c r="EE110" s="82"/>
      <c r="EF110" s="82"/>
      <c r="EG110" s="82"/>
      <c r="EH110" s="82"/>
      <c r="EI110" s="82"/>
      <c r="EJ110" s="82"/>
      <c r="EK110" s="82"/>
      <c r="EL110" s="82"/>
      <c r="EM110" s="82"/>
      <c r="EN110" s="82"/>
      <c r="EO110" s="82"/>
      <c r="EP110" s="82"/>
      <c r="EQ110" s="82"/>
      <c r="ER110" s="82"/>
      <c r="ES110" s="82"/>
      <c r="ET110" s="82"/>
      <c r="EU110" s="82"/>
      <c r="EV110" s="82"/>
      <c r="EW110" s="82"/>
      <c r="EX110" s="82"/>
      <c r="EY110" s="82"/>
      <c r="EZ110" s="82"/>
      <c r="FA110" s="82"/>
      <c r="FB110" s="82"/>
      <c r="FC110" s="82"/>
      <c r="FD110" s="82"/>
      <c r="FE110" s="82"/>
      <c r="FF110" s="82"/>
      <c r="FG110" s="82"/>
      <c r="FH110" s="82"/>
      <c r="FI110" s="82"/>
      <c r="FJ110" s="82"/>
      <c r="FK110" s="82"/>
      <c r="FL110" s="82"/>
      <c r="FM110" s="82"/>
      <c r="FN110" s="82"/>
      <c r="FO110" s="82"/>
    </row>
    <row r="111" spans="1:171" x14ac:dyDescent="0.25">
      <c r="A111" t="s">
        <v>200</v>
      </c>
      <c r="B111" s="82">
        <v>2426810</v>
      </c>
      <c r="C111" s="82">
        <v>2750252</v>
      </c>
      <c r="D111" s="82">
        <v>2843844</v>
      </c>
      <c r="E111" s="82">
        <v>2537095</v>
      </c>
      <c r="F111" s="82"/>
      <c r="G111" s="69">
        <v>0</v>
      </c>
      <c r="H111" s="69">
        <v>0</v>
      </c>
      <c r="I111" s="69">
        <v>0</v>
      </c>
      <c r="J111" s="69">
        <v>0</v>
      </c>
      <c r="K111" s="69">
        <v>0</v>
      </c>
      <c r="L111" s="69">
        <v>0</v>
      </c>
      <c r="M111" s="69">
        <v>0</v>
      </c>
      <c r="N111" s="69">
        <v>0</v>
      </c>
      <c r="O111" s="69">
        <v>0</v>
      </c>
      <c r="P111" s="69">
        <v>0</v>
      </c>
      <c r="Q111" s="69">
        <v>0</v>
      </c>
      <c r="R111" s="69">
        <v>2750252</v>
      </c>
      <c r="S111" s="69">
        <f t="shared" si="51"/>
        <v>2750252</v>
      </c>
      <c r="T111" s="69">
        <v>0</v>
      </c>
      <c r="U111" s="69">
        <v>0</v>
      </c>
      <c r="V111" s="69">
        <v>596003</v>
      </c>
      <c r="W111" s="69">
        <v>198668</v>
      </c>
      <c r="X111" s="69">
        <v>198668</v>
      </c>
      <c r="Y111" s="69">
        <v>198668</v>
      </c>
      <c r="Z111" s="69">
        <v>198668</v>
      </c>
      <c r="AA111" s="69">
        <v>198668</v>
      </c>
      <c r="AB111" s="69">
        <v>198668</v>
      </c>
      <c r="AC111" s="69">
        <v>198668</v>
      </c>
      <c r="AD111" s="69">
        <v>198668</v>
      </c>
      <c r="AE111" s="69">
        <v>658499</v>
      </c>
      <c r="AF111" s="69">
        <f t="shared" si="52"/>
        <v>2843846</v>
      </c>
      <c r="AG111" s="69">
        <v>153082</v>
      </c>
      <c r="AH111" s="69">
        <v>153082</v>
      </c>
      <c r="AI111" s="69">
        <v>153082</v>
      </c>
      <c r="AJ111" s="69">
        <v>306164</v>
      </c>
      <c r="AK111" s="69">
        <v>153082</v>
      </c>
      <c r="AL111" s="69">
        <v>153082</v>
      </c>
      <c r="AM111" s="69">
        <v>153082</v>
      </c>
      <c r="AN111" s="69">
        <v>153082</v>
      </c>
      <c r="AO111" s="69">
        <v>153082</v>
      </c>
      <c r="AP111" s="69">
        <v>153082</v>
      </c>
      <c r="AQ111" s="69">
        <v>153082</v>
      </c>
      <c r="AR111" s="69">
        <v>700112</v>
      </c>
      <c r="AS111" s="69">
        <f t="shared" si="53"/>
        <v>2537096</v>
      </c>
      <c r="AT111" s="69">
        <v>153082</v>
      </c>
      <c r="AU111" s="69">
        <v>153082</v>
      </c>
      <c r="AV111" s="69">
        <v>153082</v>
      </c>
      <c r="AW111" s="69">
        <v>153082</v>
      </c>
      <c r="AX111" s="69">
        <v>153082</v>
      </c>
      <c r="AY111" s="69">
        <v>426597</v>
      </c>
      <c r="AZ111" s="69">
        <v>198668</v>
      </c>
      <c r="BA111" s="69">
        <v>153082</v>
      </c>
      <c r="BB111" s="69">
        <v>0</v>
      </c>
      <c r="BC111" s="69">
        <v>0</v>
      </c>
      <c r="BD111" s="69">
        <v>0</v>
      </c>
      <c r="BE111" s="69">
        <v>0</v>
      </c>
      <c r="BF111" s="69">
        <f t="shared" si="54"/>
        <v>1543757</v>
      </c>
      <c r="BG111" s="69"/>
      <c r="BH111" s="69"/>
      <c r="BI111" s="69"/>
      <c r="BJ111" s="69"/>
      <c r="BL111" s="69"/>
      <c r="BM111" s="69"/>
      <c r="BN111" s="69"/>
      <c r="BO111" s="69"/>
      <c r="BP111" t="s">
        <v>200</v>
      </c>
      <c r="BQ111" s="3"/>
      <c r="BR111" s="105"/>
      <c r="BS111" s="105"/>
      <c r="BT111" s="105"/>
      <c r="BU111" s="105"/>
      <c r="BV111" s="105"/>
      <c r="BW111" s="105"/>
      <c r="BX111" s="105"/>
      <c r="BY111" s="105"/>
      <c r="BZ111" s="105"/>
      <c r="CA111" s="105"/>
      <c r="CB111" s="105"/>
      <c r="CC111" s="105"/>
      <c r="CD111" s="105"/>
      <c r="CF111" s="7"/>
      <c r="CG111" s="95">
        <f t="shared" si="62"/>
        <v>0</v>
      </c>
      <c r="DS111" s="95"/>
      <c r="DW111" s="95">
        <v>0</v>
      </c>
      <c r="DY111" s="95">
        <f t="shared" si="68"/>
        <v>2537096</v>
      </c>
      <c r="DZ111" s="95"/>
      <c r="EE111" s="82"/>
      <c r="EF111" s="82"/>
      <c r="EG111" s="82"/>
      <c r="EH111" s="82"/>
      <c r="EI111" s="82"/>
      <c r="EJ111" s="82"/>
      <c r="EK111" s="82"/>
      <c r="EL111" s="82"/>
      <c r="EM111" s="82"/>
      <c r="EN111" s="82"/>
      <c r="EO111" s="82"/>
      <c r="EP111" s="82"/>
      <c r="EQ111" s="82"/>
      <c r="ER111" s="82"/>
      <c r="ES111" s="82"/>
      <c r="ET111" s="82"/>
      <c r="EU111" s="82"/>
      <c r="EV111" s="82"/>
      <c r="EW111" s="82"/>
      <c r="EX111" s="82"/>
      <c r="EY111" s="82"/>
      <c r="EZ111" s="82"/>
      <c r="FA111" s="82"/>
      <c r="FB111" s="82"/>
      <c r="FC111" s="82"/>
      <c r="FD111" s="82"/>
      <c r="FE111" s="82"/>
      <c r="FF111" s="82"/>
      <c r="FG111" s="82"/>
      <c r="FH111" s="82"/>
      <c r="FI111" s="82"/>
      <c r="FJ111" s="82"/>
      <c r="FK111" s="82"/>
      <c r="FL111" s="82"/>
      <c r="FM111" s="82"/>
      <c r="FN111" s="82"/>
      <c r="FO111" s="82"/>
    </row>
    <row r="112" spans="1:171" x14ac:dyDescent="0.25">
      <c r="A112" s="1" t="s">
        <v>201</v>
      </c>
      <c r="B112" s="82">
        <v>0</v>
      </c>
      <c r="C112" s="82">
        <v>0</v>
      </c>
      <c r="D112" s="82">
        <v>0</v>
      </c>
      <c r="E112" s="82">
        <v>0</v>
      </c>
      <c r="F112" s="82"/>
      <c r="G112" s="69">
        <v>0</v>
      </c>
      <c r="H112" s="69">
        <v>0</v>
      </c>
      <c r="I112" s="69">
        <v>0</v>
      </c>
      <c r="J112" s="69">
        <v>0</v>
      </c>
      <c r="K112" s="69">
        <v>0</v>
      </c>
      <c r="L112" s="69">
        <v>0</v>
      </c>
      <c r="M112" s="69">
        <v>0</v>
      </c>
      <c r="N112" s="69">
        <v>0</v>
      </c>
      <c r="O112" s="69">
        <v>0</v>
      </c>
      <c r="P112" s="69">
        <v>0</v>
      </c>
      <c r="Q112" s="69">
        <v>0</v>
      </c>
      <c r="R112" s="69">
        <v>0</v>
      </c>
      <c r="S112" s="69">
        <f t="shared" si="51"/>
        <v>0</v>
      </c>
      <c r="T112" s="69">
        <v>0</v>
      </c>
      <c r="U112" s="69">
        <v>0</v>
      </c>
      <c r="V112" s="69">
        <v>0</v>
      </c>
      <c r="W112" s="69">
        <v>0</v>
      </c>
      <c r="X112" s="69">
        <v>0</v>
      </c>
      <c r="Y112" s="69">
        <v>0</v>
      </c>
      <c r="Z112" s="69">
        <v>0</v>
      </c>
      <c r="AA112" s="69">
        <v>0</v>
      </c>
      <c r="AB112" s="69">
        <v>0</v>
      </c>
      <c r="AC112" s="69">
        <v>0</v>
      </c>
      <c r="AD112" s="69">
        <v>0</v>
      </c>
      <c r="AE112" s="69">
        <v>0</v>
      </c>
      <c r="AF112" s="69">
        <f t="shared" si="52"/>
        <v>0</v>
      </c>
      <c r="AG112" s="69">
        <v>0</v>
      </c>
      <c r="AH112" s="69">
        <v>0</v>
      </c>
      <c r="AI112" s="69">
        <v>0</v>
      </c>
      <c r="AJ112" s="69">
        <v>0</v>
      </c>
      <c r="AK112" s="69">
        <v>0</v>
      </c>
      <c r="AL112" s="69">
        <v>0</v>
      </c>
      <c r="AM112" s="69">
        <v>0</v>
      </c>
      <c r="AN112" s="69">
        <v>0</v>
      </c>
      <c r="AO112" s="69">
        <v>0</v>
      </c>
      <c r="AP112" s="69">
        <v>0</v>
      </c>
      <c r="AQ112" s="69">
        <v>0</v>
      </c>
      <c r="AR112" s="69">
        <v>0</v>
      </c>
      <c r="AS112" s="69">
        <f t="shared" si="53"/>
        <v>0</v>
      </c>
      <c r="AT112" s="69">
        <v>0</v>
      </c>
      <c r="AU112" s="69">
        <v>0</v>
      </c>
      <c r="AV112" s="69">
        <v>0</v>
      </c>
      <c r="AW112" s="69">
        <v>0</v>
      </c>
      <c r="AX112" s="69">
        <v>0</v>
      </c>
      <c r="AY112" s="69">
        <v>0</v>
      </c>
      <c r="AZ112" s="69">
        <v>0</v>
      </c>
      <c r="BA112" s="69">
        <v>0</v>
      </c>
      <c r="BB112" s="69">
        <v>0</v>
      </c>
      <c r="BC112" s="69">
        <v>0</v>
      </c>
      <c r="BD112" s="69">
        <v>0</v>
      </c>
      <c r="BE112" s="69">
        <v>0</v>
      </c>
      <c r="BF112" s="69">
        <f t="shared" si="54"/>
        <v>0</v>
      </c>
      <c r="BG112" s="69"/>
      <c r="BH112" s="69"/>
      <c r="BI112" s="69"/>
      <c r="BJ112" s="69"/>
      <c r="BL112" s="69"/>
      <c r="BM112" s="69"/>
      <c r="BN112" s="69"/>
      <c r="BO112" s="69"/>
      <c r="BP112" s="1" t="s">
        <v>201</v>
      </c>
      <c r="BQ112" s="6">
        <f t="shared" si="82"/>
        <v>0</v>
      </c>
      <c r="BR112" s="69">
        <f t="shared" si="82"/>
        <v>0</v>
      </c>
      <c r="BS112" s="69">
        <f t="shared" si="82"/>
        <v>0</v>
      </c>
      <c r="BT112" s="69">
        <f t="shared" si="81"/>
        <v>0</v>
      </c>
      <c r="BU112" s="69">
        <f t="shared" si="81"/>
        <v>0</v>
      </c>
      <c r="BV112" s="69">
        <f t="shared" si="81"/>
        <v>0</v>
      </c>
      <c r="BW112" s="69">
        <f t="shared" si="81"/>
        <v>0</v>
      </c>
      <c r="BX112" s="69">
        <f t="shared" si="81"/>
        <v>0</v>
      </c>
      <c r="BY112" s="69">
        <f t="shared" si="81"/>
        <v>0</v>
      </c>
      <c r="BZ112" s="69">
        <f t="shared" si="90"/>
        <v>0</v>
      </c>
      <c r="CA112" s="69">
        <f t="shared" si="90"/>
        <v>0</v>
      </c>
      <c r="CB112" s="69">
        <f t="shared" si="90"/>
        <v>0</v>
      </c>
      <c r="CC112" s="69">
        <f t="shared" si="90"/>
        <v>0</v>
      </c>
      <c r="CD112" s="69">
        <f t="shared" si="57"/>
        <v>0</v>
      </c>
      <c r="CF112" s="7">
        <v>0</v>
      </c>
      <c r="CG112" s="95">
        <f t="shared" si="62"/>
        <v>0</v>
      </c>
      <c r="DS112" s="95"/>
      <c r="DW112" s="95">
        <f t="shared" ref="DW112:DW119" si="91">SUM(BR112:BT112)-DV112</f>
        <v>0</v>
      </c>
      <c r="DY112" s="95">
        <f t="shared" si="68"/>
        <v>0</v>
      </c>
      <c r="DZ112" s="95"/>
      <c r="EE112" s="82"/>
      <c r="EF112" s="82"/>
      <c r="EG112" s="82"/>
      <c r="EH112" s="82"/>
      <c r="EI112" s="82"/>
      <c r="EJ112" s="82"/>
      <c r="EK112" s="82"/>
      <c r="EL112" s="82"/>
      <c r="EM112" s="82"/>
      <c r="EN112" s="82"/>
      <c r="EO112" s="82"/>
      <c r="EP112" s="82"/>
      <c r="EQ112" s="82"/>
      <c r="ER112" s="82"/>
      <c r="ES112" s="82"/>
      <c r="ET112" s="82"/>
      <c r="EU112" s="82"/>
      <c r="EV112" s="82"/>
      <c r="EW112" s="82"/>
      <c r="EX112" s="82"/>
      <c r="EY112" s="82"/>
      <c r="EZ112" s="82"/>
      <c r="FA112" s="82"/>
      <c r="FB112" s="82"/>
      <c r="FC112" s="82"/>
      <c r="FD112" s="82"/>
      <c r="FE112" s="82"/>
      <c r="FF112" s="82"/>
      <c r="FG112" s="82"/>
      <c r="FH112" s="82"/>
      <c r="FI112" s="82"/>
      <c r="FJ112" s="82"/>
      <c r="FK112" s="82"/>
      <c r="FL112" s="82"/>
      <c r="FM112" s="82"/>
      <c r="FN112" s="82"/>
      <c r="FO112" s="82"/>
    </row>
    <row r="113" spans="1:171" x14ac:dyDescent="0.25">
      <c r="A113" s="1" t="s">
        <v>202</v>
      </c>
      <c r="B113" s="82">
        <v>0</v>
      </c>
      <c r="C113" s="82">
        <v>0</v>
      </c>
      <c r="D113" s="82">
        <v>0</v>
      </c>
      <c r="E113" s="82">
        <v>0</v>
      </c>
      <c r="F113" s="82"/>
      <c r="G113" s="69">
        <v>0</v>
      </c>
      <c r="H113" s="69">
        <v>0</v>
      </c>
      <c r="I113" s="69">
        <v>0</v>
      </c>
      <c r="J113" s="69">
        <v>0</v>
      </c>
      <c r="K113" s="69">
        <v>0</v>
      </c>
      <c r="L113" s="69">
        <v>0</v>
      </c>
      <c r="M113" s="69">
        <v>0</v>
      </c>
      <c r="N113" s="69">
        <v>0</v>
      </c>
      <c r="O113" s="69">
        <v>0</v>
      </c>
      <c r="P113" s="69">
        <v>0</v>
      </c>
      <c r="Q113" s="69">
        <v>0</v>
      </c>
      <c r="R113" s="69">
        <v>0</v>
      </c>
      <c r="S113" s="69">
        <f t="shared" si="51"/>
        <v>0</v>
      </c>
      <c r="T113" s="69">
        <v>0</v>
      </c>
      <c r="U113" s="69">
        <v>0</v>
      </c>
      <c r="V113" s="69">
        <v>0</v>
      </c>
      <c r="W113" s="69">
        <v>0</v>
      </c>
      <c r="X113" s="69">
        <v>0</v>
      </c>
      <c r="Y113" s="69">
        <v>0</v>
      </c>
      <c r="Z113" s="69">
        <v>0</v>
      </c>
      <c r="AA113" s="69">
        <v>0</v>
      </c>
      <c r="AB113" s="69">
        <v>0</v>
      </c>
      <c r="AC113" s="69">
        <v>0</v>
      </c>
      <c r="AD113" s="69">
        <v>0</v>
      </c>
      <c r="AE113" s="69">
        <v>0</v>
      </c>
      <c r="AF113" s="69">
        <f t="shared" si="52"/>
        <v>0</v>
      </c>
      <c r="AG113" s="69">
        <v>0</v>
      </c>
      <c r="AH113" s="69">
        <v>0</v>
      </c>
      <c r="AI113" s="69">
        <v>0</v>
      </c>
      <c r="AJ113" s="69">
        <v>0</v>
      </c>
      <c r="AK113" s="69">
        <v>0</v>
      </c>
      <c r="AL113" s="69">
        <v>0</v>
      </c>
      <c r="AM113" s="69">
        <v>0</v>
      </c>
      <c r="AN113" s="69">
        <v>0</v>
      </c>
      <c r="AO113" s="69">
        <v>0</v>
      </c>
      <c r="AP113" s="69">
        <v>0</v>
      </c>
      <c r="AQ113" s="69">
        <v>0</v>
      </c>
      <c r="AR113" s="69">
        <v>0</v>
      </c>
      <c r="AS113" s="69">
        <f t="shared" si="53"/>
        <v>0</v>
      </c>
      <c r="AT113" s="69">
        <v>0</v>
      </c>
      <c r="AU113" s="69">
        <v>0</v>
      </c>
      <c r="AV113" s="69">
        <v>0</v>
      </c>
      <c r="AW113" s="69">
        <v>0</v>
      </c>
      <c r="AX113" s="69">
        <v>0</v>
      </c>
      <c r="AY113" s="69">
        <v>0</v>
      </c>
      <c r="AZ113" s="69">
        <v>0</v>
      </c>
      <c r="BA113" s="69">
        <v>0</v>
      </c>
      <c r="BB113" s="69">
        <v>0</v>
      </c>
      <c r="BC113" s="69">
        <v>0</v>
      </c>
      <c r="BD113" s="69">
        <v>0</v>
      </c>
      <c r="BE113" s="69">
        <v>0</v>
      </c>
      <c r="BF113" s="69">
        <f t="shared" si="54"/>
        <v>0</v>
      </c>
      <c r="BG113" s="69"/>
      <c r="BH113" s="69"/>
      <c r="BI113" s="69"/>
      <c r="BJ113" s="69"/>
      <c r="BL113" s="69"/>
      <c r="BM113" s="69"/>
      <c r="BN113" s="69"/>
      <c r="BO113" s="69"/>
      <c r="BP113" s="1" t="s">
        <v>202</v>
      </c>
      <c r="BQ113" s="6">
        <f t="shared" si="82"/>
        <v>0</v>
      </c>
      <c r="BR113" s="69">
        <f t="shared" si="82"/>
        <v>0</v>
      </c>
      <c r="BS113" s="69">
        <f t="shared" si="82"/>
        <v>0</v>
      </c>
      <c r="BT113" s="69">
        <f t="shared" si="81"/>
        <v>0</v>
      </c>
      <c r="BU113" s="69">
        <f t="shared" si="81"/>
        <v>0</v>
      </c>
      <c r="BV113" s="69">
        <f t="shared" si="81"/>
        <v>0</v>
      </c>
      <c r="BW113" s="69">
        <f t="shared" si="81"/>
        <v>0</v>
      </c>
      <c r="BX113" s="69">
        <f t="shared" si="81"/>
        <v>0</v>
      </c>
      <c r="BY113" s="69">
        <f t="shared" si="81"/>
        <v>0</v>
      </c>
      <c r="BZ113" s="69">
        <f t="shared" si="90"/>
        <v>0</v>
      </c>
      <c r="CA113" s="69">
        <f t="shared" si="90"/>
        <v>0</v>
      </c>
      <c r="CB113" s="69">
        <f t="shared" si="90"/>
        <v>0</v>
      </c>
      <c r="CC113" s="69">
        <f t="shared" si="90"/>
        <v>0</v>
      </c>
      <c r="CD113" s="69">
        <f t="shared" si="57"/>
        <v>0</v>
      </c>
      <c r="CF113" s="7">
        <v>0</v>
      </c>
      <c r="CG113" s="95">
        <f t="shared" si="62"/>
        <v>0</v>
      </c>
      <c r="DS113" s="95"/>
      <c r="DW113" s="95">
        <f t="shared" si="91"/>
        <v>0</v>
      </c>
      <c r="DY113" s="95">
        <f t="shared" si="68"/>
        <v>0</v>
      </c>
      <c r="DZ113" s="95"/>
      <c r="EE113" s="82"/>
      <c r="EF113" s="82"/>
      <c r="EG113" s="82"/>
      <c r="EH113" s="82"/>
      <c r="EI113" s="82"/>
      <c r="EJ113" s="82"/>
      <c r="EK113" s="82"/>
      <c r="EL113" s="82"/>
      <c r="EM113" s="82"/>
      <c r="EN113" s="82"/>
      <c r="EO113" s="82"/>
      <c r="EP113" s="82"/>
      <c r="EQ113" s="82"/>
      <c r="ER113" s="82"/>
      <c r="ES113" s="82"/>
      <c r="ET113" s="82"/>
      <c r="EU113" s="82"/>
      <c r="EV113" s="82"/>
      <c r="EW113" s="82"/>
      <c r="EX113" s="82"/>
      <c r="EY113" s="82"/>
      <c r="EZ113" s="82"/>
      <c r="FA113" s="82"/>
      <c r="FB113" s="82"/>
      <c r="FC113" s="82"/>
      <c r="FD113" s="82"/>
      <c r="FE113" s="82"/>
      <c r="FF113" s="82"/>
      <c r="FG113" s="82"/>
      <c r="FH113" s="82"/>
      <c r="FI113" s="82"/>
      <c r="FJ113" s="82"/>
      <c r="FK113" s="82"/>
      <c r="FL113" s="82"/>
      <c r="FM113" s="82"/>
      <c r="FN113" s="82"/>
      <c r="FO113" s="82"/>
    </row>
    <row r="114" spans="1:171" x14ac:dyDescent="0.25">
      <c r="A114" s="109" t="s">
        <v>203</v>
      </c>
      <c r="B114" s="82">
        <v>0</v>
      </c>
      <c r="C114" s="82">
        <v>0</v>
      </c>
      <c r="D114" s="82">
        <v>0</v>
      </c>
      <c r="E114" s="82">
        <v>0</v>
      </c>
      <c r="F114" s="82"/>
      <c r="G114" s="69">
        <v>0</v>
      </c>
      <c r="H114" s="69">
        <v>0</v>
      </c>
      <c r="I114" s="69">
        <v>0</v>
      </c>
      <c r="J114" s="69">
        <v>0</v>
      </c>
      <c r="K114" s="69">
        <v>0</v>
      </c>
      <c r="L114" s="69">
        <v>0</v>
      </c>
      <c r="M114" s="69">
        <v>0</v>
      </c>
      <c r="N114" s="69">
        <v>0</v>
      </c>
      <c r="O114" s="69">
        <v>0</v>
      </c>
      <c r="P114" s="69">
        <v>0</v>
      </c>
      <c r="Q114" s="69">
        <v>0</v>
      </c>
      <c r="R114" s="69">
        <v>0</v>
      </c>
      <c r="S114" s="69">
        <f t="shared" si="51"/>
        <v>0</v>
      </c>
      <c r="T114" s="69">
        <v>0</v>
      </c>
      <c r="U114" s="69">
        <v>0</v>
      </c>
      <c r="V114" s="69">
        <v>0</v>
      </c>
      <c r="W114" s="69">
        <v>0</v>
      </c>
      <c r="X114" s="69">
        <v>0</v>
      </c>
      <c r="Y114" s="69">
        <v>0</v>
      </c>
      <c r="Z114" s="69">
        <v>0</v>
      </c>
      <c r="AA114" s="69">
        <v>0</v>
      </c>
      <c r="AB114" s="69">
        <v>0</v>
      </c>
      <c r="AC114" s="69">
        <v>0</v>
      </c>
      <c r="AD114" s="69">
        <v>0</v>
      </c>
      <c r="AE114" s="69">
        <v>0</v>
      </c>
      <c r="AF114" s="69">
        <f t="shared" si="52"/>
        <v>0</v>
      </c>
      <c r="AG114" s="69">
        <v>0</v>
      </c>
      <c r="AH114" s="69">
        <v>0</v>
      </c>
      <c r="AI114" s="69">
        <v>0</v>
      </c>
      <c r="AJ114" s="69">
        <v>0</v>
      </c>
      <c r="AK114" s="69">
        <v>0</v>
      </c>
      <c r="AL114" s="69">
        <v>0</v>
      </c>
      <c r="AM114" s="69">
        <v>0</v>
      </c>
      <c r="AN114" s="69">
        <v>0</v>
      </c>
      <c r="AO114" s="69">
        <v>0</v>
      </c>
      <c r="AP114" s="69">
        <v>0</v>
      </c>
      <c r="AQ114" s="69">
        <v>0</v>
      </c>
      <c r="AR114" s="69">
        <v>0</v>
      </c>
      <c r="AS114" s="69">
        <f t="shared" si="53"/>
        <v>0</v>
      </c>
      <c r="AT114" s="69">
        <v>0</v>
      </c>
      <c r="AU114" s="69">
        <v>0</v>
      </c>
      <c r="AV114" s="69">
        <v>0</v>
      </c>
      <c r="AW114" s="69">
        <v>0</v>
      </c>
      <c r="AX114" s="69">
        <v>0</v>
      </c>
      <c r="AY114" s="69">
        <v>0</v>
      </c>
      <c r="AZ114" s="69">
        <v>0</v>
      </c>
      <c r="BA114" s="69">
        <v>0</v>
      </c>
      <c r="BB114" s="69">
        <v>0</v>
      </c>
      <c r="BC114" s="69">
        <v>0</v>
      </c>
      <c r="BD114" s="69">
        <v>0</v>
      </c>
      <c r="BE114" s="69">
        <v>0</v>
      </c>
      <c r="BF114" s="69">
        <f t="shared" si="54"/>
        <v>0</v>
      </c>
      <c r="BG114" s="69"/>
      <c r="BH114" s="69"/>
      <c r="BI114" s="69"/>
      <c r="BJ114" s="69"/>
      <c r="BL114" s="69"/>
      <c r="BM114" s="69"/>
      <c r="BN114" s="69"/>
      <c r="BO114" s="69"/>
      <c r="BP114" s="109" t="s">
        <v>203</v>
      </c>
      <c r="BQ114" s="6">
        <f t="shared" si="82"/>
        <v>0</v>
      </c>
      <c r="BR114" s="69">
        <f t="shared" si="82"/>
        <v>0</v>
      </c>
      <c r="BS114" s="69">
        <f t="shared" si="82"/>
        <v>0</v>
      </c>
      <c r="BT114" s="69">
        <f t="shared" si="81"/>
        <v>0</v>
      </c>
      <c r="BU114" s="69">
        <f t="shared" si="81"/>
        <v>0</v>
      </c>
      <c r="BV114" s="69">
        <f t="shared" si="81"/>
        <v>0</v>
      </c>
      <c r="BW114" s="69">
        <f t="shared" si="81"/>
        <v>0</v>
      </c>
      <c r="BX114" s="69">
        <f t="shared" si="81"/>
        <v>0</v>
      </c>
      <c r="BY114" s="69">
        <f t="shared" si="81"/>
        <v>0</v>
      </c>
      <c r="BZ114" s="69">
        <f t="shared" si="90"/>
        <v>0</v>
      </c>
      <c r="CA114" s="69">
        <f t="shared" si="90"/>
        <v>0</v>
      </c>
      <c r="CB114" s="69">
        <f t="shared" si="90"/>
        <v>0</v>
      </c>
      <c r="CC114" s="69">
        <f t="shared" si="90"/>
        <v>0</v>
      </c>
      <c r="CD114" s="69">
        <f t="shared" si="57"/>
        <v>0</v>
      </c>
      <c r="CF114" s="7">
        <v>0</v>
      </c>
      <c r="CG114" s="95">
        <f t="shared" si="62"/>
        <v>0</v>
      </c>
      <c r="DS114" s="95"/>
      <c r="DW114" s="95">
        <f t="shared" si="91"/>
        <v>0</v>
      </c>
      <c r="DY114" s="95">
        <f t="shared" si="68"/>
        <v>0</v>
      </c>
      <c r="DZ114" s="95"/>
      <c r="EE114" s="82"/>
      <c r="EF114" s="82"/>
      <c r="EG114" s="82"/>
      <c r="EH114" s="82"/>
      <c r="EI114" s="82"/>
      <c r="EJ114" s="82"/>
      <c r="EK114" s="82"/>
      <c r="EL114" s="82"/>
      <c r="EM114" s="82"/>
      <c r="EN114" s="82"/>
      <c r="EO114" s="82"/>
      <c r="EP114" s="82"/>
      <c r="EQ114" s="82"/>
      <c r="ER114" s="82"/>
      <c r="ES114" s="82"/>
      <c r="ET114" s="82"/>
      <c r="EU114" s="82"/>
      <c r="EV114" s="82"/>
      <c r="EW114" s="82"/>
      <c r="EX114" s="82"/>
      <c r="EY114" s="82"/>
      <c r="EZ114" s="82"/>
      <c r="FA114" s="82"/>
      <c r="FB114" s="82"/>
      <c r="FC114" s="82"/>
      <c r="FD114" s="82"/>
      <c r="FE114" s="82"/>
      <c r="FF114" s="82"/>
      <c r="FG114" s="82"/>
      <c r="FH114" s="82"/>
      <c r="FI114" s="82"/>
      <c r="FJ114" s="82"/>
      <c r="FK114" s="82"/>
      <c r="FL114" s="82"/>
      <c r="FM114" s="82"/>
      <c r="FN114" s="82"/>
      <c r="FO114" s="82"/>
    </row>
    <row r="115" spans="1:171" x14ac:dyDescent="0.25">
      <c r="A115" t="s">
        <v>204</v>
      </c>
      <c r="B115" s="82">
        <v>-2453334</v>
      </c>
      <c r="C115" s="82">
        <v>-4277427</v>
      </c>
      <c r="D115" s="82">
        <v>-3693635</v>
      </c>
      <c r="E115" s="82">
        <v>0</v>
      </c>
      <c r="F115" s="82"/>
      <c r="G115" s="69">
        <v>0</v>
      </c>
      <c r="H115" s="69">
        <v>0</v>
      </c>
      <c r="I115" s="69">
        <v>0</v>
      </c>
      <c r="J115" s="69">
        <v>0</v>
      </c>
      <c r="K115" s="69">
        <v>0</v>
      </c>
      <c r="L115" s="69">
        <v>0</v>
      </c>
      <c r="M115" s="69">
        <v>0</v>
      </c>
      <c r="N115" s="69">
        <v>0</v>
      </c>
      <c r="O115" s="69">
        <v>0</v>
      </c>
      <c r="P115" s="69">
        <v>0</v>
      </c>
      <c r="Q115" s="69">
        <v>0</v>
      </c>
      <c r="R115" s="69">
        <v>-4277427</v>
      </c>
      <c r="S115" s="69">
        <f t="shared" si="51"/>
        <v>-4277427</v>
      </c>
      <c r="T115" s="69">
        <v>0</v>
      </c>
      <c r="U115" s="69">
        <v>0</v>
      </c>
      <c r="V115" s="69">
        <v>-1435964</v>
      </c>
      <c r="W115" s="69">
        <v>1435964</v>
      </c>
      <c r="X115" s="69">
        <v>0</v>
      </c>
      <c r="Y115" s="69">
        <v>-2040456</v>
      </c>
      <c r="Z115" s="69">
        <v>2040456</v>
      </c>
      <c r="AA115" s="69">
        <v>0</v>
      </c>
      <c r="AB115" s="69">
        <v>-3253237</v>
      </c>
      <c r="AC115" s="69">
        <v>370831</v>
      </c>
      <c r="AD115" s="69">
        <v>2882406</v>
      </c>
      <c r="AE115" s="69">
        <v>-3693635</v>
      </c>
      <c r="AF115" s="69">
        <f t="shared" si="52"/>
        <v>-3693635</v>
      </c>
      <c r="AG115" s="69">
        <v>0</v>
      </c>
      <c r="AH115" s="69">
        <v>0</v>
      </c>
      <c r="AI115" s="69">
        <v>0</v>
      </c>
      <c r="AJ115" s="69">
        <v>0</v>
      </c>
      <c r="AK115" s="69">
        <v>0</v>
      </c>
      <c r="AL115" s="69">
        <v>0</v>
      </c>
      <c r="AM115" s="69">
        <v>0</v>
      </c>
      <c r="AN115" s="69">
        <v>0</v>
      </c>
      <c r="AO115" s="69">
        <v>0</v>
      </c>
      <c r="AP115" s="69">
        <v>0</v>
      </c>
      <c r="AQ115" s="69">
        <v>0</v>
      </c>
      <c r="AR115" s="69">
        <v>0</v>
      </c>
      <c r="AS115" s="69">
        <f t="shared" si="53"/>
        <v>0</v>
      </c>
      <c r="AT115" s="69">
        <v>0</v>
      </c>
      <c r="AU115" s="69">
        <v>0</v>
      </c>
      <c r="AV115" s="69">
        <v>0</v>
      </c>
      <c r="AW115" s="69">
        <v>0</v>
      </c>
      <c r="AX115" s="69">
        <v>0</v>
      </c>
      <c r="AY115" s="69">
        <v>0</v>
      </c>
      <c r="AZ115" s="69">
        <v>0</v>
      </c>
      <c r="BA115" s="69">
        <v>0</v>
      </c>
      <c r="BB115" s="69">
        <v>0</v>
      </c>
      <c r="BC115" s="69">
        <v>0</v>
      </c>
      <c r="BD115" s="69">
        <v>0</v>
      </c>
      <c r="BE115" s="69">
        <v>0</v>
      </c>
      <c r="BF115" s="69">
        <f t="shared" si="54"/>
        <v>0</v>
      </c>
      <c r="BG115" s="69"/>
      <c r="BH115" s="69"/>
      <c r="BI115" s="69"/>
      <c r="BJ115" s="69"/>
      <c r="BL115" s="69"/>
      <c r="BM115" s="69"/>
      <c r="BN115" s="69"/>
      <c r="BO115" s="69"/>
      <c r="BP115" t="s">
        <v>204</v>
      </c>
      <c r="BQ115" s="6">
        <f t="shared" si="82"/>
        <v>0</v>
      </c>
      <c r="BR115" s="69">
        <f t="shared" si="82"/>
        <v>0</v>
      </c>
      <c r="BS115" s="69">
        <f t="shared" si="82"/>
        <v>0</v>
      </c>
      <c r="BT115" s="69">
        <f t="shared" si="81"/>
        <v>0</v>
      </c>
      <c r="BU115" s="69">
        <f t="shared" si="81"/>
        <v>0</v>
      </c>
      <c r="BV115" s="69">
        <f t="shared" si="81"/>
        <v>0</v>
      </c>
      <c r="BW115" s="69">
        <f t="shared" si="81"/>
        <v>0</v>
      </c>
      <c r="BX115" s="69">
        <f t="shared" si="81"/>
        <v>0</v>
      </c>
      <c r="BY115" s="69">
        <f t="shared" si="81"/>
        <v>0</v>
      </c>
      <c r="BZ115" s="69">
        <f t="shared" si="90"/>
        <v>0</v>
      </c>
      <c r="CA115" s="69">
        <f t="shared" si="90"/>
        <v>0</v>
      </c>
      <c r="CB115" s="69">
        <f t="shared" si="90"/>
        <v>0</v>
      </c>
      <c r="CC115" s="69">
        <f t="shared" si="90"/>
        <v>0</v>
      </c>
      <c r="CD115" s="69">
        <f t="shared" si="57"/>
        <v>0</v>
      </c>
      <c r="CF115" s="7">
        <v>0</v>
      </c>
      <c r="CG115" s="95">
        <f t="shared" si="62"/>
        <v>0</v>
      </c>
      <c r="DS115" s="95"/>
      <c r="DW115" s="95">
        <f t="shared" si="91"/>
        <v>0</v>
      </c>
      <c r="DY115" s="95">
        <f t="shared" si="68"/>
        <v>0</v>
      </c>
      <c r="DZ115" s="95"/>
      <c r="EE115" s="82"/>
      <c r="EF115" s="82"/>
      <c r="EG115" s="82"/>
      <c r="EH115" s="82"/>
      <c r="EI115" s="82"/>
      <c r="EJ115" s="82"/>
      <c r="EK115" s="82"/>
      <c r="EL115" s="82"/>
      <c r="EM115" s="82"/>
      <c r="EN115" s="82"/>
      <c r="EO115" s="82"/>
      <c r="EP115" s="82"/>
      <c r="EQ115" s="82"/>
      <c r="ER115" s="82"/>
      <c r="ES115" s="82"/>
      <c r="ET115" s="82"/>
      <c r="EU115" s="82"/>
      <c r="EV115" s="82"/>
      <c r="EW115" s="82"/>
      <c r="EX115" s="82"/>
      <c r="EY115" s="82"/>
      <c r="EZ115" s="82"/>
      <c r="FA115" s="82"/>
      <c r="FB115" s="82"/>
      <c r="FC115" s="82"/>
      <c r="FD115" s="82"/>
      <c r="FE115" s="82"/>
      <c r="FF115" s="82"/>
      <c r="FG115" s="82"/>
      <c r="FH115" s="82"/>
      <c r="FI115" s="82"/>
      <c r="FJ115" s="82"/>
      <c r="FK115" s="82"/>
      <c r="FL115" s="82"/>
      <c r="FM115" s="82"/>
      <c r="FN115" s="82"/>
      <c r="FO115" s="82"/>
    </row>
    <row r="116" spans="1:171" x14ac:dyDescent="0.25">
      <c r="A116" t="s">
        <v>205</v>
      </c>
      <c r="B116" s="82">
        <v>-521541</v>
      </c>
      <c r="C116" s="82">
        <v>-912068</v>
      </c>
      <c r="D116" s="82">
        <v>-2125643</v>
      </c>
      <c r="E116" s="82">
        <v>0</v>
      </c>
      <c r="F116" s="82"/>
      <c r="G116" s="69">
        <v>0</v>
      </c>
      <c r="H116" s="69">
        <v>0</v>
      </c>
      <c r="I116" s="69">
        <v>0</v>
      </c>
      <c r="J116" s="69">
        <v>0</v>
      </c>
      <c r="K116" s="69">
        <v>0</v>
      </c>
      <c r="L116" s="69">
        <v>0</v>
      </c>
      <c r="M116" s="69">
        <v>0</v>
      </c>
      <c r="N116" s="69">
        <v>0</v>
      </c>
      <c r="O116" s="69">
        <v>0</v>
      </c>
      <c r="P116" s="69">
        <v>0</v>
      </c>
      <c r="Q116" s="69">
        <v>0</v>
      </c>
      <c r="R116" s="69">
        <v>-912068</v>
      </c>
      <c r="S116" s="69">
        <f t="shared" si="51"/>
        <v>-912068</v>
      </c>
      <c r="T116" s="69">
        <v>0</v>
      </c>
      <c r="U116" s="69">
        <v>0</v>
      </c>
      <c r="V116" s="69">
        <v>-185018</v>
      </c>
      <c r="W116" s="69">
        <v>185018</v>
      </c>
      <c r="X116" s="69">
        <v>0</v>
      </c>
      <c r="Y116" s="69">
        <v>-729178</v>
      </c>
      <c r="Z116" s="69">
        <v>729178</v>
      </c>
      <c r="AA116" s="69">
        <v>0</v>
      </c>
      <c r="AB116" s="69">
        <v>-1293275</v>
      </c>
      <c r="AC116" s="69">
        <v>-425852</v>
      </c>
      <c r="AD116" s="69">
        <v>1719127</v>
      </c>
      <c r="AE116" s="69">
        <v>-2125643</v>
      </c>
      <c r="AF116" s="69">
        <f t="shared" si="52"/>
        <v>-2125643</v>
      </c>
      <c r="AG116" s="69">
        <v>0</v>
      </c>
      <c r="AH116" s="69">
        <v>0</v>
      </c>
      <c r="AI116" s="69">
        <v>0</v>
      </c>
      <c r="AJ116" s="69">
        <v>0</v>
      </c>
      <c r="AK116" s="69">
        <v>0</v>
      </c>
      <c r="AL116" s="69">
        <v>0</v>
      </c>
      <c r="AM116" s="69">
        <v>0</v>
      </c>
      <c r="AN116" s="69">
        <v>0</v>
      </c>
      <c r="AO116" s="69">
        <v>0</v>
      </c>
      <c r="AP116" s="69">
        <v>0</v>
      </c>
      <c r="AQ116" s="69">
        <v>0</v>
      </c>
      <c r="AR116" s="69">
        <v>0</v>
      </c>
      <c r="AS116" s="69">
        <f t="shared" si="53"/>
        <v>0</v>
      </c>
      <c r="AT116" s="69">
        <v>0</v>
      </c>
      <c r="AU116" s="69">
        <v>0</v>
      </c>
      <c r="AV116" s="69">
        <v>0</v>
      </c>
      <c r="AW116" s="69">
        <v>0</v>
      </c>
      <c r="AX116" s="69">
        <v>0</v>
      </c>
      <c r="AY116" s="69">
        <v>0</v>
      </c>
      <c r="AZ116" s="69">
        <v>0</v>
      </c>
      <c r="BA116" s="69">
        <v>0</v>
      </c>
      <c r="BB116" s="69">
        <v>0</v>
      </c>
      <c r="BC116" s="69">
        <v>0</v>
      </c>
      <c r="BD116" s="69">
        <v>0</v>
      </c>
      <c r="BE116" s="69">
        <v>0</v>
      </c>
      <c r="BF116" s="69">
        <f t="shared" si="54"/>
        <v>0</v>
      </c>
      <c r="BG116" s="69"/>
      <c r="BH116" s="69"/>
      <c r="BI116" s="69"/>
      <c r="BJ116" s="69"/>
      <c r="BL116" s="69"/>
      <c r="BM116" s="69"/>
      <c r="BN116" s="69"/>
      <c r="BO116" s="69"/>
      <c r="BP116" t="s">
        <v>205</v>
      </c>
      <c r="BQ116" s="6">
        <f t="shared" si="82"/>
        <v>0</v>
      </c>
      <c r="BR116" s="69">
        <f t="shared" si="82"/>
        <v>0</v>
      </c>
      <c r="BS116" s="69">
        <f t="shared" si="82"/>
        <v>0</v>
      </c>
      <c r="BT116" s="69">
        <f t="shared" si="81"/>
        <v>0</v>
      </c>
      <c r="BU116" s="69">
        <f t="shared" si="81"/>
        <v>0</v>
      </c>
      <c r="BV116" s="69">
        <f t="shared" si="81"/>
        <v>0</v>
      </c>
      <c r="BW116" s="69">
        <f t="shared" si="81"/>
        <v>0</v>
      </c>
      <c r="BX116" s="69">
        <f t="shared" si="81"/>
        <v>0</v>
      </c>
      <c r="BY116" s="69">
        <f t="shared" si="81"/>
        <v>0</v>
      </c>
      <c r="BZ116" s="69">
        <f t="shared" si="90"/>
        <v>0</v>
      </c>
      <c r="CA116" s="69">
        <f t="shared" si="90"/>
        <v>0</v>
      </c>
      <c r="CB116" s="69">
        <f t="shared" si="90"/>
        <v>0</v>
      </c>
      <c r="CC116" s="69">
        <f t="shared" si="90"/>
        <v>0</v>
      </c>
      <c r="CD116" s="69">
        <f t="shared" si="57"/>
        <v>0</v>
      </c>
      <c r="CF116" s="7">
        <v>0</v>
      </c>
      <c r="CG116" s="95">
        <f t="shared" si="62"/>
        <v>0</v>
      </c>
      <c r="DS116" s="95"/>
      <c r="DW116" s="95">
        <f t="shared" si="91"/>
        <v>0</v>
      </c>
      <c r="DY116" s="95">
        <f t="shared" si="68"/>
        <v>0</v>
      </c>
      <c r="DZ116" s="95"/>
      <c r="EE116" s="82"/>
      <c r="EF116" s="82"/>
      <c r="EG116" s="82"/>
      <c r="EH116" s="82"/>
      <c r="EI116" s="82"/>
      <c r="EJ116" s="82"/>
      <c r="EK116" s="82"/>
      <c r="EL116" s="82"/>
      <c r="EM116" s="82"/>
      <c r="EN116" s="82"/>
      <c r="EO116" s="82"/>
      <c r="EP116" s="82"/>
      <c r="EQ116" s="82"/>
      <c r="ER116" s="82"/>
      <c r="ES116" s="82"/>
      <c r="ET116" s="82"/>
      <c r="EU116" s="82"/>
      <c r="EV116" s="82"/>
      <c r="EW116" s="82"/>
      <c r="EX116" s="82"/>
      <c r="EY116" s="82"/>
      <c r="EZ116" s="82"/>
      <c r="FA116" s="82"/>
      <c r="FB116" s="82"/>
      <c r="FC116" s="82"/>
      <c r="FD116" s="82"/>
      <c r="FE116" s="82"/>
      <c r="FF116" s="82"/>
      <c r="FG116" s="82"/>
      <c r="FH116" s="82"/>
      <c r="FI116" s="82"/>
      <c r="FJ116" s="82"/>
      <c r="FK116" s="82"/>
      <c r="FL116" s="82"/>
      <c r="FM116" s="82"/>
      <c r="FN116" s="82"/>
      <c r="FO116" s="82"/>
    </row>
    <row r="117" spans="1:171" x14ac:dyDescent="0.25">
      <c r="A117" t="s">
        <v>206</v>
      </c>
      <c r="B117" s="82">
        <v>-241057</v>
      </c>
      <c r="C117" s="82">
        <v>2163328</v>
      </c>
      <c r="D117" s="82">
        <v>-200444</v>
      </c>
      <c r="E117" s="82">
        <v>0</v>
      </c>
      <c r="F117" s="82"/>
      <c r="G117" s="69">
        <v>0</v>
      </c>
      <c r="H117" s="69">
        <v>0</v>
      </c>
      <c r="I117" s="69">
        <v>0</v>
      </c>
      <c r="J117" s="69">
        <v>0</v>
      </c>
      <c r="K117" s="69">
        <v>0</v>
      </c>
      <c r="L117" s="69">
        <v>0</v>
      </c>
      <c r="M117" s="69">
        <v>0</v>
      </c>
      <c r="N117" s="69">
        <v>0</v>
      </c>
      <c r="O117" s="69">
        <v>0</v>
      </c>
      <c r="P117" s="69">
        <v>0</v>
      </c>
      <c r="Q117" s="69">
        <v>0</v>
      </c>
      <c r="R117" s="69">
        <v>2163328</v>
      </c>
      <c r="S117" s="69">
        <f t="shared" si="51"/>
        <v>2163328</v>
      </c>
      <c r="T117" s="69">
        <v>0</v>
      </c>
      <c r="U117" s="69">
        <v>0</v>
      </c>
      <c r="V117" s="69">
        <v>67723</v>
      </c>
      <c r="W117" s="69">
        <v>-67723</v>
      </c>
      <c r="X117" s="69">
        <v>0</v>
      </c>
      <c r="Y117" s="69">
        <v>-1931519</v>
      </c>
      <c r="Z117" s="69">
        <v>1931519</v>
      </c>
      <c r="AA117" s="69">
        <v>0</v>
      </c>
      <c r="AB117" s="69">
        <v>-869509</v>
      </c>
      <c r="AC117" s="69">
        <v>594241</v>
      </c>
      <c r="AD117" s="69">
        <v>275268</v>
      </c>
      <c r="AE117" s="69">
        <v>-200444</v>
      </c>
      <c r="AF117" s="69">
        <f t="shared" si="52"/>
        <v>-200444</v>
      </c>
      <c r="AG117" s="69">
        <v>0</v>
      </c>
      <c r="AH117" s="69">
        <v>0</v>
      </c>
      <c r="AI117" s="69">
        <v>0</v>
      </c>
      <c r="AJ117" s="69">
        <v>0</v>
      </c>
      <c r="AK117" s="69">
        <v>0</v>
      </c>
      <c r="AL117" s="69">
        <v>0</v>
      </c>
      <c r="AM117" s="69">
        <v>0</v>
      </c>
      <c r="AN117" s="69">
        <v>0</v>
      </c>
      <c r="AO117" s="69">
        <v>0</v>
      </c>
      <c r="AP117" s="69">
        <v>0</v>
      </c>
      <c r="AQ117" s="69">
        <v>0</v>
      </c>
      <c r="AR117" s="69">
        <v>0</v>
      </c>
      <c r="AS117" s="69">
        <f t="shared" si="53"/>
        <v>0</v>
      </c>
      <c r="AT117" s="69">
        <v>0</v>
      </c>
      <c r="AU117" s="69">
        <v>0</v>
      </c>
      <c r="AV117" s="69">
        <v>0</v>
      </c>
      <c r="AW117" s="69">
        <v>0</v>
      </c>
      <c r="AX117" s="69">
        <v>0</v>
      </c>
      <c r="AY117" s="69">
        <v>0</v>
      </c>
      <c r="AZ117" s="69">
        <v>0</v>
      </c>
      <c r="BA117" s="69">
        <v>0</v>
      </c>
      <c r="BB117" s="69">
        <v>0</v>
      </c>
      <c r="BC117" s="69">
        <v>0</v>
      </c>
      <c r="BD117" s="69">
        <v>0</v>
      </c>
      <c r="BE117" s="69">
        <v>0</v>
      </c>
      <c r="BF117" s="69">
        <f t="shared" si="54"/>
        <v>0</v>
      </c>
      <c r="BG117" s="69"/>
      <c r="BH117" s="69"/>
      <c r="BI117" s="69"/>
      <c r="BJ117" s="69"/>
      <c r="BL117" s="69"/>
      <c r="BM117" s="69"/>
      <c r="BN117" s="69"/>
      <c r="BO117" s="69"/>
      <c r="BP117" t="s">
        <v>206</v>
      </c>
      <c r="BQ117" s="6">
        <f t="shared" si="82"/>
        <v>0</v>
      </c>
      <c r="BR117" s="69">
        <f t="shared" si="82"/>
        <v>0</v>
      </c>
      <c r="BS117" s="69">
        <f t="shared" si="82"/>
        <v>0</v>
      </c>
      <c r="BT117" s="69">
        <f t="shared" si="81"/>
        <v>0</v>
      </c>
      <c r="BU117" s="69">
        <f t="shared" si="81"/>
        <v>0</v>
      </c>
      <c r="BV117" s="69">
        <f t="shared" si="81"/>
        <v>0</v>
      </c>
      <c r="BW117" s="69">
        <f t="shared" si="81"/>
        <v>0</v>
      </c>
      <c r="BX117" s="69">
        <f t="shared" si="81"/>
        <v>0</v>
      </c>
      <c r="BY117" s="69">
        <f t="shared" si="81"/>
        <v>0</v>
      </c>
      <c r="BZ117" s="69">
        <f t="shared" si="90"/>
        <v>0</v>
      </c>
      <c r="CA117" s="69">
        <f t="shared" si="90"/>
        <v>0</v>
      </c>
      <c r="CB117" s="69">
        <f t="shared" si="90"/>
        <v>0</v>
      </c>
      <c r="CC117" s="69">
        <f t="shared" si="90"/>
        <v>0</v>
      </c>
      <c r="CD117" s="69">
        <f t="shared" si="57"/>
        <v>0</v>
      </c>
      <c r="CF117" s="7">
        <v>0</v>
      </c>
      <c r="CG117" s="95">
        <f t="shared" si="62"/>
        <v>0</v>
      </c>
      <c r="DS117" s="95"/>
      <c r="DW117" s="95">
        <f t="shared" si="91"/>
        <v>0</v>
      </c>
      <c r="DY117" s="95">
        <f t="shared" si="68"/>
        <v>0</v>
      </c>
      <c r="DZ117" s="95"/>
      <c r="EE117" s="82"/>
      <c r="EF117" s="82"/>
      <c r="EG117" s="82"/>
      <c r="EH117" s="82"/>
      <c r="EI117" s="82"/>
      <c r="EJ117" s="82"/>
      <c r="EK117" s="82"/>
      <c r="EL117" s="82"/>
      <c r="EM117" s="82"/>
      <c r="EN117" s="82"/>
      <c r="EO117" s="82"/>
      <c r="EP117" s="82"/>
      <c r="EQ117" s="82"/>
      <c r="ER117" s="82"/>
      <c r="ES117" s="82"/>
      <c r="ET117" s="82"/>
      <c r="EU117" s="82"/>
      <c r="EV117" s="82"/>
      <c r="EW117" s="82"/>
      <c r="EX117" s="82"/>
      <c r="EY117" s="82"/>
      <c r="EZ117" s="82"/>
      <c r="FA117" s="82"/>
      <c r="FB117" s="82"/>
      <c r="FC117" s="82"/>
      <c r="FD117" s="82"/>
      <c r="FE117" s="82"/>
      <c r="FF117" s="82"/>
      <c r="FG117" s="82"/>
      <c r="FH117" s="82"/>
      <c r="FI117" s="82"/>
      <c r="FJ117" s="82"/>
      <c r="FK117" s="82"/>
      <c r="FL117" s="82"/>
      <c r="FM117" s="82"/>
      <c r="FN117" s="82"/>
      <c r="FO117" s="82"/>
    </row>
    <row r="118" spans="1:171" x14ac:dyDescent="0.25">
      <c r="A118" t="s">
        <v>207</v>
      </c>
      <c r="B118" s="82">
        <v>156927</v>
      </c>
      <c r="C118" s="82">
        <v>18122</v>
      </c>
      <c r="D118" s="82">
        <v>152727</v>
      </c>
      <c r="E118" s="82">
        <v>0</v>
      </c>
      <c r="F118" s="82"/>
      <c r="G118" s="69">
        <v>0</v>
      </c>
      <c r="H118" s="69">
        <v>0</v>
      </c>
      <c r="I118" s="69">
        <v>0</v>
      </c>
      <c r="J118" s="69">
        <v>0</v>
      </c>
      <c r="K118" s="69">
        <v>0</v>
      </c>
      <c r="L118" s="69">
        <v>0</v>
      </c>
      <c r="M118" s="69">
        <v>0</v>
      </c>
      <c r="N118" s="69">
        <v>0</v>
      </c>
      <c r="O118" s="69">
        <v>0</v>
      </c>
      <c r="P118" s="69">
        <v>0</v>
      </c>
      <c r="Q118" s="69">
        <v>0</v>
      </c>
      <c r="R118" s="69">
        <v>18122</v>
      </c>
      <c r="S118" s="69">
        <f t="shared" si="51"/>
        <v>18122</v>
      </c>
      <c r="T118" s="69">
        <v>0</v>
      </c>
      <c r="U118" s="69">
        <v>0</v>
      </c>
      <c r="V118" s="69">
        <v>13123</v>
      </c>
      <c r="W118" s="69">
        <v>-13123</v>
      </c>
      <c r="X118" s="69">
        <v>0</v>
      </c>
      <c r="Y118" s="69">
        <v>1287063</v>
      </c>
      <c r="Z118" s="69">
        <v>-1287063</v>
      </c>
      <c r="AA118" s="69">
        <v>0</v>
      </c>
      <c r="AB118" s="69">
        <v>722484</v>
      </c>
      <c r="AC118" s="69">
        <v>-546099</v>
      </c>
      <c r="AD118" s="69">
        <v>-176385</v>
      </c>
      <c r="AE118" s="69">
        <v>152727</v>
      </c>
      <c r="AF118" s="69">
        <f t="shared" si="52"/>
        <v>152727</v>
      </c>
      <c r="AG118" s="69">
        <v>0</v>
      </c>
      <c r="AH118" s="69">
        <v>0</v>
      </c>
      <c r="AI118" s="69">
        <v>0</v>
      </c>
      <c r="AJ118" s="69">
        <v>0</v>
      </c>
      <c r="AK118" s="69">
        <v>0</v>
      </c>
      <c r="AL118" s="69">
        <v>0</v>
      </c>
      <c r="AM118" s="69">
        <v>0</v>
      </c>
      <c r="AN118" s="69">
        <v>0</v>
      </c>
      <c r="AO118" s="69">
        <v>0</v>
      </c>
      <c r="AP118" s="69">
        <v>0</v>
      </c>
      <c r="AQ118" s="69">
        <v>0</v>
      </c>
      <c r="AR118" s="69">
        <v>0</v>
      </c>
      <c r="AS118" s="69">
        <f t="shared" si="53"/>
        <v>0</v>
      </c>
      <c r="AT118" s="69">
        <v>0</v>
      </c>
      <c r="AU118" s="69">
        <v>0</v>
      </c>
      <c r="AV118" s="69">
        <v>0</v>
      </c>
      <c r="AW118" s="69">
        <v>0</v>
      </c>
      <c r="AX118" s="69">
        <v>0</v>
      </c>
      <c r="AY118" s="69">
        <v>0</v>
      </c>
      <c r="AZ118" s="69">
        <v>0</v>
      </c>
      <c r="BA118" s="69">
        <v>0</v>
      </c>
      <c r="BB118" s="69">
        <v>0</v>
      </c>
      <c r="BC118" s="69">
        <v>0</v>
      </c>
      <c r="BD118" s="69">
        <v>0</v>
      </c>
      <c r="BE118" s="69">
        <v>0</v>
      </c>
      <c r="BF118" s="69">
        <f t="shared" si="54"/>
        <v>0</v>
      </c>
      <c r="BG118" s="69"/>
      <c r="BH118" s="69"/>
      <c r="BI118" s="69"/>
      <c r="BJ118" s="69"/>
      <c r="BL118" s="69"/>
      <c r="BM118" s="69"/>
      <c r="BN118" s="69"/>
      <c r="BO118" s="69"/>
      <c r="BP118" t="s">
        <v>207</v>
      </c>
      <c r="BQ118" s="6">
        <f t="shared" si="82"/>
        <v>0</v>
      </c>
      <c r="BR118" s="69">
        <f t="shared" si="82"/>
        <v>0</v>
      </c>
      <c r="BS118" s="69">
        <f t="shared" si="82"/>
        <v>0</v>
      </c>
      <c r="BT118" s="69">
        <f t="shared" si="81"/>
        <v>0</v>
      </c>
      <c r="BU118" s="69">
        <f t="shared" si="81"/>
        <v>0</v>
      </c>
      <c r="BV118" s="69">
        <f t="shared" si="81"/>
        <v>0</v>
      </c>
      <c r="BW118" s="69">
        <f t="shared" si="81"/>
        <v>0</v>
      </c>
      <c r="BX118" s="69">
        <f t="shared" si="81"/>
        <v>0</v>
      </c>
      <c r="BY118" s="69">
        <f t="shared" si="81"/>
        <v>0</v>
      </c>
      <c r="BZ118" s="69">
        <f t="shared" si="90"/>
        <v>0</v>
      </c>
      <c r="CA118" s="69">
        <f t="shared" si="90"/>
        <v>0</v>
      </c>
      <c r="CB118" s="69">
        <f t="shared" si="90"/>
        <v>0</v>
      </c>
      <c r="CC118" s="69">
        <f t="shared" si="90"/>
        <v>0</v>
      </c>
      <c r="CD118" s="69">
        <f t="shared" si="57"/>
        <v>0</v>
      </c>
      <c r="CF118" s="7">
        <v>0</v>
      </c>
      <c r="CG118" s="95">
        <f t="shared" si="62"/>
        <v>0</v>
      </c>
      <c r="DS118" s="95"/>
      <c r="DW118" s="95">
        <f t="shared" si="91"/>
        <v>0</v>
      </c>
      <c r="DY118" s="95">
        <f t="shared" si="68"/>
        <v>0</v>
      </c>
      <c r="DZ118" s="95"/>
      <c r="EE118" s="82"/>
      <c r="EF118" s="82"/>
      <c r="EG118" s="82"/>
      <c r="EH118" s="82"/>
      <c r="EI118" s="82"/>
      <c r="EJ118" s="82"/>
      <c r="EK118" s="82"/>
      <c r="EL118" s="82"/>
      <c r="EM118" s="82"/>
      <c r="EN118" s="82"/>
      <c r="EO118" s="82"/>
      <c r="EP118" s="82"/>
      <c r="EQ118" s="82"/>
      <c r="ER118" s="82"/>
      <c r="ES118" s="82"/>
      <c r="ET118" s="82"/>
      <c r="EU118" s="82"/>
      <c r="EV118" s="82"/>
      <c r="EW118" s="82"/>
      <c r="EX118" s="82"/>
      <c r="EY118" s="82"/>
      <c r="EZ118" s="82"/>
      <c r="FA118" s="82"/>
      <c r="FB118" s="82"/>
      <c r="FC118" s="82"/>
      <c r="FD118" s="82"/>
      <c r="FE118" s="82"/>
      <c r="FF118" s="82"/>
      <c r="FG118" s="82"/>
      <c r="FH118" s="82"/>
      <c r="FI118" s="82"/>
      <c r="FJ118" s="82"/>
      <c r="FK118" s="82"/>
      <c r="FL118" s="82"/>
      <c r="FM118" s="82"/>
      <c r="FN118" s="82"/>
      <c r="FO118" s="82"/>
    </row>
    <row r="119" spans="1:171" x14ac:dyDescent="0.25">
      <c r="A119" t="s">
        <v>208</v>
      </c>
      <c r="B119" s="84">
        <v>2587240</v>
      </c>
      <c r="C119" s="84">
        <v>1201030</v>
      </c>
      <c r="D119" s="84">
        <v>5935193</v>
      </c>
      <c r="E119" s="84">
        <v>0</v>
      </c>
      <c r="F119" s="82"/>
      <c r="G119" s="69">
        <v>0</v>
      </c>
      <c r="H119" s="69">
        <v>0</v>
      </c>
      <c r="I119" s="69">
        <v>0</v>
      </c>
      <c r="J119" s="69">
        <v>0</v>
      </c>
      <c r="K119" s="69">
        <v>0</v>
      </c>
      <c r="L119" s="69">
        <v>0</v>
      </c>
      <c r="M119" s="69">
        <v>0</v>
      </c>
      <c r="N119" s="69">
        <v>0</v>
      </c>
      <c r="O119" s="69">
        <v>0</v>
      </c>
      <c r="P119" s="69">
        <v>0</v>
      </c>
      <c r="Q119" s="69">
        <v>0</v>
      </c>
      <c r="R119" s="69">
        <v>1201030</v>
      </c>
      <c r="S119" s="69">
        <f t="shared" si="51"/>
        <v>1201030</v>
      </c>
      <c r="T119" s="69">
        <v>0</v>
      </c>
      <c r="U119" s="69">
        <v>0</v>
      </c>
      <c r="V119" s="69">
        <v>1288230</v>
      </c>
      <c r="W119" s="69">
        <v>-1288230</v>
      </c>
      <c r="X119" s="69">
        <v>0</v>
      </c>
      <c r="Y119" s="69">
        <v>4375263</v>
      </c>
      <c r="Z119" s="69">
        <v>-4375263</v>
      </c>
      <c r="AA119" s="69">
        <v>0</v>
      </c>
      <c r="AB119" s="69">
        <v>6010575</v>
      </c>
      <c r="AC119" s="69">
        <v>-1341322</v>
      </c>
      <c r="AD119" s="69">
        <v>-4669253</v>
      </c>
      <c r="AE119" s="69">
        <v>5935193</v>
      </c>
      <c r="AF119" s="69">
        <f t="shared" si="52"/>
        <v>5935193</v>
      </c>
      <c r="AG119" s="69">
        <v>0</v>
      </c>
      <c r="AH119" s="69">
        <v>0</v>
      </c>
      <c r="AI119" s="69">
        <v>0</v>
      </c>
      <c r="AJ119" s="69">
        <v>0</v>
      </c>
      <c r="AK119" s="69">
        <v>0</v>
      </c>
      <c r="AL119" s="69">
        <v>0</v>
      </c>
      <c r="AM119" s="69">
        <v>0</v>
      </c>
      <c r="AN119" s="69">
        <v>0</v>
      </c>
      <c r="AO119" s="69">
        <v>0</v>
      </c>
      <c r="AP119" s="69">
        <v>0</v>
      </c>
      <c r="AQ119" s="69">
        <v>0</v>
      </c>
      <c r="AR119" s="69">
        <v>0</v>
      </c>
      <c r="AS119" s="69">
        <f t="shared" si="53"/>
        <v>0</v>
      </c>
      <c r="AT119" s="69">
        <v>0</v>
      </c>
      <c r="AU119" s="69">
        <v>0</v>
      </c>
      <c r="AV119" s="69">
        <v>0</v>
      </c>
      <c r="AW119" s="69">
        <v>0</v>
      </c>
      <c r="AX119" s="69">
        <v>0</v>
      </c>
      <c r="AY119" s="69">
        <v>0</v>
      </c>
      <c r="AZ119" s="69">
        <v>0</v>
      </c>
      <c r="BA119" s="69">
        <v>0</v>
      </c>
      <c r="BB119" s="69">
        <v>0</v>
      </c>
      <c r="BC119" s="69">
        <v>0</v>
      </c>
      <c r="BD119" s="69">
        <v>0</v>
      </c>
      <c r="BE119" s="69">
        <v>0</v>
      </c>
      <c r="BF119" s="69">
        <f t="shared" si="54"/>
        <v>0</v>
      </c>
      <c r="BG119" s="69"/>
      <c r="BH119" s="69"/>
      <c r="BI119" s="69"/>
      <c r="BJ119" s="69"/>
      <c r="BL119" s="69"/>
      <c r="BM119" s="69"/>
      <c r="BN119" s="69"/>
      <c r="BO119" s="69"/>
      <c r="BP119" t="s">
        <v>208</v>
      </c>
      <c r="BQ119" s="6">
        <f t="shared" si="82"/>
        <v>0</v>
      </c>
      <c r="BR119" s="69"/>
      <c r="BS119" s="69">
        <f t="shared" si="82"/>
        <v>0</v>
      </c>
      <c r="BT119" s="69">
        <f t="shared" si="82"/>
        <v>0</v>
      </c>
      <c r="BU119" s="69">
        <f t="shared" si="82"/>
        <v>0</v>
      </c>
      <c r="BV119" s="69">
        <f t="shared" si="82"/>
        <v>0</v>
      </c>
      <c r="BW119" s="69">
        <f t="shared" si="82"/>
        <v>0</v>
      </c>
      <c r="BX119" s="69">
        <f t="shared" si="82"/>
        <v>0</v>
      </c>
      <c r="BY119" s="69">
        <f t="shared" si="82"/>
        <v>0</v>
      </c>
      <c r="BZ119" s="69">
        <f t="shared" si="90"/>
        <v>0</v>
      </c>
      <c r="CA119" s="69">
        <f t="shared" si="90"/>
        <v>0</v>
      </c>
      <c r="CB119" s="69">
        <f t="shared" si="90"/>
        <v>0</v>
      </c>
      <c r="CC119" s="69">
        <f t="shared" si="90"/>
        <v>0</v>
      </c>
      <c r="CD119" s="69">
        <f t="shared" si="57"/>
        <v>0</v>
      </c>
      <c r="CF119" s="7">
        <v>0</v>
      </c>
      <c r="CG119" s="95">
        <f t="shared" si="62"/>
        <v>0</v>
      </c>
      <c r="DS119" s="95"/>
      <c r="DW119" s="95">
        <f t="shared" si="91"/>
        <v>0</v>
      </c>
      <c r="DY119" s="95">
        <f t="shared" si="68"/>
        <v>0</v>
      </c>
      <c r="DZ119" s="95"/>
      <c r="EE119" s="82"/>
      <c r="EF119" s="82"/>
      <c r="EG119" s="82"/>
      <c r="EH119" s="82"/>
      <c r="EI119" s="82"/>
      <c r="EJ119" s="82"/>
      <c r="EK119" s="82"/>
      <c r="EL119" s="82"/>
      <c r="EM119" s="82"/>
      <c r="EN119" s="82"/>
      <c r="EO119" s="82"/>
      <c r="EP119" s="82"/>
      <c r="EQ119" s="82"/>
      <c r="ER119" s="82"/>
      <c r="ES119" s="82"/>
      <c r="ET119" s="82"/>
      <c r="EU119" s="82"/>
      <c r="EV119" s="82"/>
      <c r="EW119" s="82"/>
      <c r="EX119" s="82"/>
      <c r="EY119" s="82"/>
      <c r="EZ119" s="82"/>
      <c r="FA119" s="82"/>
      <c r="FB119" s="82"/>
      <c r="FC119" s="82"/>
      <c r="FD119" s="82"/>
      <c r="FE119" s="82"/>
      <c r="FF119" s="82"/>
      <c r="FG119" s="82"/>
      <c r="FH119" s="82"/>
      <c r="FI119" s="82"/>
      <c r="FJ119" s="82"/>
      <c r="FK119" s="82"/>
      <c r="FL119" s="82"/>
      <c r="FM119" s="82"/>
      <c r="FN119" s="82"/>
      <c r="FO119" s="82"/>
    </row>
    <row r="120" spans="1:171" x14ac:dyDescent="0.25">
      <c r="A120" s="116" t="s">
        <v>209</v>
      </c>
      <c r="B120" s="87">
        <f>SUM(B68:B119)</f>
        <v>4666461</v>
      </c>
      <c r="C120" s="87">
        <f>SUM(C68:C119)</f>
        <v>5333552</v>
      </c>
      <c r="D120" s="87">
        <f t="shared" ref="D120:E120" si="92">SUM(D68:D119)</f>
        <v>13262386</v>
      </c>
      <c r="E120" s="87">
        <f t="shared" si="92"/>
        <v>9615774</v>
      </c>
      <c r="G120" s="88">
        <f t="shared" ref="G120:BF120" si="93">SUM(G68:G119)</f>
        <v>287658</v>
      </c>
      <c r="H120" s="88">
        <f t="shared" si="93"/>
        <v>324981</v>
      </c>
      <c r="I120" s="88">
        <f t="shared" si="93"/>
        <v>349963</v>
      </c>
      <c r="J120" s="88">
        <f t="shared" si="93"/>
        <v>368694</v>
      </c>
      <c r="K120" s="88">
        <f t="shared" si="93"/>
        <v>279316</v>
      </c>
      <c r="L120" s="88">
        <f t="shared" si="93"/>
        <v>460740</v>
      </c>
      <c r="M120" s="88">
        <f t="shared" si="93"/>
        <v>278028</v>
      </c>
      <c r="N120" s="88">
        <f t="shared" si="93"/>
        <v>544722</v>
      </c>
      <c r="O120" s="88">
        <f t="shared" si="93"/>
        <v>362346</v>
      </c>
      <c r="P120" s="88">
        <f t="shared" si="93"/>
        <v>845197</v>
      </c>
      <c r="Q120" s="88">
        <f t="shared" si="93"/>
        <v>685022</v>
      </c>
      <c r="R120" s="88">
        <f t="shared" si="93"/>
        <v>546888</v>
      </c>
      <c r="S120" s="88">
        <f t="shared" si="93"/>
        <v>5333555</v>
      </c>
      <c r="T120" s="88">
        <f t="shared" si="93"/>
        <v>314933</v>
      </c>
      <c r="U120" s="88">
        <f t="shared" si="93"/>
        <v>1075182</v>
      </c>
      <c r="V120" s="88">
        <f t="shared" si="93"/>
        <v>1244207</v>
      </c>
      <c r="W120" s="88">
        <f t="shared" si="93"/>
        <v>1216931</v>
      </c>
      <c r="X120" s="88">
        <f t="shared" si="93"/>
        <v>573593</v>
      </c>
      <c r="Y120" s="88">
        <f t="shared" si="93"/>
        <v>2526077</v>
      </c>
      <c r="Z120" s="88">
        <f t="shared" si="93"/>
        <v>-163783</v>
      </c>
      <c r="AA120" s="88">
        <f t="shared" si="93"/>
        <v>726309</v>
      </c>
      <c r="AB120" s="88">
        <f t="shared" si="93"/>
        <v>3654007</v>
      </c>
      <c r="AC120" s="88">
        <f t="shared" si="93"/>
        <v>-370890</v>
      </c>
      <c r="AD120" s="88">
        <f t="shared" si="93"/>
        <v>-127492</v>
      </c>
      <c r="AE120" s="88">
        <f t="shared" si="93"/>
        <v>2593315</v>
      </c>
      <c r="AF120" s="88">
        <f t="shared" si="93"/>
        <v>13262389</v>
      </c>
      <c r="AG120" s="88">
        <f t="shared" si="93"/>
        <v>597200</v>
      </c>
      <c r="AH120" s="88">
        <f t="shared" si="93"/>
        <v>1189306</v>
      </c>
      <c r="AI120" s="88">
        <f t="shared" si="93"/>
        <v>558027</v>
      </c>
      <c r="AJ120" s="88">
        <f t="shared" si="93"/>
        <v>922051</v>
      </c>
      <c r="AK120" s="88">
        <f t="shared" si="93"/>
        <v>571651</v>
      </c>
      <c r="AL120" s="88">
        <f t="shared" si="93"/>
        <v>676223</v>
      </c>
      <c r="AM120" s="88">
        <f t="shared" si="93"/>
        <v>619169</v>
      </c>
      <c r="AN120" s="88">
        <f t="shared" si="93"/>
        <v>870353</v>
      </c>
      <c r="AO120" s="88">
        <f t="shared" si="93"/>
        <v>780685</v>
      </c>
      <c r="AP120" s="88">
        <f t="shared" si="93"/>
        <v>748010</v>
      </c>
      <c r="AQ120" s="88">
        <f t="shared" si="93"/>
        <v>713503</v>
      </c>
      <c r="AR120" s="88">
        <f t="shared" si="93"/>
        <v>1369598</v>
      </c>
      <c r="AS120" s="88">
        <f t="shared" si="93"/>
        <v>9615776</v>
      </c>
      <c r="AT120" s="88">
        <f t="shared" si="93"/>
        <v>912153</v>
      </c>
      <c r="AU120" s="88">
        <f t="shared" si="93"/>
        <v>1072971</v>
      </c>
      <c r="AV120" s="88">
        <f t="shared" si="93"/>
        <v>1295453</v>
      </c>
      <c r="AW120" s="88">
        <f t="shared" si="93"/>
        <v>1386448</v>
      </c>
      <c r="AX120" s="88">
        <f t="shared" si="93"/>
        <v>1564981</v>
      </c>
      <c r="AY120" s="88">
        <f t="shared" si="93"/>
        <v>1840042</v>
      </c>
      <c r="AZ120" s="88">
        <f t="shared" si="93"/>
        <v>2788472</v>
      </c>
      <c r="BA120" s="88">
        <f t="shared" si="93"/>
        <v>2289393</v>
      </c>
      <c r="BB120" s="88">
        <f t="shared" si="93"/>
        <v>1691492</v>
      </c>
      <c r="BC120" s="88">
        <f t="shared" si="93"/>
        <v>0</v>
      </c>
      <c r="BD120" s="88">
        <f t="shared" si="93"/>
        <v>0</v>
      </c>
      <c r="BE120" s="88">
        <f t="shared" si="93"/>
        <v>0</v>
      </c>
      <c r="BF120" s="88">
        <f t="shared" si="93"/>
        <v>14841405</v>
      </c>
      <c r="BG120" s="89"/>
      <c r="BH120" s="89"/>
      <c r="BI120" s="89"/>
      <c r="BJ120" s="89"/>
      <c r="BL120" s="88">
        <f t="shared" ref="BL120" si="94">SUM(BL68:BL119)</f>
        <v>251336</v>
      </c>
      <c r="BM120" s="89"/>
      <c r="BN120" s="89"/>
      <c r="BO120" s="89"/>
      <c r="BP120" s="116" t="s">
        <v>209</v>
      </c>
      <c r="BQ120" s="88">
        <f t="shared" ref="BQ120:CD120" si="95">SUM(BQ68:BQ119)</f>
        <v>7078680</v>
      </c>
      <c r="BR120" s="88">
        <f t="shared" si="95"/>
        <v>759071</v>
      </c>
      <c r="BS120" s="88">
        <f t="shared" si="95"/>
        <v>919889</v>
      </c>
      <c r="BT120" s="88">
        <f t="shared" si="95"/>
        <v>1142371</v>
      </c>
      <c r="BU120" s="88">
        <f t="shared" si="95"/>
        <v>1233366</v>
      </c>
      <c r="BV120" s="88">
        <f t="shared" si="95"/>
        <v>1411899</v>
      </c>
      <c r="BW120" s="88">
        <f t="shared" si="95"/>
        <v>1413445</v>
      </c>
      <c r="BX120" s="88">
        <f t="shared" si="95"/>
        <v>2589804</v>
      </c>
      <c r="BY120" s="88">
        <f t="shared" si="95"/>
        <v>2136311</v>
      </c>
      <c r="BZ120" s="88">
        <f t="shared" si="95"/>
        <v>1980197.1847800841</v>
      </c>
      <c r="CA120" s="88">
        <f t="shared" si="95"/>
        <v>1761252.3268372249</v>
      </c>
      <c r="CB120" s="88">
        <f t="shared" si="95"/>
        <v>1677302.7225231386</v>
      </c>
      <c r="CC120" s="88">
        <f t="shared" si="95"/>
        <v>1644050.3154493652</v>
      </c>
      <c r="CD120" s="88">
        <f t="shared" si="95"/>
        <v>18674088.549589809</v>
      </c>
      <c r="CF120" s="7">
        <v>16442231.399011476</v>
      </c>
      <c r="CG120" s="95">
        <f t="shared" si="62"/>
        <v>2231857.1505783331</v>
      </c>
      <c r="EE120" s="82"/>
      <c r="EF120" s="82"/>
      <c r="EG120" s="82"/>
      <c r="EH120" s="82"/>
      <c r="EI120" s="82"/>
      <c r="EJ120" s="82"/>
      <c r="EK120" s="82"/>
      <c r="EL120" s="82"/>
      <c r="EM120" s="82"/>
      <c r="EN120" s="82"/>
      <c r="EO120" s="82"/>
      <c r="EP120" s="82"/>
      <c r="EQ120" s="82"/>
      <c r="ER120" s="82"/>
      <c r="ES120" s="82"/>
      <c r="ET120" s="82"/>
      <c r="EU120" s="82"/>
      <c r="EV120" s="82"/>
      <c r="EW120" s="82"/>
      <c r="EX120" s="82"/>
      <c r="EY120" s="82"/>
      <c r="EZ120" s="82"/>
      <c r="FA120" s="82"/>
      <c r="FB120" s="82"/>
      <c r="FC120" s="82"/>
      <c r="FD120" s="82"/>
      <c r="FE120" s="82"/>
      <c r="FF120" s="82"/>
      <c r="FG120" s="82"/>
      <c r="FH120" s="82"/>
      <c r="FI120" s="82"/>
      <c r="FJ120" s="82"/>
      <c r="FK120" s="82"/>
      <c r="FL120" s="82"/>
      <c r="FM120" s="82"/>
      <c r="FN120" s="82"/>
      <c r="FO120" s="82"/>
    </row>
    <row r="121" spans="1:171" x14ac:dyDescent="0.25">
      <c r="A121" s="67"/>
      <c r="B121" s="82"/>
      <c r="C121" s="82"/>
      <c r="D121" s="82"/>
      <c r="E121" s="82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L121" s="69"/>
      <c r="BM121" s="69"/>
      <c r="BN121" s="69"/>
      <c r="BO121" s="69"/>
      <c r="BP121" s="69"/>
      <c r="BQ121" s="69"/>
      <c r="BR121" s="70"/>
      <c r="BS121" s="69"/>
      <c r="BT121" s="99"/>
      <c r="BU121" s="69"/>
      <c r="BV121" s="69"/>
      <c r="BW121" s="69"/>
      <c r="BX121" s="69"/>
      <c r="BY121" s="69"/>
      <c r="BZ121" s="69"/>
      <c r="CA121" s="69"/>
      <c r="CB121" s="69"/>
      <c r="CC121" s="69"/>
      <c r="CD121" s="69"/>
      <c r="CF121" s="7"/>
      <c r="CG121" s="95">
        <f t="shared" si="62"/>
        <v>0</v>
      </c>
      <c r="EE121" s="82"/>
      <c r="EF121" s="82"/>
      <c r="EG121" s="82"/>
      <c r="EH121" s="82"/>
      <c r="EI121" s="82"/>
      <c r="EJ121" s="82"/>
      <c r="EK121" s="82"/>
      <c r="EL121" s="82"/>
      <c r="EM121" s="82"/>
      <c r="EN121" s="82"/>
      <c r="EO121" s="82"/>
      <c r="EP121" s="82"/>
      <c r="EQ121" s="82"/>
      <c r="ER121" s="82"/>
      <c r="ES121" s="82"/>
      <c r="ET121" s="82"/>
      <c r="EU121" s="82"/>
      <c r="EV121" s="82"/>
      <c r="EW121" s="82"/>
      <c r="EX121" s="82"/>
      <c r="EY121" s="82"/>
      <c r="EZ121" s="82"/>
      <c r="FA121" s="82"/>
      <c r="FB121" s="82"/>
      <c r="FC121" s="82"/>
      <c r="FD121" s="82"/>
      <c r="FE121" s="82"/>
      <c r="FF121" s="82"/>
      <c r="FG121" s="82"/>
      <c r="FH121" s="82"/>
      <c r="FI121" s="82"/>
      <c r="FJ121" s="82"/>
      <c r="FK121" s="82"/>
      <c r="FL121" s="82"/>
      <c r="FM121" s="82"/>
      <c r="FN121" s="82"/>
      <c r="FO121" s="82"/>
    </row>
    <row r="122" spans="1:171" x14ac:dyDescent="0.25">
      <c r="A122" s="9" t="s">
        <v>210</v>
      </c>
      <c r="B122" s="82">
        <f>B63-B120</f>
        <v>-1878633</v>
      </c>
      <c r="C122" s="82">
        <f>C63-C120</f>
        <v>-1094840</v>
      </c>
      <c r="D122" s="82">
        <f>D63-D120</f>
        <v>-2707468</v>
      </c>
      <c r="E122" s="82">
        <f>E63-E120</f>
        <v>-1590416</v>
      </c>
      <c r="G122" s="82">
        <f t="shared" ref="G122:BF122" si="96">G63-G120</f>
        <v>230048</v>
      </c>
      <c r="H122" s="82">
        <f t="shared" si="96"/>
        <v>-299126</v>
      </c>
      <c r="I122" s="82">
        <f t="shared" si="96"/>
        <v>105967</v>
      </c>
      <c r="J122" s="82">
        <f t="shared" si="96"/>
        <v>51547</v>
      </c>
      <c r="K122" s="82">
        <f t="shared" si="96"/>
        <v>-153877</v>
      </c>
      <c r="L122" s="82">
        <f t="shared" si="96"/>
        <v>-280316</v>
      </c>
      <c r="M122" s="82">
        <f t="shared" si="96"/>
        <v>-191543</v>
      </c>
      <c r="N122" s="82">
        <f t="shared" si="96"/>
        <v>-12501</v>
      </c>
      <c r="O122" s="82">
        <f t="shared" si="96"/>
        <v>386541</v>
      </c>
      <c r="P122" s="82">
        <f t="shared" si="96"/>
        <v>-358974</v>
      </c>
      <c r="Q122" s="82">
        <f t="shared" si="96"/>
        <v>-256789</v>
      </c>
      <c r="R122" s="82">
        <f t="shared" si="96"/>
        <v>-315821</v>
      </c>
      <c r="S122" s="82">
        <f t="shared" si="96"/>
        <v>-1094844</v>
      </c>
      <c r="T122" s="82">
        <f t="shared" si="96"/>
        <v>589783</v>
      </c>
      <c r="U122" s="82">
        <f t="shared" si="96"/>
        <v>278320</v>
      </c>
      <c r="V122" s="82">
        <f t="shared" si="96"/>
        <v>-903015</v>
      </c>
      <c r="W122" s="82">
        <f t="shared" si="96"/>
        <v>615125</v>
      </c>
      <c r="X122" s="82">
        <f t="shared" si="96"/>
        <v>-478441</v>
      </c>
      <c r="Y122" s="82">
        <f t="shared" si="96"/>
        <v>-1274190</v>
      </c>
      <c r="Z122" s="82">
        <f t="shared" si="96"/>
        <v>983064</v>
      </c>
      <c r="AA122" s="82">
        <f t="shared" si="96"/>
        <v>221652</v>
      </c>
      <c r="AB122" s="82">
        <f t="shared" si="96"/>
        <v>-2968347</v>
      </c>
      <c r="AC122" s="82">
        <f t="shared" si="96"/>
        <v>1346840</v>
      </c>
      <c r="AD122" s="82">
        <f t="shared" si="96"/>
        <v>755114</v>
      </c>
      <c r="AE122" s="82">
        <f t="shared" si="96"/>
        <v>-1873376</v>
      </c>
      <c r="AF122" s="82">
        <f t="shared" si="96"/>
        <v>-2707471</v>
      </c>
      <c r="AG122" s="82">
        <f t="shared" si="96"/>
        <v>-209724</v>
      </c>
      <c r="AH122" s="82">
        <f t="shared" si="96"/>
        <v>-492461</v>
      </c>
      <c r="AI122" s="82">
        <f t="shared" si="96"/>
        <v>-87403</v>
      </c>
      <c r="AJ122" s="82">
        <f t="shared" si="96"/>
        <v>-449985</v>
      </c>
      <c r="AK122" s="82">
        <f t="shared" si="96"/>
        <v>-78395</v>
      </c>
      <c r="AL122" s="82">
        <f t="shared" si="96"/>
        <v>-118984</v>
      </c>
      <c r="AM122" s="82">
        <f t="shared" si="96"/>
        <v>464505</v>
      </c>
      <c r="AN122" s="82">
        <f t="shared" si="96"/>
        <v>-35158</v>
      </c>
      <c r="AO122" s="82">
        <f t="shared" si="96"/>
        <v>244506</v>
      </c>
      <c r="AP122" s="82">
        <f t="shared" si="96"/>
        <v>-200503</v>
      </c>
      <c r="AQ122" s="82">
        <f t="shared" si="96"/>
        <v>-153912</v>
      </c>
      <c r="AR122" s="82">
        <f t="shared" si="96"/>
        <v>-472904</v>
      </c>
      <c r="AS122" s="82">
        <f t="shared" si="96"/>
        <v>-1590418</v>
      </c>
      <c r="AT122" s="82">
        <f t="shared" si="96"/>
        <v>118851</v>
      </c>
      <c r="AU122" s="82">
        <f t="shared" si="96"/>
        <v>-319804</v>
      </c>
      <c r="AV122" s="82">
        <f t="shared" si="96"/>
        <v>-270484</v>
      </c>
      <c r="AW122" s="82">
        <f t="shared" si="96"/>
        <v>-247639</v>
      </c>
      <c r="AX122" s="82">
        <f t="shared" si="96"/>
        <v>-310178</v>
      </c>
      <c r="AY122" s="82">
        <f t="shared" si="96"/>
        <v>-831601</v>
      </c>
      <c r="AZ122" s="82">
        <f t="shared" si="96"/>
        <v>-798062</v>
      </c>
      <c r="BA122" s="82">
        <f t="shared" si="96"/>
        <v>-631436</v>
      </c>
      <c r="BB122" s="82">
        <f t="shared" si="96"/>
        <v>-1120713.6299999999</v>
      </c>
      <c r="BC122" s="82">
        <f t="shared" si="96"/>
        <v>0</v>
      </c>
      <c r="BD122" s="82">
        <f t="shared" si="96"/>
        <v>0</v>
      </c>
      <c r="BE122" s="82">
        <f t="shared" si="96"/>
        <v>0</v>
      </c>
      <c r="BF122" s="82">
        <f t="shared" si="96"/>
        <v>-4411066.629999999</v>
      </c>
      <c r="BG122" s="82"/>
      <c r="BH122" s="82"/>
      <c r="BI122" s="82"/>
      <c r="BJ122" s="82"/>
      <c r="BL122" s="82">
        <f>BL63-BL120</f>
        <v>47126.751999999979</v>
      </c>
      <c r="BM122" s="82"/>
      <c r="BN122" s="82"/>
      <c r="BO122" s="82"/>
      <c r="BP122" s="117" t="s">
        <v>211</v>
      </c>
      <c r="BQ122" s="82">
        <f>BQ65-BQ120</f>
        <v>939004</v>
      </c>
      <c r="BR122" s="82">
        <f t="shared" ref="BR122:CD122" si="97">BR65-BR120</f>
        <v>271934</v>
      </c>
      <c r="BS122" s="82">
        <f t="shared" si="97"/>
        <v>-166723</v>
      </c>
      <c r="BT122" s="82">
        <f t="shared" si="97"/>
        <v>-117401</v>
      </c>
      <c r="BU122" s="82">
        <f t="shared" si="97"/>
        <v>-94556</v>
      </c>
      <c r="BV122" s="82">
        <f t="shared" si="97"/>
        <v>-157097</v>
      </c>
      <c r="BW122" s="82">
        <f t="shared" si="97"/>
        <v>-405005.25</v>
      </c>
      <c r="BX122" s="82">
        <f t="shared" si="97"/>
        <v>-599393</v>
      </c>
      <c r="BY122" s="82">
        <f t="shared" si="97"/>
        <v>-464481.31938861287</v>
      </c>
      <c r="BZ122" s="82">
        <f t="shared" si="97"/>
        <v>-1024648.8558336028</v>
      </c>
      <c r="CA122" s="82">
        <f t="shared" si="97"/>
        <v>-96394.762960317312</v>
      </c>
      <c r="CB122" s="82">
        <f t="shared" si="97"/>
        <v>-78194.864205575781</v>
      </c>
      <c r="CC122" s="82">
        <f t="shared" si="97"/>
        <v>-127841.02580874623</v>
      </c>
      <c r="CD122" s="82">
        <f t="shared" si="97"/>
        <v>-3064932.0781968478</v>
      </c>
      <c r="CF122" s="7">
        <v>-194175.8275502827</v>
      </c>
      <c r="CG122" s="95">
        <f t="shared" si="62"/>
        <v>-2870756.2506465651</v>
      </c>
      <c r="EE122" s="82"/>
      <c r="EF122" s="82"/>
      <c r="EG122" s="82"/>
      <c r="EH122" s="82"/>
      <c r="EI122" s="82"/>
      <c r="EJ122" s="82"/>
      <c r="EK122" s="82"/>
      <c r="EL122" s="82"/>
      <c r="EM122" s="82"/>
      <c r="EN122" s="82"/>
      <c r="EO122" s="82"/>
      <c r="EP122" s="82"/>
      <c r="EQ122" s="82"/>
      <c r="ER122" s="82"/>
      <c r="ES122" s="82"/>
      <c r="ET122" s="82"/>
      <c r="EU122" s="82"/>
      <c r="EV122" s="82"/>
      <c r="EW122" s="82"/>
      <c r="EX122" s="82"/>
      <c r="EY122" s="82"/>
      <c r="EZ122" s="82"/>
      <c r="FA122" s="82"/>
      <c r="FB122" s="82"/>
      <c r="FC122" s="82"/>
      <c r="FD122" s="82"/>
      <c r="FE122" s="82"/>
      <c r="FF122" s="82"/>
      <c r="FG122" s="82"/>
      <c r="FH122" s="82"/>
      <c r="FI122" s="82"/>
      <c r="FJ122" s="82"/>
      <c r="FK122" s="82"/>
      <c r="FL122" s="82"/>
      <c r="FM122" s="82"/>
      <c r="FN122" s="82"/>
      <c r="FO122" s="82"/>
    </row>
    <row r="123" spans="1:171" x14ac:dyDescent="0.25">
      <c r="A123" s="67"/>
      <c r="B123" s="82"/>
      <c r="C123" s="82"/>
      <c r="D123" s="82"/>
      <c r="E123" s="82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L123" s="69"/>
      <c r="BM123" s="69"/>
      <c r="BN123" s="69"/>
      <c r="BO123" s="69"/>
      <c r="BP123" s="69"/>
      <c r="BQ123" s="118">
        <f t="shared" ref="BQ123:CD123" si="98">BQ122/(BQ50+BQ62)</f>
        <v>7.3414897797359172E-2</v>
      </c>
      <c r="BR123" s="118">
        <f t="shared" si="98"/>
        <v>0.16457707950033892</v>
      </c>
      <c r="BS123" s="118">
        <f t="shared" si="98"/>
        <v>-0.12912572182705892</v>
      </c>
      <c r="BT123" s="118">
        <f t="shared" si="98"/>
        <v>-6.2902142994534421E-2</v>
      </c>
      <c r="BU123" s="118">
        <f t="shared" si="98"/>
        <v>-5.043419728307337E-2</v>
      </c>
      <c r="BV123" s="118">
        <f t="shared" si="98"/>
        <v>-6.9180766939152788E-2</v>
      </c>
      <c r="BW123" s="118">
        <f t="shared" si="98"/>
        <v>-0.24631763707208756</v>
      </c>
      <c r="BX123" s="118">
        <f t="shared" si="98"/>
        <v>-0.16755167634698417</v>
      </c>
      <c r="BY123" s="118">
        <f t="shared" si="98"/>
        <v>-0.16140416477321468</v>
      </c>
      <c r="BZ123" s="118">
        <f t="shared" si="98"/>
        <v>-0.72759274685839248</v>
      </c>
      <c r="CA123" s="118">
        <f t="shared" si="98"/>
        <v>-3.5515168937969181E-2</v>
      </c>
      <c r="CB123" s="118">
        <f t="shared" si="98"/>
        <v>-2.9161449102268127E-2</v>
      </c>
      <c r="CC123" s="118">
        <f t="shared" si="98"/>
        <v>-5.105352602583705E-2</v>
      </c>
      <c r="CD123" s="118">
        <f t="shared" si="98"/>
        <v>-0.11625941914008933</v>
      </c>
      <c r="CF123" s="7">
        <v>-7.1199387015722987E-3</v>
      </c>
      <c r="CG123" s="95">
        <f t="shared" si="62"/>
        <v>-0.10913948043851704</v>
      </c>
      <c r="EE123" s="82"/>
      <c r="EF123" s="82"/>
      <c r="EG123" s="82"/>
      <c r="EH123" s="82"/>
      <c r="EI123" s="82"/>
      <c r="EJ123" s="82"/>
      <c r="EK123" s="82"/>
      <c r="EL123" s="82"/>
      <c r="EM123" s="82"/>
      <c r="EN123" s="82"/>
      <c r="EO123" s="82"/>
      <c r="EP123" s="82"/>
      <c r="EQ123" s="82"/>
      <c r="ER123" s="82"/>
      <c r="ES123" s="82"/>
      <c r="ET123" s="82"/>
      <c r="EU123" s="82"/>
      <c r="EV123" s="82"/>
      <c r="EW123" s="82"/>
      <c r="EX123" s="82"/>
      <c r="EY123" s="82"/>
      <c r="EZ123" s="82"/>
      <c r="FA123" s="82"/>
      <c r="FB123" s="82"/>
      <c r="FC123" s="82"/>
      <c r="FD123" s="82"/>
      <c r="FE123" s="82"/>
      <c r="FF123" s="82"/>
      <c r="FG123" s="82"/>
      <c r="FH123" s="82"/>
      <c r="FI123" s="82"/>
      <c r="FJ123" s="82"/>
      <c r="FK123" s="82"/>
      <c r="FL123" s="82"/>
      <c r="FM123" s="82"/>
      <c r="FN123" s="82"/>
      <c r="FO123" s="82"/>
    </row>
    <row r="124" spans="1:171" x14ac:dyDescent="0.25">
      <c r="A124" s="119" t="s">
        <v>212</v>
      </c>
      <c r="B124" s="82"/>
      <c r="C124" s="82"/>
      <c r="D124" s="82"/>
      <c r="E124" s="82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L124" s="69"/>
      <c r="BM124" s="69"/>
      <c r="BN124" s="69"/>
      <c r="BO124" s="69"/>
      <c r="BP124" s="119" t="s">
        <v>212</v>
      </c>
      <c r="BQ124" s="69"/>
      <c r="BR124" s="69"/>
      <c r="BS124" s="69"/>
      <c r="BT124" s="69"/>
      <c r="BU124" s="69"/>
      <c r="BV124" s="69"/>
      <c r="BW124" s="69"/>
      <c r="BX124" s="69"/>
      <c r="BY124" s="69"/>
      <c r="BZ124" s="69"/>
      <c r="CA124" s="69"/>
      <c r="CB124" s="69"/>
      <c r="CC124" s="69"/>
      <c r="CD124" s="69"/>
      <c r="CF124" s="7"/>
      <c r="CG124" s="95">
        <f t="shared" si="62"/>
        <v>0</v>
      </c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</row>
    <row r="125" spans="1:171" x14ac:dyDescent="0.25">
      <c r="A125" s="67" t="s">
        <v>213</v>
      </c>
      <c r="B125" s="82">
        <v>388234</v>
      </c>
      <c r="C125" s="82">
        <v>349884</v>
      </c>
      <c r="D125" s="82">
        <v>170841</v>
      </c>
      <c r="E125" s="82">
        <v>236365</v>
      </c>
      <c r="G125" s="69">
        <v>0</v>
      </c>
      <c r="H125" s="69">
        <v>0</v>
      </c>
      <c r="I125" s="69">
        <v>0</v>
      </c>
      <c r="J125" s="69">
        <v>0</v>
      </c>
      <c r="K125" s="69">
        <v>0</v>
      </c>
      <c r="L125" s="69">
        <v>0</v>
      </c>
      <c r="M125" s="69">
        <v>0</v>
      </c>
      <c r="N125" s="69">
        <v>0</v>
      </c>
      <c r="O125" s="69">
        <v>0</v>
      </c>
      <c r="P125" s="69">
        <v>0</v>
      </c>
      <c r="Q125" s="69">
        <v>0</v>
      </c>
      <c r="R125" s="69">
        <v>349884</v>
      </c>
      <c r="S125" s="69">
        <f t="shared" ref="S125:S149" si="99">SUM(G125:R125)</f>
        <v>349884</v>
      </c>
      <c r="T125" s="69">
        <v>0</v>
      </c>
      <c r="U125" s="69">
        <v>0</v>
      </c>
      <c r="V125" s="69">
        <v>57054</v>
      </c>
      <c r="W125" s="69">
        <v>19018</v>
      </c>
      <c r="X125" s="69">
        <v>19018</v>
      </c>
      <c r="Y125" s="69">
        <v>19018</v>
      </c>
      <c r="Z125" s="69">
        <v>19018</v>
      </c>
      <c r="AA125" s="69">
        <v>19018</v>
      </c>
      <c r="AB125" s="69">
        <v>19018</v>
      </c>
      <c r="AC125" s="69">
        <v>19018</v>
      </c>
      <c r="AD125" s="69">
        <v>19018</v>
      </c>
      <c r="AE125" s="69">
        <v>-38357</v>
      </c>
      <c r="AF125" s="69">
        <f>SUM(T125:AE125)</f>
        <v>170841</v>
      </c>
      <c r="AG125" s="69">
        <v>18182</v>
      </c>
      <c r="AH125" s="69">
        <v>18182</v>
      </c>
      <c r="AI125" s="69">
        <v>18182</v>
      </c>
      <c r="AJ125" s="69">
        <v>36364</v>
      </c>
      <c r="AK125" s="69">
        <v>18182</v>
      </c>
      <c r="AL125" s="69">
        <v>18182</v>
      </c>
      <c r="AM125" s="69">
        <v>18182</v>
      </c>
      <c r="AN125" s="69">
        <v>18182</v>
      </c>
      <c r="AO125" s="69">
        <v>18182</v>
      </c>
      <c r="AP125" s="69">
        <v>18182</v>
      </c>
      <c r="AQ125" s="69">
        <v>18182</v>
      </c>
      <c r="AR125" s="69">
        <v>18182</v>
      </c>
      <c r="AS125" s="69">
        <f>SUM(AG125:AR125)</f>
        <v>236366</v>
      </c>
      <c r="AT125" s="69">
        <v>18182</v>
      </c>
      <c r="AU125" s="70">
        <v>18182</v>
      </c>
      <c r="AV125" s="69">
        <v>18182</v>
      </c>
      <c r="AW125" s="69">
        <v>18182</v>
      </c>
      <c r="AX125" s="69">
        <v>18182</v>
      </c>
      <c r="AY125" s="69">
        <v>18182</v>
      </c>
      <c r="AZ125" s="69">
        <v>18182</v>
      </c>
      <c r="BA125" s="69">
        <v>18182</v>
      </c>
      <c r="BB125" s="69">
        <v>0</v>
      </c>
      <c r="BC125" s="69">
        <v>0</v>
      </c>
      <c r="BD125" s="69">
        <v>0</v>
      </c>
      <c r="BE125" s="69">
        <v>0</v>
      </c>
      <c r="BF125" s="69">
        <f>SUM(AT125:BE125)</f>
        <v>145456</v>
      </c>
      <c r="BG125" s="69"/>
      <c r="BH125" s="69"/>
      <c r="BI125" s="69"/>
      <c r="BJ125" s="69"/>
      <c r="BL125" s="69"/>
      <c r="BM125" s="69"/>
      <c r="BN125" s="69"/>
      <c r="BO125" s="69"/>
      <c r="BP125" s="67" t="s">
        <v>213</v>
      </c>
      <c r="BQ125" s="3"/>
      <c r="BR125" s="105"/>
      <c r="BS125" s="105"/>
      <c r="BT125" s="105"/>
      <c r="BU125" s="105"/>
      <c r="BV125" s="105"/>
      <c r="BW125" s="105"/>
      <c r="BX125" s="105"/>
      <c r="BY125" s="105"/>
      <c r="BZ125" s="105"/>
      <c r="CA125" s="105"/>
      <c r="CB125" s="105"/>
      <c r="CC125" s="105"/>
      <c r="CD125" s="105"/>
      <c r="CF125" s="7"/>
      <c r="CG125" s="95">
        <f t="shared" si="62"/>
        <v>0</v>
      </c>
      <c r="EE125" s="82"/>
      <c r="EF125" s="82"/>
      <c r="EG125" s="82"/>
      <c r="EH125" s="82"/>
      <c r="EI125" s="82"/>
      <c r="EJ125" s="82"/>
      <c r="EK125" s="82"/>
      <c r="EL125" s="82"/>
      <c r="EM125" s="82"/>
      <c r="EN125" s="82"/>
      <c r="EO125" s="82"/>
      <c r="EP125" s="82"/>
      <c r="EQ125" s="82"/>
      <c r="ER125" s="82"/>
      <c r="ES125" s="82"/>
      <c r="ET125" s="82"/>
      <c r="EU125" s="82"/>
      <c r="EV125" s="82"/>
      <c r="EW125" s="82"/>
      <c r="EX125" s="82"/>
      <c r="EY125" s="82"/>
      <c r="EZ125" s="82"/>
      <c r="FA125" s="82"/>
      <c r="FB125" s="82"/>
      <c r="FC125" s="82"/>
      <c r="FD125" s="82"/>
      <c r="FE125" s="82"/>
      <c r="FF125" s="82"/>
      <c r="FG125" s="82"/>
      <c r="FH125" s="82"/>
      <c r="FI125" s="82"/>
      <c r="FJ125" s="82"/>
      <c r="FK125" s="82"/>
      <c r="FL125" s="82"/>
      <c r="FM125" s="82"/>
      <c r="FN125" s="82"/>
      <c r="FO125" s="82"/>
    </row>
    <row r="126" spans="1:171" x14ac:dyDescent="0.25">
      <c r="A126" s="67" t="s">
        <v>214</v>
      </c>
      <c r="B126" s="82">
        <v>-4368</v>
      </c>
      <c r="C126" s="82">
        <v>11460</v>
      </c>
      <c r="D126" s="82">
        <v>1378</v>
      </c>
      <c r="E126" s="82">
        <v>0</v>
      </c>
      <c r="G126" s="69">
        <v>0</v>
      </c>
      <c r="H126" s="69">
        <v>0</v>
      </c>
      <c r="I126" s="69">
        <v>0</v>
      </c>
      <c r="J126" s="69">
        <v>0</v>
      </c>
      <c r="K126" s="69">
        <v>0</v>
      </c>
      <c r="L126" s="69">
        <v>11460</v>
      </c>
      <c r="M126" s="69">
        <v>0</v>
      </c>
      <c r="N126" s="69">
        <v>0</v>
      </c>
      <c r="O126" s="69">
        <v>0</v>
      </c>
      <c r="P126" s="69">
        <v>0</v>
      </c>
      <c r="Q126" s="69">
        <v>0</v>
      </c>
      <c r="R126" s="69">
        <v>0</v>
      </c>
      <c r="S126" s="69">
        <f t="shared" si="99"/>
        <v>11460</v>
      </c>
      <c r="T126" s="69">
        <v>0</v>
      </c>
      <c r="U126" s="69">
        <v>522</v>
      </c>
      <c r="V126" s="69">
        <v>856</v>
      </c>
      <c r="W126" s="69">
        <v>0</v>
      </c>
      <c r="X126" s="69">
        <v>0</v>
      </c>
      <c r="Y126" s="69">
        <v>0</v>
      </c>
      <c r="Z126" s="69">
        <v>0</v>
      </c>
      <c r="AA126" s="69">
        <v>0</v>
      </c>
      <c r="AB126" s="69">
        <v>0</v>
      </c>
      <c r="AC126" s="69">
        <v>0</v>
      </c>
      <c r="AD126" s="69">
        <v>0</v>
      </c>
      <c r="AE126" s="69">
        <v>0</v>
      </c>
      <c r="AF126" s="69">
        <f t="shared" ref="AF126:AF149" si="100">SUM(T126:AE126)</f>
        <v>1378</v>
      </c>
      <c r="AG126" s="69">
        <v>0</v>
      </c>
      <c r="AH126" s="69">
        <v>0</v>
      </c>
      <c r="AI126" s="69">
        <v>0</v>
      </c>
      <c r="AJ126" s="69">
        <v>0</v>
      </c>
      <c r="AK126" s="69">
        <v>0</v>
      </c>
      <c r="AL126" s="69">
        <v>0</v>
      </c>
      <c r="AM126" s="69">
        <v>0</v>
      </c>
      <c r="AN126" s="69">
        <v>0</v>
      </c>
      <c r="AO126" s="69">
        <v>0</v>
      </c>
      <c r="AP126" s="69">
        <v>0</v>
      </c>
      <c r="AQ126" s="69">
        <v>0</v>
      </c>
      <c r="AR126" s="69">
        <v>0</v>
      </c>
      <c r="AS126" s="69">
        <f t="shared" ref="AS126:AS149" si="101">SUM(AG126:AR126)</f>
        <v>0</v>
      </c>
      <c r="AT126" s="69">
        <v>0</v>
      </c>
      <c r="AU126" s="69">
        <v>0</v>
      </c>
      <c r="AV126" s="69">
        <v>0</v>
      </c>
      <c r="AW126" s="69">
        <v>0</v>
      </c>
      <c r="AX126" s="69">
        <v>0</v>
      </c>
      <c r="AY126" s="69">
        <v>0</v>
      </c>
      <c r="AZ126" s="69">
        <v>0</v>
      </c>
      <c r="BA126" s="69">
        <v>0</v>
      </c>
      <c r="BB126" s="69">
        <v>0</v>
      </c>
      <c r="BC126" s="69">
        <v>0</v>
      </c>
      <c r="BD126" s="69">
        <v>0</v>
      </c>
      <c r="BE126" s="69">
        <v>0</v>
      </c>
      <c r="BF126" s="69">
        <f t="shared" ref="BF126:BF149" si="102">SUM(AT126:BE126)</f>
        <v>0</v>
      </c>
      <c r="BG126" s="69"/>
      <c r="BH126" s="69"/>
      <c r="BI126" s="69"/>
      <c r="BJ126" s="69"/>
      <c r="BL126" s="69"/>
      <c r="BM126" s="69"/>
      <c r="BN126" s="69"/>
      <c r="BO126" s="69"/>
      <c r="BP126" s="67" t="s">
        <v>214</v>
      </c>
      <c r="BQ126" s="6">
        <f t="shared" ref="BQ126:BY149" si="103">AS126</f>
        <v>0</v>
      </c>
      <c r="BR126" s="69">
        <f t="shared" si="103"/>
        <v>0</v>
      </c>
      <c r="BS126" s="69">
        <f t="shared" si="103"/>
        <v>0</v>
      </c>
      <c r="BT126" s="69">
        <f t="shared" si="103"/>
        <v>0</v>
      </c>
      <c r="BU126" s="69">
        <f t="shared" si="103"/>
        <v>0</v>
      </c>
      <c r="BV126" s="69">
        <f t="shared" si="103"/>
        <v>0</v>
      </c>
      <c r="BW126" s="69">
        <f t="shared" si="103"/>
        <v>0</v>
      </c>
      <c r="BX126" s="69">
        <f t="shared" si="103"/>
        <v>0</v>
      </c>
      <c r="BY126" s="69">
        <f t="shared" si="103"/>
        <v>0</v>
      </c>
      <c r="BZ126" s="69">
        <f t="shared" ref="BZ126:CC131" si="104">$BT126</f>
        <v>0</v>
      </c>
      <c r="CA126" s="69">
        <f t="shared" si="104"/>
        <v>0</v>
      </c>
      <c r="CB126" s="69">
        <f t="shared" si="104"/>
        <v>0</v>
      </c>
      <c r="CC126" s="69">
        <f t="shared" si="104"/>
        <v>0</v>
      </c>
      <c r="CD126" s="69">
        <f t="shared" ref="CD126:CD149" si="105">SUM(BR126:CC126)</f>
        <v>0</v>
      </c>
      <c r="CF126" s="7">
        <v>0</v>
      </c>
      <c r="CG126" s="95">
        <f t="shared" si="62"/>
        <v>0</v>
      </c>
      <c r="EE126" s="82"/>
      <c r="EF126" s="82"/>
      <c r="EG126" s="82"/>
      <c r="EH126" s="82"/>
      <c r="EI126" s="82"/>
      <c r="EJ126" s="82"/>
      <c r="EK126" s="82"/>
      <c r="EL126" s="82"/>
      <c r="EM126" s="82"/>
      <c r="EN126" s="82"/>
      <c r="EO126" s="82"/>
      <c r="EP126" s="82"/>
      <c r="EQ126" s="82"/>
      <c r="ER126" s="82"/>
      <c r="ES126" s="82"/>
      <c r="ET126" s="82"/>
      <c r="EU126" s="82"/>
      <c r="EV126" s="82"/>
      <c r="EW126" s="82"/>
      <c r="EX126" s="82"/>
      <c r="EY126" s="82"/>
      <c r="EZ126" s="82"/>
      <c r="FA126" s="82"/>
      <c r="FB126" s="82"/>
      <c r="FC126" s="82"/>
      <c r="FD126" s="82"/>
      <c r="FE126" s="82"/>
      <c r="FF126" s="82"/>
      <c r="FG126" s="82"/>
      <c r="FH126" s="82"/>
      <c r="FI126" s="82"/>
      <c r="FJ126" s="82"/>
      <c r="FK126" s="82"/>
      <c r="FL126" s="82"/>
      <c r="FM126" s="82"/>
      <c r="FN126" s="82"/>
      <c r="FO126" s="82"/>
    </row>
    <row r="127" spans="1:171" x14ac:dyDescent="0.25">
      <c r="A127" s="67" t="s">
        <v>215</v>
      </c>
      <c r="B127" s="82">
        <v>6969</v>
      </c>
      <c r="C127" s="82">
        <v>-18912</v>
      </c>
      <c r="D127" s="82">
        <v>36679</v>
      </c>
      <c r="E127" s="82">
        <v>158176</v>
      </c>
      <c r="G127" s="69">
        <v>0</v>
      </c>
      <c r="H127" s="69">
        <v>-28551</v>
      </c>
      <c r="I127" s="69">
        <v>565</v>
      </c>
      <c r="J127" s="69">
        <v>150</v>
      </c>
      <c r="K127" s="69">
        <v>129</v>
      </c>
      <c r="L127" s="69">
        <v>495</v>
      </c>
      <c r="M127" s="69">
        <v>502</v>
      </c>
      <c r="N127" s="69">
        <v>791</v>
      </c>
      <c r="O127" s="69">
        <v>3580</v>
      </c>
      <c r="P127" s="69">
        <v>1499</v>
      </c>
      <c r="Q127" s="69">
        <v>955</v>
      </c>
      <c r="R127" s="69">
        <v>974</v>
      </c>
      <c r="S127" s="69">
        <f t="shared" si="99"/>
        <v>-18911</v>
      </c>
      <c r="T127" s="69">
        <v>966</v>
      </c>
      <c r="U127" s="69">
        <v>829</v>
      </c>
      <c r="V127" s="69">
        <v>796</v>
      </c>
      <c r="W127" s="69">
        <v>1925</v>
      </c>
      <c r="X127" s="69">
        <v>5379</v>
      </c>
      <c r="Y127" s="69">
        <v>3979</v>
      </c>
      <c r="Z127" s="69">
        <v>4369</v>
      </c>
      <c r="AA127" s="69">
        <v>4274</v>
      </c>
      <c r="AB127" s="69">
        <v>6854</v>
      </c>
      <c r="AC127" s="69">
        <v>3980</v>
      </c>
      <c r="AD127" s="69">
        <v>4724</v>
      </c>
      <c r="AE127" s="69">
        <v>-1395</v>
      </c>
      <c r="AF127" s="69">
        <f t="shared" si="100"/>
        <v>36680</v>
      </c>
      <c r="AG127" s="69">
        <v>6391</v>
      </c>
      <c r="AH127" s="69">
        <v>8071</v>
      </c>
      <c r="AI127" s="69">
        <v>14478</v>
      </c>
      <c r="AJ127" s="69">
        <v>8234</v>
      </c>
      <c r="AK127" s="69">
        <v>21832</v>
      </c>
      <c r="AL127" s="69">
        <v>14226</v>
      </c>
      <c r="AM127" s="69">
        <v>9167</v>
      </c>
      <c r="AN127" s="69">
        <v>16454</v>
      </c>
      <c r="AO127" s="69">
        <v>10075</v>
      </c>
      <c r="AP127" s="69">
        <v>21108</v>
      </c>
      <c r="AQ127" s="69">
        <v>12632</v>
      </c>
      <c r="AR127" s="69">
        <v>15508</v>
      </c>
      <c r="AS127" s="70">
        <f t="shared" si="101"/>
        <v>158176</v>
      </c>
      <c r="AT127" s="69">
        <v>13129</v>
      </c>
      <c r="AU127" s="69">
        <v>8498</v>
      </c>
      <c r="AV127" s="69">
        <v>9425</v>
      </c>
      <c r="AW127" s="69">
        <v>12402</v>
      </c>
      <c r="AX127" s="69">
        <v>9693</v>
      </c>
      <c r="AY127" s="69">
        <v>16971</v>
      </c>
      <c r="AZ127" s="69">
        <v>15099</v>
      </c>
      <c r="BA127" s="69">
        <v>29921</v>
      </c>
      <c r="BB127" s="69">
        <v>16297</v>
      </c>
      <c r="BC127" s="69">
        <v>0</v>
      </c>
      <c r="BD127" s="69">
        <v>0</v>
      </c>
      <c r="BE127" s="69">
        <v>0</v>
      </c>
      <c r="BF127" s="69">
        <f t="shared" si="102"/>
        <v>131435</v>
      </c>
      <c r="BG127" s="69"/>
      <c r="BH127" s="69"/>
      <c r="BI127" s="69"/>
      <c r="BJ127" s="69"/>
      <c r="BL127" s="69"/>
      <c r="BM127" s="69"/>
      <c r="BN127" s="69"/>
      <c r="BO127" s="69"/>
      <c r="BP127" s="67" t="s">
        <v>215</v>
      </c>
      <c r="BQ127" s="6">
        <f t="shared" si="103"/>
        <v>158176</v>
      </c>
      <c r="BR127" s="69">
        <f t="shared" si="103"/>
        <v>13129</v>
      </c>
      <c r="BS127" s="69">
        <f t="shared" si="103"/>
        <v>8498</v>
      </c>
      <c r="BT127" s="69">
        <f t="shared" si="103"/>
        <v>9425</v>
      </c>
      <c r="BU127" s="69">
        <f t="shared" si="103"/>
        <v>12402</v>
      </c>
      <c r="BV127" s="69">
        <f t="shared" si="103"/>
        <v>9693</v>
      </c>
      <c r="BW127" s="69">
        <f t="shared" si="103"/>
        <v>16971</v>
      </c>
      <c r="BX127" s="69">
        <f t="shared" si="103"/>
        <v>15099</v>
      </c>
      <c r="BY127" s="69">
        <f t="shared" si="103"/>
        <v>29921</v>
      </c>
      <c r="BZ127" s="120">
        <f>AVERAGE($BR$127:$BX$127)+10000</f>
        <v>22173.857142857145</v>
      </c>
      <c r="CA127" s="120">
        <f>AVERAGE($BR$127:$BX$127)+1000</f>
        <v>13173.857142857143</v>
      </c>
      <c r="CB127" s="120">
        <f>AVERAGE($BR$127:$BX$127)+1000</f>
        <v>13173.857142857143</v>
      </c>
      <c r="CC127" s="120">
        <f>AVERAGE($BR$127:$BX$127)+1000</f>
        <v>13173.857142857143</v>
      </c>
      <c r="CD127" s="69">
        <f t="shared" si="105"/>
        <v>176833.42857142855</v>
      </c>
      <c r="CF127" s="7">
        <v>142571.5</v>
      </c>
      <c r="CG127" s="95">
        <f t="shared" si="62"/>
        <v>34261.928571428551</v>
      </c>
      <c r="EE127" s="82"/>
      <c r="EF127" s="82"/>
      <c r="EG127" s="82"/>
      <c r="EH127" s="82"/>
      <c r="EI127" s="82"/>
      <c r="EJ127" s="82"/>
      <c r="EK127" s="82"/>
      <c r="EL127" s="82"/>
      <c r="EM127" s="82"/>
      <c r="EN127" s="82"/>
      <c r="EO127" s="82"/>
      <c r="EP127" s="82"/>
      <c r="EQ127" s="82"/>
      <c r="ER127" s="82"/>
      <c r="ES127" s="82"/>
      <c r="ET127" s="82"/>
      <c r="EU127" s="82"/>
      <c r="EV127" s="82"/>
      <c r="EW127" s="82"/>
      <c r="EX127" s="82"/>
      <c r="EY127" s="82"/>
      <c r="EZ127" s="82"/>
      <c r="FA127" s="82"/>
      <c r="FB127" s="82"/>
      <c r="FC127" s="82"/>
      <c r="FD127" s="82"/>
      <c r="FE127" s="82"/>
      <c r="FF127" s="82"/>
      <c r="FG127" s="82"/>
      <c r="FH127" s="82"/>
      <c r="FI127" s="82"/>
      <c r="FJ127" s="82"/>
      <c r="FK127" s="82"/>
      <c r="FL127" s="82"/>
      <c r="FM127" s="82"/>
      <c r="FN127" s="82"/>
      <c r="FO127" s="82"/>
    </row>
    <row r="128" spans="1:171" x14ac:dyDescent="0.25">
      <c r="A128" s="67" t="s">
        <v>216</v>
      </c>
      <c r="B128" s="82">
        <v>1908</v>
      </c>
      <c r="C128" s="82">
        <v>0</v>
      </c>
      <c r="D128" s="82">
        <v>122416</v>
      </c>
      <c r="E128" s="82">
        <v>-2130</v>
      </c>
      <c r="G128" s="69">
        <v>0</v>
      </c>
      <c r="H128" s="69">
        <v>0</v>
      </c>
      <c r="I128" s="69">
        <v>0</v>
      </c>
      <c r="J128" s="69">
        <v>0</v>
      </c>
      <c r="K128" s="69">
        <v>0</v>
      </c>
      <c r="L128" s="69">
        <v>0</v>
      </c>
      <c r="M128" s="69">
        <v>0</v>
      </c>
      <c r="N128" s="69">
        <v>0</v>
      </c>
      <c r="O128" s="69">
        <v>0</v>
      </c>
      <c r="P128" s="69">
        <v>0</v>
      </c>
      <c r="Q128" s="69">
        <v>0</v>
      </c>
      <c r="R128" s="69">
        <v>0</v>
      </c>
      <c r="S128" s="69">
        <f t="shared" si="99"/>
        <v>0</v>
      </c>
      <c r="T128" s="69">
        <v>77134</v>
      </c>
      <c r="U128" s="69">
        <v>0</v>
      </c>
      <c r="V128" s="69">
        <v>0</v>
      </c>
      <c r="W128" s="69">
        <v>0</v>
      </c>
      <c r="X128" s="69">
        <v>0</v>
      </c>
      <c r="Y128" s="69">
        <v>0</v>
      </c>
      <c r="Z128" s="69">
        <v>0</v>
      </c>
      <c r="AA128" s="69">
        <v>0</v>
      </c>
      <c r="AB128" s="69">
        <v>0</v>
      </c>
      <c r="AC128" s="69">
        <v>45283</v>
      </c>
      <c r="AD128" s="69">
        <v>0</v>
      </c>
      <c r="AE128" s="69">
        <v>0</v>
      </c>
      <c r="AF128" s="69">
        <f t="shared" si="100"/>
        <v>122417</v>
      </c>
      <c r="AG128" s="69">
        <v>0</v>
      </c>
      <c r="AH128" s="69">
        <v>0</v>
      </c>
      <c r="AI128" s="69">
        <v>0</v>
      </c>
      <c r="AJ128" s="69">
        <v>0</v>
      </c>
      <c r="AK128" s="69">
        <v>0</v>
      </c>
      <c r="AL128" s="69">
        <v>0</v>
      </c>
      <c r="AM128" s="69">
        <v>-2130</v>
      </c>
      <c r="AN128" s="69">
        <v>0</v>
      </c>
      <c r="AO128" s="69">
        <v>0</v>
      </c>
      <c r="AP128" s="69">
        <v>0</v>
      </c>
      <c r="AQ128" s="69">
        <v>0</v>
      </c>
      <c r="AR128" s="69">
        <v>0</v>
      </c>
      <c r="AS128" s="70">
        <f t="shared" si="101"/>
        <v>-2130</v>
      </c>
      <c r="AT128" s="69">
        <v>0</v>
      </c>
      <c r="AU128" s="69">
        <v>0</v>
      </c>
      <c r="AV128" s="69">
        <v>0</v>
      </c>
      <c r="AW128" s="69">
        <v>0</v>
      </c>
      <c r="AX128" s="69">
        <v>0</v>
      </c>
      <c r="AY128" s="69">
        <v>0</v>
      </c>
      <c r="AZ128" s="69">
        <v>0</v>
      </c>
      <c r="BA128" s="69">
        <v>0</v>
      </c>
      <c r="BB128" s="69">
        <v>0</v>
      </c>
      <c r="BC128" s="69">
        <v>0</v>
      </c>
      <c r="BD128" s="69">
        <v>0</v>
      </c>
      <c r="BE128" s="69">
        <v>0</v>
      </c>
      <c r="BF128" s="69">
        <f t="shared" si="102"/>
        <v>0</v>
      </c>
      <c r="BG128" s="69"/>
      <c r="BH128" s="69"/>
      <c r="BI128" s="69"/>
      <c r="BJ128" s="69"/>
      <c r="BL128" s="69"/>
      <c r="BM128" s="69"/>
      <c r="BN128" s="69"/>
      <c r="BO128" s="69"/>
      <c r="BP128" s="67" t="s">
        <v>216</v>
      </c>
      <c r="BQ128" s="6">
        <f t="shared" si="103"/>
        <v>-2130</v>
      </c>
      <c r="BR128" s="69">
        <f t="shared" si="103"/>
        <v>0</v>
      </c>
      <c r="BS128" s="69">
        <f t="shared" si="103"/>
        <v>0</v>
      </c>
      <c r="BT128" s="69">
        <f t="shared" si="103"/>
        <v>0</v>
      </c>
      <c r="BU128" s="69">
        <f t="shared" si="103"/>
        <v>0</v>
      </c>
      <c r="BV128" s="69">
        <f t="shared" si="103"/>
        <v>0</v>
      </c>
      <c r="BW128" s="69">
        <f t="shared" si="103"/>
        <v>0</v>
      </c>
      <c r="BX128" s="69">
        <f t="shared" si="103"/>
        <v>0</v>
      </c>
      <c r="BY128" s="69">
        <f t="shared" si="103"/>
        <v>0</v>
      </c>
      <c r="BZ128" s="69">
        <f t="shared" si="104"/>
        <v>0</v>
      </c>
      <c r="CA128" s="69">
        <f t="shared" si="104"/>
        <v>0</v>
      </c>
      <c r="CB128" s="69">
        <f t="shared" si="104"/>
        <v>0</v>
      </c>
      <c r="CC128" s="69">
        <f t="shared" si="104"/>
        <v>0</v>
      </c>
      <c r="CD128" s="69">
        <f t="shared" si="105"/>
        <v>0</v>
      </c>
      <c r="CF128" s="7">
        <v>0</v>
      </c>
      <c r="CG128" s="95">
        <f t="shared" si="62"/>
        <v>0</v>
      </c>
      <c r="EE128" s="82"/>
      <c r="EF128" s="82"/>
      <c r="EG128" s="82"/>
      <c r="EH128" s="82"/>
      <c r="EI128" s="82"/>
      <c r="EJ128" s="82"/>
      <c r="EK128" s="82"/>
      <c r="EL128" s="82"/>
      <c r="EM128" s="82"/>
      <c r="EN128" s="82"/>
      <c r="EO128" s="82"/>
      <c r="EP128" s="82"/>
      <c r="EQ128" s="82"/>
      <c r="ER128" s="82"/>
      <c r="ES128" s="82"/>
      <c r="ET128" s="82"/>
      <c r="EU128" s="82"/>
      <c r="EV128" s="82"/>
      <c r="EW128" s="82"/>
      <c r="EX128" s="82"/>
      <c r="EY128" s="82"/>
      <c r="EZ128" s="82"/>
      <c r="FA128" s="82"/>
      <c r="FB128" s="82"/>
      <c r="FC128" s="82"/>
      <c r="FD128" s="82"/>
      <c r="FE128" s="82"/>
      <c r="FF128" s="82"/>
      <c r="FG128" s="82"/>
      <c r="FH128" s="82"/>
      <c r="FI128" s="82"/>
      <c r="FJ128" s="82"/>
      <c r="FK128" s="82"/>
      <c r="FL128" s="82"/>
      <c r="FM128" s="82"/>
      <c r="FN128" s="82"/>
      <c r="FO128" s="82"/>
    </row>
    <row r="129" spans="1:171" x14ac:dyDescent="0.25">
      <c r="A129" s="67" t="s">
        <v>217</v>
      </c>
      <c r="B129" s="82">
        <v>2580</v>
      </c>
      <c r="C129" s="82">
        <v>39587</v>
      </c>
      <c r="D129" s="82">
        <v>266129</v>
      </c>
      <c r="E129" s="82">
        <v>643692</v>
      </c>
      <c r="G129" s="69">
        <v>0</v>
      </c>
      <c r="H129" s="69">
        <v>0</v>
      </c>
      <c r="I129" s="69">
        <v>23012</v>
      </c>
      <c r="J129" s="69">
        <v>0</v>
      </c>
      <c r="K129" s="69">
        <v>0</v>
      </c>
      <c r="L129" s="69">
        <v>0</v>
      </c>
      <c r="M129" s="69">
        <v>0</v>
      </c>
      <c r="N129" s="69">
        <v>0</v>
      </c>
      <c r="O129" s="69">
        <v>75</v>
      </c>
      <c r="P129" s="69">
        <v>12000</v>
      </c>
      <c r="Q129" s="69">
        <v>22155</v>
      </c>
      <c r="R129" s="69">
        <v>-17655</v>
      </c>
      <c r="S129" s="69">
        <f t="shared" si="99"/>
        <v>39587</v>
      </c>
      <c r="T129" s="69">
        <v>31126</v>
      </c>
      <c r="U129" s="69">
        <v>6159</v>
      </c>
      <c r="V129" s="69">
        <v>8540</v>
      </c>
      <c r="W129" s="69">
        <v>18691</v>
      </c>
      <c r="X129" s="69">
        <v>7430</v>
      </c>
      <c r="Y129" s="69">
        <v>19629</v>
      </c>
      <c r="Z129" s="69">
        <v>164211</v>
      </c>
      <c r="AA129" s="69">
        <v>10194</v>
      </c>
      <c r="AB129" s="69">
        <v>0</v>
      </c>
      <c r="AC129" s="69">
        <v>150</v>
      </c>
      <c r="AD129" s="69">
        <v>0</v>
      </c>
      <c r="AE129" s="69">
        <v>0</v>
      </c>
      <c r="AF129" s="69">
        <f t="shared" si="100"/>
        <v>266130</v>
      </c>
      <c r="AG129" s="69">
        <v>0</v>
      </c>
      <c r="AH129" s="69">
        <v>0</v>
      </c>
      <c r="AI129" s="69">
        <v>0</v>
      </c>
      <c r="AJ129" s="69">
        <v>126</v>
      </c>
      <c r="AK129" s="69">
        <v>0</v>
      </c>
      <c r="AL129" s="69">
        <v>30235</v>
      </c>
      <c r="AM129" s="69">
        <v>241173</v>
      </c>
      <c r="AN129" s="69">
        <v>0</v>
      </c>
      <c r="AO129" s="69">
        <v>0</v>
      </c>
      <c r="AP129" s="69">
        <v>383500</v>
      </c>
      <c r="AQ129" s="69">
        <v>515</v>
      </c>
      <c r="AR129" s="69">
        <v>-11858</v>
      </c>
      <c r="AS129" s="70">
        <f t="shared" si="101"/>
        <v>643691</v>
      </c>
      <c r="AT129" s="69">
        <v>0</v>
      </c>
      <c r="AU129" s="69">
        <v>506</v>
      </c>
      <c r="AV129" s="69">
        <v>0</v>
      </c>
      <c r="AW129" s="69">
        <v>206</v>
      </c>
      <c r="AX129" s="69">
        <v>0</v>
      </c>
      <c r="AY129" s="69">
        <v>12503</v>
      </c>
      <c r="AZ129" s="69">
        <v>247515</v>
      </c>
      <c r="BA129" s="69">
        <v>12503</v>
      </c>
      <c r="BB129" s="69">
        <v>0</v>
      </c>
      <c r="BC129" s="69">
        <v>0</v>
      </c>
      <c r="BD129" s="69">
        <v>0</v>
      </c>
      <c r="BE129" s="69">
        <v>0</v>
      </c>
      <c r="BF129" s="69">
        <f t="shared" si="102"/>
        <v>273233</v>
      </c>
      <c r="BG129" s="69"/>
      <c r="BH129" s="69"/>
      <c r="BI129" s="69"/>
      <c r="BJ129" s="69"/>
      <c r="BL129" s="69"/>
      <c r="BM129" s="69"/>
      <c r="BN129" s="69"/>
      <c r="BO129" s="69"/>
      <c r="BP129" s="67" t="s">
        <v>217</v>
      </c>
      <c r="BQ129" s="6">
        <f t="shared" si="103"/>
        <v>643691</v>
      </c>
      <c r="BR129" s="69">
        <f t="shared" si="103"/>
        <v>0</v>
      </c>
      <c r="BS129" s="69">
        <f t="shared" si="103"/>
        <v>506</v>
      </c>
      <c r="BT129" s="69">
        <f t="shared" si="103"/>
        <v>0</v>
      </c>
      <c r="BU129" s="69">
        <f t="shared" si="103"/>
        <v>206</v>
      </c>
      <c r="BV129" s="69">
        <f t="shared" si="103"/>
        <v>0</v>
      </c>
      <c r="BW129" s="69">
        <f t="shared" si="103"/>
        <v>12503</v>
      </c>
      <c r="BX129" s="69">
        <f t="shared" si="103"/>
        <v>247515</v>
      </c>
      <c r="BY129" s="69">
        <f t="shared" si="103"/>
        <v>12503</v>
      </c>
      <c r="BZ129" s="120">
        <v>21000</v>
      </c>
      <c r="CA129" s="71">
        <f>21000</f>
        <v>21000</v>
      </c>
      <c r="CB129" s="120">
        <v>21000</v>
      </c>
      <c r="CC129" s="120">
        <v>21000</v>
      </c>
      <c r="CD129" s="69">
        <f t="shared" si="105"/>
        <v>357233</v>
      </c>
      <c r="CF129" s="7">
        <v>172120</v>
      </c>
      <c r="CG129" s="95">
        <f t="shared" si="62"/>
        <v>185113</v>
      </c>
      <c r="CH129" s="1" t="s">
        <v>218</v>
      </c>
      <c r="EE129" s="82"/>
      <c r="EF129" s="82"/>
      <c r="EG129" s="82"/>
      <c r="EH129" s="82"/>
      <c r="EI129" s="82"/>
      <c r="EJ129" s="82"/>
      <c r="EK129" s="82"/>
      <c r="EL129" s="82"/>
      <c r="EM129" s="82"/>
      <c r="EN129" s="82"/>
      <c r="EO129" s="82"/>
      <c r="EP129" s="82"/>
      <c r="EQ129" s="82"/>
      <c r="ER129" s="82"/>
      <c r="ES129" s="82"/>
      <c r="ET129" s="82"/>
      <c r="EU129" s="82"/>
      <c r="EV129" s="82"/>
      <c r="EW129" s="82"/>
      <c r="EX129" s="82"/>
      <c r="EY129" s="82"/>
      <c r="EZ129" s="82"/>
      <c r="FA129" s="82"/>
      <c r="FB129" s="82"/>
      <c r="FC129" s="82"/>
      <c r="FD129" s="82"/>
      <c r="FE129" s="82"/>
      <c r="FF129" s="82"/>
      <c r="FG129" s="82"/>
      <c r="FH129" s="82"/>
      <c r="FI129" s="82"/>
      <c r="FJ129" s="82"/>
      <c r="FK129" s="82"/>
      <c r="FL129" s="82"/>
      <c r="FM129" s="82"/>
      <c r="FN129" s="82"/>
      <c r="FO129" s="82"/>
    </row>
    <row r="130" spans="1:171" x14ac:dyDescent="0.25">
      <c r="A130" s="67" t="s">
        <v>219</v>
      </c>
      <c r="B130" s="82">
        <v>113873</v>
      </c>
      <c r="C130" s="82">
        <v>110621</v>
      </c>
      <c r="D130" s="82">
        <v>287424</v>
      </c>
      <c r="E130" s="82">
        <v>100616</v>
      </c>
      <c r="G130" s="69">
        <v>9631</v>
      </c>
      <c r="H130" s="69">
        <v>7245</v>
      </c>
      <c r="I130" s="69">
        <v>6973</v>
      </c>
      <c r="J130" s="69">
        <v>17076</v>
      </c>
      <c r="K130" s="69">
        <v>9794</v>
      </c>
      <c r="L130" s="69">
        <v>10797</v>
      </c>
      <c r="M130" s="69">
        <v>5855</v>
      </c>
      <c r="N130" s="69">
        <v>7408</v>
      </c>
      <c r="O130" s="69">
        <v>11076</v>
      </c>
      <c r="P130" s="69">
        <v>8475</v>
      </c>
      <c r="Q130" s="69">
        <v>7530</v>
      </c>
      <c r="R130" s="69">
        <v>8761</v>
      </c>
      <c r="S130" s="69">
        <f t="shared" si="99"/>
        <v>110621</v>
      </c>
      <c r="T130" s="69">
        <v>13534</v>
      </c>
      <c r="U130" s="69">
        <v>8540</v>
      </c>
      <c r="V130" s="69">
        <v>10263</v>
      </c>
      <c r="W130" s="69">
        <v>14720</v>
      </c>
      <c r="X130" s="69">
        <v>9784</v>
      </c>
      <c r="Y130" s="69">
        <v>10129</v>
      </c>
      <c r="Z130" s="69">
        <v>10868</v>
      </c>
      <c r="AA130" s="69">
        <v>11303</v>
      </c>
      <c r="AB130" s="69">
        <v>16046</v>
      </c>
      <c r="AC130" s="69">
        <v>11692</v>
      </c>
      <c r="AD130" s="69">
        <v>10108</v>
      </c>
      <c r="AE130" s="69">
        <v>160436</v>
      </c>
      <c r="AF130" s="69">
        <f t="shared" si="100"/>
        <v>287423</v>
      </c>
      <c r="AG130" s="69">
        <v>9305</v>
      </c>
      <c r="AH130" s="69">
        <v>10515</v>
      </c>
      <c r="AI130" s="69">
        <v>15603</v>
      </c>
      <c r="AJ130" s="69">
        <v>7019</v>
      </c>
      <c r="AK130" s="69">
        <v>6276</v>
      </c>
      <c r="AL130" s="69">
        <v>9076</v>
      </c>
      <c r="AM130" s="69">
        <v>11565</v>
      </c>
      <c r="AN130" s="69">
        <v>5771</v>
      </c>
      <c r="AO130" s="69">
        <v>3174</v>
      </c>
      <c r="AP130" s="69">
        <v>6876</v>
      </c>
      <c r="AQ130" s="69">
        <v>10776</v>
      </c>
      <c r="AR130" s="69">
        <v>4660</v>
      </c>
      <c r="AS130" s="70">
        <f t="shared" si="101"/>
        <v>100616</v>
      </c>
      <c r="AT130" s="69">
        <v>4759</v>
      </c>
      <c r="AU130" s="69">
        <v>4839</v>
      </c>
      <c r="AV130" s="69">
        <v>5827</v>
      </c>
      <c r="AW130" s="69">
        <v>6220</v>
      </c>
      <c r="AX130" s="69">
        <v>4394</v>
      </c>
      <c r="AY130" s="69">
        <v>7027</v>
      </c>
      <c r="AZ130" s="69">
        <v>2006</v>
      </c>
      <c r="BA130" s="69">
        <v>6251</v>
      </c>
      <c r="BB130" s="69">
        <v>6567</v>
      </c>
      <c r="BC130" s="69">
        <v>0</v>
      </c>
      <c r="BD130" s="69">
        <v>0</v>
      </c>
      <c r="BE130" s="69">
        <v>0</v>
      </c>
      <c r="BF130" s="73">
        <f t="shared" si="102"/>
        <v>47890</v>
      </c>
      <c r="BG130" s="99">
        <f>AVERAGE(AT130:AX130)</f>
        <v>5207.8</v>
      </c>
      <c r="BH130" s="69"/>
      <c r="BI130" s="69"/>
      <c r="BJ130" s="69"/>
      <c r="BL130" s="69"/>
      <c r="BM130" s="69"/>
      <c r="BN130" s="69"/>
      <c r="BO130" s="69"/>
      <c r="BP130" s="67" t="s">
        <v>219</v>
      </c>
      <c r="BQ130" s="6">
        <f t="shared" si="103"/>
        <v>100616</v>
      </c>
      <c r="BR130" s="69">
        <f t="shared" si="103"/>
        <v>4759</v>
      </c>
      <c r="BS130" s="69">
        <f t="shared" si="103"/>
        <v>4839</v>
      </c>
      <c r="BT130" s="69">
        <f t="shared" si="103"/>
        <v>5827</v>
      </c>
      <c r="BU130" s="69">
        <f t="shared" si="103"/>
        <v>6220</v>
      </c>
      <c r="BV130" s="69">
        <f t="shared" si="103"/>
        <v>4394</v>
      </c>
      <c r="BW130" s="69">
        <f t="shared" si="103"/>
        <v>7027</v>
      </c>
      <c r="BX130" s="69">
        <f t="shared" si="103"/>
        <v>2006</v>
      </c>
      <c r="BY130" s="69">
        <f t="shared" si="103"/>
        <v>6251</v>
      </c>
      <c r="BZ130" s="69">
        <f t="shared" ref="BZ130" si="106">$AS$130/12</f>
        <v>8384.6666666666661</v>
      </c>
      <c r="CA130" s="69">
        <f>($AS$130/12)+3500</f>
        <v>11884.666666666666</v>
      </c>
      <c r="CB130" s="69">
        <f>($AS$130/12)+3500</f>
        <v>11884.666666666666</v>
      </c>
      <c r="CC130" s="69">
        <f>($AS$130/12)+3500</f>
        <v>11884.666666666666</v>
      </c>
      <c r="CD130" s="69">
        <f t="shared" si="105"/>
        <v>85361.666666666672</v>
      </c>
      <c r="CF130" s="7">
        <v>78724.916666666672</v>
      </c>
      <c r="CG130" s="95">
        <f t="shared" si="62"/>
        <v>6636.75</v>
      </c>
      <c r="EE130" s="82"/>
      <c r="EF130" s="82"/>
      <c r="EG130" s="82"/>
      <c r="EH130" s="82"/>
      <c r="EI130" s="82"/>
      <c r="EJ130" s="82"/>
      <c r="EK130" s="82"/>
      <c r="EL130" s="82"/>
      <c r="EM130" s="82"/>
      <c r="EN130" s="82"/>
      <c r="EO130" s="82"/>
      <c r="EP130" s="82"/>
      <c r="EQ130" s="82"/>
      <c r="ER130" s="82"/>
      <c r="ES130" s="82"/>
      <c r="ET130" s="82"/>
      <c r="EU130" s="82"/>
      <c r="EV130" s="82"/>
      <c r="EW130" s="82"/>
      <c r="EX130" s="82"/>
      <c r="EY130" s="82"/>
      <c r="EZ130" s="82"/>
      <c r="FA130" s="82"/>
      <c r="FB130" s="82"/>
      <c r="FC130" s="82"/>
      <c r="FD130" s="82"/>
      <c r="FE130" s="82"/>
      <c r="FF130" s="82"/>
      <c r="FG130" s="82"/>
      <c r="FH130" s="82"/>
      <c r="FI130" s="82"/>
      <c r="FJ130" s="82"/>
      <c r="FK130" s="82"/>
      <c r="FL130" s="82"/>
      <c r="FM130" s="82"/>
      <c r="FN130" s="82"/>
      <c r="FO130" s="82"/>
    </row>
    <row r="131" spans="1:171" x14ac:dyDescent="0.25">
      <c r="A131" s="67" t="s">
        <v>220</v>
      </c>
      <c r="B131" s="82">
        <v>-673</v>
      </c>
      <c r="C131" s="82">
        <v>0</v>
      </c>
      <c r="D131" s="82">
        <v>0</v>
      </c>
      <c r="E131" s="82">
        <v>0</v>
      </c>
      <c r="G131" s="69">
        <v>0</v>
      </c>
      <c r="H131" s="69">
        <v>0</v>
      </c>
      <c r="I131" s="69">
        <v>0</v>
      </c>
      <c r="J131" s="69">
        <v>0</v>
      </c>
      <c r="K131" s="69">
        <v>0</v>
      </c>
      <c r="L131" s="69">
        <v>0</v>
      </c>
      <c r="M131" s="69">
        <v>0</v>
      </c>
      <c r="N131" s="69">
        <v>0</v>
      </c>
      <c r="O131" s="69">
        <v>0</v>
      </c>
      <c r="P131" s="69">
        <v>0</v>
      </c>
      <c r="Q131" s="69">
        <v>0</v>
      </c>
      <c r="R131" s="69">
        <v>0</v>
      </c>
      <c r="S131" s="69">
        <f t="shared" si="99"/>
        <v>0</v>
      </c>
      <c r="T131" s="69">
        <v>0</v>
      </c>
      <c r="U131" s="69">
        <v>0</v>
      </c>
      <c r="V131" s="69">
        <v>0</v>
      </c>
      <c r="W131" s="69">
        <v>0</v>
      </c>
      <c r="X131" s="69">
        <v>0</v>
      </c>
      <c r="Y131" s="69">
        <v>0</v>
      </c>
      <c r="Z131" s="69">
        <v>0</v>
      </c>
      <c r="AA131" s="69">
        <v>0</v>
      </c>
      <c r="AB131" s="69">
        <v>0</v>
      </c>
      <c r="AC131" s="69">
        <v>0</v>
      </c>
      <c r="AD131" s="69">
        <v>0</v>
      </c>
      <c r="AE131" s="69">
        <v>0</v>
      </c>
      <c r="AF131" s="69">
        <f t="shared" si="100"/>
        <v>0</v>
      </c>
      <c r="AG131" s="69">
        <v>0</v>
      </c>
      <c r="AH131" s="69">
        <v>0</v>
      </c>
      <c r="AI131" s="69">
        <v>0</v>
      </c>
      <c r="AJ131" s="69">
        <v>0</v>
      </c>
      <c r="AK131" s="69">
        <v>0</v>
      </c>
      <c r="AL131" s="69">
        <v>0</v>
      </c>
      <c r="AM131" s="69">
        <v>0</v>
      </c>
      <c r="AN131" s="69">
        <v>0</v>
      </c>
      <c r="AO131" s="69">
        <v>0</v>
      </c>
      <c r="AP131" s="69">
        <v>0</v>
      </c>
      <c r="AQ131" s="69">
        <v>0</v>
      </c>
      <c r="AR131" s="69">
        <v>0</v>
      </c>
      <c r="AS131" s="69">
        <f t="shared" si="101"/>
        <v>0</v>
      </c>
      <c r="AT131" s="69">
        <v>0</v>
      </c>
      <c r="AU131" s="69">
        <v>0</v>
      </c>
      <c r="AV131" s="69">
        <v>0</v>
      </c>
      <c r="AW131" s="69">
        <v>0</v>
      </c>
      <c r="AX131" s="69">
        <v>0</v>
      </c>
      <c r="AY131" s="69">
        <v>0</v>
      </c>
      <c r="AZ131" s="69">
        <v>0</v>
      </c>
      <c r="BA131" s="69">
        <v>0</v>
      </c>
      <c r="BB131" s="69">
        <v>0</v>
      </c>
      <c r="BC131" s="69">
        <v>0</v>
      </c>
      <c r="BD131" s="69">
        <v>0</v>
      </c>
      <c r="BE131" s="69">
        <v>0</v>
      </c>
      <c r="BF131" s="69">
        <f t="shared" si="102"/>
        <v>0</v>
      </c>
      <c r="BG131" s="69"/>
      <c r="BH131" s="69"/>
      <c r="BI131" s="69"/>
      <c r="BJ131" s="69"/>
      <c r="BL131" s="69"/>
      <c r="BM131" s="69"/>
      <c r="BN131" s="69"/>
      <c r="BO131" s="69"/>
      <c r="BP131" s="67" t="s">
        <v>220</v>
      </c>
      <c r="BQ131" s="6">
        <f t="shared" si="103"/>
        <v>0</v>
      </c>
      <c r="BR131" s="69">
        <f t="shared" si="103"/>
        <v>0</v>
      </c>
      <c r="BS131" s="69">
        <f t="shared" si="103"/>
        <v>0</v>
      </c>
      <c r="BT131" s="69">
        <f t="shared" si="103"/>
        <v>0</v>
      </c>
      <c r="BU131" s="69">
        <f t="shared" si="103"/>
        <v>0</v>
      </c>
      <c r="BV131" s="69">
        <f t="shared" si="103"/>
        <v>0</v>
      </c>
      <c r="BW131" s="69">
        <f t="shared" si="103"/>
        <v>0</v>
      </c>
      <c r="BX131" s="69">
        <f t="shared" si="103"/>
        <v>0</v>
      </c>
      <c r="BY131" s="69">
        <f t="shared" si="103"/>
        <v>0</v>
      </c>
      <c r="BZ131" s="69">
        <f t="shared" si="104"/>
        <v>0</v>
      </c>
      <c r="CA131" s="69">
        <f t="shared" si="104"/>
        <v>0</v>
      </c>
      <c r="CB131" s="69">
        <f t="shared" si="104"/>
        <v>0</v>
      </c>
      <c r="CC131" s="69">
        <f t="shared" si="104"/>
        <v>0</v>
      </c>
      <c r="CD131" s="69">
        <f t="shared" si="105"/>
        <v>0</v>
      </c>
      <c r="CF131" s="7">
        <v>0</v>
      </c>
      <c r="CG131" s="95">
        <f t="shared" si="62"/>
        <v>0</v>
      </c>
      <c r="EE131" s="82"/>
      <c r="EF131" s="82"/>
      <c r="EG131" s="82"/>
      <c r="EH131" s="82"/>
      <c r="EI131" s="82"/>
      <c r="EJ131" s="82"/>
      <c r="EK131" s="82"/>
      <c r="EL131" s="82"/>
      <c r="EM131" s="82"/>
      <c r="EN131" s="82"/>
      <c r="EO131" s="82"/>
      <c r="EP131" s="82"/>
      <c r="EQ131" s="82"/>
      <c r="ER131" s="82"/>
      <c r="ES131" s="82"/>
      <c r="ET131" s="82"/>
      <c r="EU131" s="82"/>
      <c r="EV131" s="82"/>
      <c r="EW131" s="82"/>
      <c r="EX131" s="82"/>
      <c r="EY131" s="82"/>
      <c r="EZ131" s="82"/>
      <c r="FA131" s="82"/>
      <c r="FB131" s="82"/>
      <c r="FC131" s="82"/>
      <c r="FD131" s="82"/>
      <c r="FE131" s="82"/>
      <c r="FF131" s="82"/>
      <c r="FG131" s="82"/>
      <c r="FH131" s="82"/>
      <c r="FI131" s="82"/>
      <c r="FJ131" s="82"/>
      <c r="FK131" s="82"/>
      <c r="FL131" s="82"/>
      <c r="FM131" s="82"/>
      <c r="FN131" s="82"/>
      <c r="FO131" s="82"/>
    </row>
    <row r="132" spans="1:171" x14ac:dyDescent="0.25">
      <c r="A132" s="67" t="s">
        <v>221</v>
      </c>
      <c r="B132" s="82">
        <v>5709</v>
      </c>
      <c r="C132" s="82">
        <v>115213</v>
      </c>
      <c r="D132" s="82">
        <v>38053</v>
      </c>
      <c r="E132" s="82">
        <v>44476</v>
      </c>
      <c r="G132" s="69">
        <v>1651</v>
      </c>
      <c r="H132" s="69">
        <v>560</v>
      </c>
      <c r="I132" s="69">
        <v>362</v>
      </c>
      <c r="J132" s="69">
        <v>316</v>
      </c>
      <c r="K132" s="69">
        <v>1284</v>
      </c>
      <c r="L132" s="69">
        <v>1838</v>
      </c>
      <c r="M132" s="69">
        <v>100</v>
      </c>
      <c r="N132" s="69">
        <v>106973</v>
      </c>
      <c r="O132" s="69">
        <v>487</v>
      </c>
      <c r="P132" s="69">
        <v>235</v>
      </c>
      <c r="Q132" s="69">
        <v>0</v>
      </c>
      <c r="R132" s="69">
        <v>1407</v>
      </c>
      <c r="S132" s="69">
        <f t="shared" si="99"/>
        <v>115213</v>
      </c>
      <c r="T132" s="69">
        <v>7959</v>
      </c>
      <c r="U132" s="69">
        <v>592</v>
      </c>
      <c r="V132" s="69">
        <v>4999</v>
      </c>
      <c r="W132" s="69">
        <v>2200</v>
      </c>
      <c r="X132" s="69">
        <v>6727</v>
      </c>
      <c r="Y132" s="69">
        <v>3531</v>
      </c>
      <c r="Z132" s="69">
        <v>2067</v>
      </c>
      <c r="AA132" s="69">
        <v>3519</v>
      </c>
      <c r="AB132" s="69">
        <v>1811</v>
      </c>
      <c r="AC132" s="69">
        <v>2077</v>
      </c>
      <c r="AD132" s="69">
        <v>1512</v>
      </c>
      <c r="AE132" s="69">
        <v>1060</v>
      </c>
      <c r="AF132" s="69">
        <f t="shared" si="100"/>
        <v>38054</v>
      </c>
      <c r="AG132" s="69">
        <v>830</v>
      </c>
      <c r="AH132" s="69">
        <v>3604</v>
      </c>
      <c r="AI132" s="69">
        <v>3358</v>
      </c>
      <c r="AJ132" s="69">
        <v>4764</v>
      </c>
      <c r="AK132" s="69">
        <v>10556</v>
      </c>
      <c r="AL132" s="69">
        <v>1555</v>
      </c>
      <c r="AM132" s="69">
        <v>1638</v>
      </c>
      <c r="AN132" s="69">
        <v>6156</v>
      </c>
      <c r="AO132" s="69">
        <v>1931</v>
      </c>
      <c r="AP132" s="69">
        <v>966</v>
      </c>
      <c r="AQ132" s="69">
        <v>8901</v>
      </c>
      <c r="AR132" s="69">
        <v>218</v>
      </c>
      <c r="AS132" s="69">
        <f t="shared" si="101"/>
        <v>44477</v>
      </c>
      <c r="AT132" s="69">
        <v>0</v>
      </c>
      <c r="AU132" s="69">
        <v>2516</v>
      </c>
      <c r="AV132" s="69">
        <v>-2281</v>
      </c>
      <c r="AW132" s="69">
        <v>2224</v>
      </c>
      <c r="AX132" s="69">
        <v>558</v>
      </c>
      <c r="AY132" s="69">
        <v>1297</v>
      </c>
      <c r="AZ132" s="69">
        <v>770</v>
      </c>
      <c r="BA132" s="69">
        <v>235</v>
      </c>
      <c r="BB132" s="69">
        <v>255</v>
      </c>
      <c r="BC132" s="69">
        <v>0</v>
      </c>
      <c r="BD132" s="69">
        <v>0</v>
      </c>
      <c r="BE132" s="69">
        <v>0</v>
      </c>
      <c r="BF132" s="69">
        <f t="shared" si="102"/>
        <v>5574</v>
      </c>
      <c r="BG132" s="69"/>
      <c r="BH132" s="69"/>
      <c r="BI132" s="69"/>
      <c r="BJ132" s="69"/>
      <c r="BL132" s="69"/>
      <c r="BM132" s="69"/>
      <c r="BN132" s="69"/>
      <c r="BO132" s="69"/>
      <c r="BP132" s="67" t="s">
        <v>221</v>
      </c>
      <c r="BQ132" s="6">
        <f t="shared" si="103"/>
        <v>44477</v>
      </c>
      <c r="BR132" s="69">
        <f t="shared" si="103"/>
        <v>0</v>
      </c>
      <c r="BS132" s="69">
        <f t="shared" si="103"/>
        <v>2516</v>
      </c>
      <c r="BT132" s="69">
        <f t="shared" si="103"/>
        <v>-2281</v>
      </c>
      <c r="BU132" s="69">
        <f t="shared" si="103"/>
        <v>2224</v>
      </c>
      <c r="BV132" s="69">
        <f t="shared" si="103"/>
        <v>558</v>
      </c>
      <c r="BW132" s="69">
        <f t="shared" si="103"/>
        <v>1297</v>
      </c>
      <c r="BX132" s="69">
        <f t="shared" si="103"/>
        <v>770</v>
      </c>
      <c r="BY132" s="69">
        <f t="shared" si="103"/>
        <v>235</v>
      </c>
      <c r="BZ132" s="120">
        <v>1000</v>
      </c>
      <c r="CA132" s="120">
        <f>BZ132</f>
        <v>1000</v>
      </c>
      <c r="CB132" s="120">
        <f t="shared" ref="CB132:CC132" si="107">CA132</f>
        <v>1000</v>
      </c>
      <c r="CC132" s="120">
        <f t="shared" si="107"/>
        <v>1000</v>
      </c>
      <c r="CD132" s="69">
        <f t="shared" si="105"/>
        <v>9319</v>
      </c>
      <c r="CF132" s="7">
        <v>9484</v>
      </c>
      <c r="CG132" s="95">
        <f t="shared" si="62"/>
        <v>-165</v>
      </c>
      <c r="EE132" s="82"/>
      <c r="EF132" s="82"/>
      <c r="EG132" s="82"/>
      <c r="EH132" s="82"/>
      <c r="EI132" s="82"/>
      <c r="EJ132" s="82"/>
      <c r="EK132" s="82"/>
      <c r="EL132" s="82"/>
      <c r="EM132" s="82"/>
      <c r="EN132" s="82"/>
      <c r="EO132" s="82"/>
      <c r="EP132" s="82"/>
      <c r="EQ132" s="82"/>
      <c r="ER132" s="82"/>
      <c r="ES132" s="82"/>
      <c r="ET132" s="82"/>
      <c r="EU132" s="82"/>
      <c r="EV132" s="82"/>
      <c r="EW132" s="82"/>
      <c r="EX132" s="82"/>
      <c r="EY132" s="82"/>
      <c r="EZ132" s="82"/>
      <c r="FA132" s="82"/>
      <c r="FB132" s="82"/>
      <c r="FC132" s="82"/>
      <c r="FD132" s="82"/>
      <c r="FE132" s="82"/>
      <c r="FF132" s="82"/>
      <c r="FG132" s="82"/>
      <c r="FH132" s="82"/>
      <c r="FI132" s="82"/>
      <c r="FJ132" s="82"/>
      <c r="FK132" s="82"/>
      <c r="FL132" s="82"/>
      <c r="FM132" s="82"/>
      <c r="FN132" s="82"/>
      <c r="FO132" s="82"/>
    </row>
    <row r="133" spans="1:171" x14ac:dyDescent="0.25">
      <c r="A133" s="67" t="s">
        <v>222</v>
      </c>
      <c r="B133" s="82">
        <v>396622</v>
      </c>
      <c r="C133" s="82">
        <v>432556</v>
      </c>
      <c r="D133" s="82">
        <v>428349</v>
      </c>
      <c r="E133" s="82">
        <v>540387</v>
      </c>
      <c r="G133" s="69">
        <v>0</v>
      </c>
      <c r="H133" s="69">
        <v>31732</v>
      </c>
      <c r="I133" s="69">
        <v>61952</v>
      </c>
      <c r="J133" s="69">
        <v>28586</v>
      </c>
      <c r="K133" s="69">
        <v>0</v>
      </c>
      <c r="L133" s="69">
        <v>35934</v>
      </c>
      <c r="M133" s="69">
        <v>35934</v>
      </c>
      <c r="N133" s="69">
        <v>35934</v>
      </c>
      <c r="O133" s="69">
        <v>35934</v>
      </c>
      <c r="P133" s="69">
        <v>35934</v>
      </c>
      <c r="Q133" s="69">
        <v>35934</v>
      </c>
      <c r="R133" s="69">
        <v>94680</v>
      </c>
      <c r="S133" s="69">
        <f t="shared" si="99"/>
        <v>432554</v>
      </c>
      <c r="T133" s="69">
        <v>0</v>
      </c>
      <c r="U133" s="69">
        <v>0</v>
      </c>
      <c r="V133" s="69">
        <v>88653</v>
      </c>
      <c r="W133" s="69">
        <v>0</v>
      </c>
      <c r="X133" s="69">
        <v>35820</v>
      </c>
      <c r="Y133" s="69">
        <v>43148</v>
      </c>
      <c r="Z133" s="69">
        <v>43148</v>
      </c>
      <c r="AA133" s="69">
        <v>43516</v>
      </c>
      <c r="AB133" s="69">
        <v>43516</v>
      </c>
      <c r="AC133" s="69">
        <v>43516</v>
      </c>
      <c r="AD133" s="69">
        <v>43516</v>
      </c>
      <c r="AE133" s="69">
        <v>43516</v>
      </c>
      <c r="AF133" s="69">
        <f t="shared" si="100"/>
        <v>428349</v>
      </c>
      <c r="AG133" s="69">
        <v>43516</v>
      </c>
      <c r="AH133" s="69">
        <v>43516</v>
      </c>
      <c r="AI133" s="69">
        <v>43516</v>
      </c>
      <c r="AJ133" s="69">
        <v>43516</v>
      </c>
      <c r="AK133" s="69">
        <v>43516</v>
      </c>
      <c r="AL133" s="69">
        <v>47569</v>
      </c>
      <c r="AM133" s="69">
        <v>47569</v>
      </c>
      <c r="AN133" s="69">
        <v>47569</v>
      </c>
      <c r="AO133" s="69">
        <v>45025</v>
      </c>
      <c r="AP133" s="69">
        <v>45025</v>
      </c>
      <c r="AQ133" s="69">
        <v>45025</v>
      </c>
      <c r="AR133" s="69">
        <v>45025</v>
      </c>
      <c r="AS133" s="69">
        <f t="shared" si="101"/>
        <v>540387</v>
      </c>
      <c r="AT133" s="69">
        <v>45025</v>
      </c>
      <c r="AU133" s="69">
        <v>45855</v>
      </c>
      <c r="AV133" s="69">
        <v>46202</v>
      </c>
      <c r="AW133" s="69">
        <v>46202</v>
      </c>
      <c r="AX133" s="69">
        <v>46202</v>
      </c>
      <c r="AY133" s="69">
        <v>46202</v>
      </c>
      <c r="AZ133" s="69">
        <v>45025</v>
      </c>
      <c r="BA133" s="69">
        <v>92403</v>
      </c>
      <c r="BB133" s="69">
        <v>0</v>
      </c>
      <c r="BC133" s="69">
        <v>0</v>
      </c>
      <c r="BD133" s="69">
        <v>0</v>
      </c>
      <c r="BE133" s="69">
        <v>0</v>
      </c>
      <c r="BF133" s="73">
        <f t="shared" si="102"/>
        <v>413116</v>
      </c>
      <c r="BG133" s="99">
        <f>AVERAGE(AT133:AX133)</f>
        <v>45897.2</v>
      </c>
      <c r="BH133" s="69"/>
      <c r="BI133" s="69"/>
      <c r="BJ133" s="69"/>
      <c r="BL133" s="69"/>
      <c r="BM133" s="69"/>
      <c r="BN133" s="69"/>
      <c r="BO133" s="69"/>
      <c r="BP133" s="67" t="s">
        <v>222</v>
      </c>
      <c r="BQ133" s="6">
        <f t="shared" si="103"/>
        <v>540387</v>
      </c>
      <c r="BR133" s="69">
        <f t="shared" si="103"/>
        <v>45025</v>
      </c>
      <c r="BS133" s="69">
        <f t="shared" si="103"/>
        <v>45855</v>
      </c>
      <c r="BT133" s="69">
        <f t="shared" si="103"/>
        <v>46202</v>
      </c>
      <c r="BU133" s="69">
        <f t="shared" si="103"/>
        <v>46202</v>
      </c>
      <c r="BV133" s="69">
        <f t="shared" si="103"/>
        <v>46202</v>
      </c>
      <c r="BW133" s="69">
        <f t="shared" si="103"/>
        <v>46202</v>
      </c>
      <c r="BX133" s="69">
        <f t="shared" si="103"/>
        <v>45025</v>
      </c>
      <c r="BY133" s="69">
        <f t="shared" si="103"/>
        <v>92403</v>
      </c>
      <c r="BZ133" s="69">
        <f>46201-46201</f>
        <v>0</v>
      </c>
      <c r="CA133" s="69">
        <v>46201</v>
      </c>
      <c r="CB133" s="69">
        <v>46201</v>
      </c>
      <c r="CC133" s="69">
        <v>46201</v>
      </c>
      <c r="CD133" s="69">
        <f t="shared" si="105"/>
        <v>551719</v>
      </c>
      <c r="CF133" s="7">
        <v>549818</v>
      </c>
      <c r="CG133" s="95">
        <f t="shared" si="62"/>
        <v>1901</v>
      </c>
      <c r="CH133" s="1" t="s">
        <v>223</v>
      </c>
      <c r="EE133" s="82"/>
      <c r="EF133" s="82"/>
      <c r="EG133" s="82"/>
      <c r="EH133" s="82"/>
      <c r="EI133" s="82"/>
      <c r="EJ133" s="82"/>
      <c r="EK133" s="82"/>
      <c r="EL133" s="82"/>
      <c r="EM133" s="82"/>
      <c r="EN133" s="82"/>
      <c r="EO133" s="82"/>
      <c r="EP133" s="82"/>
      <c r="EQ133" s="82"/>
      <c r="ER133" s="82"/>
      <c r="ES133" s="82"/>
      <c r="ET133" s="82"/>
      <c r="EU133" s="82"/>
      <c r="EV133" s="82"/>
      <c r="EW133" s="82"/>
      <c r="EX133" s="82"/>
      <c r="EY133" s="82"/>
      <c r="EZ133" s="82"/>
      <c r="FA133" s="82"/>
      <c r="FB133" s="82"/>
      <c r="FC133" s="82"/>
      <c r="FD133" s="82"/>
      <c r="FE133" s="82"/>
      <c r="FF133" s="82"/>
      <c r="FG133" s="82"/>
      <c r="FH133" s="82"/>
      <c r="FI133" s="82"/>
      <c r="FJ133" s="82"/>
      <c r="FK133" s="82"/>
      <c r="FL133" s="82"/>
      <c r="FM133" s="82"/>
      <c r="FN133" s="82"/>
      <c r="FO133" s="82"/>
    </row>
    <row r="134" spans="1:171" x14ac:dyDescent="0.25">
      <c r="A134" s="67" t="s">
        <v>224</v>
      </c>
      <c r="B134" s="82">
        <v>3879</v>
      </c>
      <c r="C134" s="82">
        <v>21134</v>
      </c>
      <c r="D134" s="82">
        <v>262634</v>
      </c>
      <c r="E134" s="82">
        <v>1013984</v>
      </c>
      <c r="G134" s="69">
        <v>436</v>
      </c>
      <c r="H134" s="69">
        <v>187</v>
      </c>
      <c r="I134" s="69">
        <v>382</v>
      </c>
      <c r="J134" s="69">
        <v>577</v>
      </c>
      <c r="K134" s="69">
        <v>469</v>
      </c>
      <c r="L134" s="69">
        <v>337</v>
      </c>
      <c r="M134" s="69">
        <v>489</v>
      </c>
      <c r="N134" s="69">
        <v>2550</v>
      </c>
      <c r="O134" s="69">
        <v>215</v>
      </c>
      <c r="P134" s="69">
        <v>378</v>
      </c>
      <c r="Q134" s="69">
        <v>737</v>
      </c>
      <c r="R134" s="69">
        <v>14377</v>
      </c>
      <c r="S134" s="69">
        <f t="shared" si="99"/>
        <v>21134</v>
      </c>
      <c r="T134" s="69">
        <v>42738</v>
      </c>
      <c r="U134" s="69">
        <v>1425</v>
      </c>
      <c r="V134" s="69">
        <v>12932</v>
      </c>
      <c r="W134" s="69">
        <v>11183</v>
      </c>
      <c r="X134" s="69">
        <v>89298</v>
      </c>
      <c r="Y134" s="69">
        <v>18562</v>
      </c>
      <c r="Z134" s="69">
        <v>46662</v>
      </c>
      <c r="AA134" s="69">
        <v>29376</v>
      </c>
      <c r="AB134" s="69">
        <v>14997</v>
      </c>
      <c r="AC134" s="69">
        <v>36497</v>
      </c>
      <c r="AD134" s="69">
        <v>34063</v>
      </c>
      <c r="AE134" s="69">
        <v>-75100</v>
      </c>
      <c r="AF134" s="69">
        <f t="shared" si="100"/>
        <v>262633</v>
      </c>
      <c r="AG134" s="69">
        <v>72635</v>
      </c>
      <c r="AH134" s="69">
        <v>12024</v>
      </c>
      <c r="AI134" s="69">
        <v>20804</v>
      </c>
      <c r="AJ134" s="69">
        <v>8570</v>
      </c>
      <c r="AK134" s="69">
        <v>1680</v>
      </c>
      <c r="AL134" s="69">
        <v>1677</v>
      </c>
      <c r="AM134" s="69">
        <v>893442</v>
      </c>
      <c r="AN134" s="69">
        <v>344</v>
      </c>
      <c r="AO134" s="69">
        <v>-3273</v>
      </c>
      <c r="AP134" s="69">
        <v>366</v>
      </c>
      <c r="AQ134" s="69">
        <v>4685</v>
      </c>
      <c r="AR134" s="69">
        <v>1032</v>
      </c>
      <c r="AS134" s="69">
        <f t="shared" si="101"/>
        <v>1013986</v>
      </c>
      <c r="AT134" s="69">
        <v>419</v>
      </c>
      <c r="AU134" s="69">
        <v>4082</v>
      </c>
      <c r="AV134" s="69">
        <v>2371</v>
      </c>
      <c r="AW134" s="69">
        <v>17669</v>
      </c>
      <c r="AX134" s="69">
        <v>3950</v>
      </c>
      <c r="AY134" s="69">
        <v>3710</v>
      </c>
      <c r="AZ134" s="69">
        <v>7059</v>
      </c>
      <c r="BA134" s="69">
        <v>1280</v>
      </c>
      <c r="BB134" s="69">
        <v>328</v>
      </c>
      <c r="BC134" s="69">
        <v>0</v>
      </c>
      <c r="BD134" s="69">
        <v>0</v>
      </c>
      <c r="BE134" s="69">
        <v>0</v>
      </c>
      <c r="BF134" s="69">
        <f t="shared" si="102"/>
        <v>40868</v>
      </c>
      <c r="BG134" s="69"/>
      <c r="BH134" s="69"/>
      <c r="BI134" s="69"/>
      <c r="BJ134" s="69"/>
      <c r="BL134" s="69"/>
      <c r="BM134" s="69"/>
      <c r="BN134" s="69"/>
      <c r="BO134" s="69"/>
      <c r="BP134" s="67" t="s">
        <v>224</v>
      </c>
      <c r="BQ134" s="6">
        <f t="shared" si="103"/>
        <v>1013986</v>
      </c>
      <c r="BR134" s="69">
        <f t="shared" si="103"/>
        <v>419</v>
      </c>
      <c r="BS134" s="69">
        <f t="shared" si="103"/>
        <v>4082</v>
      </c>
      <c r="BT134" s="69">
        <f t="shared" si="103"/>
        <v>2371</v>
      </c>
      <c r="BU134" s="69">
        <f t="shared" si="103"/>
        <v>17669</v>
      </c>
      <c r="BV134" s="69">
        <f t="shared" si="103"/>
        <v>3950</v>
      </c>
      <c r="BW134" s="69">
        <f t="shared" si="103"/>
        <v>3710</v>
      </c>
      <c r="BX134" s="69">
        <f t="shared" si="103"/>
        <v>7059</v>
      </c>
      <c r="BY134" s="69">
        <f t="shared" si="103"/>
        <v>1280</v>
      </c>
      <c r="BZ134" s="69">
        <f>AVERAGE($BR134:$BY134)</f>
        <v>5067.5</v>
      </c>
      <c r="CA134" s="69">
        <f t="shared" ref="CA134:CC134" si="108">AVERAGE($BR134:$BY134)</f>
        <v>5067.5</v>
      </c>
      <c r="CB134" s="69">
        <f t="shared" si="108"/>
        <v>5067.5</v>
      </c>
      <c r="CC134" s="69">
        <f t="shared" si="108"/>
        <v>5067.5</v>
      </c>
      <c r="CD134" s="69">
        <f t="shared" si="105"/>
        <v>60810</v>
      </c>
      <c r="CF134" s="7">
        <v>70011.5</v>
      </c>
      <c r="CG134" s="95">
        <f t="shared" ref="CG134:CG153" si="109">CD134-CF134</f>
        <v>-9201.5</v>
      </c>
      <c r="CH134" s="1" t="s">
        <v>173</v>
      </c>
      <c r="EE134" s="82"/>
      <c r="EF134" s="82"/>
      <c r="EG134" s="82"/>
      <c r="EH134" s="82"/>
      <c r="EI134" s="82"/>
      <c r="EJ134" s="82"/>
      <c r="EK134" s="82"/>
      <c r="EL134" s="82"/>
      <c r="EM134" s="82"/>
      <c r="EN134" s="82"/>
      <c r="EO134" s="82"/>
      <c r="EP134" s="82"/>
      <c r="EQ134" s="82"/>
      <c r="ER134" s="82"/>
      <c r="ES134" s="82"/>
      <c r="ET134" s="82"/>
      <c r="EU134" s="82"/>
      <c r="EV134" s="82"/>
      <c r="EW134" s="82"/>
      <c r="EX134" s="82"/>
      <c r="EY134" s="82"/>
      <c r="EZ134" s="82"/>
      <c r="FA134" s="82"/>
      <c r="FB134" s="82"/>
      <c r="FC134" s="82"/>
      <c r="FD134" s="82"/>
      <c r="FE134" s="82"/>
      <c r="FF134" s="82"/>
      <c r="FG134" s="82"/>
      <c r="FH134" s="82"/>
      <c r="FI134" s="82"/>
      <c r="FJ134" s="82"/>
      <c r="FK134" s="82"/>
      <c r="FL134" s="82"/>
      <c r="FM134" s="82"/>
      <c r="FN134" s="82"/>
      <c r="FO134" s="82"/>
    </row>
    <row r="135" spans="1:171" x14ac:dyDescent="0.25">
      <c r="A135" s="67" t="s">
        <v>225</v>
      </c>
      <c r="B135" s="82">
        <v>2038687</v>
      </c>
      <c r="C135" s="82">
        <v>2807210</v>
      </c>
      <c r="D135" s="82">
        <v>2571792</v>
      </c>
      <c r="E135" s="82">
        <v>4379560</v>
      </c>
      <c r="G135" s="69">
        <v>33823</v>
      </c>
      <c r="H135" s="69">
        <v>27670</v>
      </c>
      <c r="I135" s="69">
        <v>155975</v>
      </c>
      <c r="J135" s="69">
        <v>27500</v>
      </c>
      <c r="K135" s="69">
        <v>27850</v>
      </c>
      <c r="L135" s="69">
        <v>173527</v>
      </c>
      <c r="M135" s="69">
        <v>223199</v>
      </c>
      <c r="N135" s="69">
        <v>28289</v>
      </c>
      <c r="O135" s="69">
        <v>197543</v>
      </c>
      <c r="P135" s="69">
        <v>27500</v>
      </c>
      <c r="Q135" s="69">
        <v>27518</v>
      </c>
      <c r="R135" s="69">
        <v>1856815</v>
      </c>
      <c r="S135" s="69">
        <f t="shared" si="99"/>
        <v>2807209</v>
      </c>
      <c r="T135" s="69">
        <v>57929</v>
      </c>
      <c r="U135" s="69">
        <v>7144</v>
      </c>
      <c r="V135" s="69">
        <v>546629</v>
      </c>
      <c r="W135" s="69">
        <v>157370</v>
      </c>
      <c r="X135" s="69">
        <v>157444</v>
      </c>
      <c r="Y135" s="69">
        <v>342206</v>
      </c>
      <c r="Z135" s="69">
        <v>133065</v>
      </c>
      <c r="AA135" s="69">
        <v>153518</v>
      </c>
      <c r="AB135" s="69">
        <v>622</v>
      </c>
      <c r="AC135" s="69">
        <v>153254</v>
      </c>
      <c r="AD135" s="69">
        <v>151254</v>
      </c>
      <c r="AE135" s="69">
        <v>711358</v>
      </c>
      <c r="AF135" s="69">
        <f t="shared" si="100"/>
        <v>2571793</v>
      </c>
      <c r="AG135" s="69">
        <v>845584</v>
      </c>
      <c r="AH135" s="69">
        <v>35527</v>
      </c>
      <c r="AI135" s="69">
        <v>489005</v>
      </c>
      <c r="AJ135" s="69">
        <v>36727</v>
      </c>
      <c r="AK135" s="69">
        <v>34662</v>
      </c>
      <c r="AL135" s="69">
        <v>414558</v>
      </c>
      <c r="AM135" s="69">
        <v>38165</v>
      </c>
      <c r="AN135" s="69">
        <v>38205</v>
      </c>
      <c r="AO135" s="69">
        <v>453494</v>
      </c>
      <c r="AP135" s="69">
        <v>2759</v>
      </c>
      <c r="AQ135" s="69">
        <v>-11389</v>
      </c>
      <c r="AR135" s="69">
        <v>2002263</v>
      </c>
      <c r="AS135" s="69">
        <f t="shared" si="101"/>
        <v>4379560</v>
      </c>
      <c r="AT135" s="115">
        <v>0</v>
      </c>
      <c r="AU135" s="115">
        <v>0</v>
      </c>
      <c r="AV135" s="115">
        <v>603732</v>
      </c>
      <c r="AW135" s="69">
        <v>0</v>
      </c>
      <c r="AX135" s="69">
        <v>0</v>
      </c>
      <c r="AY135" s="69">
        <v>736293</v>
      </c>
      <c r="AZ135" s="69">
        <v>1008011</v>
      </c>
      <c r="BA135" s="69">
        <v>49104</v>
      </c>
      <c r="BB135" s="69">
        <v>0</v>
      </c>
      <c r="BC135" s="69">
        <v>0</v>
      </c>
      <c r="BD135" s="69">
        <v>0</v>
      </c>
      <c r="BE135" s="69">
        <v>0</v>
      </c>
      <c r="BF135" s="69">
        <f t="shared" si="102"/>
        <v>2397140</v>
      </c>
      <c r="BG135" s="69"/>
      <c r="BH135" s="69"/>
      <c r="BI135" s="69"/>
      <c r="BJ135" s="69"/>
      <c r="BL135" s="115"/>
      <c r="BM135" s="69"/>
      <c r="BN135" s="69"/>
      <c r="BO135" s="69"/>
      <c r="BP135" s="67" t="s">
        <v>225</v>
      </c>
      <c r="BQ135" s="105"/>
      <c r="BR135" s="105"/>
      <c r="BS135" s="105"/>
      <c r="BT135" s="105"/>
      <c r="BU135" s="105"/>
      <c r="BV135" s="105"/>
      <c r="BW135" s="105"/>
      <c r="BX135" s="105"/>
      <c r="BY135" s="105"/>
      <c r="BZ135" s="105"/>
      <c r="CA135" s="105"/>
      <c r="CB135" s="105"/>
      <c r="CC135" s="105"/>
      <c r="CD135" s="105">
        <f t="shared" si="105"/>
        <v>0</v>
      </c>
      <c r="CF135" s="7">
        <v>0</v>
      </c>
      <c r="CG135" s="95">
        <f t="shared" si="109"/>
        <v>0</v>
      </c>
      <c r="EE135" s="82"/>
      <c r="EF135" s="82"/>
      <c r="EG135" s="82"/>
      <c r="EH135" s="82"/>
      <c r="EI135" s="82"/>
      <c r="EJ135" s="82"/>
      <c r="EK135" s="82"/>
      <c r="EL135" s="82"/>
      <c r="EM135" s="82"/>
      <c r="EN135" s="82"/>
      <c r="EO135" s="82"/>
      <c r="EP135" s="82"/>
      <c r="EQ135" s="82"/>
      <c r="ER135" s="82"/>
      <c r="ES135" s="82"/>
      <c r="ET135" s="82"/>
      <c r="EU135" s="82"/>
      <c r="EV135" s="82"/>
      <c r="EW135" s="82"/>
      <c r="EX135" s="82"/>
      <c r="EY135" s="82"/>
      <c r="EZ135" s="82"/>
      <c r="FA135" s="82"/>
      <c r="FB135" s="82"/>
      <c r="FC135" s="82"/>
      <c r="FD135" s="82"/>
      <c r="FE135" s="82"/>
      <c r="FF135" s="82"/>
      <c r="FG135" s="82"/>
      <c r="FH135" s="82"/>
      <c r="FI135" s="82"/>
      <c r="FJ135" s="82"/>
      <c r="FK135" s="82"/>
      <c r="FL135" s="82"/>
      <c r="FM135" s="82"/>
      <c r="FN135" s="82"/>
      <c r="FO135" s="82"/>
    </row>
    <row r="136" spans="1:171" x14ac:dyDescent="0.25">
      <c r="A136" s="67" t="s">
        <v>226</v>
      </c>
      <c r="B136" s="82">
        <v>9799</v>
      </c>
      <c r="C136" s="82">
        <v>7472</v>
      </c>
      <c r="D136" s="82">
        <v>16506</v>
      </c>
      <c r="E136" s="82">
        <v>29333</v>
      </c>
      <c r="G136" s="69">
        <v>102</v>
      </c>
      <c r="H136" s="69">
        <v>560</v>
      </c>
      <c r="I136" s="69">
        <v>663</v>
      </c>
      <c r="J136" s="69">
        <v>553</v>
      </c>
      <c r="K136" s="69">
        <v>95</v>
      </c>
      <c r="L136" s="69">
        <v>749</v>
      </c>
      <c r="M136" s="69">
        <v>486</v>
      </c>
      <c r="N136" s="69">
        <v>298</v>
      </c>
      <c r="O136" s="69">
        <v>295</v>
      </c>
      <c r="P136" s="69">
        <v>1165</v>
      </c>
      <c r="Q136" s="69">
        <v>613</v>
      </c>
      <c r="R136" s="69">
        <v>1894</v>
      </c>
      <c r="S136" s="69">
        <f t="shared" si="99"/>
        <v>7473</v>
      </c>
      <c r="T136" s="69">
        <v>203</v>
      </c>
      <c r="U136" s="69">
        <v>1634</v>
      </c>
      <c r="V136" s="69">
        <v>1547</v>
      </c>
      <c r="W136" s="69">
        <v>1143</v>
      </c>
      <c r="X136" s="69">
        <v>458</v>
      </c>
      <c r="Y136" s="69">
        <v>860</v>
      </c>
      <c r="Z136" s="69">
        <v>1856</v>
      </c>
      <c r="AA136" s="69">
        <v>992</v>
      </c>
      <c r="AB136" s="69">
        <v>403</v>
      </c>
      <c r="AC136" s="69">
        <v>2213</v>
      </c>
      <c r="AD136" s="69">
        <v>3454</v>
      </c>
      <c r="AE136" s="69">
        <v>1743</v>
      </c>
      <c r="AF136" s="69">
        <f t="shared" si="100"/>
        <v>16506</v>
      </c>
      <c r="AG136" s="69">
        <v>464</v>
      </c>
      <c r="AH136" s="69">
        <v>1145</v>
      </c>
      <c r="AI136" s="69">
        <v>1767</v>
      </c>
      <c r="AJ136" s="69">
        <v>1072</v>
      </c>
      <c r="AK136" s="69">
        <v>1794</v>
      </c>
      <c r="AL136" s="69">
        <v>968</v>
      </c>
      <c r="AM136" s="69">
        <v>1438</v>
      </c>
      <c r="AN136" s="69">
        <v>1520</v>
      </c>
      <c r="AO136" s="69">
        <v>2457</v>
      </c>
      <c r="AP136" s="69">
        <v>2691</v>
      </c>
      <c r="AQ136" s="69">
        <v>5157</v>
      </c>
      <c r="AR136" s="69">
        <v>8860</v>
      </c>
      <c r="AS136" s="69">
        <f t="shared" si="101"/>
        <v>29333</v>
      </c>
      <c r="AT136" s="69">
        <v>3338</v>
      </c>
      <c r="AU136" s="69">
        <v>1683</v>
      </c>
      <c r="AV136" s="69">
        <v>1943</v>
      </c>
      <c r="AW136" s="69">
        <v>846</v>
      </c>
      <c r="AX136" s="69">
        <v>2987</v>
      </c>
      <c r="AY136" s="69">
        <v>546</v>
      </c>
      <c r="AZ136" s="69">
        <v>1103</v>
      </c>
      <c r="BA136" s="69">
        <v>243</v>
      </c>
      <c r="BB136" s="69">
        <v>1126</v>
      </c>
      <c r="BC136" s="69">
        <v>0</v>
      </c>
      <c r="BD136" s="69">
        <v>0</v>
      </c>
      <c r="BE136" s="69">
        <v>0</v>
      </c>
      <c r="BF136" s="69">
        <f t="shared" si="102"/>
        <v>13815</v>
      </c>
      <c r="BG136" s="69"/>
      <c r="BH136" s="69"/>
      <c r="BI136" s="69"/>
      <c r="BJ136" s="69"/>
      <c r="BL136" s="69"/>
      <c r="BM136" s="69"/>
      <c r="BN136" s="69"/>
      <c r="BO136" s="69"/>
      <c r="BP136" s="67" t="s">
        <v>226</v>
      </c>
      <c r="BQ136" s="6">
        <f t="shared" si="103"/>
        <v>29333</v>
      </c>
      <c r="BR136" s="69">
        <f t="shared" si="103"/>
        <v>3338</v>
      </c>
      <c r="BS136" s="69">
        <f t="shared" si="103"/>
        <v>1683</v>
      </c>
      <c r="BT136" s="69">
        <f t="shared" si="103"/>
        <v>1943</v>
      </c>
      <c r="BU136" s="69">
        <f t="shared" si="103"/>
        <v>846</v>
      </c>
      <c r="BV136" s="69">
        <f t="shared" si="103"/>
        <v>2987</v>
      </c>
      <c r="BW136" s="69">
        <f t="shared" si="103"/>
        <v>546</v>
      </c>
      <c r="BX136" s="69">
        <f t="shared" si="103"/>
        <v>1103</v>
      </c>
      <c r="BY136" s="69">
        <f t="shared" si="103"/>
        <v>243</v>
      </c>
      <c r="BZ136" s="69">
        <f>AVERAGE($BR136:$BY136)</f>
        <v>1586.125</v>
      </c>
      <c r="CA136" s="69">
        <f t="shared" ref="CA136:CC137" si="110">AVERAGE($BR136:$BY136)</f>
        <v>1586.125</v>
      </c>
      <c r="CB136" s="69">
        <f t="shared" si="110"/>
        <v>1586.125</v>
      </c>
      <c r="CC136" s="69">
        <f t="shared" si="110"/>
        <v>1586.125</v>
      </c>
      <c r="CD136" s="69">
        <f t="shared" si="105"/>
        <v>19033.5</v>
      </c>
      <c r="CF136" s="7">
        <v>22208.5</v>
      </c>
      <c r="CG136" s="95">
        <f t="shared" si="109"/>
        <v>-3175</v>
      </c>
      <c r="EE136" s="82"/>
      <c r="EF136" s="82"/>
      <c r="EG136" s="82"/>
      <c r="EH136" s="82"/>
      <c r="EI136" s="82"/>
      <c r="EJ136" s="82"/>
      <c r="EK136" s="82"/>
      <c r="EL136" s="82"/>
      <c r="EM136" s="82"/>
      <c r="EN136" s="82"/>
      <c r="EO136" s="82"/>
      <c r="EP136" s="82"/>
      <c r="EQ136" s="82"/>
      <c r="ER136" s="82"/>
      <c r="ES136" s="82"/>
      <c r="ET136" s="82"/>
      <c r="EU136" s="82"/>
      <c r="EV136" s="82"/>
      <c r="EW136" s="82"/>
      <c r="EX136" s="82"/>
      <c r="EY136" s="82"/>
      <c r="EZ136" s="82"/>
      <c r="FA136" s="82"/>
      <c r="FB136" s="82"/>
      <c r="FC136" s="82"/>
      <c r="FD136" s="82"/>
      <c r="FE136" s="82"/>
      <c r="FF136" s="82"/>
      <c r="FG136" s="82"/>
      <c r="FH136" s="82"/>
      <c r="FI136" s="82"/>
      <c r="FJ136" s="82"/>
      <c r="FK136" s="82"/>
      <c r="FL136" s="82"/>
      <c r="FM136" s="82"/>
      <c r="FN136" s="82"/>
      <c r="FO136" s="82"/>
    </row>
    <row r="137" spans="1:171" x14ac:dyDescent="0.25">
      <c r="A137" s="67" t="s">
        <v>227</v>
      </c>
      <c r="B137" s="82">
        <v>467974</v>
      </c>
      <c r="C137" s="82">
        <v>93544</v>
      </c>
      <c r="D137" s="82">
        <v>147904</v>
      </c>
      <c r="E137" s="82">
        <v>111875</v>
      </c>
      <c r="G137" s="69">
        <v>35807</v>
      </c>
      <c r="H137" s="69">
        <v>36167</v>
      </c>
      <c r="I137" s="69">
        <v>-3406</v>
      </c>
      <c r="J137" s="69">
        <v>44283</v>
      </c>
      <c r="K137" s="69">
        <v>40125</v>
      </c>
      <c r="L137" s="69">
        <v>38069</v>
      </c>
      <c r="M137" s="69">
        <v>36167</v>
      </c>
      <c r="N137" s="69">
        <v>37239</v>
      </c>
      <c r="O137" s="69">
        <v>34880</v>
      </c>
      <c r="P137" s="69">
        <v>48056</v>
      </c>
      <c r="Q137" s="69">
        <v>35103</v>
      </c>
      <c r="R137" s="69">
        <v>-288948</v>
      </c>
      <c r="S137" s="69">
        <f t="shared" si="99"/>
        <v>93542</v>
      </c>
      <c r="T137" s="69">
        <v>3152</v>
      </c>
      <c r="U137" s="69">
        <v>4784</v>
      </c>
      <c r="V137" s="69">
        <v>3551</v>
      </c>
      <c r="W137" s="69">
        <v>7121</v>
      </c>
      <c r="X137" s="69">
        <v>37073</v>
      </c>
      <c r="Y137" s="69">
        <v>1058</v>
      </c>
      <c r="Z137" s="69">
        <v>6235</v>
      </c>
      <c r="AA137" s="69">
        <v>52708</v>
      </c>
      <c r="AB137" s="69">
        <v>4581</v>
      </c>
      <c r="AC137" s="69">
        <v>11029</v>
      </c>
      <c r="AD137" s="69">
        <v>12344</v>
      </c>
      <c r="AE137" s="69">
        <v>4268</v>
      </c>
      <c r="AF137" s="69">
        <f t="shared" si="100"/>
        <v>147904</v>
      </c>
      <c r="AG137" s="69">
        <v>733</v>
      </c>
      <c r="AH137" s="69">
        <v>2961</v>
      </c>
      <c r="AI137" s="69">
        <v>-2277</v>
      </c>
      <c r="AJ137" s="69">
        <v>5325</v>
      </c>
      <c r="AK137" s="69">
        <v>14697</v>
      </c>
      <c r="AL137" s="69">
        <v>32121</v>
      </c>
      <c r="AM137" s="69">
        <v>11867</v>
      </c>
      <c r="AN137" s="69">
        <v>8611</v>
      </c>
      <c r="AO137" s="69">
        <v>12064</v>
      </c>
      <c r="AP137" s="69">
        <v>5362</v>
      </c>
      <c r="AQ137" s="69">
        <v>12385</v>
      </c>
      <c r="AR137" s="69">
        <v>8027</v>
      </c>
      <c r="AS137" s="69">
        <f t="shared" si="101"/>
        <v>111876</v>
      </c>
      <c r="AT137" s="69">
        <v>7374</v>
      </c>
      <c r="AU137" s="69">
        <v>2709</v>
      </c>
      <c r="AV137" s="69">
        <v>3781</v>
      </c>
      <c r="AW137" s="69">
        <v>8041</v>
      </c>
      <c r="AX137" s="69">
        <v>3349</v>
      </c>
      <c r="AY137" s="69">
        <v>8980</v>
      </c>
      <c r="AZ137" s="69">
        <v>4833</v>
      </c>
      <c r="BA137" s="69">
        <v>7271</v>
      </c>
      <c r="BB137" s="69">
        <v>7462</v>
      </c>
      <c r="BC137" s="69">
        <v>0</v>
      </c>
      <c r="BD137" s="69">
        <v>0</v>
      </c>
      <c r="BE137" s="69">
        <v>0</v>
      </c>
      <c r="BF137" s="73">
        <f t="shared" si="102"/>
        <v>53800</v>
      </c>
      <c r="BG137" s="99">
        <f>AVERAGE(AT137:AX137)</f>
        <v>5050.8</v>
      </c>
      <c r="BH137" s="69"/>
      <c r="BI137" s="69"/>
      <c r="BJ137" s="69"/>
      <c r="BL137" s="69"/>
      <c r="BM137" s="69"/>
      <c r="BN137" s="69"/>
      <c r="BO137" s="69"/>
      <c r="BP137" s="67" t="s">
        <v>227</v>
      </c>
      <c r="BQ137" s="6">
        <f t="shared" si="103"/>
        <v>111876</v>
      </c>
      <c r="BR137" s="69">
        <f t="shared" si="103"/>
        <v>7374</v>
      </c>
      <c r="BS137" s="69">
        <f t="shared" si="103"/>
        <v>2709</v>
      </c>
      <c r="BT137" s="69">
        <f t="shared" si="103"/>
        <v>3781</v>
      </c>
      <c r="BU137" s="69">
        <f t="shared" si="103"/>
        <v>8041</v>
      </c>
      <c r="BV137" s="69">
        <f t="shared" si="103"/>
        <v>3349</v>
      </c>
      <c r="BW137" s="69">
        <f t="shared" si="103"/>
        <v>8980</v>
      </c>
      <c r="BX137" s="69">
        <f t="shared" si="103"/>
        <v>4833</v>
      </c>
      <c r="BY137" s="69">
        <f t="shared" si="103"/>
        <v>7271</v>
      </c>
      <c r="BZ137" s="69">
        <f>AVERAGE($BR137:$BY137)</f>
        <v>5792.25</v>
      </c>
      <c r="CA137" s="69">
        <f t="shared" si="110"/>
        <v>5792.25</v>
      </c>
      <c r="CB137" s="69">
        <f t="shared" si="110"/>
        <v>5792.25</v>
      </c>
      <c r="CC137" s="69">
        <f t="shared" si="110"/>
        <v>5792.25</v>
      </c>
      <c r="CD137" s="69">
        <f t="shared" si="105"/>
        <v>69507</v>
      </c>
      <c r="CF137" s="7">
        <v>83545.5</v>
      </c>
      <c r="CG137" s="95">
        <f t="shared" si="109"/>
        <v>-14038.5</v>
      </c>
      <c r="CH137" s="1" t="s">
        <v>228</v>
      </c>
      <c r="EE137" s="82"/>
      <c r="EF137" s="82"/>
      <c r="EG137" s="82"/>
      <c r="EH137" s="82"/>
      <c r="EI137" s="82"/>
      <c r="EJ137" s="82"/>
      <c r="EK137" s="82"/>
      <c r="EL137" s="82"/>
      <c r="EM137" s="82"/>
      <c r="EN137" s="82"/>
      <c r="EO137" s="82"/>
      <c r="EP137" s="82"/>
      <c r="EQ137" s="82"/>
      <c r="ER137" s="82"/>
      <c r="ES137" s="82"/>
      <c r="ET137" s="82"/>
      <c r="EU137" s="82"/>
      <c r="EV137" s="82"/>
      <c r="EW137" s="82"/>
      <c r="EX137" s="82"/>
      <c r="EY137" s="82"/>
      <c r="EZ137" s="82"/>
      <c r="FA137" s="82"/>
      <c r="FB137" s="82"/>
      <c r="FC137" s="82"/>
      <c r="FD137" s="82"/>
      <c r="FE137" s="82"/>
      <c r="FF137" s="82"/>
      <c r="FG137" s="82"/>
      <c r="FH137" s="82"/>
      <c r="FI137" s="82"/>
      <c r="FJ137" s="82"/>
      <c r="FK137" s="82"/>
      <c r="FL137" s="82"/>
      <c r="FM137" s="82"/>
      <c r="FN137" s="82"/>
      <c r="FO137" s="82"/>
    </row>
    <row r="138" spans="1:171" x14ac:dyDescent="0.25">
      <c r="A138" s="67" t="s">
        <v>229</v>
      </c>
      <c r="B138" s="82">
        <v>598</v>
      </c>
      <c r="C138" s="82">
        <v>12952</v>
      </c>
      <c r="D138" s="82">
        <v>6504</v>
      </c>
      <c r="E138" s="82">
        <v>8428</v>
      </c>
      <c r="G138" s="69">
        <v>17452</v>
      </c>
      <c r="H138" s="69">
        <v>-5888</v>
      </c>
      <c r="I138" s="69">
        <v>0</v>
      </c>
      <c r="J138" s="69">
        <v>81</v>
      </c>
      <c r="K138" s="69">
        <v>0</v>
      </c>
      <c r="L138" s="69">
        <v>0</v>
      </c>
      <c r="M138" s="69">
        <v>0</v>
      </c>
      <c r="N138" s="69">
        <v>0</v>
      </c>
      <c r="O138" s="69">
        <v>0</v>
      </c>
      <c r="P138" s="69">
        <v>543</v>
      </c>
      <c r="Q138" s="69">
        <v>739</v>
      </c>
      <c r="R138" s="69">
        <v>25</v>
      </c>
      <c r="S138" s="69">
        <f t="shared" si="99"/>
        <v>12952</v>
      </c>
      <c r="T138" s="69">
        <v>0</v>
      </c>
      <c r="U138" s="69">
        <v>3150</v>
      </c>
      <c r="V138" s="69">
        <v>3045</v>
      </c>
      <c r="W138" s="69">
        <v>0</v>
      </c>
      <c r="X138" s="69">
        <v>0</v>
      </c>
      <c r="Y138" s="69">
        <v>0</v>
      </c>
      <c r="Z138" s="69">
        <v>0</v>
      </c>
      <c r="AA138" s="69">
        <v>0</v>
      </c>
      <c r="AB138" s="69">
        <v>0</v>
      </c>
      <c r="AC138" s="69">
        <v>0</v>
      </c>
      <c r="AD138" s="69">
        <v>309</v>
      </c>
      <c r="AE138" s="69">
        <v>0</v>
      </c>
      <c r="AF138" s="69">
        <f t="shared" si="100"/>
        <v>6504</v>
      </c>
      <c r="AG138" s="69">
        <v>0</v>
      </c>
      <c r="AH138" s="69">
        <v>3167</v>
      </c>
      <c r="AI138" s="69">
        <v>0</v>
      </c>
      <c r="AJ138" s="69">
        <v>0</v>
      </c>
      <c r="AK138" s="69">
        <v>26</v>
      </c>
      <c r="AL138" s="69">
        <v>800</v>
      </c>
      <c r="AM138" s="69">
        <v>347</v>
      </c>
      <c r="AN138" s="69">
        <v>0</v>
      </c>
      <c r="AO138" s="69">
        <v>3380</v>
      </c>
      <c r="AP138" s="69">
        <v>0</v>
      </c>
      <c r="AQ138" s="69">
        <v>708</v>
      </c>
      <c r="AR138" s="69">
        <v>0</v>
      </c>
      <c r="AS138" s="69">
        <f t="shared" si="101"/>
        <v>8428</v>
      </c>
      <c r="AT138" s="69">
        <v>7551</v>
      </c>
      <c r="AU138" s="69">
        <v>0</v>
      </c>
      <c r="AV138" s="69">
        <v>3481</v>
      </c>
      <c r="AW138" s="69">
        <v>6757</v>
      </c>
      <c r="AX138" s="69">
        <v>1382</v>
      </c>
      <c r="AY138" s="69">
        <v>0</v>
      </c>
      <c r="AZ138" s="69">
        <v>0</v>
      </c>
      <c r="BA138" s="69">
        <v>0</v>
      </c>
      <c r="BB138" s="69">
        <v>0</v>
      </c>
      <c r="BC138" s="69">
        <v>0</v>
      </c>
      <c r="BD138" s="69">
        <v>0</v>
      </c>
      <c r="BE138" s="69">
        <v>0</v>
      </c>
      <c r="BF138" s="69">
        <f t="shared" si="102"/>
        <v>19171</v>
      </c>
      <c r="BG138" s="69"/>
      <c r="BH138" s="69"/>
      <c r="BI138" s="69"/>
      <c r="BJ138" s="69"/>
      <c r="BL138" s="69"/>
      <c r="BM138" s="69"/>
      <c r="BN138" s="69"/>
      <c r="BO138" s="69"/>
      <c r="BP138" s="67" t="s">
        <v>229</v>
      </c>
      <c r="BQ138" s="6">
        <f t="shared" si="103"/>
        <v>8428</v>
      </c>
      <c r="BR138" s="69">
        <f t="shared" si="103"/>
        <v>7551</v>
      </c>
      <c r="BS138" s="69">
        <f t="shared" si="103"/>
        <v>0</v>
      </c>
      <c r="BT138" s="69">
        <f t="shared" si="103"/>
        <v>3481</v>
      </c>
      <c r="BU138" s="69">
        <f t="shared" si="103"/>
        <v>6757</v>
      </c>
      <c r="BV138" s="69">
        <f t="shared" si="103"/>
        <v>1382</v>
      </c>
      <c r="BW138" s="69">
        <f t="shared" si="103"/>
        <v>0</v>
      </c>
      <c r="BX138" s="69">
        <f t="shared" si="103"/>
        <v>0</v>
      </c>
      <c r="BY138" s="69">
        <f t="shared" si="103"/>
        <v>0</v>
      </c>
      <c r="BZ138" s="69">
        <v>0</v>
      </c>
      <c r="CA138" s="69">
        <v>0</v>
      </c>
      <c r="CB138" s="69">
        <v>0</v>
      </c>
      <c r="CC138" s="69">
        <v>0</v>
      </c>
      <c r="CD138" s="69">
        <f t="shared" si="105"/>
        <v>19171</v>
      </c>
      <c r="CF138" s="7">
        <v>41407.25</v>
      </c>
      <c r="CG138" s="95">
        <f t="shared" si="109"/>
        <v>-22236.25</v>
      </c>
      <c r="CH138" s="1" t="s">
        <v>230</v>
      </c>
      <c r="EE138" s="82"/>
      <c r="EF138" s="82"/>
      <c r="EG138" s="82"/>
      <c r="EH138" s="82"/>
      <c r="EI138" s="82"/>
      <c r="EJ138" s="82"/>
      <c r="EK138" s="82"/>
      <c r="EL138" s="82"/>
      <c r="EM138" s="82"/>
      <c r="EN138" s="82"/>
      <c r="EO138" s="82"/>
      <c r="EP138" s="82"/>
      <c r="EQ138" s="82"/>
      <c r="ER138" s="82"/>
      <c r="ES138" s="82"/>
      <c r="ET138" s="82"/>
      <c r="EU138" s="82"/>
      <c r="EV138" s="82"/>
      <c r="EW138" s="82"/>
      <c r="EX138" s="82"/>
      <c r="EY138" s="82"/>
      <c r="EZ138" s="82"/>
      <c r="FA138" s="82"/>
      <c r="FB138" s="82"/>
      <c r="FC138" s="82"/>
      <c r="FD138" s="82"/>
      <c r="FE138" s="82"/>
      <c r="FF138" s="82"/>
      <c r="FG138" s="82"/>
      <c r="FH138" s="82"/>
      <c r="FI138" s="82"/>
      <c r="FJ138" s="82"/>
      <c r="FK138" s="82"/>
      <c r="FL138" s="82"/>
      <c r="FM138" s="82"/>
      <c r="FN138" s="82"/>
      <c r="FO138" s="82"/>
    </row>
    <row r="139" spans="1:171" x14ac:dyDescent="0.25">
      <c r="A139" s="67" t="s">
        <v>231</v>
      </c>
      <c r="B139" s="82">
        <v>536152</v>
      </c>
      <c r="C139" s="82">
        <v>72077</v>
      </c>
      <c r="D139" s="82">
        <v>666746</v>
      </c>
      <c r="E139" s="82">
        <v>563733</v>
      </c>
      <c r="G139" s="69">
        <v>258401</v>
      </c>
      <c r="H139" s="69">
        <v>-410065</v>
      </c>
      <c r="I139" s="69">
        <v>33864</v>
      </c>
      <c r="J139" s="69">
        <v>37803</v>
      </c>
      <c r="K139" s="69">
        <v>2831</v>
      </c>
      <c r="L139" s="69">
        <v>11052</v>
      </c>
      <c r="M139" s="69">
        <v>4145</v>
      </c>
      <c r="N139" s="69">
        <v>27700</v>
      </c>
      <c r="O139" s="69">
        <v>37212</v>
      </c>
      <c r="P139" s="69">
        <v>18794</v>
      </c>
      <c r="Q139" s="69">
        <v>28208</v>
      </c>
      <c r="R139" s="69">
        <v>22132</v>
      </c>
      <c r="S139" s="69">
        <f t="shared" si="99"/>
        <v>72077</v>
      </c>
      <c r="T139" s="69">
        <v>-935</v>
      </c>
      <c r="U139" s="69">
        <v>30133</v>
      </c>
      <c r="V139" s="69">
        <v>76735</v>
      </c>
      <c r="W139" s="69">
        <v>101865</v>
      </c>
      <c r="X139" s="69">
        <v>41227</v>
      </c>
      <c r="Y139" s="69">
        <v>58617</v>
      </c>
      <c r="Z139" s="69">
        <v>39865</v>
      </c>
      <c r="AA139" s="69">
        <v>4912</v>
      </c>
      <c r="AB139" s="69">
        <v>75844</v>
      </c>
      <c r="AC139" s="69">
        <v>35079</v>
      </c>
      <c r="AD139" s="69">
        <v>68347</v>
      </c>
      <c r="AE139" s="69">
        <v>135057</v>
      </c>
      <c r="AF139" s="69">
        <f t="shared" si="100"/>
        <v>666746</v>
      </c>
      <c r="AG139" s="69">
        <v>274756</v>
      </c>
      <c r="AH139" s="69">
        <v>8925</v>
      </c>
      <c r="AI139" s="69">
        <v>4334</v>
      </c>
      <c r="AJ139" s="69">
        <v>0</v>
      </c>
      <c r="AK139" s="69">
        <v>-3524</v>
      </c>
      <c r="AL139" s="69">
        <v>0</v>
      </c>
      <c r="AM139" s="69">
        <v>5000</v>
      </c>
      <c r="AN139" s="69">
        <v>52832</v>
      </c>
      <c r="AO139" s="69">
        <v>27811</v>
      </c>
      <c r="AP139" s="69">
        <v>18395</v>
      </c>
      <c r="AQ139" s="69">
        <v>42104</v>
      </c>
      <c r="AR139" s="69">
        <v>133101</v>
      </c>
      <c r="AS139" s="69">
        <f t="shared" si="101"/>
        <v>563734</v>
      </c>
      <c r="AT139" s="69">
        <v>5376</v>
      </c>
      <c r="AU139" s="69">
        <v>59211</v>
      </c>
      <c r="AV139" s="69">
        <v>31373</v>
      </c>
      <c r="AW139" s="69">
        <v>11046</v>
      </c>
      <c r="AX139" s="69">
        <v>3867</v>
      </c>
      <c r="AY139" s="69">
        <v>62500</v>
      </c>
      <c r="AZ139" s="69">
        <v>51385</v>
      </c>
      <c r="BA139" s="69">
        <v>248590</v>
      </c>
      <c r="BB139" s="69">
        <v>270545</v>
      </c>
      <c r="BC139" s="69">
        <v>0</v>
      </c>
      <c r="BD139" s="69">
        <v>0</v>
      </c>
      <c r="BE139" s="69">
        <v>0</v>
      </c>
      <c r="BF139" s="69">
        <f t="shared" si="102"/>
        <v>743893</v>
      </c>
      <c r="BG139" s="69"/>
      <c r="BH139" s="69"/>
      <c r="BI139" s="69"/>
      <c r="BJ139" s="69"/>
      <c r="BL139" s="69"/>
      <c r="BM139" s="69"/>
      <c r="BN139" s="69"/>
      <c r="BO139" s="69"/>
      <c r="BP139" s="67" t="s">
        <v>231</v>
      </c>
      <c r="BQ139" s="6">
        <f t="shared" si="103"/>
        <v>563734</v>
      </c>
      <c r="BR139" s="69">
        <f t="shared" si="103"/>
        <v>5376</v>
      </c>
      <c r="BS139" s="69">
        <f t="shared" si="103"/>
        <v>59211</v>
      </c>
      <c r="BT139" s="69">
        <f t="shared" si="103"/>
        <v>31373</v>
      </c>
      <c r="BU139" s="69">
        <f t="shared" si="103"/>
        <v>11046</v>
      </c>
      <c r="BV139" s="69">
        <f t="shared" si="103"/>
        <v>3867</v>
      </c>
      <c r="BW139" s="69">
        <f t="shared" si="103"/>
        <v>62500</v>
      </c>
      <c r="BX139" s="69">
        <f t="shared" si="103"/>
        <v>51385</v>
      </c>
      <c r="BY139" s="69">
        <f t="shared" si="103"/>
        <v>248590</v>
      </c>
      <c r="BZ139" s="101">
        <v>270545</v>
      </c>
      <c r="CA139" s="101">
        <f>AVERAGE($BR$139:$BV$139)+50000</f>
        <v>72174.600000000006</v>
      </c>
      <c r="CB139" s="101">
        <f>AVERAGE($BR$139:$BV$139)+50000</f>
        <v>72174.600000000006</v>
      </c>
      <c r="CC139" s="101">
        <f>AVERAGE($BR$139:$BV$139)+50000</f>
        <v>72174.600000000006</v>
      </c>
      <c r="CD139" s="69">
        <f t="shared" si="105"/>
        <v>960416.79999999993</v>
      </c>
      <c r="CF139" s="7">
        <v>290785</v>
      </c>
      <c r="CG139" s="95">
        <f t="shared" si="109"/>
        <v>669631.79999999993</v>
      </c>
      <c r="CH139" s="1" t="s">
        <v>232</v>
      </c>
      <c r="EE139" s="82"/>
      <c r="EF139" s="82"/>
      <c r="EG139" s="82"/>
      <c r="EH139" s="82"/>
      <c r="EI139" s="82"/>
      <c r="EJ139" s="82"/>
      <c r="EK139" s="82"/>
      <c r="EL139" s="82"/>
      <c r="EM139" s="82"/>
      <c r="EN139" s="82"/>
      <c r="EO139" s="82"/>
      <c r="EP139" s="82"/>
      <c r="EQ139" s="82"/>
      <c r="ER139" s="82"/>
      <c r="ES139" s="82"/>
      <c r="ET139" s="82"/>
      <c r="EU139" s="82"/>
      <c r="EV139" s="82"/>
      <c r="EW139" s="82"/>
      <c r="EX139" s="82"/>
      <c r="EY139" s="82"/>
      <c r="EZ139" s="82"/>
      <c r="FA139" s="82"/>
      <c r="FB139" s="82"/>
      <c r="FC139" s="82"/>
      <c r="FD139" s="82"/>
      <c r="FE139" s="82"/>
      <c r="FF139" s="82"/>
      <c r="FG139" s="82"/>
      <c r="FH139" s="82"/>
      <c r="FI139" s="82"/>
      <c r="FJ139" s="82"/>
      <c r="FK139" s="82"/>
      <c r="FL139" s="82"/>
      <c r="FM139" s="82"/>
      <c r="FN139" s="82"/>
      <c r="FO139" s="82"/>
    </row>
    <row r="140" spans="1:171" x14ac:dyDescent="0.25">
      <c r="A140" s="67" t="s">
        <v>233</v>
      </c>
      <c r="B140" s="82">
        <v>0</v>
      </c>
      <c r="C140" s="82">
        <v>0</v>
      </c>
      <c r="D140" s="82">
        <v>0</v>
      </c>
      <c r="E140" s="82">
        <v>0</v>
      </c>
      <c r="G140" s="69">
        <v>0</v>
      </c>
      <c r="H140" s="69">
        <v>0</v>
      </c>
      <c r="I140" s="69">
        <v>0</v>
      </c>
      <c r="J140" s="69">
        <v>0</v>
      </c>
      <c r="K140" s="69">
        <v>0</v>
      </c>
      <c r="L140" s="69">
        <v>0</v>
      </c>
      <c r="M140" s="69">
        <v>0</v>
      </c>
      <c r="N140" s="69">
        <v>0</v>
      </c>
      <c r="O140" s="69">
        <v>0</v>
      </c>
      <c r="P140" s="69">
        <v>0</v>
      </c>
      <c r="Q140" s="69">
        <v>0</v>
      </c>
      <c r="R140" s="69">
        <v>0</v>
      </c>
      <c r="S140" s="69">
        <f t="shared" si="99"/>
        <v>0</v>
      </c>
      <c r="T140" s="69">
        <v>0</v>
      </c>
      <c r="U140" s="69">
        <v>0</v>
      </c>
      <c r="V140" s="69">
        <v>0</v>
      </c>
      <c r="W140" s="69">
        <v>0</v>
      </c>
      <c r="X140" s="69">
        <v>0</v>
      </c>
      <c r="Y140" s="69">
        <v>0</v>
      </c>
      <c r="Z140" s="69">
        <v>0</v>
      </c>
      <c r="AA140" s="69">
        <v>0</v>
      </c>
      <c r="AB140" s="69">
        <v>0</v>
      </c>
      <c r="AC140" s="69">
        <v>0</v>
      </c>
      <c r="AD140" s="69">
        <v>0</v>
      </c>
      <c r="AE140" s="69">
        <v>0</v>
      </c>
      <c r="AF140" s="69">
        <f t="shared" si="100"/>
        <v>0</v>
      </c>
      <c r="AG140" s="69">
        <v>0</v>
      </c>
      <c r="AH140" s="69">
        <v>0</v>
      </c>
      <c r="AI140" s="69">
        <v>0</v>
      </c>
      <c r="AJ140" s="69">
        <v>0</v>
      </c>
      <c r="AK140" s="69">
        <v>0</v>
      </c>
      <c r="AL140" s="69">
        <v>0</v>
      </c>
      <c r="AM140" s="69">
        <v>0</v>
      </c>
      <c r="AN140" s="69">
        <v>0</v>
      </c>
      <c r="AO140" s="69">
        <v>0</v>
      </c>
      <c r="AP140" s="69">
        <v>0</v>
      </c>
      <c r="AQ140" s="69">
        <v>0</v>
      </c>
      <c r="AR140" s="69">
        <v>0</v>
      </c>
      <c r="AS140" s="69">
        <f t="shared" si="101"/>
        <v>0</v>
      </c>
      <c r="AT140" s="69">
        <v>0</v>
      </c>
      <c r="AU140" s="69">
        <v>0</v>
      </c>
      <c r="AV140" s="69">
        <v>0</v>
      </c>
      <c r="AW140" s="69">
        <v>0</v>
      </c>
      <c r="AX140" s="69">
        <v>0</v>
      </c>
      <c r="AY140" s="69">
        <v>0</v>
      </c>
      <c r="AZ140" s="69">
        <v>0</v>
      </c>
      <c r="BA140" s="69">
        <v>0</v>
      </c>
      <c r="BB140" s="69">
        <v>0</v>
      </c>
      <c r="BC140" s="69">
        <v>0</v>
      </c>
      <c r="BD140" s="69">
        <v>0</v>
      </c>
      <c r="BE140" s="69">
        <v>0</v>
      </c>
      <c r="BF140" s="69">
        <f t="shared" si="102"/>
        <v>0</v>
      </c>
      <c r="BG140" s="69"/>
      <c r="BH140" s="69"/>
      <c r="BI140" s="69"/>
      <c r="BJ140" s="69"/>
      <c r="BL140" s="69"/>
      <c r="BM140" s="69"/>
      <c r="BN140" s="69"/>
      <c r="BO140" s="69"/>
      <c r="BP140" s="67" t="s">
        <v>233</v>
      </c>
      <c r="BQ140" s="6">
        <f t="shared" si="103"/>
        <v>0</v>
      </c>
      <c r="BR140" s="69">
        <f t="shared" si="103"/>
        <v>0</v>
      </c>
      <c r="BS140" s="69">
        <f t="shared" si="103"/>
        <v>0</v>
      </c>
      <c r="BT140" s="69">
        <f t="shared" si="103"/>
        <v>0</v>
      </c>
      <c r="BU140" s="69">
        <f t="shared" si="103"/>
        <v>0</v>
      </c>
      <c r="BV140" s="69">
        <f t="shared" si="103"/>
        <v>0</v>
      </c>
      <c r="BW140" s="69">
        <f t="shared" si="103"/>
        <v>0</v>
      </c>
      <c r="BX140" s="69">
        <f t="shared" si="103"/>
        <v>0</v>
      </c>
      <c r="BY140" s="69">
        <f t="shared" si="103"/>
        <v>0</v>
      </c>
      <c r="BZ140" s="69">
        <v>10000</v>
      </c>
      <c r="CA140" s="69">
        <v>15000</v>
      </c>
      <c r="CB140" s="69">
        <f t="shared" ref="BZ140:CC149" si="111">AVERAGE($BR140:$BT140)</f>
        <v>0</v>
      </c>
      <c r="CC140" s="69">
        <f t="shared" si="111"/>
        <v>0</v>
      </c>
      <c r="CD140" s="69">
        <f t="shared" si="105"/>
        <v>25000</v>
      </c>
      <c r="CF140" s="7">
        <v>0</v>
      </c>
      <c r="CG140" s="95">
        <f t="shared" si="109"/>
        <v>25000</v>
      </c>
      <c r="CH140" s="1" t="s">
        <v>234</v>
      </c>
      <c r="EE140" s="82"/>
      <c r="EF140" s="82"/>
      <c r="EG140" s="82"/>
      <c r="EH140" s="82"/>
      <c r="EI140" s="82"/>
      <c r="EJ140" s="82"/>
      <c r="EK140" s="82"/>
      <c r="EL140" s="82"/>
      <c r="EM140" s="82"/>
      <c r="EN140" s="82"/>
      <c r="EO140" s="82"/>
      <c r="EP140" s="82"/>
      <c r="EQ140" s="82"/>
      <c r="ER140" s="82"/>
      <c r="ES140" s="82"/>
      <c r="ET140" s="82"/>
      <c r="EU140" s="82"/>
      <c r="EV140" s="82"/>
      <c r="EW140" s="82"/>
      <c r="EX140" s="82"/>
      <c r="EY140" s="82"/>
      <c r="EZ140" s="82"/>
      <c r="FA140" s="82"/>
      <c r="FB140" s="82"/>
      <c r="FC140" s="82"/>
      <c r="FD140" s="82"/>
      <c r="FE140" s="82"/>
      <c r="FF140" s="82"/>
      <c r="FG140" s="82"/>
      <c r="FH140" s="82"/>
      <c r="FI140" s="82"/>
      <c r="FJ140" s="82"/>
      <c r="FK140" s="82"/>
      <c r="FL140" s="82"/>
      <c r="FM140" s="82"/>
      <c r="FN140" s="82"/>
      <c r="FO140" s="82"/>
    </row>
    <row r="141" spans="1:171" x14ac:dyDescent="0.25">
      <c r="A141" s="67" t="s">
        <v>235</v>
      </c>
      <c r="B141" s="82">
        <v>305656</v>
      </c>
      <c r="C141" s="82">
        <v>34592</v>
      </c>
      <c r="D141" s="82">
        <v>-96104</v>
      </c>
      <c r="E141" s="82">
        <v>367</v>
      </c>
      <c r="G141" s="69">
        <v>1597</v>
      </c>
      <c r="H141" s="69">
        <v>0</v>
      </c>
      <c r="I141" s="69">
        <v>0</v>
      </c>
      <c r="J141" s="69">
        <v>2819</v>
      </c>
      <c r="K141" s="69">
        <v>5210</v>
      </c>
      <c r="L141" s="69">
        <v>0</v>
      </c>
      <c r="M141" s="69">
        <v>0</v>
      </c>
      <c r="N141" s="69">
        <v>0</v>
      </c>
      <c r="O141" s="69">
        <v>15</v>
      </c>
      <c r="P141" s="69">
        <v>23396</v>
      </c>
      <c r="Q141" s="69">
        <v>1225</v>
      </c>
      <c r="R141" s="69">
        <v>330</v>
      </c>
      <c r="S141" s="69">
        <f t="shared" si="99"/>
        <v>34592</v>
      </c>
      <c r="T141" s="69">
        <v>408</v>
      </c>
      <c r="U141" s="69">
        <v>-101257</v>
      </c>
      <c r="V141" s="69">
        <v>236</v>
      </c>
      <c r="W141" s="69">
        <v>0</v>
      </c>
      <c r="X141" s="69">
        <v>1215</v>
      </c>
      <c r="Y141" s="69">
        <v>0</v>
      </c>
      <c r="Z141" s="69">
        <v>3293</v>
      </c>
      <c r="AA141" s="69">
        <v>0</v>
      </c>
      <c r="AB141" s="69">
        <v>0</v>
      </c>
      <c r="AC141" s="69">
        <v>0</v>
      </c>
      <c r="AD141" s="69">
        <v>0</v>
      </c>
      <c r="AE141" s="69">
        <v>0</v>
      </c>
      <c r="AF141" s="69">
        <f t="shared" si="100"/>
        <v>-96105</v>
      </c>
      <c r="AG141" s="69">
        <v>0</v>
      </c>
      <c r="AH141" s="69">
        <v>182</v>
      </c>
      <c r="AI141" s="69">
        <v>185</v>
      </c>
      <c r="AJ141" s="69">
        <v>0</v>
      </c>
      <c r="AK141" s="69">
        <v>0</v>
      </c>
      <c r="AL141" s="69">
        <v>0</v>
      </c>
      <c r="AM141" s="69">
        <v>0</v>
      </c>
      <c r="AN141" s="69">
        <v>0</v>
      </c>
      <c r="AO141" s="69">
        <v>0</v>
      </c>
      <c r="AP141" s="69">
        <v>0</v>
      </c>
      <c r="AQ141" s="69">
        <v>0</v>
      </c>
      <c r="AR141" s="69">
        <v>0</v>
      </c>
      <c r="AS141" s="69">
        <f t="shared" si="101"/>
        <v>367</v>
      </c>
      <c r="AT141" s="69">
        <v>0</v>
      </c>
      <c r="AU141" s="69">
        <v>0</v>
      </c>
      <c r="AV141" s="69">
        <v>2668</v>
      </c>
      <c r="AW141" s="69">
        <v>383</v>
      </c>
      <c r="AX141" s="69">
        <v>0</v>
      </c>
      <c r="AY141" s="69">
        <v>0</v>
      </c>
      <c r="AZ141" s="69">
        <v>0</v>
      </c>
      <c r="BA141" s="69">
        <v>0</v>
      </c>
      <c r="BB141" s="69">
        <v>0</v>
      </c>
      <c r="BC141" s="69">
        <v>0</v>
      </c>
      <c r="BD141" s="69">
        <v>0</v>
      </c>
      <c r="BE141" s="69">
        <v>0</v>
      </c>
      <c r="BF141" s="69">
        <f t="shared" si="102"/>
        <v>3051</v>
      </c>
      <c r="BG141" s="69"/>
      <c r="BH141" s="69"/>
      <c r="BI141" s="69"/>
      <c r="BJ141" s="69"/>
      <c r="BL141" s="69"/>
      <c r="BM141" s="69"/>
      <c r="BN141" s="69"/>
      <c r="BO141" s="69"/>
      <c r="BP141" s="67" t="s">
        <v>235</v>
      </c>
      <c r="BQ141" s="6">
        <f t="shared" si="103"/>
        <v>367</v>
      </c>
      <c r="BR141" s="69">
        <f t="shared" si="103"/>
        <v>0</v>
      </c>
      <c r="BS141" s="69">
        <f t="shared" si="103"/>
        <v>0</v>
      </c>
      <c r="BT141" s="69">
        <f t="shared" si="103"/>
        <v>2668</v>
      </c>
      <c r="BU141" s="69">
        <f t="shared" si="103"/>
        <v>383</v>
      </c>
      <c r="BV141" s="69">
        <f t="shared" si="103"/>
        <v>0</v>
      </c>
      <c r="BW141" s="69">
        <f t="shared" si="103"/>
        <v>0</v>
      </c>
      <c r="BX141" s="69">
        <f t="shared" si="103"/>
        <v>0</v>
      </c>
      <c r="BY141" s="69">
        <f t="shared" si="103"/>
        <v>0</v>
      </c>
      <c r="BZ141" s="105">
        <f t="shared" ref="BZ141:CC141" si="112">$BT$141</f>
        <v>2668</v>
      </c>
      <c r="CA141" s="105">
        <f t="shared" si="112"/>
        <v>2668</v>
      </c>
      <c r="CB141" s="105">
        <f t="shared" si="112"/>
        <v>2668</v>
      </c>
      <c r="CC141" s="105">
        <f t="shared" si="112"/>
        <v>2668</v>
      </c>
      <c r="CD141" s="69">
        <f t="shared" si="105"/>
        <v>13723</v>
      </c>
      <c r="CF141" s="7">
        <v>16391</v>
      </c>
      <c r="CG141" s="95">
        <f t="shared" si="109"/>
        <v>-2668</v>
      </c>
      <c r="EE141" s="82"/>
      <c r="EF141" s="82"/>
      <c r="EG141" s="82"/>
      <c r="EH141" s="82"/>
      <c r="EI141" s="82"/>
      <c r="EJ141" s="82"/>
      <c r="EK141" s="82"/>
      <c r="EL141" s="82"/>
      <c r="EM141" s="82"/>
      <c r="EN141" s="82"/>
      <c r="EO141" s="82"/>
      <c r="EP141" s="82"/>
      <c r="EQ141" s="82"/>
      <c r="ER141" s="82"/>
      <c r="ES141" s="82"/>
      <c r="ET141" s="82"/>
      <c r="EU141" s="82"/>
      <c r="EV141" s="82"/>
      <c r="EW141" s="82"/>
      <c r="EX141" s="82"/>
      <c r="EY141" s="82"/>
      <c r="EZ141" s="82"/>
      <c r="FA141" s="82"/>
      <c r="FB141" s="82"/>
      <c r="FC141" s="82"/>
      <c r="FD141" s="82"/>
      <c r="FE141" s="82"/>
      <c r="FF141" s="82"/>
      <c r="FG141" s="82"/>
      <c r="FH141" s="82"/>
      <c r="FI141" s="82"/>
      <c r="FJ141" s="82"/>
      <c r="FK141" s="82"/>
      <c r="FL141" s="82"/>
      <c r="FM141" s="82"/>
      <c r="FN141" s="82"/>
      <c r="FO141" s="82"/>
    </row>
    <row r="142" spans="1:171" x14ac:dyDescent="0.25">
      <c r="A142" s="121" t="s">
        <v>236</v>
      </c>
      <c r="B142" s="82"/>
      <c r="C142" s="82"/>
      <c r="D142" s="82"/>
      <c r="E142" s="82"/>
      <c r="G142" s="69">
        <v>0</v>
      </c>
      <c r="H142" s="69">
        <v>0</v>
      </c>
      <c r="I142" s="69">
        <v>0</v>
      </c>
      <c r="J142" s="69">
        <v>0</v>
      </c>
      <c r="K142" s="69">
        <v>0</v>
      </c>
      <c r="L142" s="69">
        <v>0</v>
      </c>
      <c r="M142" s="69">
        <v>0</v>
      </c>
      <c r="N142" s="69">
        <v>0</v>
      </c>
      <c r="O142" s="69">
        <v>0</v>
      </c>
      <c r="P142" s="69">
        <v>0</v>
      </c>
      <c r="Q142" s="69">
        <v>0</v>
      </c>
      <c r="R142" s="69">
        <v>0</v>
      </c>
      <c r="S142" s="69">
        <f t="shared" si="99"/>
        <v>0</v>
      </c>
      <c r="T142" s="69">
        <v>0</v>
      </c>
      <c r="U142" s="69">
        <v>0</v>
      </c>
      <c r="V142" s="69">
        <v>0</v>
      </c>
      <c r="W142" s="69">
        <v>0</v>
      </c>
      <c r="X142" s="69">
        <v>0</v>
      </c>
      <c r="Y142" s="69">
        <v>0</v>
      </c>
      <c r="Z142" s="69">
        <v>0</v>
      </c>
      <c r="AA142" s="69">
        <v>0</v>
      </c>
      <c r="AB142" s="69">
        <v>0</v>
      </c>
      <c r="AC142" s="69">
        <v>0</v>
      </c>
      <c r="AD142" s="69">
        <v>0</v>
      </c>
      <c r="AE142" s="69">
        <v>0</v>
      </c>
      <c r="AF142" s="69">
        <f t="shared" si="100"/>
        <v>0</v>
      </c>
      <c r="AG142" s="69">
        <v>0</v>
      </c>
      <c r="AH142" s="69">
        <v>7086</v>
      </c>
      <c r="AI142" s="69">
        <v>7892</v>
      </c>
      <c r="AJ142" s="69">
        <v>28779</v>
      </c>
      <c r="AK142" s="69">
        <v>18766</v>
      </c>
      <c r="AL142" s="69">
        <v>18929</v>
      </c>
      <c r="AM142" s="69">
        <v>14784</v>
      </c>
      <c r="AN142" s="69">
        <v>9362</v>
      </c>
      <c r="AO142" s="69">
        <v>14069</v>
      </c>
      <c r="AP142" s="69">
        <v>9380</v>
      </c>
      <c r="AQ142" s="69">
        <v>34238</v>
      </c>
      <c r="AR142" s="69">
        <v>24342</v>
      </c>
      <c r="AS142" s="69">
        <f t="shared" si="101"/>
        <v>187627</v>
      </c>
      <c r="AT142" s="69">
        <v>25048</v>
      </c>
      <c r="AU142" s="69">
        <v>25083</v>
      </c>
      <c r="AV142" s="69">
        <v>36676</v>
      </c>
      <c r="AW142" s="69">
        <v>34180</v>
      </c>
      <c r="AX142" s="69">
        <v>31938</v>
      </c>
      <c r="AY142" s="69">
        <v>32014</v>
      </c>
      <c r="AZ142" s="69">
        <v>31509</v>
      </c>
      <c r="BA142" s="69">
        <v>50318</v>
      </c>
      <c r="BB142" s="69">
        <v>30163</v>
      </c>
      <c r="BC142" s="69">
        <v>0</v>
      </c>
      <c r="BD142" s="69">
        <v>0</v>
      </c>
      <c r="BE142" s="69">
        <v>0</v>
      </c>
      <c r="BF142" s="69">
        <f t="shared" si="102"/>
        <v>296929</v>
      </c>
      <c r="BG142" s="69"/>
      <c r="BH142" s="69"/>
      <c r="BI142" s="69"/>
      <c r="BJ142" s="69"/>
      <c r="BL142" s="69"/>
      <c r="BM142" s="69"/>
      <c r="BN142" s="69"/>
      <c r="BO142" s="69"/>
      <c r="BP142" s="121" t="s">
        <v>236</v>
      </c>
      <c r="BQ142" s="6">
        <f t="shared" si="103"/>
        <v>187627</v>
      </c>
      <c r="BR142" s="69">
        <f t="shared" si="103"/>
        <v>25048</v>
      </c>
      <c r="BS142" s="69">
        <f t="shared" si="103"/>
        <v>25083</v>
      </c>
      <c r="BT142" s="69">
        <f t="shared" si="103"/>
        <v>36676</v>
      </c>
      <c r="BU142" s="69">
        <f t="shared" si="103"/>
        <v>34180</v>
      </c>
      <c r="BV142" s="69">
        <f t="shared" si="103"/>
        <v>31938</v>
      </c>
      <c r="BW142" s="69">
        <f t="shared" si="103"/>
        <v>32014</v>
      </c>
      <c r="BX142" s="69">
        <f t="shared" si="103"/>
        <v>31509</v>
      </c>
      <c r="BY142" s="69">
        <f t="shared" si="103"/>
        <v>50318</v>
      </c>
      <c r="BZ142" s="105">
        <f>AVERAGE($BT$142:$BX$142)</f>
        <v>33263.4</v>
      </c>
      <c r="CA142" s="105">
        <f>AVERAGE($BT$142:$BX$142)+20000</f>
        <v>53263.4</v>
      </c>
      <c r="CB142" s="105">
        <f>AVERAGE($BT$142:$BX$142)</f>
        <v>33263.4</v>
      </c>
      <c r="CC142" s="105">
        <f>AVERAGE($BT$142:$BX$142)</f>
        <v>33263.4</v>
      </c>
      <c r="CD142" s="69">
        <f t="shared" si="105"/>
        <v>419819.60000000009</v>
      </c>
      <c r="CF142" s="7">
        <v>387771.33333333337</v>
      </c>
      <c r="CG142" s="95">
        <f t="shared" si="109"/>
        <v>32048.266666666721</v>
      </c>
      <c r="EE142" s="82"/>
      <c r="EF142" s="82"/>
      <c r="EG142" s="82"/>
      <c r="EH142" s="82"/>
      <c r="EI142" s="82"/>
      <c r="EJ142" s="82"/>
      <c r="EK142" s="82"/>
      <c r="EL142" s="82"/>
      <c r="EM142" s="82"/>
      <c r="EN142" s="82"/>
      <c r="EO142" s="82"/>
      <c r="EP142" s="82"/>
      <c r="EQ142" s="82"/>
      <c r="ER142" s="82"/>
      <c r="ES142" s="82"/>
      <c r="ET142" s="82"/>
      <c r="EU142" s="82"/>
      <c r="EV142" s="82"/>
      <c r="EW142" s="82"/>
      <c r="EX142" s="82"/>
      <c r="EY142" s="82"/>
      <c r="EZ142" s="82"/>
      <c r="FA142" s="82"/>
      <c r="FB142" s="82"/>
      <c r="FC142" s="82"/>
      <c r="FD142" s="82"/>
      <c r="FE142" s="82"/>
      <c r="FF142" s="82"/>
      <c r="FG142" s="82"/>
      <c r="FH142" s="82"/>
      <c r="FI142" s="82"/>
      <c r="FJ142" s="82"/>
      <c r="FK142" s="82"/>
      <c r="FL142" s="82"/>
      <c r="FM142" s="82"/>
      <c r="FN142" s="82"/>
      <c r="FO142" s="82"/>
    </row>
    <row r="143" spans="1:171" x14ac:dyDescent="0.25">
      <c r="A143" s="121" t="s">
        <v>237</v>
      </c>
      <c r="B143" s="82">
        <v>1057868</v>
      </c>
      <c r="C143" s="82">
        <v>1609973</v>
      </c>
      <c r="D143" s="82">
        <v>1018897</v>
      </c>
      <c r="E143" s="82">
        <v>967381</v>
      </c>
      <c r="G143" s="69">
        <v>172355</v>
      </c>
      <c r="H143" s="69">
        <v>85651</v>
      </c>
      <c r="I143" s="69">
        <v>78223</v>
      </c>
      <c r="J143" s="69">
        <v>112885</v>
      </c>
      <c r="K143" s="69">
        <v>82537</v>
      </c>
      <c r="L143" s="69">
        <v>128146</v>
      </c>
      <c r="M143" s="69">
        <v>92087</v>
      </c>
      <c r="N143" s="69">
        <v>93752</v>
      </c>
      <c r="O143" s="69">
        <v>92377</v>
      </c>
      <c r="P143" s="69">
        <v>143333</v>
      </c>
      <c r="Q143" s="69">
        <v>97393</v>
      </c>
      <c r="R143" s="69">
        <v>431236</v>
      </c>
      <c r="S143" s="69">
        <f t="shared" si="99"/>
        <v>1609975</v>
      </c>
      <c r="T143" s="69">
        <v>90933</v>
      </c>
      <c r="U143" s="69">
        <v>98076</v>
      </c>
      <c r="V143" s="69">
        <v>141184</v>
      </c>
      <c r="W143" s="69">
        <v>-66317</v>
      </c>
      <c r="X143" s="69">
        <v>62220</v>
      </c>
      <c r="Y143" s="69">
        <v>71322</v>
      </c>
      <c r="Z143" s="69">
        <v>68825</v>
      </c>
      <c r="AA143" s="69">
        <v>67335</v>
      </c>
      <c r="AB143" s="69">
        <v>72181</v>
      </c>
      <c r="AC143" s="69">
        <v>83378</v>
      </c>
      <c r="AD143" s="69">
        <v>80549</v>
      </c>
      <c r="AE143" s="69">
        <v>249209</v>
      </c>
      <c r="AF143" s="69">
        <f t="shared" si="100"/>
        <v>1018895</v>
      </c>
      <c r="AG143" s="69">
        <v>-20605</v>
      </c>
      <c r="AH143" s="69">
        <v>38610</v>
      </c>
      <c r="AI143" s="69">
        <v>57037</v>
      </c>
      <c r="AJ143" s="69">
        <v>95085</v>
      </c>
      <c r="AK143" s="69">
        <v>59148</v>
      </c>
      <c r="AL143" s="69">
        <v>58452</v>
      </c>
      <c r="AM143" s="69">
        <v>136755</v>
      </c>
      <c r="AN143" s="69">
        <v>64230</v>
      </c>
      <c r="AO143" s="69">
        <v>95912</v>
      </c>
      <c r="AP143" s="69">
        <v>74179</v>
      </c>
      <c r="AQ143" s="69">
        <v>72094</v>
      </c>
      <c r="AR143" s="69">
        <v>48855</v>
      </c>
      <c r="AS143" s="69">
        <f t="shared" si="101"/>
        <v>779752</v>
      </c>
      <c r="AT143" s="69">
        <v>65832</v>
      </c>
      <c r="AU143" s="69">
        <v>66277</v>
      </c>
      <c r="AV143" s="69">
        <v>92494</v>
      </c>
      <c r="AW143" s="69">
        <v>64366</v>
      </c>
      <c r="AX143" s="69">
        <v>83052</v>
      </c>
      <c r="AY143" s="69">
        <v>77662</v>
      </c>
      <c r="AZ143" s="69">
        <v>74913</v>
      </c>
      <c r="BA143" s="69">
        <v>114480</v>
      </c>
      <c r="BB143" s="69">
        <v>55640</v>
      </c>
      <c r="BC143" s="69">
        <v>0</v>
      </c>
      <c r="BD143" s="69">
        <v>0</v>
      </c>
      <c r="BE143" s="69">
        <v>0</v>
      </c>
      <c r="BF143" s="69">
        <f t="shared" si="102"/>
        <v>694716</v>
      </c>
      <c r="BG143" s="69"/>
      <c r="BH143" s="69"/>
      <c r="BI143" s="69"/>
      <c r="BJ143" s="69"/>
      <c r="BL143" s="69"/>
      <c r="BM143" s="69"/>
      <c r="BN143" s="69"/>
      <c r="BO143" s="69"/>
      <c r="BP143" s="121" t="s">
        <v>237</v>
      </c>
      <c r="BQ143" s="6">
        <f t="shared" si="103"/>
        <v>779752</v>
      </c>
      <c r="BR143" s="69">
        <f t="shared" si="103"/>
        <v>65832</v>
      </c>
      <c r="BS143" s="70">
        <f t="shared" si="103"/>
        <v>66277</v>
      </c>
      <c r="BT143" s="69">
        <f t="shared" si="103"/>
        <v>92494</v>
      </c>
      <c r="BU143" s="69">
        <f t="shared" si="103"/>
        <v>64366</v>
      </c>
      <c r="BV143" s="69">
        <f t="shared" si="103"/>
        <v>83052</v>
      </c>
      <c r="BW143" s="69">
        <f t="shared" si="103"/>
        <v>77662</v>
      </c>
      <c r="BX143" s="69">
        <f t="shared" si="103"/>
        <v>74913</v>
      </c>
      <c r="BY143" s="69">
        <f t="shared" si="103"/>
        <v>114480</v>
      </c>
      <c r="BZ143" s="101">
        <f>AVERAGE($BR$143:$BY$143)</f>
        <v>79884.5</v>
      </c>
      <c r="CA143" s="101">
        <f>AVERAGE($BR$143:$BY$143)+20600</f>
        <v>100484.5</v>
      </c>
      <c r="CB143" s="101">
        <f t="shared" ref="CB143:CC143" si="113">AVERAGE($BR$143:$BY$143)</f>
        <v>79884.5</v>
      </c>
      <c r="CC143" s="101">
        <f t="shared" si="113"/>
        <v>79884.5</v>
      </c>
      <c r="CD143" s="69">
        <f t="shared" si="105"/>
        <v>979214</v>
      </c>
      <c r="CF143" s="7">
        <v>888206.75</v>
      </c>
      <c r="CG143" s="95">
        <f t="shared" si="109"/>
        <v>91007.25</v>
      </c>
      <c r="EE143" s="82"/>
      <c r="EF143" s="82"/>
      <c r="EG143" s="82"/>
      <c r="EH143" s="82"/>
      <c r="EI143" s="82"/>
      <c r="EJ143" s="82"/>
      <c r="EK143" s="82"/>
      <c r="EL143" s="82"/>
      <c r="EM143" s="82"/>
      <c r="EN143" s="82"/>
      <c r="EO143" s="82"/>
      <c r="EP143" s="82"/>
      <c r="EQ143" s="82"/>
      <c r="ER143" s="82"/>
      <c r="ES143" s="82"/>
      <c r="ET143" s="82"/>
      <c r="EU143" s="82"/>
      <c r="EV143" s="82"/>
      <c r="EW143" s="82"/>
      <c r="EX143" s="82"/>
      <c r="EY143" s="82"/>
      <c r="EZ143" s="82"/>
      <c r="FA143" s="82"/>
      <c r="FB143" s="82"/>
      <c r="FC143" s="82"/>
      <c r="FD143" s="82"/>
      <c r="FE143" s="82"/>
      <c r="FF143" s="82"/>
      <c r="FG143" s="82"/>
      <c r="FH143" s="82"/>
      <c r="FI143" s="82"/>
      <c r="FJ143" s="82"/>
      <c r="FK143" s="82"/>
      <c r="FL143" s="82"/>
      <c r="FM143" s="82"/>
      <c r="FN143" s="82"/>
      <c r="FO143" s="82"/>
    </row>
    <row r="144" spans="1:171" x14ac:dyDescent="0.25">
      <c r="A144" s="67" t="s">
        <v>238</v>
      </c>
      <c r="B144" s="82">
        <v>9634</v>
      </c>
      <c r="C144" s="82">
        <v>19856</v>
      </c>
      <c r="D144" s="82">
        <v>-7039</v>
      </c>
      <c r="E144" s="82">
        <v>451</v>
      </c>
      <c r="G144" s="69">
        <v>183</v>
      </c>
      <c r="H144" s="69">
        <v>2300</v>
      </c>
      <c r="I144" s="69">
        <v>110</v>
      </c>
      <c r="J144" s="69">
        <v>8578</v>
      </c>
      <c r="K144" s="69">
        <v>1389</v>
      </c>
      <c r="L144" s="69">
        <v>2680</v>
      </c>
      <c r="M144" s="69">
        <v>342</v>
      </c>
      <c r="N144" s="69">
        <v>4876</v>
      </c>
      <c r="O144" s="69">
        <v>462</v>
      </c>
      <c r="P144" s="69">
        <v>-1064</v>
      </c>
      <c r="Q144" s="69">
        <v>0</v>
      </c>
      <c r="R144" s="69">
        <v>0</v>
      </c>
      <c r="S144" s="69">
        <f t="shared" si="99"/>
        <v>19856</v>
      </c>
      <c r="T144" s="69">
        <v>658</v>
      </c>
      <c r="U144" s="69">
        <v>-760</v>
      </c>
      <c r="V144" s="69">
        <v>163</v>
      </c>
      <c r="W144" s="69">
        <v>-61</v>
      </c>
      <c r="X144" s="69">
        <v>1200</v>
      </c>
      <c r="Y144" s="69">
        <v>2816</v>
      </c>
      <c r="Z144" s="69">
        <v>0</v>
      </c>
      <c r="AA144" s="69">
        <v>1240</v>
      </c>
      <c r="AB144" s="69">
        <v>105</v>
      </c>
      <c r="AC144" s="69">
        <v>0</v>
      </c>
      <c r="AD144" s="69">
        <v>0</v>
      </c>
      <c r="AE144" s="69">
        <v>-12400</v>
      </c>
      <c r="AF144" s="69">
        <f t="shared" si="100"/>
        <v>-7039</v>
      </c>
      <c r="AG144" s="69">
        <v>18</v>
      </c>
      <c r="AH144" s="69">
        <v>270</v>
      </c>
      <c r="AI144" s="69">
        <v>0</v>
      </c>
      <c r="AJ144" s="69">
        <v>163</v>
      </c>
      <c r="AK144" s="69">
        <v>0</v>
      </c>
      <c r="AL144" s="69">
        <v>0</v>
      </c>
      <c r="AM144" s="69">
        <v>0</v>
      </c>
      <c r="AN144" s="69">
        <v>0</v>
      </c>
      <c r="AO144" s="69">
        <v>0</v>
      </c>
      <c r="AP144" s="69">
        <v>0</v>
      </c>
      <c r="AQ144" s="69">
        <v>0</v>
      </c>
      <c r="AR144" s="69">
        <v>0</v>
      </c>
      <c r="AS144" s="69">
        <f t="shared" si="101"/>
        <v>451</v>
      </c>
      <c r="AT144" s="69">
        <v>3881</v>
      </c>
      <c r="AU144" s="69">
        <v>3806</v>
      </c>
      <c r="AV144" s="69">
        <v>75</v>
      </c>
      <c r="AW144" s="69">
        <v>2066</v>
      </c>
      <c r="AX144" s="69">
        <v>0</v>
      </c>
      <c r="AY144" s="69">
        <v>0</v>
      </c>
      <c r="AZ144" s="69">
        <v>0</v>
      </c>
      <c r="BA144" s="69">
        <v>0</v>
      </c>
      <c r="BB144" s="69">
        <v>0</v>
      </c>
      <c r="BC144" s="69">
        <v>0</v>
      </c>
      <c r="BD144" s="69">
        <v>0</v>
      </c>
      <c r="BE144" s="69">
        <v>0</v>
      </c>
      <c r="BF144" s="69">
        <f t="shared" si="102"/>
        <v>9828</v>
      </c>
      <c r="BG144" s="69"/>
      <c r="BH144" s="69"/>
      <c r="BI144" s="69"/>
      <c r="BJ144" s="69"/>
      <c r="BL144" s="69"/>
      <c r="BM144" s="69"/>
      <c r="BN144" s="69"/>
      <c r="BO144" s="69"/>
      <c r="BP144" s="67" t="s">
        <v>238</v>
      </c>
      <c r="BQ144" s="6">
        <f t="shared" si="103"/>
        <v>451</v>
      </c>
      <c r="BR144" s="69">
        <f t="shared" si="103"/>
        <v>3881</v>
      </c>
      <c r="BS144" s="70">
        <f t="shared" si="103"/>
        <v>3806</v>
      </c>
      <c r="BT144" s="70">
        <f t="shared" si="103"/>
        <v>75</v>
      </c>
      <c r="BU144" s="70">
        <f t="shared" si="103"/>
        <v>2066</v>
      </c>
      <c r="BV144" s="70">
        <f t="shared" si="103"/>
        <v>0</v>
      </c>
      <c r="BW144" s="70">
        <f t="shared" si="103"/>
        <v>0</v>
      </c>
      <c r="BX144" s="70">
        <f t="shared" si="103"/>
        <v>0</v>
      </c>
      <c r="BY144" s="70">
        <f t="shared" si="103"/>
        <v>0</v>
      </c>
      <c r="BZ144" s="69">
        <f t="shared" ref="BZ144:CC144" si="114">AVERAGE($BR$144:$BU$144)</f>
        <v>2457</v>
      </c>
      <c r="CA144" s="69">
        <f t="shared" si="114"/>
        <v>2457</v>
      </c>
      <c r="CB144" s="69">
        <f t="shared" si="114"/>
        <v>2457</v>
      </c>
      <c r="CC144" s="69">
        <f t="shared" si="114"/>
        <v>2457</v>
      </c>
      <c r="CD144" s="69">
        <f t="shared" si="105"/>
        <v>19656</v>
      </c>
      <c r="CF144" s="7">
        <v>22113</v>
      </c>
      <c r="CG144" s="95">
        <f t="shared" si="109"/>
        <v>-2457</v>
      </c>
      <c r="EE144" s="82"/>
      <c r="EF144" s="82"/>
      <c r="EG144" s="82"/>
      <c r="EH144" s="82"/>
      <c r="EI144" s="82"/>
      <c r="EJ144" s="82"/>
      <c r="EK144" s="82"/>
      <c r="EL144" s="82"/>
      <c r="EM144" s="82"/>
      <c r="EN144" s="82"/>
      <c r="EO144" s="82"/>
      <c r="EP144" s="82"/>
      <c r="EQ144" s="82"/>
      <c r="ER144" s="82"/>
      <c r="ES144" s="82"/>
      <c r="ET144" s="82"/>
      <c r="EU144" s="82"/>
      <c r="EV144" s="82"/>
      <c r="EW144" s="82"/>
      <c r="EX144" s="82"/>
      <c r="EY144" s="82"/>
      <c r="EZ144" s="82"/>
      <c r="FA144" s="82"/>
      <c r="FB144" s="82"/>
      <c r="FC144" s="82"/>
      <c r="FD144" s="82"/>
      <c r="FE144" s="82"/>
      <c r="FF144" s="82"/>
      <c r="FG144" s="82"/>
      <c r="FH144" s="82"/>
      <c r="FI144" s="82"/>
      <c r="FJ144" s="82"/>
      <c r="FK144" s="82"/>
      <c r="FL144" s="82"/>
      <c r="FM144" s="82"/>
      <c r="FN144" s="82"/>
      <c r="FO144" s="82"/>
    </row>
    <row r="145" spans="1:171" x14ac:dyDescent="0.25">
      <c r="A145" s="67" t="s">
        <v>239</v>
      </c>
      <c r="B145" s="82">
        <v>31097</v>
      </c>
      <c r="C145" s="82">
        <v>77534</v>
      </c>
      <c r="D145" s="82">
        <v>36972</v>
      </c>
      <c r="E145" s="82">
        <v>33129</v>
      </c>
      <c r="G145" s="69">
        <v>22734</v>
      </c>
      <c r="H145" s="69">
        <v>4693</v>
      </c>
      <c r="I145" s="69">
        <v>8096</v>
      </c>
      <c r="J145" s="69">
        <v>8555</v>
      </c>
      <c r="K145" s="69">
        <v>1581</v>
      </c>
      <c r="L145" s="69">
        <v>6500</v>
      </c>
      <c r="M145" s="69">
        <v>141</v>
      </c>
      <c r="N145" s="69">
        <v>8375</v>
      </c>
      <c r="O145" s="69">
        <v>8222</v>
      </c>
      <c r="P145" s="69">
        <v>2633</v>
      </c>
      <c r="Q145" s="69">
        <v>4426</v>
      </c>
      <c r="R145" s="69">
        <v>1578</v>
      </c>
      <c r="S145" s="69">
        <f t="shared" si="99"/>
        <v>77534</v>
      </c>
      <c r="T145" s="69">
        <v>7434</v>
      </c>
      <c r="U145" s="69">
        <v>3592</v>
      </c>
      <c r="V145" s="69">
        <v>2699</v>
      </c>
      <c r="W145" s="69">
        <v>2765</v>
      </c>
      <c r="X145" s="69">
        <v>2563</v>
      </c>
      <c r="Y145" s="69">
        <v>2674</v>
      </c>
      <c r="Z145" s="69">
        <v>2550</v>
      </c>
      <c r="AA145" s="69">
        <v>2594</v>
      </c>
      <c r="AB145" s="69">
        <v>2557</v>
      </c>
      <c r="AC145" s="69">
        <v>2573</v>
      </c>
      <c r="AD145" s="69">
        <v>2503</v>
      </c>
      <c r="AE145" s="69">
        <v>2469</v>
      </c>
      <c r="AF145" s="69">
        <f t="shared" si="100"/>
        <v>36973</v>
      </c>
      <c r="AG145" s="69">
        <v>2670</v>
      </c>
      <c r="AH145" s="69">
        <v>2457</v>
      </c>
      <c r="AI145" s="69">
        <v>2612</v>
      </c>
      <c r="AJ145" s="69">
        <v>2492</v>
      </c>
      <c r="AK145" s="69">
        <v>2463</v>
      </c>
      <c r="AL145" s="69">
        <v>2309</v>
      </c>
      <c r="AM145" s="69">
        <v>2345</v>
      </c>
      <c r="AN145" s="69">
        <v>2537</v>
      </c>
      <c r="AO145" s="69">
        <v>2566</v>
      </c>
      <c r="AP145" s="69">
        <v>2400</v>
      </c>
      <c r="AQ145" s="69">
        <v>3481</v>
      </c>
      <c r="AR145" s="69">
        <v>4796</v>
      </c>
      <c r="AS145" s="69">
        <f t="shared" si="101"/>
        <v>33128</v>
      </c>
      <c r="AT145" s="69">
        <v>4646</v>
      </c>
      <c r="AU145" s="69">
        <v>8091</v>
      </c>
      <c r="AV145" s="69">
        <v>1664</v>
      </c>
      <c r="AW145" s="69">
        <v>4665</v>
      </c>
      <c r="AX145" s="69">
        <v>6394</v>
      </c>
      <c r="AY145" s="69">
        <v>4919</v>
      </c>
      <c r="AZ145" s="69">
        <v>4775</v>
      </c>
      <c r="BA145" s="69">
        <v>5596</v>
      </c>
      <c r="BB145" s="69">
        <v>4521</v>
      </c>
      <c r="BC145" s="69">
        <v>0</v>
      </c>
      <c r="BD145" s="69">
        <v>0</v>
      </c>
      <c r="BE145" s="69">
        <v>0</v>
      </c>
      <c r="BF145" s="73">
        <f t="shared" si="102"/>
        <v>45271</v>
      </c>
      <c r="BG145" s="99">
        <f>AVERAGE(AT145:AX145)</f>
        <v>5092</v>
      </c>
      <c r="BH145" s="69"/>
      <c r="BI145" s="69"/>
      <c r="BJ145" s="69"/>
      <c r="BL145" s="69"/>
      <c r="BM145" s="69"/>
      <c r="BN145" s="69"/>
      <c r="BO145" s="69"/>
      <c r="BP145" s="67" t="s">
        <v>239</v>
      </c>
      <c r="BQ145" s="6">
        <f t="shared" si="103"/>
        <v>33128</v>
      </c>
      <c r="BR145" s="69">
        <f t="shared" si="103"/>
        <v>4646</v>
      </c>
      <c r="BS145" s="70">
        <f t="shared" si="103"/>
        <v>8091</v>
      </c>
      <c r="BT145" s="70">
        <f t="shared" si="103"/>
        <v>1664</v>
      </c>
      <c r="BU145" s="70">
        <f t="shared" si="103"/>
        <v>4665</v>
      </c>
      <c r="BV145" s="70">
        <f t="shared" si="103"/>
        <v>6394</v>
      </c>
      <c r="BW145" s="70">
        <f t="shared" si="103"/>
        <v>4919</v>
      </c>
      <c r="BX145" s="70">
        <f t="shared" si="103"/>
        <v>4775</v>
      </c>
      <c r="BY145" s="70">
        <f t="shared" si="103"/>
        <v>5596</v>
      </c>
      <c r="BZ145" s="69">
        <f>AVERAGE($BR145:$BY145)+700</f>
        <v>5793.75</v>
      </c>
      <c r="CA145" s="69">
        <f>AVERAGE($BR145:$BY145)+700+5000</f>
        <v>10793.75</v>
      </c>
      <c r="CB145" s="69">
        <f>AVERAGE($BR145:$BY145)+700</f>
        <v>5793.75</v>
      </c>
      <c r="CC145" s="69">
        <f>AVERAGE($BR145:$BY145)+700</f>
        <v>5793.75</v>
      </c>
      <c r="CD145" s="69">
        <f t="shared" si="105"/>
        <v>68925</v>
      </c>
      <c r="CF145" s="7">
        <v>59422.5</v>
      </c>
      <c r="CG145" s="95">
        <f t="shared" si="109"/>
        <v>9502.5</v>
      </c>
      <c r="EE145" s="82"/>
      <c r="EF145" s="82"/>
      <c r="EG145" s="82"/>
      <c r="EH145" s="82"/>
      <c r="EI145" s="82"/>
      <c r="EJ145" s="82"/>
      <c r="EK145" s="82"/>
      <c r="EL145" s="82"/>
      <c r="EM145" s="82"/>
      <c r="EN145" s="82"/>
      <c r="EO145" s="82"/>
      <c r="EP145" s="82"/>
      <c r="EQ145" s="82"/>
      <c r="ER145" s="82"/>
      <c r="ES145" s="82"/>
      <c r="ET145" s="82"/>
      <c r="EU145" s="82"/>
      <c r="EV145" s="82"/>
      <c r="EW145" s="82"/>
      <c r="EX145" s="82"/>
      <c r="EY145" s="82"/>
      <c r="EZ145" s="82"/>
      <c r="FA145" s="82"/>
      <c r="FB145" s="82"/>
      <c r="FC145" s="82"/>
      <c r="FD145" s="82"/>
      <c r="FE145" s="82"/>
      <c r="FF145" s="82"/>
      <c r="FG145" s="82"/>
      <c r="FH145" s="82"/>
      <c r="FI145" s="82"/>
      <c r="FJ145" s="82"/>
      <c r="FK145" s="82"/>
      <c r="FL145" s="82"/>
      <c r="FM145" s="82"/>
      <c r="FN145" s="82"/>
      <c r="FO145" s="82"/>
    </row>
    <row r="146" spans="1:171" x14ac:dyDescent="0.25">
      <c r="A146" s="67" t="s">
        <v>240</v>
      </c>
      <c r="B146" s="82">
        <v>5306</v>
      </c>
      <c r="C146" s="82">
        <v>7739</v>
      </c>
      <c r="D146" s="82">
        <v>10852</v>
      </c>
      <c r="E146" s="82">
        <v>8594</v>
      </c>
      <c r="G146" s="69">
        <v>32</v>
      </c>
      <c r="H146" s="69">
        <v>28</v>
      </c>
      <c r="I146" s="69">
        <v>350</v>
      </c>
      <c r="J146" s="69">
        <v>128</v>
      </c>
      <c r="K146" s="69">
        <v>32</v>
      </c>
      <c r="L146" s="69">
        <v>974</v>
      </c>
      <c r="M146" s="69">
        <v>0</v>
      </c>
      <c r="N146" s="69">
        <v>4581</v>
      </c>
      <c r="O146" s="69">
        <v>0</v>
      </c>
      <c r="P146" s="69">
        <v>1452</v>
      </c>
      <c r="Q146" s="69">
        <v>19</v>
      </c>
      <c r="R146" s="69">
        <v>142</v>
      </c>
      <c r="S146" s="69">
        <f t="shared" si="99"/>
        <v>7738</v>
      </c>
      <c r="T146" s="69">
        <v>35</v>
      </c>
      <c r="U146" s="69">
        <v>519</v>
      </c>
      <c r="V146" s="69">
        <v>678</v>
      </c>
      <c r="W146" s="69">
        <v>328</v>
      </c>
      <c r="X146" s="69">
        <v>143</v>
      </c>
      <c r="Y146" s="69">
        <v>0</v>
      </c>
      <c r="Z146" s="69">
        <v>322</v>
      </c>
      <c r="AA146" s="69">
        <v>376</v>
      </c>
      <c r="AB146" s="69">
        <v>2526</v>
      </c>
      <c r="AC146" s="69">
        <v>48</v>
      </c>
      <c r="AD146" s="69">
        <v>0</v>
      </c>
      <c r="AE146" s="69">
        <v>5878</v>
      </c>
      <c r="AF146" s="69">
        <f t="shared" si="100"/>
        <v>10853</v>
      </c>
      <c r="AG146" s="69">
        <v>0</v>
      </c>
      <c r="AH146" s="69">
        <v>0</v>
      </c>
      <c r="AI146" s="69">
        <v>415</v>
      </c>
      <c r="AJ146" s="69">
        <v>103</v>
      </c>
      <c r="AK146" s="69">
        <v>763</v>
      </c>
      <c r="AL146" s="69">
        <v>833</v>
      </c>
      <c r="AM146" s="69">
        <v>753</v>
      </c>
      <c r="AN146" s="69">
        <v>367</v>
      </c>
      <c r="AO146" s="69">
        <v>2827</v>
      </c>
      <c r="AP146" s="69">
        <v>441</v>
      </c>
      <c r="AQ146" s="69">
        <v>598</v>
      </c>
      <c r="AR146" s="69">
        <v>1495</v>
      </c>
      <c r="AS146" s="69">
        <f t="shared" si="101"/>
        <v>8595</v>
      </c>
      <c r="AT146" s="69">
        <v>977</v>
      </c>
      <c r="AU146" s="69">
        <v>695</v>
      </c>
      <c r="AV146" s="69">
        <v>4291</v>
      </c>
      <c r="AW146" s="69">
        <v>23240</v>
      </c>
      <c r="AX146" s="69">
        <v>6754</v>
      </c>
      <c r="AY146" s="69">
        <v>913</v>
      </c>
      <c r="AZ146" s="69">
        <v>1258</v>
      </c>
      <c r="BA146" s="69">
        <v>1049</v>
      </c>
      <c r="BB146" s="69">
        <v>1032</v>
      </c>
      <c r="BC146" s="69">
        <v>0</v>
      </c>
      <c r="BD146" s="69">
        <v>0</v>
      </c>
      <c r="BE146" s="69">
        <v>0</v>
      </c>
      <c r="BF146" s="69">
        <f t="shared" si="102"/>
        <v>40209</v>
      </c>
      <c r="BG146" s="69"/>
      <c r="BH146" s="69"/>
      <c r="BI146" s="69"/>
      <c r="BJ146" s="69"/>
      <c r="BL146" s="69"/>
      <c r="BM146" s="69"/>
      <c r="BN146" s="69"/>
      <c r="BO146" s="69"/>
      <c r="BP146" s="67" t="s">
        <v>240</v>
      </c>
      <c r="BQ146" s="6">
        <f t="shared" si="103"/>
        <v>8595</v>
      </c>
      <c r="BR146" s="69">
        <f t="shared" si="103"/>
        <v>977</v>
      </c>
      <c r="BS146" s="70">
        <f t="shared" si="103"/>
        <v>695</v>
      </c>
      <c r="BT146" s="70">
        <f t="shared" si="103"/>
        <v>4291</v>
      </c>
      <c r="BU146" s="70">
        <f t="shared" si="103"/>
        <v>23240</v>
      </c>
      <c r="BV146" s="70">
        <f t="shared" si="103"/>
        <v>6754</v>
      </c>
      <c r="BW146" s="70">
        <f t="shared" si="103"/>
        <v>913</v>
      </c>
      <c r="BX146" s="70">
        <f t="shared" si="103"/>
        <v>1258</v>
      </c>
      <c r="BY146" s="70">
        <f t="shared" si="103"/>
        <v>1049</v>
      </c>
      <c r="BZ146" s="101">
        <v>2000</v>
      </c>
      <c r="CA146" s="101">
        <v>2000</v>
      </c>
      <c r="CB146" s="101">
        <v>2000</v>
      </c>
      <c r="CC146" s="101">
        <v>2000</v>
      </c>
      <c r="CD146" s="69">
        <f t="shared" si="105"/>
        <v>47177</v>
      </c>
      <c r="CF146" s="7">
        <v>73825.333333333328</v>
      </c>
      <c r="CG146" s="95">
        <f t="shared" si="109"/>
        <v>-26648.333333333328</v>
      </c>
      <c r="CH146" s="1" t="s">
        <v>241</v>
      </c>
      <c r="EE146" s="82"/>
      <c r="EF146" s="82"/>
      <c r="EG146" s="82"/>
      <c r="EH146" s="82"/>
      <c r="EI146" s="82"/>
      <c r="EJ146" s="82"/>
      <c r="EK146" s="82"/>
      <c r="EL146" s="82"/>
      <c r="EM146" s="82"/>
      <c r="EN146" s="82"/>
      <c r="EO146" s="82"/>
      <c r="EP146" s="82"/>
      <c r="EQ146" s="82"/>
      <c r="ER146" s="82"/>
      <c r="ES146" s="82"/>
      <c r="ET146" s="82"/>
      <c r="EU146" s="82"/>
      <c r="EV146" s="82"/>
      <c r="EW146" s="82"/>
      <c r="EX146" s="82"/>
      <c r="EY146" s="82"/>
      <c r="EZ146" s="82"/>
      <c r="FA146" s="82"/>
      <c r="FB146" s="82"/>
      <c r="FC146" s="82"/>
      <c r="FD146" s="82"/>
      <c r="FE146" s="82"/>
      <c r="FF146" s="82"/>
      <c r="FG146" s="82"/>
      <c r="FH146" s="82"/>
      <c r="FI146" s="82"/>
      <c r="FJ146" s="82"/>
      <c r="FK146" s="82"/>
      <c r="FL146" s="82"/>
      <c r="FM146" s="82"/>
      <c r="FN146" s="82"/>
      <c r="FO146" s="82"/>
    </row>
    <row r="147" spans="1:171" x14ac:dyDescent="0.25">
      <c r="A147" s="67" t="s">
        <v>242</v>
      </c>
      <c r="B147" s="82">
        <v>116507</v>
      </c>
      <c r="C147" s="82">
        <v>87149</v>
      </c>
      <c r="D147" s="82">
        <v>193229</v>
      </c>
      <c r="E147" s="82">
        <v>164655</v>
      </c>
      <c r="G147" s="69">
        <v>6045</v>
      </c>
      <c r="H147" s="69">
        <v>14307</v>
      </c>
      <c r="I147" s="69">
        <v>9360</v>
      </c>
      <c r="J147" s="69">
        <v>12831</v>
      </c>
      <c r="K147" s="69">
        <v>12096</v>
      </c>
      <c r="L147" s="69">
        <v>556</v>
      </c>
      <c r="M147" s="69">
        <v>-13793</v>
      </c>
      <c r="N147" s="69">
        <v>17451</v>
      </c>
      <c r="O147" s="69">
        <v>4059</v>
      </c>
      <c r="P147" s="69">
        <v>5600</v>
      </c>
      <c r="Q147" s="69">
        <v>2177</v>
      </c>
      <c r="R147" s="69">
        <v>16461</v>
      </c>
      <c r="S147" s="69">
        <f t="shared" si="99"/>
        <v>87150</v>
      </c>
      <c r="T147" s="69">
        <v>15160</v>
      </c>
      <c r="U147" s="69">
        <v>13946</v>
      </c>
      <c r="V147" s="69">
        <v>12647</v>
      </c>
      <c r="W147" s="69">
        <v>10909</v>
      </c>
      <c r="X147" s="69">
        <v>6672</v>
      </c>
      <c r="Y147" s="69">
        <v>12424</v>
      </c>
      <c r="Z147" s="69">
        <v>28098</v>
      </c>
      <c r="AA147" s="69">
        <v>10209</v>
      </c>
      <c r="AB147" s="69">
        <v>26419</v>
      </c>
      <c r="AC147" s="69">
        <v>19698</v>
      </c>
      <c r="AD147" s="69">
        <v>14647</v>
      </c>
      <c r="AE147" s="69">
        <v>22400</v>
      </c>
      <c r="AF147" s="69">
        <f t="shared" si="100"/>
        <v>193229</v>
      </c>
      <c r="AG147" s="69">
        <v>29197</v>
      </c>
      <c r="AH147" s="69">
        <v>93331</v>
      </c>
      <c r="AI147" s="69">
        <v>-58342</v>
      </c>
      <c r="AJ147" s="69">
        <v>14420</v>
      </c>
      <c r="AK147" s="69">
        <v>12881</v>
      </c>
      <c r="AL147" s="69">
        <v>7973</v>
      </c>
      <c r="AM147" s="69">
        <v>8469</v>
      </c>
      <c r="AN147" s="69">
        <v>6660</v>
      </c>
      <c r="AO147" s="69">
        <v>5709</v>
      </c>
      <c r="AP147" s="69">
        <v>12819</v>
      </c>
      <c r="AQ147" s="69">
        <v>16506</v>
      </c>
      <c r="AR147" s="69">
        <v>15032</v>
      </c>
      <c r="AS147" s="69">
        <f t="shared" si="101"/>
        <v>164655</v>
      </c>
      <c r="AT147" s="69">
        <v>14153</v>
      </c>
      <c r="AU147" s="69">
        <v>16953</v>
      </c>
      <c r="AV147" s="70">
        <v>13766</v>
      </c>
      <c r="AW147" s="69">
        <v>12902</v>
      </c>
      <c r="AX147" s="69">
        <v>11418</v>
      </c>
      <c r="AY147" s="69">
        <v>11186</v>
      </c>
      <c r="AZ147" s="69">
        <v>10291</v>
      </c>
      <c r="BA147" s="69">
        <v>11612</v>
      </c>
      <c r="BB147" s="69">
        <v>2113</v>
      </c>
      <c r="BC147" s="69">
        <v>0</v>
      </c>
      <c r="BD147" s="69">
        <v>0</v>
      </c>
      <c r="BE147" s="69">
        <v>0</v>
      </c>
      <c r="BF147" s="73">
        <f t="shared" si="102"/>
        <v>104394</v>
      </c>
      <c r="BG147" s="99">
        <f>AVERAGE(AT147:AX147)</f>
        <v>13838.4</v>
      </c>
      <c r="BH147" s="69"/>
      <c r="BI147" s="69"/>
      <c r="BJ147" s="69"/>
      <c r="BL147" s="69"/>
      <c r="BM147" s="69"/>
      <c r="BN147" s="69"/>
      <c r="BO147" s="69"/>
      <c r="BP147" s="67" t="s">
        <v>242</v>
      </c>
      <c r="BQ147" s="6">
        <f t="shared" si="103"/>
        <v>164655</v>
      </c>
      <c r="BR147" s="69">
        <f t="shared" si="103"/>
        <v>14153</v>
      </c>
      <c r="BS147" s="70">
        <f t="shared" si="103"/>
        <v>16953</v>
      </c>
      <c r="BT147" s="70">
        <f t="shared" si="103"/>
        <v>13766</v>
      </c>
      <c r="BU147" s="70">
        <f t="shared" si="103"/>
        <v>12902</v>
      </c>
      <c r="BV147" s="70">
        <f t="shared" si="103"/>
        <v>11418</v>
      </c>
      <c r="BW147" s="70">
        <f t="shared" si="103"/>
        <v>11186</v>
      </c>
      <c r="BX147" s="70">
        <f t="shared" si="103"/>
        <v>10291</v>
      </c>
      <c r="BY147" s="70">
        <f t="shared" si="103"/>
        <v>11612</v>
      </c>
      <c r="BZ147" s="69">
        <f>AVERAGE($BR147:$BY147)</f>
        <v>12785.125</v>
      </c>
      <c r="CA147" s="69">
        <f>AVERAGE($BR147:$BY147)+(75000*0.2)</f>
        <v>27785.125</v>
      </c>
      <c r="CB147" s="69">
        <f t="shared" ref="CB147:CC147" si="115">AVERAGE($BR147:$BY147)</f>
        <v>12785.125</v>
      </c>
      <c r="CC147" s="69">
        <f t="shared" si="115"/>
        <v>12785.125</v>
      </c>
      <c r="CD147" s="69">
        <f t="shared" si="105"/>
        <v>168421.5</v>
      </c>
      <c r="CF147" s="7">
        <v>165455.66666666669</v>
      </c>
      <c r="CG147" s="95">
        <f t="shared" si="109"/>
        <v>2965.8333333333139</v>
      </c>
      <c r="EE147" s="82"/>
      <c r="EF147" s="82"/>
      <c r="EG147" s="82"/>
      <c r="EH147" s="82"/>
      <c r="EI147" s="82"/>
      <c r="EJ147" s="82"/>
      <c r="EK147" s="82"/>
      <c r="EL147" s="82"/>
      <c r="EM147" s="82"/>
      <c r="EN147" s="82"/>
      <c r="EO147" s="82"/>
      <c r="EP147" s="82"/>
      <c r="EQ147" s="82"/>
      <c r="ER147" s="82"/>
      <c r="ES147" s="82"/>
      <c r="ET147" s="82"/>
      <c r="EU147" s="82"/>
      <c r="EV147" s="82"/>
      <c r="EW147" s="82"/>
      <c r="EX147" s="82"/>
      <c r="EY147" s="82"/>
      <c r="EZ147" s="82"/>
      <c r="FA147" s="82"/>
      <c r="FB147" s="82"/>
      <c r="FC147" s="82"/>
      <c r="FD147" s="82"/>
      <c r="FE147" s="82"/>
      <c r="FF147" s="82"/>
      <c r="FG147" s="82"/>
      <c r="FH147" s="82"/>
      <c r="FI147" s="82"/>
      <c r="FJ147" s="82"/>
      <c r="FK147" s="82"/>
      <c r="FL147" s="82"/>
      <c r="FM147" s="82"/>
      <c r="FN147" s="82"/>
      <c r="FO147" s="82"/>
    </row>
    <row r="148" spans="1:171" x14ac:dyDescent="0.25">
      <c r="A148" s="67" t="s">
        <v>243</v>
      </c>
      <c r="B148" s="82">
        <v>2029</v>
      </c>
      <c r="C148" s="82">
        <v>171</v>
      </c>
      <c r="D148" s="82">
        <v>11603</v>
      </c>
      <c r="E148" s="82">
        <v>1564</v>
      </c>
      <c r="G148" s="69">
        <v>0</v>
      </c>
      <c r="H148" s="69">
        <v>0</v>
      </c>
      <c r="I148" s="69">
        <v>0</v>
      </c>
      <c r="J148" s="69">
        <v>0</v>
      </c>
      <c r="K148" s="69">
        <v>14</v>
      </c>
      <c r="L148" s="69">
        <v>0</v>
      </c>
      <c r="M148" s="69">
        <v>0</v>
      </c>
      <c r="N148" s="69">
        <v>157</v>
      </c>
      <c r="O148" s="69">
        <v>0</v>
      </c>
      <c r="P148" s="69">
        <v>0</v>
      </c>
      <c r="Q148" s="69">
        <v>0</v>
      </c>
      <c r="R148" s="69">
        <v>0</v>
      </c>
      <c r="S148" s="69">
        <f t="shared" si="99"/>
        <v>171</v>
      </c>
      <c r="T148" s="69">
        <v>0</v>
      </c>
      <c r="U148" s="69">
        <v>0</v>
      </c>
      <c r="V148" s="69">
        <v>61</v>
      </c>
      <c r="W148" s="69">
        <v>0</v>
      </c>
      <c r="X148" s="69">
        <v>283</v>
      </c>
      <c r="Y148" s="69">
        <v>862</v>
      </c>
      <c r="Z148" s="69">
        <v>1196</v>
      </c>
      <c r="AA148" s="69">
        <v>1044</v>
      </c>
      <c r="AB148" s="69">
        <v>473</v>
      </c>
      <c r="AC148" s="69">
        <v>954</v>
      </c>
      <c r="AD148" s="69">
        <v>568</v>
      </c>
      <c r="AE148" s="69">
        <v>6162</v>
      </c>
      <c r="AF148" s="69">
        <f t="shared" si="100"/>
        <v>11603</v>
      </c>
      <c r="AG148" s="69">
        <v>159</v>
      </c>
      <c r="AH148" s="69">
        <v>36</v>
      </c>
      <c r="AI148" s="69">
        <v>0</v>
      </c>
      <c r="AJ148" s="69">
        <v>185</v>
      </c>
      <c r="AK148" s="69">
        <v>0</v>
      </c>
      <c r="AL148" s="69">
        <v>132</v>
      </c>
      <c r="AM148" s="69">
        <v>0</v>
      </c>
      <c r="AN148" s="69">
        <v>42</v>
      </c>
      <c r="AO148" s="69">
        <v>88</v>
      </c>
      <c r="AP148" s="69">
        <v>0</v>
      </c>
      <c r="AQ148" s="69">
        <v>403</v>
      </c>
      <c r="AR148" s="69">
        <v>518</v>
      </c>
      <c r="AS148" s="69">
        <f t="shared" si="101"/>
        <v>1563</v>
      </c>
      <c r="AT148" s="69">
        <v>101</v>
      </c>
      <c r="AU148" s="69">
        <v>0</v>
      </c>
      <c r="AV148" s="69">
        <v>0</v>
      </c>
      <c r="AW148" s="69">
        <v>0</v>
      </c>
      <c r="AX148" s="69">
        <v>0</v>
      </c>
      <c r="AY148" s="69">
        <v>48</v>
      </c>
      <c r="AZ148" s="69">
        <v>345</v>
      </c>
      <c r="BA148" s="69">
        <v>0</v>
      </c>
      <c r="BB148" s="69">
        <v>111</v>
      </c>
      <c r="BC148" s="69">
        <v>0</v>
      </c>
      <c r="BD148" s="69">
        <v>0</v>
      </c>
      <c r="BE148" s="69">
        <v>0</v>
      </c>
      <c r="BF148" s="69">
        <f t="shared" si="102"/>
        <v>605</v>
      </c>
      <c r="BG148" s="69"/>
      <c r="BH148" s="69"/>
      <c r="BI148" s="69"/>
      <c r="BJ148" s="69"/>
      <c r="BL148" s="69"/>
      <c r="BM148" s="69"/>
      <c r="BN148" s="69"/>
      <c r="BO148" s="69"/>
      <c r="BP148" s="67" t="s">
        <v>243</v>
      </c>
      <c r="BQ148" s="6">
        <f t="shared" si="103"/>
        <v>1563</v>
      </c>
      <c r="BR148" s="69">
        <f t="shared" si="103"/>
        <v>101</v>
      </c>
      <c r="BS148" s="70">
        <f t="shared" si="103"/>
        <v>0</v>
      </c>
      <c r="BT148" s="70">
        <f t="shared" si="103"/>
        <v>0</v>
      </c>
      <c r="BU148" s="70">
        <f t="shared" si="103"/>
        <v>0</v>
      </c>
      <c r="BV148" s="70">
        <f t="shared" si="103"/>
        <v>0</v>
      </c>
      <c r="BW148" s="70">
        <f t="shared" si="103"/>
        <v>48</v>
      </c>
      <c r="BX148" s="70">
        <f t="shared" si="103"/>
        <v>345</v>
      </c>
      <c r="BY148" s="70">
        <f t="shared" si="103"/>
        <v>0</v>
      </c>
      <c r="BZ148" s="105">
        <f>$AS$148/12+2500+$BS$148</f>
        <v>2630.25</v>
      </c>
      <c r="CA148" s="105">
        <f>$AS$148/12+2500+$BS$148</f>
        <v>2630.25</v>
      </c>
      <c r="CB148" s="105">
        <f>$AS$148/12+2500+$BS$148</f>
        <v>2630.25</v>
      </c>
      <c r="CC148" s="105">
        <f>$AS$148/12+2500+$BS$148</f>
        <v>2630.25</v>
      </c>
      <c r="CD148" s="69">
        <f t="shared" si="105"/>
        <v>11015</v>
      </c>
      <c r="CF148" s="7">
        <v>13645.25</v>
      </c>
      <c r="CG148" s="95">
        <f t="shared" si="109"/>
        <v>-2630.25</v>
      </c>
      <c r="EE148" s="82"/>
      <c r="EF148" s="82"/>
      <c r="EG148" s="82"/>
      <c r="EH148" s="82"/>
      <c r="EI148" s="82"/>
      <c r="EJ148" s="82"/>
      <c r="EK148" s="82"/>
      <c r="EL148" s="82"/>
      <c r="EM148" s="82"/>
      <c r="EN148" s="82"/>
      <c r="EO148" s="82"/>
      <c r="EP148" s="82"/>
      <c r="EQ148" s="82"/>
      <c r="ER148" s="82"/>
      <c r="ES148" s="82"/>
      <c r="ET148" s="82"/>
      <c r="EU148" s="82"/>
      <c r="EV148" s="82"/>
      <c r="EW148" s="82"/>
      <c r="EX148" s="82"/>
      <c r="EY148" s="82"/>
      <c r="EZ148" s="82"/>
      <c r="FA148" s="82"/>
      <c r="FB148" s="82"/>
      <c r="FC148" s="82"/>
      <c r="FD148" s="82"/>
      <c r="FE148" s="82"/>
      <c r="FF148" s="82"/>
      <c r="FG148" s="82"/>
      <c r="FH148" s="82"/>
      <c r="FI148" s="82"/>
      <c r="FJ148" s="82"/>
      <c r="FK148" s="82"/>
      <c r="FL148" s="82"/>
      <c r="FM148" s="82"/>
      <c r="FN148" s="82"/>
      <c r="FO148" s="82"/>
    </row>
    <row r="149" spans="1:171" x14ac:dyDescent="0.25">
      <c r="A149" s="67" t="s">
        <v>244</v>
      </c>
      <c r="B149" s="84">
        <v>450000</v>
      </c>
      <c r="C149" s="84">
        <v>0</v>
      </c>
      <c r="D149" s="84">
        <v>57730</v>
      </c>
      <c r="E149" s="84">
        <v>0</v>
      </c>
      <c r="G149" s="85">
        <v>0</v>
      </c>
      <c r="H149" s="85">
        <v>0</v>
      </c>
      <c r="I149" s="85">
        <v>0</v>
      </c>
      <c r="J149" s="85">
        <v>0</v>
      </c>
      <c r="K149" s="85">
        <v>0</v>
      </c>
      <c r="L149" s="85">
        <v>0</v>
      </c>
      <c r="M149" s="85">
        <v>0</v>
      </c>
      <c r="N149" s="85">
        <v>0</v>
      </c>
      <c r="O149" s="85">
        <v>0</v>
      </c>
      <c r="P149" s="85">
        <v>0</v>
      </c>
      <c r="Q149" s="85">
        <v>0</v>
      </c>
      <c r="R149" s="85">
        <v>0</v>
      </c>
      <c r="S149" s="85">
        <f t="shared" si="99"/>
        <v>0</v>
      </c>
      <c r="T149" s="85">
        <v>0</v>
      </c>
      <c r="U149" s="85">
        <v>57730</v>
      </c>
      <c r="V149" s="85">
        <v>0</v>
      </c>
      <c r="W149" s="85">
        <v>0</v>
      </c>
      <c r="X149" s="85">
        <v>0</v>
      </c>
      <c r="Y149" s="85">
        <v>0</v>
      </c>
      <c r="Z149" s="85">
        <v>0</v>
      </c>
      <c r="AA149" s="85">
        <v>0</v>
      </c>
      <c r="AB149" s="85">
        <v>0</v>
      </c>
      <c r="AC149" s="85">
        <v>0</v>
      </c>
      <c r="AD149" s="85">
        <v>0</v>
      </c>
      <c r="AE149" s="85">
        <v>0</v>
      </c>
      <c r="AF149" s="85">
        <f t="shared" si="100"/>
        <v>57730</v>
      </c>
      <c r="AG149" s="85">
        <v>0</v>
      </c>
      <c r="AH149" s="85">
        <v>0</v>
      </c>
      <c r="AI149" s="85">
        <v>0</v>
      </c>
      <c r="AJ149" s="85">
        <v>0</v>
      </c>
      <c r="AK149" s="85">
        <v>0</v>
      </c>
      <c r="AL149" s="85">
        <v>0</v>
      </c>
      <c r="AM149" s="85">
        <v>0</v>
      </c>
      <c r="AN149" s="85">
        <v>0</v>
      </c>
      <c r="AO149" s="85">
        <v>0</v>
      </c>
      <c r="AP149" s="85">
        <v>0</v>
      </c>
      <c r="AQ149" s="85">
        <v>0</v>
      </c>
      <c r="AR149" s="85">
        <v>0</v>
      </c>
      <c r="AS149" s="85">
        <f t="shared" si="101"/>
        <v>0</v>
      </c>
      <c r="AT149" s="85">
        <v>0</v>
      </c>
      <c r="AU149" s="85">
        <v>0</v>
      </c>
      <c r="AV149" s="85">
        <v>0</v>
      </c>
      <c r="AW149" s="85">
        <v>0</v>
      </c>
      <c r="AX149" s="85">
        <v>0</v>
      </c>
      <c r="AY149" s="85">
        <v>0</v>
      </c>
      <c r="AZ149" s="85">
        <v>0</v>
      </c>
      <c r="BA149" s="85">
        <v>0</v>
      </c>
      <c r="BB149" s="85">
        <v>0</v>
      </c>
      <c r="BC149" s="85">
        <v>0</v>
      </c>
      <c r="BD149" s="85">
        <v>0</v>
      </c>
      <c r="BE149" s="85">
        <v>0</v>
      </c>
      <c r="BF149" s="85">
        <f t="shared" si="102"/>
        <v>0</v>
      </c>
      <c r="BG149" s="86"/>
      <c r="BH149" s="86"/>
      <c r="BI149" s="86"/>
      <c r="BJ149" s="86"/>
      <c r="BL149" s="85"/>
      <c r="BM149" s="86"/>
      <c r="BN149" s="86"/>
      <c r="BO149" s="86"/>
      <c r="BP149" s="67" t="s">
        <v>244</v>
      </c>
      <c r="BQ149" s="122">
        <f t="shared" si="103"/>
        <v>0</v>
      </c>
      <c r="BR149" s="85">
        <f t="shared" si="103"/>
        <v>0</v>
      </c>
      <c r="BS149" s="85">
        <f t="shared" si="103"/>
        <v>0</v>
      </c>
      <c r="BT149" s="85">
        <f t="shared" si="103"/>
        <v>0</v>
      </c>
      <c r="BU149" s="85">
        <f t="shared" si="103"/>
        <v>0</v>
      </c>
      <c r="BV149" s="85">
        <f t="shared" si="103"/>
        <v>0</v>
      </c>
      <c r="BW149" s="85">
        <f t="shared" si="103"/>
        <v>0</v>
      </c>
      <c r="BX149" s="85">
        <f t="shared" si="103"/>
        <v>0</v>
      </c>
      <c r="BY149" s="85">
        <f t="shared" si="103"/>
        <v>0</v>
      </c>
      <c r="BZ149" s="85">
        <f t="shared" si="111"/>
        <v>0</v>
      </c>
      <c r="CA149" s="85">
        <f t="shared" si="111"/>
        <v>0</v>
      </c>
      <c r="CB149" s="85">
        <f t="shared" si="111"/>
        <v>0</v>
      </c>
      <c r="CC149" s="85">
        <f t="shared" si="111"/>
        <v>0</v>
      </c>
      <c r="CD149" s="85">
        <f t="shared" si="105"/>
        <v>0</v>
      </c>
      <c r="CF149" s="7">
        <v>0</v>
      </c>
      <c r="CG149" s="95">
        <f t="shared" si="109"/>
        <v>0</v>
      </c>
      <c r="EE149" s="82"/>
      <c r="EF149" s="82"/>
      <c r="EG149" s="82"/>
      <c r="EH149" s="82"/>
      <c r="EI149" s="82"/>
      <c r="EJ149" s="82"/>
      <c r="EK149" s="82"/>
      <c r="EL149" s="82"/>
      <c r="EM149" s="82"/>
      <c r="EN149" s="82"/>
      <c r="EO149" s="82"/>
      <c r="EP149" s="82"/>
      <c r="EQ149" s="82"/>
      <c r="ER149" s="82"/>
      <c r="ES149" s="82"/>
      <c r="ET149" s="82"/>
      <c r="EU149" s="82"/>
      <c r="EV149" s="82"/>
      <c r="EW149" s="82"/>
      <c r="EX149" s="82"/>
      <c r="EY149" s="82"/>
      <c r="EZ149" s="82"/>
      <c r="FA149" s="82"/>
      <c r="FB149" s="82"/>
      <c r="FC149" s="82"/>
      <c r="FD149" s="82"/>
      <c r="FE149" s="82"/>
      <c r="FF149" s="82"/>
      <c r="FG149" s="82"/>
      <c r="FH149" s="82"/>
      <c r="FI149" s="82"/>
      <c r="FJ149" s="82"/>
      <c r="FK149" s="82"/>
      <c r="FL149" s="82"/>
      <c r="FM149" s="82"/>
      <c r="FN149" s="82"/>
      <c r="FO149" s="82"/>
    </row>
    <row r="150" spans="1:171" x14ac:dyDescent="0.25">
      <c r="A150" s="116" t="s">
        <v>245</v>
      </c>
      <c r="B150" s="87">
        <f>SUM(B125:B149)</f>
        <v>5946040</v>
      </c>
      <c r="C150" s="87">
        <f>SUM(C125:C149)</f>
        <v>5891812</v>
      </c>
      <c r="D150" s="87">
        <f>SUM(D125:D149)</f>
        <v>6249495</v>
      </c>
      <c r="E150" s="87">
        <f>SUM(E125:E149)</f>
        <v>9004636</v>
      </c>
      <c r="F150" s="82"/>
      <c r="G150" s="87">
        <f t="shared" ref="G150:BF150" si="116">SUM(G125:G149)</f>
        <v>560249</v>
      </c>
      <c r="H150" s="87">
        <f t="shared" si="116"/>
        <v>-233404</v>
      </c>
      <c r="I150" s="87">
        <f t="shared" si="116"/>
        <v>376481</v>
      </c>
      <c r="J150" s="87">
        <f t="shared" si="116"/>
        <v>302721</v>
      </c>
      <c r="K150" s="87">
        <f t="shared" si="116"/>
        <v>185436</v>
      </c>
      <c r="L150" s="87">
        <f t="shared" si="116"/>
        <v>423114</v>
      </c>
      <c r="M150" s="87">
        <f t="shared" si="116"/>
        <v>385654</v>
      </c>
      <c r="N150" s="87">
        <f t="shared" si="116"/>
        <v>376374</v>
      </c>
      <c r="O150" s="87">
        <f t="shared" si="116"/>
        <v>426432</v>
      </c>
      <c r="P150" s="87">
        <f t="shared" si="116"/>
        <v>329929</v>
      </c>
      <c r="Q150" s="87">
        <f t="shared" si="116"/>
        <v>264732</v>
      </c>
      <c r="R150" s="87">
        <f t="shared" si="116"/>
        <v>2494093</v>
      </c>
      <c r="S150" s="87">
        <f t="shared" si="116"/>
        <v>5891811</v>
      </c>
      <c r="T150" s="87">
        <f t="shared" si="116"/>
        <v>348434</v>
      </c>
      <c r="U150" s="87">
        <f t="shared" si="116"/>
        <v>136758</v>
      </c>
      <c r="V150" s="87">
        <f t="shared" si="116"/>
        <v>973268</v>
      </c>
      <c r="W150" s="87">
        <f t="shared" si="116"/>
        <v>282860</v>
      </c>
      <c r="X150" s="87">
        <f t="shared" si="116"/>
        <v>483954</v>
      </c>
      <c r="Y150" s="87">
        <f t="shared" si="116"/>
        <v>610835</v>
      </c>
      <c r="Z150" s="87">
        <f t="shared" si="116"/>
        <v>575648</v>
      </c>
      <c r="AA150" s="87">
        <f t="shared" si="116"/>
        <v>416128</v>
      </c>
      <c r="AB150" s="87">
        <f t="shared" si="116"/>
        <v>287953</v>
      </c>
      <c r="AC150" s="87">
        <f t="shared" si="116"/>
        <v>470439</v>
      </c>
      <c r="AD150" s="87">
        <f t="shared" si="116"/>
        <v>446916</v>
      </c>
      <c r="AE150" s="87">
        <f t="shared" si="116"/>
        <v>1216304</v>
      </c>
      <c r="AF150" s="87">
        <f t="shared" si="116"/>
        <v>6249497</v>
      </c>
      <c r="AG150" s="87">
        <f t="shared" si="116"/>
        <v>1283835</v>
      </c>
      <c r="AH150" s="87">
        <f t="shared" si="116"/>
        <v>289609</v>
      </c>
      <c r="AI150" s="87">
        <f t="shared" si="116"/>
        <v>618569</v>
      </c>
      <c r="AJ150" s="87">
        <f t="shared" si="116"/>
        <v>292944</v>
      </c>
      <c r="AK150" s="87">
        <f t="shared" si="116"/>
        <v>243718</v>
      </c>
      <c r="AL150" s="87">
        <f t="shared" si="116"/>
        <v>659595</v>
      </c>
      <c r="AM150" s="87">
        <f t="shared" si="116"/>
        <v>1440529</v>
      </c>
      <c r="AN150" s="87">
        <f t="shared" si="116"/>
        <v>278842</v>
      </c>
      <c r="AO150" s="87">
        <f t="shared" si="116"/>
        <v>695491</v>
      </c>
      <c r="AP150" s="87">
        <f t="shared" si="116"/>
        <v>604449</v>
      </c>
      <c r="AQ150" s="87">
        <f t="shared" si="116"/>
        <v>277001</v>
      </c>
      <c r="AR150" s="87">
        <f t="shared" si="116"/>
        <v>2320056</v>
      </c>
      <c r="AS150" s="87">
        <f t="shared" si="116"/>
        <v>9004638</v>
      </c>
      <c r="AT150" s="87">
        <f t="shared" si="116"/>
        <v>219791</v>
      </c>
      <c r="AU150" s="87">
        <f t="shared" si="116"/>
        <v>268986</v>
      </c>
      <c r="AV150" s="87">
        <f t="shared" si="116"/>
        <v>875670</v>
      </c>
      <c r="AW150" s="87">
        <f t="shared" si="116"/>
        <v>271597</v>
      </c>
      <c r="AX150" s="87">
        <f t="shared" si="116"/>
        <v>234120</v>
      </c>
      <c r="AY150" s="87">
        <f t="shared" si="116"/>
        <v>1040953</v>
      </c>
      <c r="AZ150" s="87">
        <f t="shared" si="116"/>
        <v>1524079</v>
      </c>
      <c r="BA150" s="87">
        <f t="shared" si="116"/>
        <v>649038</v>
      </c>
      <c r="BB150" s="87">
        <f t="shared" si="116"/>
        <v>396160</v>
      </c>
      <c r="BC150" s="87">
        <f t="shared" si="116"/>
        <v>0</v>
      </c>
      <c r="BD150" s="87">
        <f t="shared" si="116"/>
        <v>0</v>
      </c>
      <c r="BE150" s="87">
        <f t="shared" si="116"/>
        <v>0</v>
      </c>
      <c r="BF150" s="87">
        <f t="shared" si="116"/>
        <v>5480394</v>
      </c>
      <c r="BG150" s="87"/>
      <c r="BH150" s="87"/>
      <c r="BI150" s="87"/>
      <c r="BJ150" s="87"/>
      <c r="BL150" s="87">
        <f t="shared" ref="BL150" si="117">SUM(BL125:BL149)</f>
        <v>0</v>
      </c>
      <c r="BM150" s="87"/>
      <c r="BN150" s="87"/>
      <c r="BO150" s="87"/>
      <c r="BP150" s="42" t="s">
        <v>246</v>
      </c>
      <c r="BQ150" s="87">
        <f t="shared" ref="BQ150:CD150" si="118">SUM(BQ125:BQ149)</f>
        <v>4388712</v>
      </c>
      <c r="BR150" s="87">
        <f t="shared" si="118"/>
        <v>201609</v>
      </c>
      <c r="BS150" s="87">
        <f t="shared" si="118"/>
        <v>250804</v>
      </c>
      <c r="BT150" s="87">
        <f t="shared" si="118"/>
        <v>253756</v>
      </c>
      <c r="BU150" s="87">
        <f t="shared" si="118"/>
        <v>253415</v>
      </c>
      <c r="BV150" s="87">
        <f t="shared" si="118"/>
        <v>215938</v>
      </c>
      <c r="BW150" s="87">
        <f t="shared" si="118"/>
        <v>286478</v>
      </c>
      <c r="BX150" s="87">
        <f t="shared" si="118"/>
        <v>497886</v>
      </c>
      <c r="BY150" s="87">
        <f t="shared" si="118"/>
        <v>581752</v>
      </c>
      <c r="BZ150" s="87">
        <f t="shared" si="118"/>
        <v>487031.42380952381</v>
      </c>
      <c r="CA150" s="87">
        <f t="shared" si="118"/>
        <v>394962.02380952379</v>
      </c>
      <c r="CB150" s="87">
        <f t="shared" si="118"/>
        <v>319362.02380952379</v>
      </c>
      <c r="CC150" s="87">
        <f t="shared" si="118"/>
        <v>319362.02380952379</v>
      </c>
      <c r="CD150" s="87">
        <f t="shared" si="118"/>
        <v>4062355.4952380951</v>
      </c>
      <c r="CF150" s="7">
        <v>3087507</v>
      </c>
      <c r="CG150" s="95">
        <f t="shared" si="109"/>
        <v>974848.49523809506</v>
      </c>
      <c r="EE150" s="82"/>
      <c r="EF150" s="82"/>
      <c r="EG150" s="82"/>
      <c r="EH150" s="82"/>
      <c r="EI150" s="82"/>
      <c r="EJ150" s="82"/>
      <c r="EK150" s="82"/>
      <c r="EL150" s="82"/>
      <c r="EM150" s="82"/>
      <c r="EN150" s="82"/>
      <c r="EO150" s="82"/>
      <c r="EP150" s="82"/>
      <c r="EQ150" s="82"/>
      <c r="ER150" s="82"/>
      <c r="ES150" s="82"/>
      <c r="ET150" s="82"/>
      <c r="EU150" s="82"/>
      <c r="EV150" s="82"/>
      <c r="EW150" s="82"/>
      <c r="EX150" s="82"/>
      <c r="EY150" s="82"/>
      <c r="EZ150" s="82"/>
      <c r="FA150" s="82"/>
      <c r="FB150" s="82"/>
      <c r="FC150" s="82"/>
      <c r="FD150" s="82"/>
      <c r="FE150" s="82"/>
      <c r="FF150" s="82"/>
      <c r="FG150" s="82"/>
      <c r="FH150" s="82"/>
      <c r="FI150" s="82"/>
      <c r="FJ150" s="82"/>
      <c r="FK150" s="82"/>
      <c r="FL150" s="82"/>
      <c r="FM150" s="82"/>
      <c r="FN150" s="82"/>
      <c r="FO150" s="82"/>
    </row>
    <row r="151" spans="1:171" x14ac:dyDescent="0.25">
      <c r="A151" s="67"/>
      <c r="B151" s="82"/>
      <c r="C151" s="82"/>
      <c r="D151" s="82"/>
      <c r="E151" s="82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L151" s="69"/>
      <c r="BM151" s="69"/>
      <c r="BN151" s="69"/>
      <c r="BO151" s="69"/>
      <c r="BP151" s="69"/>
      <c r="BQ151" s="123"/>
      <c r="BR151" s="123"/>
      <c r="BS151" s="123"/>
      <c r="BT151" s="123"/>
      <c r="BU151" s="123"/>
      <c r="BV151" s="123"/>
      <c r="BW151" s="123"/>
      <c r="BX151" s="123"/>
      <c r="BY151" s="123"/>
      <c r="BZ151" s="123"/>
      <c r="CA151" s="123"/>
      <c r="CB151" s="123"/>
      <c r="CC151" s="123"/>
      <c r="CD151" s="123"/>
      <c r="CF151" s="7"/>
      <c r="CG151" s="95">
        <f t="shared" si="109"/>
        <v>0</v>
      </c>
      <c r="EE151" s="82"/>
      <c r="EF151" s="82"/>
      <c r="EG151" s="82"/>
      <c r="EH151" s="82"/>
      <c r="EI151" s="82"/>
      <c r="EJ151" s="82"/>
      <c r="EK151" s="82"/>
      <c r="EL151" s="82"/>
      <c r="EM151" s="82"/>
      <c r="EN151" s="82"/>
      <c r="EO151" s="82"/>
      <c r="EP151" s="82"/>
      <c r="EQ151" s="82"/>
      <c r="ER151" s="82"/>
      <c r="ES151" s="82"/>
      <c r="ET151" s="82"/>
      <c r="EU151" s="82"/>
      <c r="EV151" s="82"/>
      <c r="EW151" s="82"/>
      <c r="EX151" s="82"/>
      <c r="EY151" s="82"/>
      <c r="EZ151" s="82"/>
      <c r="FA151" s="82"/>
      <c r="FB151" s="82"/>
      <c r="FC151" s="82"/>
      <c r="FD151" s="82"/>
      <c r="FE151" s="82"/>
      <c r="FF151" s="82"/>
      <c r="FG151" s="82"/>
      <c r="FH151" s="82"/>
      <c r="FI151" s="82"/>
      <c r="FJ151" s="82"/>
      <c r="FK151" s="82"/>
      <c r="FL151" s="82"/>
      <c r="FM151" s="82"/>
      <c r="FN151" s="82"/>
      <c r="FO151" s="82"/>
    </row>
    <row r="152" spans="1:171" x14ac:dyDescent="0.25">
      <c r="A152" s="116" t="s">
        <v>247</v>
      </c>
      <c r="B152" s="82">
        <f>B122-B150</f>
        <v>-7824673</v>
      </c>
      <c r="C152" s="82">
        <f>C122-C150</f>
        <v>-6986652</v>
      </c>
      <c r="D152" s="82">
        <f>D122-D150</f>
        <v>-8956963</v>
      </c>
      <c r="E152" s="82">
        <f>E122-E150</f>
        <v>-10595052</v>
      </c>
      <c r="F152" s="82"/>
      <c r="G152" s="82">
        <f t="shared" ref="G152:BF152" si="119">G122-G150</f>
        <v>-330201</v>
      </c>
      <c r="H152" s="82">
        <f t="shared" si="119"/>
        <v>-65722</v>
      </c>
      <c r="I152" s="82">
        <f t="shared" si="119"/>
        <v>-270514</v>
      </c>
      <c r="J152" s="82">
        <f t="shared" si="119"/>
        <v>-251174</v>
      </c>
      <c r="K152" s="82">
        <f t="shared" si="119"/>
        <v>-339313</v>
      </c>
      <c r="L152" s="82">
        <f t="shared" si="119"/>
        <v>-703430</v>
      </c>
      <c r="M152" s="82">
        <f t="shared" si="119"/>
        <v>-577197</v>
      </c>
      <c r="N152" s="82">
        <f t="shared" si="119"/>
        <v>-388875</v>
      </c>
      <c r="O152" s="82">
        <f t="shared" si="119"/>
        <v>-39891</v>
      </c>
      <c r="P152" s="82">
        <f t="shared" si="119"/>
        <v>-688903</v>
      </c>
      <c r="Q152" s="82">
        <f t="shared" si="119"/>
        <v>-521521</v>
      </c>
      <c r="R152" s="82">
        <f t="shared" si="119"/>
        <v>-2809914</v>
      </c>
      <c r="S152" s="82">
        <f t="shared" si="119"/>
        <v>-6986655</v>
      </c>
      <c r="T152" s="82">
        <f t="shared" si="119"/>
        <v>241349</v>
      </c>
      <c r="U152" s="82">
        <f t="shared" si="119"/>
        <v>141562</v>
      </c>
      <c r="V152" s="82">
        <f t="shared" si="119"/>
        <v>-1876283</v>
      </c>
      <c r="W152" s="82">
        <f t="shared" si="119"/>
        <v>332265</v>
      </c>
      <c r="X152" s="82">
        <f t="shared" si="119"/>
        <v>-962395</v>
      </c>
      <c r="Y152" s="82">
        <f t="shared" si="119"/>
        <v>-1885025</v>
      </c>
      <c r="Z152" s="82">
        <f t="shared" si="119"/>
        <v>407416</v>
      </c>
      <c r="AA152" s="82">
        <f t="shared" si="119"/>
        <v>-194476</v>
      </c>
      <c r="AB152" s="82">
        <f t="shared" si="119"/>
        <v>-3256300</v>
      </c>
      <c r="AC152" s="82">
        <f t="shared" si="119"/>
        <v>876401</v>
      </c>
      <c r="AD152" s="82">
        <f t="shared" si="119"/>
        <v>308198</v>
      </c>
      <c r="AE152" s="82">
        <f t="shared" si="119"/>
        <v>-3089680</v>
      </c>
      <c r="AF152" s="82">
        <f t="shared" si="119"/>
        <v>-8956968</v>
      </c>
      <c r="AG152" s="82">
        <f t="shared" si="119"/>
        <v>-1493559</v>
      </c>
      <c r="AH152" s="82">
        <f t="shared" si="119"/>
        <v>-782070</v>
      </c>
      <c r="AI152" s="82">
        <f t="shared" si="119"/>
        <v>-705972</v>
      </c>
      <c r="AJ152" s="82">
        <f t="shared" si="119"/>
        <v>-742929</v>
      </c>
      <c r="AK152" s="82">
        <f t="shared" si="119"/>
        <v>-322113</v>
      </c>
      <c r="AL152" s="82">
        <f t="shared" si="119"/>
        <v>-778579</v>
      </c>
      <c r="AM152" s="82">
        <f t="shared" si="119"/>
        <v>-976024</v>
      </c>
      <c r="AN152" s="82">
        <f t="shared" si="119"/>
        <v>-314000</v>
      </c>
      <c r="AO152" s="82">
        <f t="shared" si="119"/>
        <v>-450985</v>
      </c>
      <c r="AP152" s="82">
        <f t="shared" si="119"/>
        <v>-804952</v>
      </c>
      <c r="AQ152" s="82">
        <f t="shared" si="119"/>
        <v>-430913</v>
      </c>
      <c r="AR152" s="82">
        <f t="shared" si="119"/>
        <v>-2792960</v>
      </c>
      <c r="AS152" s="82">
        <f t="shared" si="119"/>
        <v>-10595056</v>
      </c>
      <c r="AT152" s="82">
        <f t="shared" si="119"/>
        <v>-100940</v>
      </c>
      <c r="AU152" s="82">
        <f t="shared" si="119"/>
        <v>-588790</v>
      </c>
      <c r="AV152" s="82">
        <f t="shared" si="119"/>
        <v>-1146154</v>
      </c>
      <c r="AW152" s="82">
        <f t="shared" si="119"/>
        <v>-519236</v>
      </c>
      <c r="AX152" s="82">
        <f t="shared" si="119"/>
        <v>-544298</v>
      </c>
      <c r="AY152" s="82">
        <f t="shared" si="119"/>
        <v>-1872554</v>
      </c>
      <c r="AZ152" s="82">
        <f t="shared" si="119"/>
        <v>-2322141</v>
      </c>
      <c r="BA152" s="82">
        <f t="shared" si="119"/>
        <v>-1280474</v>
      </c>
      <c r="BB152" s="82">
        <f t="shared" si="119"/>
        <v>-1516873.63</v>
      </c>
      <c r="BC152" s="82">
        <f t="shared" si="119"/>
        <v>0</v>
      </c>
      <c r="BD152" s="82">
        <f t="shared" si="119"/>
        <v>0</v>
      </c>
      <c r="BE152" s="82">
        <f t="shared" si="119"/>
        <v>0</v>
      </c>
      <c r="BF152" s="82">
        <f t="shared" si="119"/>
        <v>-9891460.629999999</v>
      </c>
      <c r="BG152" s="82"/>
      <c r="BH152" s="82"/>
      <c r="BI152" s="82"/>
      <c r="BJ152" s="82"/>
      <c r="BL152" s="82">
        <f t="shared" ref="BL152" si="120">BL122-BL150</f>
        <v>47126.751999999979</v>
      </c>
      <c r="BM152" s="82"/>
      <c r="BN152" s="82"/>
      <c r="BO152" s="82"/>
      <c r="BP152" t="s">
        <v>248</v>
      </c>
      <c r="BQ152" s="69">
        <f>AS164</f>
        <v>327251</v>
      </c>
      <c r="BR152" s="69">
        <f t="shared" ref="BR152:BY152" si="121">AT164</f>
        <v>18461</v>
      </c>
      <c r="BS152" s="69">
        <f t="shared" si="121"/>
        <v>49049</v>
      </c>
      <c r="BT152" s="69">
        <f t="shared" si="121"/>
        <v>75270</v>
      </c>
      <c r="BU152" s="69">
        <f t="shared" si="121"/>
        <v>37857</v>
      </c>
      <c r="BV152" s="69">
        <f t="shared" si="121"/>
        <v>3717</v>
      </c>
      <c r="BW152" s="69">
        <f t="shared" si="121"/>
        <v>3882</v>
      </c>
      <c r="BX152" s="69">
        <f t="shared" si="121"/>
        <v>4310</v>
      </c>
      <c r="BY152" s="69">
        <f t="shared" si="121"/>
        <v>18041</v>
      </c>
      <c r="BZ152" s="69"/>
      <c r="CA152" s="69"/>
      <c r="CB152" s="69"/>
      <c r="CC152" s="69"/>
      <c r="CD152" s="69">
        <f t="shared" ref="CD152" si="122">SUM(BR152:CC152)</f>
        <v>210587</v>
      </c>
      <c r="CF152" s="7">
        <v>152064</v>
      </c>
      <c r="CG152" s="95">
        <f t="shared" si="109"/>
        <v>58523</v>
      </c>
      <c r="EE152" s="82"/>
      <c r="EF152" s="82"/>
      <c r="EG152" s="82"/>
      <c r="EH152" s="82"/>
      <c r="EI152" s="82"/>
      <c r="EJ152" s="82"/>
      <c r="EK152" s="82"/>
      <c r="EL152" s="82"/>
      <c r="EM152" s="82"/>
      <c r="EN152" s="82"/>
      <c r="EO152" s="82"/>
      <c r="EP152" s="82"/>
      <c r="EQ152" s="82"/>
      <c r="ER152" s="82"/>
      <c r="ES152" s="82"/>
      <c r="ET152" s="82"/>
      <c r="EU152" s="82"/>
      <c r="EV152" s="82"/>
      <c r="EW152" s="82"/>
      <c r="EX152" s="82"/>
      <c r="EY152" s="82"/>
      <c r="EZ152" s="82"/>
      <c r="FA152" s="82"/>
      <c r="FB152" s="82"/>
      <c r="FC152" s="82"/>
      <c r="FD152" s="82"/>
      <c r="FE152" s="82"/>
      <c r="FF152" s="82"/>
      <c r="FG152" s="82"/>
      <c r="FH152" s="82"/>
      <c r="FI152" s="82"/>
      <c r="FJ152" s="82"/>
      <c r="FK152" s="82"/>
      <c r="FL152" s="82"/>
      <c r="FM152" s="82"/>
      <c r="FN152" s="82"/>
      <c r="FO152" s="82"/>
    </row>
    <row r="153" spans="1:171" x14ac:dyDescent="0.25">
      <c r="A153" s="116"/>
      <c r="B153" s="82"/>
      <c r="C153" s="82"/>
      <c r="D153" s="82"/>
      <c r="E153" s="82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  <c r="BM153" s="69"/>
      <c r="BN153" s="69"/>
      <c r="BO153" s="69"/>
      <c r="BP153" s="69"/>
      <c r="BQ153" s="6"/>
      <c r="BR153" s="69"/>
      <c r="BS153" s="69"/>
      <c r="BT153" s="69"/>
      <c r="BU153" s="69"/>
      <c r="BV153" s="69"/>
      <c r="BW153" s="69"/>
      <c r="BX153" s="69"/>
      <c r="BY153" s="69"/>
      <c r="BZ153" s="69"/>
      <c r="CA153" s="69"/>
      <c r="CB153" s="69"/>
      <c r="CC153" s="69"/>
      <c r="CD153" s="69"/>
      <c r="CF153" s="7"/>
      <c r="CG153" s="95">
        <f t="shared" si="109"/>
        <v>0</v>
      </c>
      <c r="EE153" s="82"/>
      <c r="EF153" s="82"/>
      <c r="EG153" s="82"/>
      <c r="EH153" s="82"/>
      <c r="EI153" s="82"/>
      <c r="EJ153" s="82"/>
      <c r="EK153" s="82"/>
      <c r="EL153" s="82"/>
      <c r="EM153" s="82"/>
      <c r="EN153" s="82"/>
      <c r="EO153" s="82"/>
      <c r="EP153" s="82"/>
      <c r="EQ153" s="82"/>
      <c r="ER153" s="82"/>
      <c r="ES153" s="82"/>
      <c r="ET153" s="82"/>
      <c r="EU153" s="82"/>
      <c r="EV153" s="82"/>
      <c r="EW153" s="82"/>
      <c r="EX153" s="82"/>
      <c r="EY153" s="82"/>
      <c r="EZ153" s="82"/>
      <c r="FA153" s="82"/>
      <c r="FB153" s="82"/>
      <c r="FC153" s="82"/>
      <c r="FD153" s="82"/>
      <c r="FE153" s="82"/>
      <c r="FF153" s="82"/>
      <c r="FG153" s="82"/>
      <c r="FH153" s="82"/>
      <c r="FI153" s="82"/>
      <c r="FJ153" s="82"/>
      <c r="FK153" s="82"/>
      <c r="FL153" s="82"/>
      <c r="FM153" s="82"/>
      <c r="FN153" s="82"/>
      <c r="FO153" s="82"/>
    </row>
    <row r="154" spans="1:171" ht="45" x14ac:dyDescent="0.25">
      <c r="A154" s="124" t="s">
        <v>249</v>
      </c>
      <c r="B154" s="87"/>
      <c r="C154" s="87"/>
      <c r="D154" s="87"/>
      <c r="E154" s="87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L154" s="69"/>
      <c r="BM154" s="69"/>
      <c r="BN154" s="69"/>
      <c r="BO154" s="69"/>
      <c r="BP154" s="125" t="s">
        <v>250</v>
      </c>
      <c r="BQ154" s="126">
        <f>BQ122-BQ150+BQ152</f>
        <v>-3122457</v>
      </c>
      <c r="BR154" s="126">
        <f t="shared" ref="BR154:CD154" si="123">BR122-BR150+BR152</f>
        <v>88786</v>
      </c>
      <c r="BS154" s="126">
        <f t="shared" si="123"/>
        <v>-368478</v>
      </c>
      <c r="BT154" s="126">
        <f t="shared" si="123"/>
        <v>-295887</v>
      </c>
      <c r="BU154" s="126">
        <f t="shared" si="123"/>
        <v>-310114</v>
      </c>
      <c r="BV154" s="126">
        <f t="shared" si="123"/>
        <v>-369318</v>
      </c>
      <c r="BW154" s="126">
        <f t="shared" si="123"/>
        <v>-687601.25</v>
      </c>
      <c r="BX154" s="126">
        <f t="shared" si="123"/>
        <v>-1092969</v>
      </c>
      <c r="BY154" s="127">
        <f t="shared" si="123"/>
        <v>-1028192.3193886129</v>
      </c>
      <c r="BZ154" s="127">
        <f t="shared" si="123"/>
        <v>-1511680.2796431268</v>
      </c>
      <c r="CA154" s="127">
        <f t="shared" si="123"/>
        <v>-491356.7867698411</v>
      </c>
      <c r="CB154" s="127">
        <f t="shared" si="123"/>
        <v>-397556.88801509957</v>
      </c>
      <c r="CC154" s="127">
        <f t="shared" si="123"/>
        <v>-447203.04961827002</v>
      </c>
      <c r="CD154" s="127">
        <f t="shared" si="123"/>
        <v>-6916700.5734349433</v>
      </c>
      <c r="CF154" s="7">
        <v>-3129618.8275502827</v>
      </c>
      <c r="CG154" s="95"/>
      <c r="EE154" s="82"/>
      <c r="EF154" s="82"/>
      <c r="EG154" s="82"/>
      <c r="EH154" s="82"/>
      <c r="EI154" s="82"/>
      <c r="EJ154" s="82"/>
      <c r="EK154" s="82"/>
      <c r="EL154" s="82"/>
      <c r="EM154" s="82"/>
      <c r="EN154" s="82"/>
      <c r="EO154" s="82"/>
      <c r="EP154" s="82"/>
      <c r="EQ154" s="82"/>
      <c r="ER154" s="82"/>
      <c r="ES154" s="82"/>
      <c r="ET154" s="82"/>
      <c r="EU154" s="82"/>
      <c r="EV154" s="82"/>
      <c r="EW154" s="82"/>
      <c r="EX154" s="82"/>
      <c r="EY154" s="82"/>
      <c r="EZ154" s="82"/>
      <c r="FA154" s="82"/>
      <c r="FB154" s="82"/>
      <c r="FC154" s="82"/>
      <c r="FD154" s="82"/>
      <c r="FE154" s="82"/>
      <c r="FF154" s="82"/>
      <c r="FG154" s="82"/>
      <c r="FH154" s="82"/>
      <c r="FI154" s="82"/>
      <c r="FJ154" s="82"/>
      <c r="FK154" s="82"/>
      <c r="FL154" s="82"/>
      <c r="FM154" s="82"/>
      <c r="FN154" s="82"/>
      <c r="FO154" s="82"/>
    </row>
    <row r="155" spans="1:171" x14ac:dyDescent="0.25">
      <c r="A155" s="67" t="s">
        <v>251</v>
      </c>
      <c r="B155" s="82">
        <v>0</v>
      </c>
      <c r="C155" s="82">
        <v>0</v>
      </c>
      <c r="D155" s="82">
        <v>0</v>
      </c>
      <c r="E155" s="82">
        <v>0</v>
      </c>
      <c r="G155" s="69">
        <v>0</v>
      </c>
      <c r="H155" s="69">
        <v>0</v>
      </c>
      <c r="I155" s="69">
        <v>0</v>
      </c>
      <c r="J155" s="69">
        <v>0</v>
      </c>
      <c r="K155" s="69">
        <v>0</v>
      </c>
      <c r="L155" s="69">
        <v>0</v>
      </c>
      <c r="M155" s="69">
        <v>0</v>
      </c>
      <c r="N155" s="69">
        <v>0</v>
      </c>
      <c r="O155" s="69">
        <v>0</v>
      </c>
      <c r="P155" s="69">
        <v>0</v>
      </c>
      <c r="Q155" s="69">
        <v>0</v>
      </c>
      <c r="R155" s="69">
        <v>0</v>
      </c>
      <c r="S155" s="69">
        <f>SUM(G155:R155)</f>
        <v>0</v>
      </c>
      <c r="T155" s="69">
        <v>0</v>
      </c>
      <c r="U155" s="69">
        <v>0</v>
      </c>
      <c r="V155" s="69">
        <v>0</v>
      </c>
      <c r="W155" s="69">
        <v>0</v>
      </c>
      <c r="X155" s="69">
        <v>0</v>
      </c>
      <c r="Y155" s="69">
        <v>0</v>
      </c>
      <c r="Z155" s="69">
        <v>0</v>
      </c>
      <c r="AA155" s="69">
        <v>0</v>
      </c>
      <c r="AB155" s="69">
        <v>0</v>
      </c>
      <c r="AC155" s="69">
        <v>0</v>
      </c>
      <c r="AD155" s="69">
        <v>0</v>
      </c>
      <c r="AE155" s="69">
        <v>0</v>
      </c>
      <c r="AF155" s="69">
        <f>SUM(T155:AE155)</f>
        <v>0</v>
      </c>
      <c r="AG155" s="69">
        <v>0</v>
      </c>
      <c r="AH155" s="69">
        <v>0</v>
      </c>
      <c r="AI155" s="69">
        <v>0</v>
      </c>
      <c r="AJ155" s="69">
        <v>0</v>
      </c>
      <c r="AK155" s="69">
        <v>0</v>
      </c>
      <c r="AL155" s="69">
        <v>0</v>
      </c>
      <c r="AM155" s="69">
        <v>0</v>
      </c>
      <c r="AN155" s="69">
        <v>0</v>
      </c>
      <c r="AO155" s="69">
        <v>0</v>
      </c>
      <c r="AP155" s="69">
        <v>0</v>
      </c>
      <c r="AQ155" s="69">
        <v>0</v>
      </c>
      <c r="AR155" s="69">
        <v>0</v>
      </c>
      <c r="AS155" s="69">
        <f>SUM(AG155:AR155)</f>
        <v>0</v>
      </c>
      <c r="AT155" s="69">
        <v>0</v>
      </c>
      <c r="AU155" s="69">
        <v>0</v>
      </c>
      <c r="AV155" s="69">
        <v>0</v>
      </c>
      <c r="AW155" s="69">
        <v>0</v>
      </c>
      <c r="AX155" s="69">
        <v>0</v>
      </c>
      <c r="AY155" s="69">
        <v>0</v>
      </c>
      <c r="AZ155" s="69">
        <v>0</v>
      </c>
      <c r="BA155" s="69">
        <v>0</v>
      </c>
      <c r="BB155" s="69">
        <v>0</v>
      </c>
      <c r="BC155" s="69">
        <v>0</v>
      </c>
      <c r="BD155" s="69">
        <v>0</v>
      </c>
      <c r="BE155" s="69">
        <v>0</v>
      </c>
      <c r="BF155" s="69">
        <f>SUM(AT155:BE155)</f>
        <v>0</v>
      </c>
      <c r="BG155" s="69"/>
      <c r="BH155" s="69"/>
      <c r="BI155" s="69"/>
      <c r="BJ155" s="69"/>
      <c r="BL155" s="69">
        <v>0</v>
      </c>
      <c r="BM155" s="69"/>
      <c r="BN155" s="69"/>
      <c r="BO155" s="69"/>
      <c r="BP155" s="69"/>
      <c r="BQ155" s="6"/>
      <c r="BR155" s="69"/>
      <c r="BS155" s="69"/>
      <c r="BT155" s="69"/>
      <c r="BU155" s="69"/>
      <c r="BV155" s="69"/>
      <c r="BW155" s="69"/>
      <c r="BX155" s="69"/>
      <c r="BY155" s="69"/>
      <c r="BZ155" s="69"/>
      <c r="CA155" s="69"/>
      <c r="CB155" s="69"/>
      <c r="CC155" s="69"/>
      <c r="CD155" s="69"/>
      <c r="EE155" s="82"/>
      <c r="EF155" s="82"/>
      <c r="EG155" s="82"/>
      <c r="EH155" s="82"/>
      <c r="EI155" s="82"/>
      <c r="EJ155" s="82"/>
      <c r="EK155" s="82"/>
      <c r="EL155" s="82"/>
      <c r="EM155" s="82"/>
      <c r="EN155" s="82"/>
      <c r="EO155" s="82"/>
      <c r="EP155" s="82"/>
      <c r="EQ155" s="82"/>
      <c r="ER155" s="82"/>
      <c r="ES155" s="82"/>
      <c r="ET155" s="82"/>
      <c r="EU155" s="82"/>
      <c r="EV155" s="82"/>
      <c r="EW155" s="82"/>
      <c r="EX155" s="82"/>
      <c r="EY155" s="82"/>
      <c r="EZ155" s="82"/>
      <c r="FA155" s="82"/>
      <c r="FB155" s="82"/>
      <c r="FC155" s="82"/>
      <c r="FD155" s="82"/>
      <c r="FE155" s="82"/>
      <c r="FF155" s="82"/>
      <c r="FG155" s="82"/>
      <c r="FH155" s="82"/>
      <c r="FI155" s="82"/>
      <c r="FJ155" s="82"/>
      <c r="FK155" s="82"/>
      <c r="FL155" s="82"/>
      <c r="FM155" s="82"/>
      <c r="FN155" s="82"/>
      <c r="FO155" s="82"/>
    </row>
    <row r="156" spans="1:171" x14ac:dyDescent="0.25">
      <c r="A156" s="67" t="s">
        <v>252</v>
      </c>
      <c r="B156" s="82">
        <v>10883</v>
      </c>
      <c r="C156" s="82">
        <v>-140658</v>
      </c>
      <c r="D156" s="82">
        <v>0</v>
      </c>
      <c r="E156" s="82">
        <v>6369</v>
      </c>
      <c r="G156" s="69">
        <v>0</v>
      </c>
      <c r="H156" s="69">
        <v>0</v>
      </c>
      <c r="I156" s="69">
        <v>0</v>
      </c>
      <c r="J156" s="69">
        <v>0</v>
      </c>
      <c r="K156" s="69">
        <v>0</v>
      </c>
      <c r="L156" s="69">
        <v>0</v>
      </c>
      <c r="M156" s="69">
        <v>0</v>
      </c>
      <c r="N156" s="69">
        <v>0</v>
      </c>
      <c r="O156" s="69">
        <v>0</v>
      </c>
      <c r="P156" s="69">
        <v>0</v>
      </c>
      <c r="Q156" s="69">
        <v>0</v>
      </c>
      <c r="R156" s="69">
        <v>-140658</v>
      </c>
      <c r="S156" s="69">
        <f t="shared" ref="S156:S163" si="124">SUM(G156:R156)</f>
        <v>-140658</v>
      </c>
      <c r="T156" s="69">
        <v>0</v>
      </c>
      <c r="U156" s="69">
        <v>0</v>
      </c>
      <c r="V156" s="69">
        <v>0</v>
      </c>
      <c r="W156" s="69">
        <v>0</v>
      </c>
      <c r="X156" s="69">
        <v>0</v>
      </c>
      <c r="Y156" s="69">
        <v>0</v>
      </c>
      <c r="Z156" s="69">
        <v>0</v>
      </c>
      <c r="AA156" s="69">
        <v>0</v>
      </c>
      <c r="AB156" s="69">
        <v>0</v>
      </c>
      <c r="AC156" s="69">
        <v>0</v>
      </c>
      <c r="AD156" s="69">
        <v>0</v>
      </c>
      <c r="AE156" s="69">
        <v>0</v>
      </c>
      <c r="AF156" s="69">
        <f t="shared" ref="AF156:AF163" si="125">SUM(T156:AE156)</f>
        <v>0</v>
      </c>
      <c r="AG156" s="69">
        <v>14000</v>
      </c>
      <c r="AH156" s="69">
        <v>0</v>
      </c>
      <c r="AI156" s="69">
        <v>-7631</v>
      </c>
      <c r="AJ156" s="69">
        <v>0</v>
      </c>
      <c r="AK156" s="69">
        <v>0</v>
      </c>
      <c r="AL156" s="69">
        <v>0</v>
      </c>
      <c r="AM156" s="69">
        <v>0</v>
      </c>
      <c r="AN156" s="69">
        <v>0</v>
      </c>
      <c r="AO156" s="69">
        <v>0</v>
      </c>
      <c r="AP156" s="69">
        <v>0</v>
      </c>
      <c r="AQ156" s="69">
        <v>0</v>
      </c>
      <c r="AR156" s="69">
        <v>0</v>
      </c>
      <c r="AS156" s="69">
        <f t="shared" ref="AS156:AS163" si="126">SUM(AG156:AR156)</f>
        <v>6369</v>
      </c>
      <c r="AT156" s="69">
        <v>0</v>
      </c>
      <c r="AU156" s="69">
        <v>30651</v>
      </c>
      <c r="AV156" s="69">
        <v>72005</v>
      </c>
      <c r="AW156" s="69">
        <v>0</v>
      </c>
      <c r="AX156" s="69">
        <v>0</v>
      </c>
      <c r="AY156" s="69">
        <v>0</v>
      </c>
      <c r="AZ156" s="69">
        <v>0</v>
      </c>
      <c r="BA156" s="69">
        <v>0</v>
      </c>
      <c r="BB156" s="69">
        <v>0</v>
      </c>
      <c r="BC156" s="69">
        <v>0</v>
      </c>
      <c r="BD156" s="69">
        <v>0</v>
      </c>
      <c r="BE156" s="69">
        <v>0</v>
      </c>
      <c r="BF156" s="69">
        <f t="shared" ref="BF156:BF163" si="127">SUM(AT156:BE156)</f>
        <v>102656</v>
      </c>
      <c r="BG156" s="69"/>
      <c r="BH156" s="69"/>
      <c r="BI156" s="69"/>
      <c r="BJ156" s="69"/>
      <c r="BL156" s="69">
        <v>0</v>
      </c>
      <c r="BM156" s="69"/>
      <c r="BN156" s="69"/>
      <c r="BO156" s="69"/>
      <c r="BP156" s="9" t="s">
        <v>253</v>
      </c>
      <c r="BQ156" s="6"/>
      <c r="BR156" s="69"/>
      <c r="BS156" s="69"/>
      <c r="BT156" s="69"/>
      <c r="BU156" s="69"/>
      <c r="BV156" s="69"/>
      <c r="BW156" s="69"/>
      <c r="BX156" s="69"/>
      <c r="BY156" s="69"/>
      <c r="BZ156" s="69"/>
      <c r="CA156" s="69"/>
      <c r="CB156" s="69"/>
      <c r="CC156" s="69"/>
      <c r="CD156" s="69"/>
      <c r="EE156" s="82"/>
      <c r="EF156" s="82"/>
      <c r="EG156" s="82"/>
      <c r="EH156" s="82"/>
      <c r="EI156" s="82"/>
      <c r="EJ156" s="82"/>
      <c r="EK156" s="82"/>
      <c r="EL156" s="82"/>
      <c r="EM156" s="82"/>
      <c r="EN156" s="82"/>
      <c r="EO156" s="82"/>
      <c r="EP156" s="82"/>
      <c r="EQ156" s="82"/>
      <c r="ER156" s="82"/>
      <c r="ES156" s="82"/>
      <c r="ET156" s="82"/>
      <c r="EU156" s="82"/>
      <c r="EV156" s="82"/>
      <c r="EW156" s="82"/>
      <c r="EX156" s="82"/>
      <c r="EY156" s="82"/>
      <c r="EZ156" s="82"/>
      <c r="FA156" s="82"/>
      <c r="FB156" s="82"/>
      <c r="FC156" s="82"/>
      <c r="FD156" s="82"/>
      <c r="FE156" s="82"/>
      <c r="FF156" s="82"/>
      <c r="FG156" s="82"/>
      <c r="FH156" s="82"/>
      <c r="FI156" s="82"/>
      <c r="FJ156" s="82"/>
      <c r="FK156" s="82"/>
      <c r="FL156" s="82"/>
      <c r="FM156" s="82"/>
      <c r="FN156" s="82"/>
      <c r="FO156" s="82"/>
    </row>
    <row r="157" spans="1:171" x14ac:dyDescent="0.25">
      <c r="A157" s="67" t="s">
        <v>254</v>
      </c>
      <c r="B157" s="82">
        <v>0</v>
      </c>
      <c r="C157" s="82">
        <v>-9208</v>
      </c>
      <c r="D157" s="82">
        <v>0</v>
      </c>
      <c r="E157" s="82">
        <v>0</v>
      </c>
      <c r="G157" s="69">
        <v>0</v>
      </c>
      <c r="H157" s="69">
        <v>0</v>
      </c>
      <c r="I157" s="69">
        <v>0</v>
      </c>
      <c r="J157" s="69">
        <v>0</v>
      </c>
      <c r="K157" s="69">
        <v>0</v>
      </c>
      <c r="L157" s="69">
        <v>-3832</v>
      </c>
      <c r="M157" s="69">
        <v>-4737</v>
      </c>
      <c r="N157" s="69">
        <v>0</v>
      </c>
      <c r="O157" s="69">
        <v>-639</v>
      </c>
      <c r="P157" s="69">
        <v>0</v>
      </c>
      <c r="Q157" s="69">
        <v>0</v>
      </c>
      <c r="R157" s="69">
        <v>0</v>
      </c>
      <c r="S157" s="69">
        <f t="shared" si="124"/>
        <v>-9208</v>
      </c>
      <c r="T157" s="69">
        <v>0</v>
      </c>
      <c r="U157" s="69">
        <v>0</v>
      </c>
      <c r="V157" s="69">
        <v>0</v>
      </c>
      <c r="W157" s="69">
        <v>0</v>
      </c>
      <c r="X157" s="69">
        <v>0</v>
      </c>
      <c r="Y157" s="69">
        <v>0</v>
      </c>
      <c r="Z157" s="69">
        <v>0</v>
      </c>
      <c r="AA157" s="69">
        <v>0</v>
      </c>
      <c r="AB157" s="69">
        <v>0</v>
      </c>
      <c r="AC157" s="69">
        <v>0</v>
      </c>
      <c r="AD157" s="69">
        <v>0</v>
      </c>
      <c r="AE157" s="69">
        <v>0</v>
      </c>
      <c r="AF157" s="69">
        <f t="shared" si="125"/>
        <v>0</v>
      </c>
      <c r="AG157" s="69">
        <v>0</v>
      </c>
      <c r="AH157" s="69">
        <v>0</v>
      </c>
      <c r="AI157" s="69">
        <v>0</v>
      </c>
      <c r="AJ157" s="69">
        <v>0</v>
      </c>
      <c r="AK157" s="69">
        <v>0</v>
      </c>
      <c r="AL157" s="69">
        <v>0</v>
      </c>
      <c r="AM157" s="69">
        <v>0</v>
      </c>
      <c r="AN157" s="69">
        <v>0</v>
      </c>
      <c r="AO157" s="69">
        <v>0</v>
      </c>
      <c r="AP157" s="69">
        <v>0</v>
      </c>
      <c r="AQ157" s="69">
        <v>0</v>
      </c>
      <c r="AR157" s="69">
        <v>0</v>
      </c>
      <c r="AS157" s="69">
        <f t="shared" si="126"/>
        <v>0</v>
      </c>
      <c r="AT157" s="69">
        <v>0</v>
      </c>
      <c r="AU157" s="69">
        <v>0</v>
      </c>
      <c r="AV157" s="69">
        <v>0</v>
      </c>
      <c r="AW157" s="69">
        <v>0</v>
      </c>
      <c r="AX157" s="69">
        <v>0</v>
      </c>
      <c r="AY157" s="69">
        <v>0</v>
      </c>
      <c r="AZ157" s="69">
        <v>0</v>
      </c>
      <c r="BA157" s="69">
        <v>0</v>
      </c>
      <c r="BB157" s="69">
        <v>0</v>
      </c>
      <c r="BC157" s="69">
        <v>0</v>
      </c>
      <c r="BD157" s="69">
        <v>0</v>
      </c>
      <c r="BE157" s="69">
        <v>0</v>
      </c>
      <c r="BF157" s="69">
        <f t="shared" si="127"/>
        <v>0</v>
      </c>
      <c r="BG157" s="69"/>
      <c r="BH157" s="69"/>
      <c r="BI157" s="69"/>
      <c r="BJ157" s="69"/>
      <c r="BL157" s="69">
        <v>0</v>
      </c>
      <c r="BM157" s="69"/>
      <c r="BN157" s="69"/>
      <c r="BO157" s="69"/>
      <c r="BP157" s="9" t="s">
        <v>255</v>
      </c>
      <c r="BQ157" s="6"/>
      <c r="BR157" s="69"/>
      <c r="BS157" s="69"/>
      <c r="BT157" s="69"/>
      <c r="BU157" s="69"/>
      <c r="BV157" s="69"/>
      <c r="BW157" s="69"/>
      <c r="BX157" s="69"/>
      <c r="BY157" s="69"/>
      <c r="BZ157" s="69"/>
      <c r="CA157" s="69"/>
      <c r="CB157" s="69"/>
      <c r="CC157" s="69"/>
      <c r="CD157" s="69"/>
      <c r="EE157" s="82"/>
      <c r="EF157" s="82"/>
      <c r="EG157" s="82"/>
      <c r="EH157" s="82"/>
      <c r="EI157" s="82"/>
      <c r="EJ157" s="82"/>
      <c r="EK157" s="82"/>
      <c r="EL157" s="82"/>
      <c r="EM157" s="82"/>
      <c r="EN157" s="82"/>
      <c r="EO157" s="82"/>
      <c r="EP157" s="82"/>
      <c r="EQ157" s="82"/>
      <c r="ER157" s="82"/>
      <c r="ES157" s="82"/>
      <c r="ET157" s="82"/>
      <c r="EU157" s="82"/>
      <c r="EV157" s="82"/>
      <c r="EW157" s="82"/>
      <c r="EX157" s="82"/>
      <c r="EY157" s="82"/>
      <c r="EZ157" s="82"/>
      <c r="FA157" s="82"/>
      <c r="FB157" s="82"/>
      <c r="FC157" s="82"/>
      <c r="FD157" s="82"/>
      <c r="FE157" s="82"/>
      <c r="FF157" s="82"/>
      <c r="FG157" s="82"/>
      <c r="FH157" s="82"/>
      <c r="FI157" s="82"/>
      <c r="FJ157" s="82"/>
      <c r="FK157" s="82"/>
      <c r="FL157" s="82"/>
      <c r="FM157" s="82"/>
      <c r="FN157" s="82"/>
      <c r="FO157" s="82"/>
    </row>
    <row r="158" spans="1:171" x14ac:dyDescent="0.25">
      <c r="A158" s="67" t="s">
        <v>256</v>
      </c>
      <c r="B158" s="82">
        <v>0</v>
      </c>
      <c r="C158" s="82">
        <v>-71677</v>
      </c>
      <c r="D158" s="82">
        <v>681695</v>
      </c>
      <c r="E158" s="82">
        <v>0</v>
      </c>
      <c r="G158" s="69">
        <v>0</v>
      </c>
      <c r="H158" s="69">
        <v>0</v>
      </c>
      <c r="I158" s="69">
        <v>0</v>
      </c>
      <c r="J158" s="69">
        <v>0</v>
      </c>
      <c r="K158" s="69">
        <v>0</v>
      </c>
      <c r="L158" s="69">
        <v>-71677</v>
      </c>
      <c r="M158" s="69">
        <v>0</v>
      </c>
      <c r="N158" s="69">
        <v>0</v>
      </c>
      <c r="O158" s="69">
        <v>0</v>
      </c>
      <c r="P158" s="69">
        <v>0</v>
      </c>
      <c r="Q158" s="69">
        <v>0</v>
      </c>
      <c r="R158" s="69">
        <v>0</v>
      </c>
      <c r="S158" s="69">
        <f t="shared" si="124"/>
        <v>-71677</v>
      </c>
      <c r="T158" s="69">
        <v>665563</v>
      </c>
      <c r="U158" s="69">
        <v>0</v>
      </c>
      <c r="V158" s="69">
        <v>0</v>
      </c>
      <c r="W158" s="69">
        <v>0</v>
      </c>
      <c r="X158" s="69">
        <v>0</v>
      </c>
      <c r="Y158" s="69">
        <v>0</v>
      </c>
      <c r="Z158" s="69">
        <v>0</v>
      </c>
      <c r="AA158" s="69">
        <v>0</v>
      </c>
      <c r="AB158" s="69">
        <v>-243259</v>
      </c>
      <c r="AC158" s="69">
        <v>0</v>
      </c>
      <c r="AD158" s="69">
        <v>259391</v>
      </c>
      <c r="AE158" s="69">
        <v>0</v>
      </c>
      <c r="AF158" s="69">
        <f t="shared" si="125"/>
        <v>681695</v>
      </c>
      <c r="AG158" s="69">
        <v>0</v>
      </c>
      <c r="AH158" s="69">
        <v>0</v>
      </c>
      <c r="AI158" s="69">
        <v>0</v>
      </c>
      <c r="AJ158" s="69">
        <v>0</v>
      </c>
      <c r="AK158" s="69">
        <v>0</v>
      </c>
      <c r="AL158" s="69">
        <v>0</v>
      </c>
      <c r="AM158" s="69">
        <v>0</v>
      </c>
      <c r="AN158" s="69">
        <v>0</v>
      </c>
      <c r="AO158" s="69">
        <v>0</v>
      </c>
      <c r="AP158" s="69">
        <v>0</v>
      </c>
      <c r="AQ158" s="69">
        <v>0</v>
      </c>
      <c r="AR158" s="69">
        <v>0</v>
      </c>
      <c r="AS158" s="69">
        <f t="shared" si="126"/>
        <v>0</v>
      </c>
      <c r="AT158" s="69">
        <v>0</v>
      </c>
      <c r="AU158" s="69">
        <v>0</v>
      </c>
      <c r="AV158" s="69">
        <v>0</v>
      </c>
      <c r="AW158" s="69">
        <v>0</v>
      </c>
      <c r="AX158" s="69">
        <v>0</v>
      </c>
      <c r="AY158" s="69">
        <v>0</v>
      </c>
      <c r="AZ158" s="69">
        <v>0</v>
      </c>
      <c r="BA158" s="69">
        <v>0</v>
      </c>
      <c r="BB158" s="69">
        <v>0</v>
      </c>
      <c r="BC158" s="69">
        <v>0</v>
      </c>
      <c r="BD158" s="69">
        <v>0</v>
      </c>
      <c r="BE158" s="69">
        <v>0</v>
      </c>
      <c r="BF158" s="69">
        <f t="shared" si="127"/>
        <v>0</v>
      </c>
      <c r="BG158" s="69"/>
      <c r="BH158" s="69"/>
      <c r="BI158" s="69"/>
      <c r="BJ158" s="69"/>
      <c r="BL158" s="69">
        <v>0</v>
      </c>
      <c r="BM158" s="69"/>
      <c r="BN158" s="69"/>
      <c r="BO158" s="69"/>
      <c r="BP158" s="128" t="s">
        <v>257</v>
      </c>
      <c r="BQ158" s="6"/>
      <c r="BR158" s="69">
        <f t="shared" ref="BR158:CC158" si="128">-BR61</f>
        <v>609140</v>
      </c>
      <c r="BS158" s="69">
        <f t="shared" si="128"/>
        <v>510601</v>
      </c>
      <c r="BT158" s="69">
        <f t="shared" si="128"/>
        <v>701978</v>
      </c>
      <c r="BU158" s="69">
        <f t="shared" si="128"/>
        <v>709205</v>
      </c>
      <c r="BV158" s="69">
        <f t="shared" si="128"/>
        <v>955239</v>
      </c>
      <c r="BW158" s="69">
        <f t="shared" si="128"/>
        <v>611728</v>
      </c>
      <c r="BX158" s="69">
        <f t="shared" si="128"/>
        <v>1511190</v>
      </c>
      <c r="BY158" s="69">
        <f t="shared" si="128"/>
        <v>1116844.3193886129</v>
      </c>
      <c r="BZ158" s="69">
        <f t="shared" si="128"/>
        <v>435564.63</v>
      </c>
      <c r="CA158" s="69">
        <f t="shared" si="128"/>
        <v>1016328.1162948657</v>
      </c>
      <c r="CB158" s="69">
        <f t="shared" si="128"/>
        <v>1048338.592829267</v>
      </c>
      <c r="CC158" s="69">
        <f t="shared" si="128"/>
        <v>957849.40640417021</v>
      </c>
      <c r="CD158" s="69"/>
      <c r="CE158" s="95">
        <f>SUM(BY158:CD158)</f>
        <v>4574925.0649169162</v>
      </c>
      <c r="CF158" s="7">
        <v>5036270.6251119617</v>
      </c>
      <c r="CG158" s="95">
        <f>CE158-CF158</f>
        <v>-461345.56019504555</v>
      </c>
      <c r="EE158" s="82"/>
      <c r="EF158" s="82"/>
      <c r="EG158" s="82"/>
      <c r="EH158" s="82"/>
      <c r="EI158" s="82"/>
      <c r="EJ158" s="82"/>
      <c r="EK158" s="82"/>
      <c r="EL158" s="82"/>
      <c r="EM158" s="82"/>
      <c r="EN158" s="82"/>
      <c r="EO158" s="82"/>
      <c r="EP158" s="82"/>
      <c r="EQ158" s="82"/>
      <c r="ER158" s="82"/>
      <c r="ES158" s="82"/>
      <c r="ET158" s="82"/>
      <c r="EU158" s="82"/>
      <c r="EV158" s="82"/>
      <c r="EW158" s="82"/>
      <c r="EX158" s="82"/>
      <c r="EY158" s="82"/>
      <c r="EZ158" s="82"/>
      <c r="FA158" s="82"/>
      <c r="FB158" s="82"/>
      <c r="FC158" s="82"/>
      <c r="FD158" s="82"/>
      <c r="FE158" s="82"/>
      <c r="FF158" s="82"/>
      <c r="FG158" s="82"/>
      <c r="FH158" s="82"/>
      <c r="FI158" s="82"/>
      <c r="FJ158" s="82"/>
      <c r="FK158" s="82"/>
      <c r="FL158" s="82"/>
      <c r="FM158" s="82"/>
      <c r="FN158" s="82"/>
      <c r="FO158" s="82"/>
    </row>
    <row r="159" spans="1:171" x14ac:dyDescent="0.25">
      <c r="A159" s="67" t="s">
        <v>258</v>
      </c>
      <c r="B159" s="82">
        <v>-1237663</v>
      </c>
      <c r="C159" s="82">
        <v>458846</v>
      </c>
      <c r="D159" s="82">
        <v>32140</v>
      </c>
      <c r="E159" s="82">
        <v>0</v>
      </c>
      <c r="G159" s="69">
        <v>0</v>
      </c>
      <c r="H159" s="69">
        <v>0</v>
      </c>
      <c r="I159" s="69">
        <v>0</v>
      </c>
      <c r="J159" s="69">
        <v>0</v>
      </c>
      <c r="K159" s="69">
        <v>0</v>
      </c>
      <c r="L159" s="69">
        <v>77613</v>
      </c>
      <c r="M159" s="69">
        <v>249181</v>
      </c>
      <c r="N159" s="69">
        <v>0</v>
      </c>
      <c r="O159" s="69">
        <v>132051</v>
      </c>
      <c r="P159" s="69">
        <v>0</v>
      </c>
      <c r="Q159" s="69">
        <v>0</v>
      </c>
      <c r="R159" s="69">
        <v>0</v>
      </c>
      <c r="S159" s="69">
        <f t="shared" si="124"/>
        <v>458845</v>
      </c>
      <c r="T159" s="69">
        <v>30475</v>
      </c>
      <c r="U159" s="69">
        <v>0</v>
      </c>
      <c r="V159" s="69">
        <v>0</v>
      </c>
      <c r="W159" s="69">
        <v>0</v>
      </c>
      <c r="X159" s="69">
        <v>0</v>
      </c>
      <c r="Y159" s="69">
        <v>0</v>
      </c>
      <c r="Z159" s="69">
        <v>0</v>
      </c>
      <c r="AA159" s="69">
        <v>0</v>
      </c>
      <c r="AB159" s="69">
        <v>0</v>
      </c>
      <c r="AC159" s="69">
        <v>0</v>
      </c>
      <c r="AD159" s="69">
        <v>1665</v>
      </c>
      <c r="AE159" s="69">
        <v>0</v>
      </c>
      <c r="AF159" s="69">
        <f t="shared" si="125"/>
        <v>32140</v>
      </c>
      <c r="AG159" s="69">
        <v>0</v>
      </c>
      <c r="AH159" s="69">
        <v>0</v>
      </c>
      <c r="AI159" s="69">
        <v>0</v>
      </c>
      <c r="AJ159" s="69">
        <v>0</v>
      </c>
      <c r="AK159" s="69">
        <v>0</v>
      </c>
      <c r="AL159" s="69">
        <v>0</v>
      </c>
      <c r="AM159" s="69">
        <v>0</v>
      </c>
      <c r="AN159" s="69">
        <v>0</v>
      </c>
      <c r="AO159" s="69">
        <v>0</v>
      </c>
      <c r="AP159" s="69">
        <v>0</v>
      </c>
      <c r="AQ159" s="69">
        <v>0</v>
      </c>
      <c r="AR159" s="69">
        <v>0</v>
      </c>
      <c r="AS159" s="69">
        <f t="shared" si="126"/>
        <v>0</v>
      </c>
      <c r="AT159" s="69">
        <v>0</v>
      </c>
      <c r="AU159" s="69">
        <v>0</v>
      </c>
      <c r="AV159" s="69">
        <v>0</v>
      </c>
      <c r="AW159" s="69">
        <v>0</v>
      </c>
      <c r="AX159" s="69">
        <v>0</v>
      </c>
      <c r="AY159" s="69">
        <v>0</v>
      </c>
      <c r="AZ159" s="69">
        <v>0</v>
      </c>
      <c r="BA159" s="69">
        <v>0</v>
      </c>
      <c r="BB159" s="69">
        <v>0</v>
      </c>
      <c r="BC159" s="69">
        <v>0</v>
      </c>
      <c r="BD159" s="69">
        <v>0</v>
      </c>
      <c r="BE159" s="69">
        <v>0</v>
      </c>
      <c r="BF159" s="69">
        <f t="shared" si="127"/>
        <v>0</v>
      </c>
      <c r="BG159" s="69"/>
      <c r="BH159" s="69"/>
      <c r="BI159" s="69"/>
      <c r="BJ159" s="69"/>
      <c r="BL159" s="69">
        <v>0</v>
      </c>
      <c r="BM159" s="69"/>
      <c r="BN159" s="69"/>
      <c r="BO159" s="69"/>
      <c r="BP159" s="128" t="s">
        <v>259</v>
      </c>
      <c r="BQ159" s="6"/>
      <c r="BR159" s="38"/>
      <c r="BS159" s="38">
        <v>-372619</v>
      </c>
      <c r="BT159" s="38">
        <v>-109140</v>
      </c>
      <c r="BU159" s="38"/>
      <c r="BV159" s="38">
        <f>BU61</f>
        <v>-709205</v>
      </c>
      <c r="BW159" s="38"/>
      <c r="BX159" s="38"/>
      <c r="BY159" s="71"/>
      <c r="BZ159" s="69">
        <f t="shared" ref="BZ159:CC159" si="129">-BY158</f>
        <v>-1116844.3193886129</v>
      </c>
      <c r="CA159" s="69">
        <f t="shared" si="129"/>
        <v>-435564.63</v>
      </c>
      <c r="CB159" s="69">
        <f t="shared" si="129"/>
        <v>-1016328.1162948657</v>
      </c>
      <c r="CC159" s="69">
        <f t="shared" si="129"/>
        <v>-1048338.592829267</v>
      </c>
      <c r="CD159" s="69"/>
      <c r="CE159" s="95">
        <f t="shared" ref="CE159:CE193" si="130">SUM(BY159:CD159)</f>
        <v>-3617075.6585127455</v>
      </c>
      <c r="CF159" s="7">
        <v>-5449618.7087077927</v>
      </c>
      <c r="CG159" s="95">
        <f t="shared" ref="CG159:CG189" si="131">CE159-CF159</f>
        <v>1832543.0501950472</v>
      </c>
      <c r="CH159" s="1" t="s">
        <v>260</v>
      </c>
      <c r="EE159" s="82"/>
      <c r="EF159" s="82"/>
      <c r="EG159" s="82"/>
      <c r="EH159" s="82"/>
      <c r="EI159" s="82"/>
      <c r="EJ159" s="82"/>
      <c r="EK159" s="82"/>
      <c r="EL159" s="82"/>
      <c r="EM159" s="82"/>
      <c r="EN159" s="82"/>
      <c r="EO159" s="82"/>
      <c r="EP159" s="82"/>
      <c r="EQ159" s="82"/>
      <c r="ER159" s="82"/>
      <c r="ES159" s="82"/>
      <c r="ET159" s="82"/>
      <c r="EU159" s="82"/>
      <c r="EV159" s="82"/>
      <c r="EW159" s="82"/>
      <c r="EX159" s="82"/>
      <c r="EY159" s="82"/>
      <c r="EZ159" s="82"/>
      <c r="FA159" s="82"/>
      <c r="FB159" s="82"/>
      <c r="FC159" s="82"/>
      <c r="FD159" s="82"/>
      <c r="FE159" s="82"/>
      <c r="FF159" s="82"/>
      <c r="FG159" s="82"/>
      <c r="FH159" s="82"/>
      <c r="FI159" s="82"/>
      <c r="FJ159" s="82"/>
      <c r="FK159" s="82"/>
      <c r="FL159" s="82"/>
      <c r="FM159" s="82"/>
      <c r="FN159" s="82"/>
      <c r="FO159" s="82"/>
    </row>
    <row r="160" spans="1:171" x14ac:dyDescent="0.25">
      <c r="A160" s="67" t="s">
        <v>261</v>
      </c>
      <c r="B160" s="82">
        <v>0</v>
      </c>
      <c r="C160" s="82">
        <v>41</v>
      </c>
      <c r="D160" s="82">
        <v>95</v>
      </c>
      <c r="E160" s="82">
        <v>5530</v>
      </c>
      <c r="G160" s="69">
        <v>3</v>
      </c>
      <c r="H160" s="69">
        <v>2</v>
      </c>
      <c r="I160" s="69">
        <v>19</v>
      </c>
      <c r="J160" s="69">
        <v>5</v>
      </c>
      <c r="K160" s="69">
        <v>1</v>
      </c>
      <c r="L160" s="69">
        <v>1</v>
      </c>
      <c r="M160" s="69">
        <v>3</v>
      </c>
      <c r="N160" s="69">
        <v>3</v>
      </c>
      <c r="O160" s="69">
        <v>4</v>
      </c>
      <c r="P160" s="69">
        <v>0</v>
      </c>
      <c r="Q160" s="69">
        <v>0</v>
      </c>
      <c r="R160" s="69">
        <v>0</v>
      </c>
      <c r="S160" s="69">
        <f t="shared" si="124"/>
        <v>41</v>
      </c>
      <c r="T160" s="69">
        <v>4</v>
      </c>
      <c r="U160" s="69">
        <v>7</v>
      </c>
      <c r="V160" s="69">
        <v>9</v>
      </c>
      <c r="W160" s="69">
        <v>5</v>
      </c>
      <c r="X160" s="69">
        <v>1</v>
      </c>
      <c r="Y160" s="69">
        <v>1</v>
      </c>
      <c r="Z160" s="69">
        <v>10</v>
      </c>
      <c r="AA160" s="69">
        <v>57</v>
      </c>
      <c r="AB160" s="69">
        <v>0</v>
      </c>
      <c r="AC160" s="69">
        <v>0</v>
      </c>
      <c r="AD160" s="69">
        <v>0</v>
      </c>
      <c r="AE160" s="69">
        <v>0</v>
      </c>
      <c r="AF160" s="69">
        <f t="shared" si="125"/>
        <v>94</v>
      </c>
      <c r="AG160" s="69">
        <v>0</v>
      </c>
      <c r="AH160" s="69">
        <v>0</v>
      </c>
      <c r="AI160" s="69">
        <v>0</v>
      </c>
      <c r="AJ160" s="69">
        <v>0</v>
      </c>
      <c r="AK160" s="69">
        <v>0</v>
      </c>
      <c r="AL160" s="69">
        <v>0</v>
      </c>
      <c r="AM160" s="69">
        <v>0</v>
      </c>
      <c r="AN160" s="69">
        <v>0</v>
      </c>
      <c r="AO160" s="69">
        <v>0</v>
      </c>
      <c r="AP160" s="69">
        <v>0</v>
      </c>
      <c r="AQ160" s="69">
        <v>5530</v>
      </c>
      <c r="AR160" s="69">
        <v>0</v>
      </c>
      <c r="AS160" s="69">
        <f t="shared" si="126"/>
        <v>5530</v>
      </c>
      <c r="AT160" s="69">
        <v>0</v>
      </c>
      <c r="AU160" s="69">
        <v>0</v>
      </c>
      <c r="AV160" s="69">
        <v>0</v>
      </c>
      <c r="AW160" s="69">
        <v>0</v>
      </c>
      <c r="AX160" s="69">
        <v>0</v>
      </c>
      <c r="AY160" s="69">
        <v>0</v>
      </c>
      <c r="AZ160" s="69">
        <v>0</v>
      </c>
      <c r="BA160" s="69">
        <v>0</v>
      </c>
      <c r="BB160" s="69">
        <v>0</v>
      </c>
      <c r="BC160" s="69">
        <v>0</v>
      </c>
      <c r="BD160" s="69">
        <v>0</v>
      </c>
      <c r="BE160" s="69">
        <v>0</v>
      </c>
      <c r="BF160" s="69">
        <f t="shared" si="127"/>
        <v>0</v>
      </c>
      <c r="BG160" s="69"/>
      <c r="BH160" s="69"/>
      <c r="BI160" s="69"/>
      <c r="BJ160" s="69"/>
      <c r="BL160" s="69">
        <v>0</v>
      </c>
      <c r="BM160" s="69"/>
      <c r="BN160" s="69"/>
      <c r="BO160" s="69"/>
      <c r="BP160" s="128" t="s">
        <v>262</v>
      </c>
      <c r="BQ160" s="6"/>
      <c r="BR160" s="69"/>
      <c r="BS160" s="38">
        <v>-500000</v>
      </c>
      <c r="BT160" s="38">
        <f>-25000-25000</f>
        <v>-50000</v>
      </c>
      <c r="BU160" s="38">
        <v>-100000</v>
      </c>
      <c r="BV160" s="39">
        <v>-25000</v>
      </c>
      <c r="BW160" s="69"/>
      <c r="BX160" s="69"/>
      <c r="BY160" s="69"/>
      <c r="BZ160" s="69"/>
      <c r="CA160" s="69"/>
      <c r="CB160" s="69"/>
      <c r="CC160" s="69"/>
      <c r="CD160" s="69"/>
      <c r="CE160" s="95">
        <f t="shared" si="130"/>
        <v>0</v>
      </c>
      <c r="CF160" s="7">
        <v>-1000000</v>
      </c>
      <c r="CG160" s="95">
        <f t="shared" si="131"/>
        <v>1000000</v>
      </c>
      <c r="CH160" s="1" t="s">
        <v>263</v>
      </c>
      <c r="EE160" s="82"/>
      <c r="EF160" s="82"/>
      <c r="EG160" s="82"/>
      <c r="EH160" s="82"/>
      <c r="EI160" s="82"/>
      <c r="EJ160" s="82"/>
      <c r="EK160" s="82"/>
      <c r="EL160" s="82"/>
      <c r="EM160" s="82"/>
      <c r="EN160" s="82"/>
      <c r="EO160" s="82"/>
      <c r="EP160" s="82"/>
      <c r="EQ160" s="82"/>
      <c r="ER160" s="82"/>
      <c r="ES160" s="82"/>
      <c r="ET160" s="82"/>
      <c r="EU160" s="82"/>
      <c r="EV160" s="82"/>
      <c r="EW160" s="82"/>
      <c r="EX160" s="82"/>
      <c r="EY160" s="82"/>
      <c r="EZ160" s="82"/>
      <c r="FA160" s="82"/>
      <c r="FB160" s="82"/>
      <c r="FC160" s="82"/>
      <c r="FD160" s="82"/>
      <c r="FE160" s="82"/>
      <c r="FF160" s="82"/>
      <c r="FG160" s="82"/>
      <c r="FH160" s="82"/>
      <c r="FI160" s="82"/>
      <c r="FJ160" s="82"/>
      <c r="FK160" s="82"/>
      <c r="FL160" s="82"/>
      <c r="FM160" s="82"/>
      <c r="FN160" s="82"/>
      <c r="FO160" s="82"/>
    </row>
    <row r="161" spans="1:171" x14ac:dyDescent="0.25">
      <c r="A161" s="67" t="s">
        <v>264</v>
      </c>
      <c r="B161" s="82">
        <v>901058</v>
      </c>
      <c r="C161" s="82">
        <v>146894</v>
      </c>
      <c r="D161" s="82">
        <v>72846</v>
      </c>
      <c r="E161" s="82">
        <v>14158</v>
      </c>
      <c r="G161" s="69">
        <v>0</v>
      </c>
      <c r="H161" s="69">
        <v>2875</v>
      </c>
      <c r="I161" s="69">
        <v>0</v>
      </c>
      <c r="J161" s="69">
        <v>0</v>
      </c>
      <c r="K161" s="69">
        <v>14</v>
      </c>
      <c r="L161" s="69">
        <v>3365</v>
      </c>
      <c r="M161" s="69">
        <v>1</v>
      </c>
      <c r="N161" s="69">
        <v>86104</v>
      </c>
      <c r="O161" s="69">
        <v>0</v>
      </c>
      <c r="P161" s="69">
        <v>-485</v>
      </c>
      <c r="Q161" s="69">
        <v>134280</v>
      </c>
      <c r="R161" s="69">
        <v>-79259</v>
      </c>
      <c r="S161" s="69">
        <f t="shared" si="124"/>
        <v>146895</v>
      </c>
      <c r="T161" s="69">
        <v>-12810</v>
      </c>
      <c r="U161" s="69">
        <v>-660</v>
      </c>
      <c r="V161" s="69">
        <v>-115</v>
      </c>
      <c r="W161" s="69">
        <v>-107</v>
      </c>
      <c r="X161" s="69">
        <v>0</v>
      </c>
      <c r="Y161" s="69">
        <v>55940</v>
      </c>
      <c r="Z161" s="69">
        <v>-5008</v>
      </c>
      <c r="AA161" s="69">
        <v>-4393</v>
      </c>
      <c r="AB161" s="69">
        <v>40000</v>
      </c>
      <c r="AC161" s="69">
        <v>0</v>
      </c>
      <c r="AD161" s="69">
        <v>0</v>
      </c>
      <c r="AE161" s="69">
        <v>0</v>
      </c>
      <c r="AF161" s="69">
        <f t="shared" si="125"/>
        <v>72847</v>
      </c>
      <c r="AG161" s="69">
        <v>0</v>
      </c>
      <c r="AH161" s="69">
        <v>0</v>
      </c>
      <c r="AI161" s="69">
        <v>0</v>
      </c>
      <c r="AJ161" s="69">
        <v>0</v>
      </c>
      <c r="AK161" s="69">
        <v>0</v>
      </c>
      <c r="AL161" s="69">
        <v>0</v>
      </c>
      <c r="AM161" s="69">
        <v>8000</v>
      </c>
      <c r="AN161" s="69">
        <v>444</v>
      </c>
      <c r="AO161" s="69">
        <v>644</v>
      </c>
      <c r="AP161" s="69">
        <v>644</v>
      </c>
      <c r="AQ161" s="69">
        <v>1199</v>
      </c>
      <c r="AR161" s="69">
        <v>3226</v>
      </c>
      <c r="AS161" s="69">
        <f t="shared" si="126"/>
        <v>14157</v>
      </c>
      <c r="AT161" s="69">
        <v>2961</v>
      </c>
      <c r="AU161" s="69">
        <v>3119</v>
      </c>
      <c r="AV161" s="69">
        <v>3265</v>
      </c>
      <c r="AW161" s="69">
        <v>37857</v>
      </c>
      <c r="AX161" s="69">
        <v>3717</v>
      </c>
      <c r="AY161" s="69">
        <v>3882</v>
      </c>
      <c r="AZ161" s="69">
        <v>4372</v>
      </c>
      <c r="BA161" s="69">
        <v>18041</v>
      </c>
      <c r="BB161" s="69">
        <v>2000</v>
      </c>
      <c r="BC161" s="69">
        <v>0</v>
      </c>
      <c r="BD161" s="69">
        <v>0</v>
      </c>
      <c r="BE161" s="69">
        <v>0</v>
      </c>
      <c r="BF161" s="69">
        <f t="shared" si="127"/>
        <v>79214</v>
      </c>
      <c r="BG161" s="69"/>
      <c r="BH161" s="69"/>
      <c r="BI161" s="69"/>
      <c r="BJ161" s="69"/>
      <c r="BL161" s="69">
        <v>0</v>
      </c>
      <c r="BM161" s="69"/>
      <c r="BN161" s="69"/>
      <c r="BO161" s="69"/>
      <c r="BP161" s="128" t="s">
        <v>265</v>
      </c>
      <c r="BQ161" s="6"/>
      <c r="BR161" s="78">
        <v>-1082377</v>
      </c>
      <c r="BS161" s="38">
        <v>-100000</v>
      </c>
      <c r="BT161" s="38">
        <v>-510601</v>
      </c>
      <c r="BU161" s="69">
        <v>-701978</v>
      </c>
      <c r="BW161" s="38">
        <v>-571229.52</v>
      </c>
      <c r="BX161" s="38">
        <f>-13394.63-303523.2-166000</f>
        <v>-482917.83</v>
      </c>
      <c r="BY161" s="69"/>
      <c r="BZ161" s="69"/>
      <c r="CA161" s="69"/>
      <c r="CB161" s="69"/>
      <c r="CC161" s="69"/>
      <c r="CD161" s="69"/>
      <c r="CE161" s="95">
        <f t="shared" si="130"/>
        <v>0</v>
      </c>
      <c r="CF161" s="7">
        <v>0</v>
      </c>
      <c r="CG161" s="95">
        <f t="shared" si="131"/>
        <v>0</v>
      </c>
      <c r="EE161" s="82"/>
      <c r="EF161" s="82"/>
      <c r="EG161" s="82"/>
      <c r="EH161" s="82"/>
      <c r="EI161" s="82"/>
      <c r="EJ161" s="82"/>
      <c r="EK161" s="82"/>
      <c r="EL161" s="82"/>
      <c r="EM161" s="82"/>
      <c r="EN161" s="82"/>
      <c r="EO161" s="82"/>
      <c r="EP161" s="82"/>
      <c r="EQ161" s="82"/>
      <c r="ER161" s="82"/>
      <c r="ES161" s="82"/>
      <c r="ET161" s="82"/>
      <c r="EU161" s="82"/>
      <c r="EV161" s="82"/>
      <c r="EW161" s="82"/>
      <c r="EX161" s="82"/>
      <c r="EY161" s="82"/>
      <c r="EZ161" s="82"/>
      <c r="FA161" s="82"/>
      <c r="FB161" s="82"/>
      <c r="FC161" s="82"/>
      <c r="FD161" s="82"/>
      <c r="FE161" s="82"/>
      <c r="FF161" s="82"/>
      <c r="FG161" s="82"/>
      <c r="FH161" s="82"/>
      <c r="FI161" s="82"/>
      <c r="FJ161" s="82"/>
      <c r="FK161" s="82"/>
      <c r="FL161" s="82"/>
      <c r="FM161" s="82"/>
      <c r="FN161" s="82"/>
      <c r="FO161" s="82"/>
    </row>
    <row r="162" spans="1:171" x14ac:dyDescent="0.25">
      <c r="A162" s="67" t="s">
        <v>266</v>
      </c>
      <c r="B162" s="82">
        <v>0</v>
      </c>
      <c r="C162" s="82">
        <v>29929</v>
      </c>
      <c r="D162" s="82">
        <v>483214</v>
      </c>
      <c r="E162" s="82">
        <v>319000</v>
      </c>
      <c r="G162" s="69">
        <v>0</v>
      </c>
      <c r="H162" s="69">
        <v>0</v>
      </c>
      <c r="I162" s="69">
        <v>0</v>
      </c>
      <c r="J162" s="69">
        <v>0</v>
      </c>
      <c r="K162" s="69">
        <v>0</v>
      </c>
      <c r="L162" s="69">
        <v>0</v>
      </c>
      <c r="M162" s="69">
        <v>0</v>
      </c>
      <c r="N162" s="69">
        <v>0</v>
      </c>
      <c r="O162" s="69">
        <v>0</v>
      </c>
      <c r="P162" s="69">
        <v>6500</v>
      </c>
      <c r="Q162" s="69">
        <v>10000</v>
      </c>
      <c r="R162" s="69">
        <v>13429</v>
      </c>
      <c r="S162" s="69">
        <f t="shared" si="124"/>
        <v>29929</v>
      </c>
      <c r="T162" s="69">
        <v>44000</v>
      </c>
      <c r="U162" s="69">
        <v>28000</v>
      </c>
      <c r="V162" s="69">
        <v>39500</v>
      </c>
      <c r="W162" s="69">
        <v>41000</v>
      </c>
      <c r="X162" s="69">
        <v>41000</v>
      </c>
      <c r="Y162" s="69">
        <v>-8786</v>
      </c>
      <c r="Z162" s="69">
        <v>41000</v>
      </c>
      <c r="AA162" s="69">
        <v>30000</v>
      </c>
      <c r="AB162" s="69">
        <v>82000</v>
      </c>
      <c r="AC162" s="69">
        <v>41000</v>
      </c>
      <c r="AD162" s="69">
        <v>61000</v>
      </c>
      <c r="AE162" s="69">
        <v>43500</v>
      </c>
      <c r="AF162" s="69">
        <f t="shared" si="125"/>
        <v>483214</v>
      </c>
      <c r="AG162" s="69">
        <v>2500</v>
      </c>
      <c r="AH162" s="69">
        <v>43500</v>
      </c>
      <c r="AI162" s="69">
        <v>43500</v>
      </c>
      <c r="AJ162" s="69">
        <v>43500</v>
      </c>
      <c r="AK162" s="69">
        <v>43500</v>
      </c>
      <c r="AL162" s="69">
        <v>43500</v>
      </c>
      <c r="AM162" s="69">
        <v>16500</v>
      </c>
      <c r="AN162" s="69">
        <v>16500</v>
      </c>
      <c r="AO162" s="69">
        <v>16500</v>
      </c>
      <c r="AP162" s="69">
        <v>16500</v>
      </c>
      <c r="AQ162" s="69">
        <v>16500</v>
      </c>
      <c r="AR162" s="69">
        <v>16500</v>
      </c>
      <c r="AS162" s="69">
        <f t="shared" si="126"/>
        <v>319000</v>
      </c>
      <c r="AT162" s="69">
        <v>15500</v>
      </c>
      <c r="AU162" s="69">
        <v>15500</v>
      </c>
      <c r="AV162" s="69">
        <v>0</v>
      </c>
      <c r="AW162" s="69">
        <v>0</v>
      </c>
      <c r="AX162" s="69">
        <v>0</v>
      </c>
      <c r="AY162" s="69">
        <v>0</v>
      </c>
      <c r="AZ162" s="69">
        <v>0</v>
      </c>
      <c r="BA162" s="69">
        <v>0</v>
      </c>
      <c r="BB162" s="69">
        <v>0</v>
      </c>
      <c r="BC162" s="69">
        <v>0</v>
      </c>
      <c r="BD162" s="69">
        <v>0</v>
      </c>
      <c r="BE162" s="69">
        <v>0</v>
      </c>
      <c r="BF162" s="69">
        <f t="shared" si="127"/>
        <v>31000</v>
      </c>
      <c r="BG162" s="69"/>
      <c r="BH162" s="69"/>
      <c r="BI162" s="69"/>
      <c r="BJ162" s="69"/>
      <c r="BL162" s="69">
        <v>0</v>
      </c>
      <c r="BM162" s="69"/>
      <c r="BN162" s="69"/>
      <c r="BO162" s="69"/>
      <c r="BP162" s="69"/>
      <c r="BQ162" s="6"/>
      <c r="BR162" s="69"/>
      <c r="BS162" s="69"/>
      <c r="BT162" s="69"/>
      <c r="BU162" s="69"/>
      <c r="BV162" s="69"/>
      <c r="BW162" s="69"/>
      <c r="BX162" s="69"/>
      <c r="BY162" s="69"/>
      <c r="BZ162" s="69"/>
      <c r="CA162" s="69"/>
      <c r="CB162" s="69"/>
      <c r="CC162" s="69"/>
      <c r="CD162" s="69"/>
      <c r="CE162" s="95">
        <f t="shared" si="130"/>
        <v>0</v>
      </c>
      <c r="CF162" s="7">
        <v>0</v>
      </c>
      <c r="CG162" s="95">
        <f t="shared" si="131"/>
        <v>0</v>
      </c>
      <c r="EE162" s="82"/>
      <c r="EF162" s="82"/>
      <c r="EG162" s="82"/>
      <c r="EH162" s="82"/>
      <c r="EI162" s="82"/>
      <c r="EJ162" s="82"/>
      <c r="EK162" s="82"/>
      <c r="EL162" s="82"/>
      <c r="EM162" s="82"/>
      <c r="EN162" s="82"/>
      <c r="EO162" s="82"/>
      <c r="EP162" s="82"/>
      <c r="EQ162" s="82"/>
      <c r="ER162" s="82"/>
      <c r="ES162" s="82"/>
      <c r="ET162" s="82"/>
      <c r="EU162" s="82"/>
      <c r="EV162" s="82"/>
      <c r="EW162" s="82"/>
      <c r="EX162" s="82"/>
      <c r="EY162" s="82"/>
      <c r="EZ162" s="82"/>
      <c r="FA162" s="82"/>
      <c r="FB162" s="82"/>
      <c r="FC162" s="82"/>
      <c r="FD162" s="82"/>
      <c r="FE162" s="82"/>
      <c r="FF162" s="82"/>
      <c r="FG162" s="82"/>
      <c r="FH162" s="82"/>
      <c r="FI162" s="82"/>
      <c r="FJ162" s="82"/>
      <c r="FK162" s="82"/>
      <c r="FL162" s="82"/>
      <c r="FM162" s="82"/>
      <c r="FN162" s="82"/>
      <c r="FO162" s="82"/>
    </row>
    <row r="163" spans="1:171" x14ac:dyDescent="0.25">
      <c r="A163" s="67" t="s">
        <v>267</v>
      </c>
      <c r="B163" s="84">
        <v>0</v>
      </c>
      <c r="C163" s="84">
        <v>0</v>
      </c>
      <c r="D163" s="84">
        <v>0</v>
      </c>
      <c r="E163" s="84">
        <v>-17805</v>
      </c>
      <c r="G163" s="85">
        <v>0</v>
      </c>
      <c r="H163" s="85">
        <v>0</v>
      </c>
      <c r="I163" s="85">
        <v>0</v>
      </c>
      <c r="J163" s="85">
        <v>0</v>
      </c>
      <c r="K163" s="85">
        <v>0</v>
      </c>
      <c r="L163" s="85">
        <v>0</v>
      </c>
      <c r="M163" s="85">
        <v>0</v>
      </c>
      <c r="N163" s="85">
        <v>0</v>
      </c>
      <c r="O163" s="85">
        <v>0</v>
      </c>
      <c r="P163" s="85">
        <v>0</v>
      </c>
      <c r="Q163" s="85">
        <v>0</v>
      </c>
      <c r="R163" s="85">
        <v>0</v>
      </c>
      <c r="S163" s="85">
        <f t="shared" si="124"/>
        <v>0</v>
      </c>
      <c r="T163" s="85">
        <v>0</v>
      </c>
      <c r="U163" s="85">
        <v>0</v>
      </c>
      <c r="V163" s="85">
        <v>0</v>
      </c>
      <c r="W163" s="85">
        <v>0</v>
      </c>
      <c r="X163" s="85">
        <v>0</v>
      </c>
      <c r="Y163" s="85">
        <v>0</v>
      </c>
      <c r="Z163" s="85">
        <v>0</v>
      </c>
      <c r="AA163" s="85">
        <v>-429</v>
      </c>
      <c r="AB163" s="85">
        <v>-6660</v>
      </c>
      <c r="AC163" s="85">
        <v>-1149</v>
      </c>
      <c r="AD163" s="85">
        <v>-25713</v>
      </c>
      <c r="AE163" s="85">
        <v>33951</v>
      </c>
      <c r="AF163" s="85">
        <f t="shared" si="125"/>
        <v>0</v>
      </c>
      <c r="AG163" s="85">
        <v>-5742</v>
      </c>
      <c r="AH163" s="85">
        <v>-633</v>
      </c>
      <c r="AI163" s="85">
        <v>-3178</v>
      </c>
      <c r="AJ163" s="85">
        <v>0</v>
      </c>
      <c r="AK163" s="85">
        <v>-6168</v>
      </c>
      <c r="AL163" s="85">
        <v>-2065</v>
      </c>
      <c r="AM163" s="85">
        <v>0</v>
      </c>
      <c r="AN163" s="85">
        <v>0</v>
      </c>
      <c r="AO163" s="85">
        <v>0</v>
      </c>
      <c r="AP163" s="85">
        <v>0</v>
      </c>
      <c r="AQ163" s="85">
        <v>0</v>
      </c>
      <c r="AR163" s="85">
        <v>-19</v>
      </c>
      <c r="AS163" s="85">
        <f t="shared" si="126"/>
        <v>-17805</v>
      </c>
      <c r="AT163" s="85">
        <v>0</v>
      </c>
      <c r="AU163" s="85">
        <v>-221</v>
      </c>
      <c r="AV163" s="85">
        <v>0</v>
      </c>
      <c r="AW163" s="85">
        <v>0</v>
      </c>
      <c r="AX163" s="85">
        <v>0</v>
      </c>
      <c r="AY163" s="85">
        <v>0</v>
      </c>
      <c r="AZ163" s="85">
        <v>-62</v>
      </c>
      <c r="BA163" s="85">
        <v>0</v>
      </c>
      <c r="BB163" s="85">
        <v>0</v>
      </c>
      <c r="BC163" s="85">
        <v>0</v>
      </c>
      <c r="BD163" s="85">
        <v>0</v>
      </c>
      <c r="BE163" s="85">
        <v>0</v>
      </c>
      <c r="BF163" s="85">
        <f t="shared" si="127"/>
        <v>-283</v>
      </c>
      <c r="BG163" s="86"/>
      <c r="BH163" s="86"/>
      <c r="BI163" s="86"/>
      <c r="BJ163" s="86"/>
      <c r="BL163" s="85">
        <v>0</v>
      </c>
      <c r="BM163" s="86"/>
      <c r="BN163" s="86"/>
      <c r="BO163" s="86"/>
      <c r="BP163" s="9" t="s">
        <v>268</v>
      </c>
      <c r="BQ163" s="6"/>
      <c r="BR163" s="69"/>
      <c r="BS163" s="69"/>
      <c r="BT163" s="69">
        <v>290000</v>
      </c>
      <c r="BU163" s="38">
        <v>390000</v>
      </c>
      <c r="BV163" s="38">
        <v>610000</v>
      </c>
      <c r="BW163" s="38">
        <v>811204</v>
      </c>
      <c r="BX163" s="38">
        <v>2447683</v>
      </c>
      <c r="BY163" s="69"/>
      <c r="BZ163" s="69"/>
      <c r="CA163" s="69"/>
      <c r="CB163" s="69"/>
      <c r="CC163" s="69"/>
      <c r="CD163" s="69"/>
      <c r="CE163" s="95">
        <f t="shared" si="130"/>
        <v>0</v>
      </c>
      <c r="CF163" s="7">
        <v>0</v>
      </c>
      <c r="CG163" s="95">
        <f t="shared" si="131"/>
        <v>0</v>
      </c>
      <c r="EE163" s="82"/>
      <c r="EF163" s="82"/>
      <c r="EG163" s="82"/>
      <c r="EH163" s="82"/>
      <c r="EI163" s="82"/>
      <c r="EJ163" s="82"/>
      <c r="EK163" s="82"/>
      <c r="EL163" s="82"/>
      <c r="EM163" s="82"/>
      <c r="EN163" s="82"/>
      <c r="EO163" s="82"/>
      <c r="EP163" s="82"/>
      <c r="EQ163" s="82"/>
      <c r="ER163" s="82"/>
      <c r="ES163" s="82"/>
      <c r="ET163" s="82"/>
      <c r="EU163" s="82"/>
      <c r="EV163" s="82"/>
      <c r="EW163" s="82"/>
      <c r="EX163" s="82"/>
      <c r="EY163" s="82"/>
      <c r="EZ163" s="82"/>
      <c r="FA163" s="82"/>
      <c r="FB163" s="82"/>
      <c r="FC163" s="82"/>
      <c r="FD163" s="82"/>
      <c r="FE163" s="82"/>
      <c r="FF163" s="82"/>
      <c r="FG163" s="82"/>
      <c r="FH163" s="82"/>
      <c r="FI163" s="82"/>
      <c r="FJ163" s="82"/>
      <c r="FK163" s="82"/>
      <c r="FL163" s="82"/>
      <c r="FM163" s="82"/>
      <c r="FN163" s="82"/>
      <c r="FO163" s="82"/>
    </row>
    <row r="164" spans="1:171" x14ac:dyDescent="0.25">
      <c r="A164" s="116" t="s">
        <v>269</v>
      </c>
      <c r="B164" s="87">
        <f>SUM(B155:B163)</f>
        <v>-325722</v>
      </c>
      <c r="C164" s="87">
        <f>SUM(C155:C163)</f>
        <v>414167</v>
      </c>
      <c r="D164" s="87">
        <f>SUM(D155:D163)</f>
        <v>1269990</v>
      </c>
      <c r="E164" s="87">
        <f>SUM(E155:E163)</f>
        <v>327252</v>
      </c>
      <c r="G164" s="129">
        <f t="shared" ref="G164:BF164" si="132">SUM(G155:G163)</f>
        <v>3</v>
      </c>
      <c r="H164" s="129">
        <f t="shared" si="132"/>
        <v>2877</v>
      </c>
      <c r="I164" s="129">
        <f t="shared" si="132"/>
        <v>19</v>
      </c>
      <c r="J164" s="129">
        <f t="shared" si="132"/>
        <v>5</v>
      </c>
      <c r="K164" s="129">
        <f t="shared" si="132"/>
        <v>15</v>
      </c>
      <c r="L164" s="129">
        <f t="shared" si="132"/>
        <v>5470</v>
      </c>
      <c r="M164" s="129">
        <f t="shared" si="132"/>
        <v>244448</v>
      </c>
      <c r="N164" s="129">
        <f t="shared" si="132"/>
        <v>86107</v>
      </c>
      <c r="O164" s="129">
        <f t="shared" si="132"/>
        <v>131416</v>
      </c>
      <c r="P164" s="129">
        <f t="shared" si="132"/>
        <v>6015</v>
      </c>
      <c r="Q164" s="129">
        <f t="shared" si="132"/>
        <v>144280</v>
      </c>
      <c r="R164" s="129">
        <f t="shared" si="132"/>
        <v>-206488</v>
      </c>
      <c r="S164" s="129">
        <f t="shared" si="132"/>
        <v>414167</v>
      </c>
      <c r="T164" s="129">
        <f t="shared" si="132"/>
        <v>727232</v>
      </c>
      <c r="U164" s="129">
        <f t="shared" si="132"/>
        <v>27347</v>
      </c>
      <c r="V164" s="129">
        <f t="shared" si="132"/>
        <v>39394</v>
      </c>
      <c r="W164" s="129">
        <f t="shared" si="132"/>
        <v>40898</v>
      </c>
      <c r="X164" s="129">
        <f t="shared" si="132"/>
        <v>41001</v>
      </c>
      <c r="Y164" s="129">
        <f t="shared" si="132"/>
        <v>47155</v>
      </c>
      <c r="Z164" s="129">
        <f t="shared" si="132"/>
        <v>36002</v>
      </c>
      <c r="AA164" s="129">
        <f t="shared" si="132"/>
        <v>25235</v>
      </c>
      <c r="AB164" s="129">
        <f t="shared" si="132"/>
        <v>-127919</v>
      </c>
      <c r="AC164" s="129">
        <f t="shared" si="132"/>
        <v>39851</v>
      </c>
      <c r="AD164" s="129">
        <f t="shared" si="132"/>
        <v>296343</v>
      </c>
      <c r="AE164" s="129">
        <f t="shared" si="132"/>
        <v>77451</v>
      </c>
      <c r="AF164" s="129">
        <f t="shared" si="132"/>
        <v>1269990</v>
      </c>
      <c r="AG164" s="129">
        <f t="shared" si="132"/>
        <v>10758</v>
      </c>
      <c r="AH164" s="129">
        <f t="shared" si="132"/>
        <v>42867</v>
      </c>
      <c r="AI164" s="129">
        <f t="shared" si="132"/>
        <v>32691</v>
      </c>
      <c r="AJ164" s="129">
        <f t="shared" si="132"/>
        <v>43500</v>
      </c>
      <c r="AK164" s="129">
        <f t="shared" si="132"/>
        <v>37332</v>
      </c>
      <c r="AL164" s="129">
        <f t="shared" si="132"/>
        <v>41435</v>
      </c>
      <c r="AM164" s="129">
        <f t="shared" si="132"/>
        <v>24500</v>
      </c>
      <c r="AN164" s="129">
        <f t="shared" si="132"/>
        <v>16944</v>
      </c>
      <c r="AO164" s="129">
        <f t="shared" si="132"/>
        <v>17144</v>
      </c>
      <c r="AP164" s="129">
        <f t="shared" si="132"/>
        <v>17144</v>
      </c>
      <c r="AQ164" s="129">
        <f t="shared" si="132"/>
        <v>23229</v>
      </c>
      <c r="AR164" s="129">
        <f t="shared" si="132"/>
        <v>19707</v>
      </c>
      <c r="AS164" s="129">
        <f t="shared" si="132"/>
        <v>327251</v>
      </c>
      <c r="AT164" s="129">
        <f t="shared" si="132"/>
        <v>18461</v>
      </c>
      <c r="AU164" s="129">
        <f t="shared" si="132"/>
        <v>49049</v>
      </c>
      <c r="AV164" s="129">
        <f t="shared" si="132"/>
        <v>75270</v>
      </c>
      <c r="AW164" s="129">
        <f t="shared" si="132"/>
        <v>37857</v>
      </c>
      <c r="AX164" s="129">
        <f t="shared" si="132"/>
        <v>3717</v>
      </c>
      <c r="AY164" s="129">
        <f t="shared" si="132"/>
        <v>3882</v>
      </c>
      <c r="AZ164" s="129">
        <f t="shared" si="132"/>
        <v>4310</v>
      </c>
      <c r="BA164" s="129">
        <f t="shared" si="132"/>
        <v>18041</v>
      </c>
      <c r="BB164" s="129">
        <f t="shared" si="132"/>
        <v>2000</v>
      </c>
      <c r="BC164" s="129">
        <f t="shared" si="132"/>
        <v>0</v>
      </c>
      <c r="BD164" s="129">
        <f t="shared" si="132"/>
        <v>0</v>
      </c>
      <c r="BE164" s="129">
        <f t="shared" si="132"/>
        <v>0</v>
      </c>
      <c r="BF164" s="129">
        <f t="shared" si="132"/>
        <v>212587</v>
      </c>
      <c r="BG164" s="129"/>
      <c r="BH164" s="129"/>
      <c r="BI164" s="129"/>
      <c r="BJ164" s="129"/>
      <c r="BL164" s="129">
        <f>SUM(BL155:BL163)</f>
        <v>0</v>
      </c>
      <c r="BM164" s="129"/>
      <c r="BN164" s="129"/>
      <c r="BO164" s="129"/>
      <c r="BP164" s="9" t="s">
        <v>270</v>
      </c>
      <c r="BQ164" s="6"/>
      <c r="BR164" s="69"/>
      <c r="BS164" s="69"/>
      <c r="BT164" s="69"/>
      <c r="BU164" s="38"/>
      <c r="BV164" s="38"/>
      <c r="BW164" s="38"/>
      <c r="BX164" s="38">
        <v>-1606000</v>
      </c>
      <c r="BY164" s="69"/>
      <c r="BZ164" s="69"/>
      <c r="CA164" s="69"/>
      <c r="CB164" s="69"/>
      <c r="CC164" s="69"/>
      <c r="CD164" s="69"/>
      <c r="CE164" s="95">
        <f t="shared" si="130"/>
        <v>0</v>
      </c>
      <c r="CF164" s="7">
        <v>0</v>
      </c>
      <c r="CG164" s="95">
        <f t="shared" si="131"/>
        <v>0</v>
      </c>
      <c r="EE164" s="82"/>
      <c r="EF164" s="82"/>
      <c r="EG164" s="82"/>
      <c r="EH164" s="82"/>
      <c r="EI164" s="82"/>
      <c r="EJ164" s="82"/>
      <c r="EK164" s="82"/>
      <c r="EL164" s="82"/>
      <c r="EM164" s="82"/>
      <c r="EN164" s="82"/>
      <c r="EO164" s="82"/>
      <c r="EP164" s="82"/>
      <c r="EQ164" s="82"/>
      <c r="ER164" s="82"/>
      <c r="ES164" s="82"/>
      <c r="ET164" s="82"/>
      <c r="EU164" s="82"/>
      <c r="EV164" s="82"/>
      <c r="EW164" s="82"/>
      <c r="EX164" s="82"/>
      <c r="EY164" s="82"/>
      <c r="EZ164" s="82"/>
      <c r="FA164" s="82"/>
      <c r="FB164" s="82"/>
      <c r="FC164" s="82"/>
      <c r="FD164" s="82"/>
      <c r="FE164" s="82"/>
      <c r="FF164" s="82"/>
      <c r="FG164" s="82"/>
      <c r="FH164" s="82"/>
      <c r="FI164" s="82"/>
      <c r="FJ164" s="82"/>
      <c r="FK164" s="82"/>
      <c r="FL164" s="82"/>
      <c r="FM164" s="82"/>
      <c r="FN164" s="82"/>
      <c r="FO164" s="82"/>
    </row>
    <row r="165" spans="1:171" x14ac:dyDescent="0.25"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L165" s="69"/>
      <c r="BM165" s="69"/>
      <c r="BN165" s="69"/>
      <c r="BO165" s="69"/>
      <c r="BP165" s="9"/>
      <c r="BQ165" s="6"/>
      <c r="BR165" s="69"/>
      <c r="BS165" s="69"/>
      <c r="BT165" s="69"/>
      <c r="BU165" s="38"/>
      <c r="BV165" s="38"/>
      <c r="BW165" s="38"/>
      <c r="BX165" s="38"/>
      <c r="BY165" s="69"/>
      <c r="BZ165" s="69"/>
      <c r="CA165" s="69"/>
      <c r="CB165" s="69"/>
      <c r="CC165" s="69"/>
      <c r="CD165" s="69"/>
      <c r="CE165" s="95">
        <f t="shared" si="130"/>
        <v>0</v>
      </c>
      <c r="CF165" s="7">
        <v>0</v>
      </c>
      <c r="CG165" s="95">
        <f t="shared" si="131"/>
        <v>0</v>
      </c>
      <c r="EE165" s="82"/>
      <c r="EF165" s="82"/>
      <c r="EG165" s="82"/>
      <c r="EH165" s="82"/>
      <c r="EI165" s="82"/>
      <c r="EJ165" s="82"/>
      <c r="EK165" s="82"/>
      <c r="EL165" s="82"/>
      <c r="EM165" s="82"/>
      <c r="EN165" s="82"/>
      <c r="EO165" s="82"/>
      <c r="EP165" s="82"/>
      <c r="EQ165" s="82"/>
      <c r="ER165" s="82"/>
      <c r="ES165" s="82"/>
      <c r="ET165" s="82"/>
      <c r="EU165" s="82"/>
      <c r="EV165" s="82"/>
      <c r="EW165" s="82"/>
      <c r="EX165" s="82"/>
      <c r="EY165" s="82"/>
      <c r="EZ165" s="82"/>
      <c r="FA165" s="82"/>
      <c r="FB165" s="82"/>
      <c r="FC165" s="82"/>
      <c r="FD165" s="82"/>
      <c r="FE165" s="82"/>
      <c r="FF165" s="82"/>
      <c r="FG165" s="82"/>
      <c r="FH165" s="82"/>
      <c r="FI165" s="82"/>
      <c r="FJ165" s="82"/>
      <c r="FK165" s="82"/>
      <c r="FL165" s="82"/>
      <c r="FM165" s="82"/>
      <c r="FN165" s="82"/>
      <c r="FO165" s="82"/>
    </row>
    <row r="166" spans="1:171" x14ac:dyDescent="0.25"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L166" s="69"/>
      <c r="BM166" s="69"/>
      <c r="BN166" s="69"/>
      <c r="BO166" s="69"/>
      <c r="BP166" s="9" t="s">
        <v>271</v>
      </c>
      <c r="BQ166" s="6"/>
      <c r="BR166" s="69"/>
      <c r="BS166" s="69"/>
      <c r="BT166" s="69"/>
      <c r="BU166" s="38"/>
      <c r="BV166" s="38"/>
      <c r="BW166" s="38"/>
      <c r="BX166" s="38"/>
      <c r="BY166" s="69"/>
      <c r="BZ166" s="69"/>
      <c r="CA166" s="69"/>
      <c r="CB166" s="69"/>
      <c r="CC166" s="69"/>
      <c r="CD166" s="69"/>
      <c r="CE166" s="95">
        <f t="shared" si="130"/>
        <v>0</v>
      </c>
      <c r="CF166" s="7">
        <v>0</v>
      </c>
      <c r="CG166" s="95">
        <f t="shared" si="131"/>
        <v>0</v>
      </c>
      <c r="EE166" s="82"/>
      <c r="EF166" s="82"/>
      <c r="EG166" s="82"/>
      <c r="EH166" s="82"/>
      <c r="EI166" s="82"/>
      <c r="EJ166" s="82"/>
      <c r="EK166" s="82"/>
      <c r="EL166" s="82"/>
      <c r="EM166" s="82"/>
      <c r="EN166" s="82"/>
      <c r="EO166" s="82"/>
      <c r="EP166" s="82"/>
      <c r="EQ166" s="82"/>
      <c r="ER166" s="82"/>
      <c r="ES166" s="82"/>
      <c r="ET166" s="82"/>
      <c r="EU166" s="82"/>
      <c r="EV166" s="82"/>
      <c r="EW166" s="82"/>
      <c r="EX166" s="82"/>
      <c r="EY166" s="82"/>
      <c r="EZ166" s="82"/>
      <c r="FA166" s="82"/>
      <c r="FB166" s="82"/>
      <c r="FC166" s="82"/>
      <c r="FD166" s="82"/>
      <c r="FE166" s="82"/>
      <c r="FF166" s="82"/>
      <c r="FG166" s="82"/>
      <c r="FH166" s="82"/>
      <c r="FI166" s="82"/>
      <c r="FJ166" s="82"/>
      <c r="FK166" s="82"/>
      <c r="FL166" s="82"/>
      <c r="FM166" s="82"/>
      <c r="FN166" s="82"/>
      <c r="FO166" s="82"/>
    </row>
    <row r="167" spans="1:171" x14ac:dyDescent="0.25"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L167" s="69"/>
      <c r="BM167" s="69"/>
      <c r="BN167" s="69"/>
      <c r="BO167" s="69"/>
      <c r="BP167" s="1" t="s">
        <v>272</v>
      </c>
      <c r="BQ167" s="6"/>
      <c r="BR167" s="69"/>
      <c r="BS167" s="69"/>
      <c r="BT167" s="69"/>
      <c r="BU167" s="38"/>
      <c r="BV167" s="38"/>
      <c r="BW167" s="38"/>
      <c r="BX167" s="38"/>
      <c r="BY167" s="69"/>
      <c r="BZ167" s="69"/>
      <c r="CA167" s="69"/>
      <c r="CB167" s="69"/>
      <c r="CC167" s="69"/>
      <c r="CD167" s="69"/>
      <c r="CE167" s="95">
        <f t="shared" si="130"/>
        <v>0</v>
      </c>
      <c r="CF167" s="7">
        <v>0</v>
      </c>
      <c r="CG167" s="95">
        <f t="shared" si="131"/>
        <v>0</v>
      </c>
      <c r="CH167" s="1" t="s">
        <v>273</v>
      </c>
      <c r="EE167" s="82"/>
      <c r="EF167" s="82"/>
      <c r="EG167" s="82"/>
      <c r="EH167" s="82"/>
      <c r="EI167" s="82"/>
      <c r="EJ167" s="82"/>
      <c r="EK167" s="82"/>
      <c r="EL167" s="82"/>
      <c r="EM167" s="82"/>
      <c r="EN167" s="82"/>
      <c r="EO167" s="82"/>
      <c r="EP167" s="82"/>
      <c r="EQ167" s="82"/>
      <c r="ER167" s="82"/>
      <c r="ES167" s="82"/>
      <c r="ET167" s="82"/>
      <c r="EU167" s="82"/>
      <c r="EV167" s="82"/>
      <c r="EW167" s="82"/>
      <c r="EX167" s="82"/>
      <c r="EY167" s="82"/>
      <c r="EZ167" s="82"/>
      <c r="FA167" s="82"/>
      <c r="FB167" s="82"/>
      <c r="FC167" s="82"/>
      <c r="FD167" s="82"/>
      <c r="FE167" s="82"/>
      <c r="FF167" s="82"/>
      <c r="FG167" s="82"/>
      <c r="FH167" s="82"/>
      <c r="FI167" s="82"/>
      <c r="FJ167" s="82"/>
      <c r="FK167" s="82"/>
      <c r="FL167" s="82"/>
      <c r="FM167" s="82"/>
      <c r="FN167" s="82"/>
      <c r="FO167" s="82"/>
    </row>
    <row r="168" spans="1:171" x14ac:dyDescent="0.25"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L168" s="69"/>
      <c r="BM168" s="69"/>
      <c r="BN168" s="69"/>
      <c r="BO168" s="69"/>
      <c r="BP168" s="9"/>
      <c r="BQ168" s="6"/>
      <c r="BR168" s="69"/>
      <c r="BS168" s="69"/>
      <c r="BT168" s="69"/>
      <c r="BU168" s="38"/>
      <c r="BV168" s="38"/>
      <c r="BW168" s="38"/>
      <c r="BX168" s="38"/>
      <c r="BY168" s="69"/>
      <c r="BZ168" s="69"/>
      <c r="CA168" s="69"/>
      <c r="CB168" s="69"/>
      <c r="CC168" s="69"/>
      <c r="CD168" s="69"/>
      <c r="CE168" s="95">
        <f t="shared" si="130"/>
        <v>0</v>
      </c>
      <c r="CF168" s="7"/>
      <c r="CG168" s="95">
        <f t="shared" si="131"/>
        <v>0</v>
      </c>
      <c r="EE168" s="82"/>
      <c r="EF168" s="82"/>
      <c r="EG168" s="82"/>
      <c r="EH168" s="82"/>
      <c r="EI168" s="82"/>
      <c r="EJ168" s="82"/>
      <c r="EK168" s="82"/>
      <c r="EL168" s="82"/>
      <c r="EM168" s="82"/>
      <c r="EN168" s="82"/>
      <c r="EO168" s="82"/>
      <c r="EP168" s="82"/>
      <c r="EQ168" s="82"/>
      <c r="ER168" s="82"/>
      <c r="ES168" s="82"/>
      <c r="ET168" s="82"/>
      <c r="EU168" s="82"/>
      <c r="EV168" s="82"/>
      <c r="EW168" s="82"/>
      <c r="EX168" s="82"/>
      <c r="EY168" s="82"/>
      <c r="EZ168" s="82"/>
      <c r="FA168" s="82"/>
      <c r="FB168" s="82"/>
      <c r="FC168" s="82"/>
      <c r="FD168" s="82"/>
      <c r="FE168" s="82"/>
      <c r="FF168" s="82"/>
      <c r="FG168" s="82"/>
      <c r="FH168" s="82"/>
      <c r="FI168" s="82"/>
      <c r="FJ168" s="82"/>
      <c r="FK168" s="82"/>
      <c r="FL168" s="82"/>
      <c r="FM168" s="82"/>
      <c r="FN168" s="82"/>
      <c r="FO168" s="82"/>
    </row>
    <row r="169" spans="1:171" x14ac:dyDescent="0.25">
      <c r="A169" s="124" t="s">
        <v>274</v>
      </c>
      <c r="B169" s="87">
        <f>B152+B164</f>
        <v>-8150395</v>
      </c>
      <c r="C169" s="87">
        <f>C152+C164</f>
        <v>-6572485</v>
      </c>
      <c r="D169" s="87">
        <f>D152+D164</f>
        <v>-7686973</v>
      </c>
      <c r="E169" s="87">
        <f>E152+E164</f>
        <v>-10267800</v>
      </c>
      <c r="G169" s="87">
        <f t="shared" ref="G169:BF169" si="133">G152+G164</f>
        <v>-330198</v>
      </c>
      <c r="H169" s="87">
        <f t="shared" si="133"/>
        <v>-62845</v>
      </c>
      <c r="I169" s="87">
        <f t="shared" si="133"/>
        <v>-270495</v>
      </c>
      <c r="J169" s="87">
        <f t="shared" si="133"/>
        <v>-251169</v>
      </c>
      <c r="K169" s="87">
        <f t="shared" si="133"/>
        <v>-339298</v>
      </c>
      <c r="L169" s="87">
        <f t="shared" si="133"/>
        <v>-697960</v>
      </c>
      <c r="M169" s="87">
        <f t="shared" si="133"/>
        <v>-332749</v>
      </c>
      <c r="N169" s="87">
        <f t="shared" si="133"/>
        <v>-302768</v>
      </c>
      <c r="O169" s="87">
        <f t="shared" si="133"/>
        <v>91525</v>
      </c>
      <c r="P169" s="87">
        <f t="shared" si="133"/>
        <v>-682888</v>
      </c>
      <c r="Q169" s="87">
        <f t="shared" si="133"/>
        <v>-377241</v>
      </c>
      <c r="R169" s="87">
        <f t="shared" si="133"/>
        <v>-3016402</v>
      </c>
      <c r="S169" s="87">
        <f t="shared" si="133"/>
        <v>-6572488</v>
      </c>
      <c r="T169" s="87">
        <f t="shared" si="133"/>
        <v>968581</v>
      </c>
      <c r="U169" s="87">
        <f t="shared" si="133"/>
        <v>168909</v>
      </c>
      <c r="V169" s="87">
        <f t="shared" si="133"/>
        <v>-1836889</v>
      </c>
      <c r="W169" s="87">
        <f t="shared" si="133"/>
        <v>373163</v>
      </c>
      <c r="X169" s="87">
        <f t="shared" si="133"/>
        <v>-921394</v>
      </c>
      <c r="Y169" s="87">
        <f t="shared" si="133"/>
        <v>-1837870</v>
      </c>
      <c r="Z169" s="87">
        <f t="shared" si="133"/>
        <v>443418</v>
      </c>
      <c r="AA169" s="87">
        <f t="shared" si="133"/>
        <v>-169241</v>
      </c>
      <c r="AB169" s="87">
        <f t="shared" si="133"/>
        <v>-3384219</v>
      </c>
      <c r="AC169" s="87">
        <f t="shared" si="133"/>
        <v>916252</v>
      </c>
      <c r="AD169" s="87">
        <f t="shared" si="133"/>
        <v>604541</v>
      </c>
      <c r="AE169" s="87">
        <f t="shared" si="133"/>
        <v>-3012229</v>
      </c>
      <c r="AF169" s="87">
        <f t="shared" si="133"/>
        <v>-7686978</v>
      </c>
      <c r="AG169" s="87">
        <f t="shared" si="133"/>
        <v>-1482801</v>
      </c>
      <c r="AH169" s="87">
        <f t="shared" si="133"/>
        <v>-739203</v>
      </c>
      <c r="AI169" s="87">
        <f t="shared" si="133"/>
        <v>-673281</v>
      </c>
      <c r="AJ169" s="87">
        <f t="shared" si="133"/>
        <v>-699429</v>
      </c>
      <c r="AK169" s="87">
        <f t="shared" si="133"/>
        <v>-284781</v>
      </c>
      <c r="AL169" s="87">
        <f t="shared" si="133"/>
        <v>-737144</v>
      </c>
      <c r="AM169" s="87">
        <f t="shared" si="133"/>
        <v>-951524</v>
      </c>
      <c r="AN169" s="87">
        <f t="shared" si="133"/>
        <v>-297056</v>
      </c>
      <c r="AO169" s="87">
        <f t="shared" si="133"/>
        <v>-433841</v>
      </c>
      <c r="AP169" s="87">
        <f t="shared" si="133"/>
        <v>-787808</v>
      </c>
      <c r="AQ169" s="87">
        <f t="shared" si="133"/>
        <v>-407684</v>
      </c>
      <c r="AR169" s="87">
        <f t="shared" si="133"/>
        <v>-2773253</v>
      </c>
      <c r="AS169" s="87">
        <f t="shared" si="133"/>
        <v>-10267805</v>
      </c>
      <c r="AT169" s="87">
        <f t="shared" si="133"/>
        <v>-82479</v>
      </c>
      <c r="AU169" s="87">
        <f t="shared" si="133"/>
        <v>-539741</v>
      </c>
      <c r="AV169" s="87">
        <f t="shared" si="133"/>
        <v>-1070884</v>
      </c>
      <c r="AW169" s="87">
        <f t="shared" si="133"/>
        <v>-481379</v>
      </c>
      <c r="AX169" s="87">
        <f t="shared" si="133"/>
        <v>-540581</v>
      </c>
      <c r="AY169" s="87">
        <f t="shared" si="133"/>
        <v>-1868672</v>
      </c>
      <c r="AZ169" s="87">
        <f t="shared" si="133"/>
        <v>-2317831</v>
      </c>
      <c r="BA169" s="87">
        <f t="shared" si="133"/>
        <v>-1262433</v>
      </c>
      <c r="BB169" s="87">
        <f t="shared" si="133"/>
        <v>-1514873.63</v>
      </c>
      <c r="BC169" s="87">
        <f t="shared" si="133"/>
        <v>0</v>
      </c>
      <c r="BD169" s="87">
        <f t="shared" si="133"/>
        <v>0</v>
      </c>
      <c r="BE169" s="87">
        <f t="shared" si="133"/>
        <v>0</v>
      </c>
      <c r="BF169" s="87">
        <f t="shared" si="133"/>
        <v>-9678873.629999999</v>
      </c>
      <c r="BG169" s="87"/>
      <c r="BH169" s="87"/>
      <c r="BI169" s="87"/>
      <c r="BJ169" s="87"/>
      <c r="BL169" s="87">
        <f>BL152+BL164</f>
        <v>47126.751999999979</v>
      </c>
      <c r="BM169" s="87"/>
      <c r="BN169" s="87"/>
      <c r="BO169" s="87"/>
      <c r="BP169" s="9" t="s">
        <v>275</v>
      </c>
      <c r="BQ169" s="6"/>
      <c r="BR169" s="38">
        <v>-705570</v>
      </c>
      <c r="BS169" s="38">
        <v>728031</v>
      </c>
      <c r="BT169" s="38">
        <v>396573</v>
      </c>
      <c r="BU169" s="38">
        <v>208666</v>
      </c>
      <c r="BV169" s="38">
        <v>-164650</v>
      </c>
      <c r="BW169" s="41">
        <v>-1194174</v>
      </c>
      <c r="BX169" s="38">
        <v>-453855</v>
      </c>
      <c r="BY169" s="69">
        <v>246647</v>
      </c>
      <c r="BZ169" s="69">
        <f>1260614-850000</f>
        <v>410614</v>
      </c>
      <c r="CA169" s="69"/>
      <c r="CB169" s="69"/>
      <c r="CC169" s="69"/>
      <c r="CD169" s="69"/>
      <c r="CE169" s="95">
        <f t="shared" si="130"/>
        <v>657261</v>
      </c>
      <c r="CF169" s="7"/>
      <c r="CG169" s="95">
        <f t="shared" si="131"/>
        <v>657261</v>
      </c>
      <c r="EE169" s="82"/>
      <c r="EF169" s="82"/>
      <c r="EG169" s="82"/>
      <c r="EH169" s="82"/>
      <c r="EI169" s="82"/>
      <c r="EJ169" s="82"/>
      <c r="EK169" s="82"/>
      <c r="EL169" s="82"/>
      <c r="EM169" s="82"/>
      <c r="EN169" s="82"/>
      <c r="EO169" s="82"/>
      <c r="EP169" s="82"/>
      <c r="EQ169" s="82"/>
      <c r="ER169" s="82"/>
      <c r="ES169" s="82"/>
      <c r="ET169" s="82"/>
      <c r="EU169" s="82"/>
      <c r="EV169" s="82"/>
      <c r="EW169" s="82"/>
      <c r="EX169" s="82"/>
      <c r="EY169" s="82"/>
      <c r="EZ169" s="82"/>
      <c r="FA169" s="82"/>
      <c r="FB169" s="82"/>
      <c r="FC169" s="82"/>
      <c r="FD169" s="82"/>
      <c r="FE169" s="82"/>
      <c r="FF169" s="82"/>
      <c r="FG169" s="82"/>
      <c r="FH169" s="82"/>
      <c r="FI169" s="82"/>
      <c r="FJ169" s="82"/>
      <c r="FK169" s="82"/>
      <c r="FL169" s="82"/>
      <c r="FM169" s="82"/>
      <c r="FN169" s="82"/>
      <c r="FO169" s="82"/>
    </row>
    <row r="170" spans="1:171" x14ac:dyDescent="0.25">
      <c r="B170" s="82"/>
      <c r="C170" s="82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L170" s="69"/>
      <c r="BM170" s="69"/>
      <c r="BN170" s="69"/>
      <c r="BO170" s="69"/>
      <c r="BP170" s="9"/>
      <c r="BQ170" s="6"/>
      <c r="BR170" s="69"/>
      <c r="BS170" s="69"/>
      <c r="BT170" s="69"/>
      <c r="BU170" s="38"/>
      <c r="BV170" s="38"/>
      <c r="BW170" s="38"/>
      <c r="BX170" s="38"/>
      <c r="BY170" s="69"/>
      <c r="BZ170" s="69"/>
      <c r="CA170" s="69"/>
      <c r="CB170" s="69"/>
      <c r="CC170" s="69"/>
      <c r="CD170" s="69"/>
      <c r="CE170" s="95">
        <f t="shared" si="130"/>
        <v>0</v>
      </c>
      <c r="CF170" s="7"/>
      <c r="CG170" s="95">
        <f t="shared" si="131"/>
        <v>0</v>
      </c>
      <c r="EE170" s="82"/>
      <c r="EF170" s="82"/>
      <c r="EG170" s="82"/>
      <c r="EH170" s="82"/>
      <c r="EI170" s="82"/>
      <c r="EJ170" s="82"/>
      <c r="EK170" s="82"/>
      <c r="EL170" s="82"/>
      <c r="EM170" s="82"/>
      <c r="EN170" s="82"/>
      <c r="EO170" s="82"/>
      <c r="EP170" s="82"/>
      <c r="EQ170" s="82"/>
      <c r="ER170" s="82"/>
      <c r="ES170" s="82"/>
      <c r="ET170" s="82"/>
      <c r="EU170" s="82"/>
      <c r="EV170" s="82"/>
      <c r="EW170" s="82"/>
      <c r="EX170" s="82"/>
      <c r="EY170" s="82"/>
      <c r="EZ170" s="82"/>
      <c r="FA170" s="82"/>
      <c r="FB170" s="82"/>
      <c r="FC170" s="82"/>
      <c r="FD170" s="82"/>
      <c r="FE170" s="82"/>
      <c r="FF170" s="82"/>
      <c r="FG170" s="82"/>
      <c r="FH170" s="82"/>
      <c r="FI170" s="82"/>
      <c r="FJ170" s="82"/>
      <c r="FK170" s="82"/>
      <c r="FL170" s="82"/>
      <c r="FM170" s="82"/>
      <c r="FN170" s="82"/>
      <c r="FO170" s="82"/>
    </row>
    <row r="171" spans="1:171" x14ac:dyDescent="0.25">
      <c r="A171" s="67" t="s">
        <v>276</v>
      </c>
      <c r="B171" s="82">
        <v>0</v>
      </c>
      <c r="C171" s="82">
        <v>0</v>
      </c>
      <c r="D171" s="82">
        <v>0</v>
      </c>
      <c r="E171" s="82">
        <v>0</v>
      </c>
      <c r="G171" s="69">
        <v>0</v>
      </c>
      <c r="H171" s="69">
        <v>0</v>
      </c>
      <c r="I171" s="69">
        <v>0</v>
      </c>
      <c r="J171" s="69">
        <v>0</v>
      </c>
      <c r="K171" s="69">
        <v>0</v>
      </c>
      <c r="L171" s="69">
        <v>0</v>
      </c>
      <c r="M171" s="69">
        <v>0</v>
      </c>
      <c r="N171" s="69">
        <v>0</v>
      </c>
      <c r="O171" s="69">
        <v>0</v>
      </c>
      <c r="P171" s="69">
        <v>0</v>
      </c>
      <c r="Q171" s="69">
        <v>0</v>
      </c>
      <c r="R171" s="69">
        <v>0</v>
      </c>
      <c r="S171" s="69">
        <f>SUM(G171:R171)</f>
        <v>0</v>
      </c>
      <c r="T171" s="69">
        <v>0</v>
      </c>
      <c r="U171" s="69">
        <v>0</v>
      </c>
      <c r="V171" s="69">
        <v>0</v>
      </c>
      <c r="W171" s="69">
        <v>0</v>
      </c>
      <c r="X171" s="69">
        <v>0</v>
      </c>
      <c r="Y171" s="69">
        <v>0</v>
      </c>
      <c r="Z171" s="69">
        <v>0</v>
      </c>
      <c r="AA171" s="69">
        <v>0</v>
      </c>
      <c r="AB171" s="69">
        <v>0</v>
      </c>
      <c r="AC171" s="69">
        <v>0</v>
      </c>
      <c r="AD171" s="69">
        <v>0</v>
      </c>
      <c r="AE171" s="69">
        <v>0</v>
      </c>
      <c r="AF171" s="69">
        <f>SUM(T171:AE171)</f>
        <v>0</v>
      </c>
      <c r="AG171" s="69">
        <v>0</v>
      </c>
      <c r="AH171" s="69">
        <v>0</v>
      </c>
      <c r="AI171" s="69">
        <v>0</v>
      </c>
      <c r="AJ171" s="69">
        <v>0</v>
      </c>
      <c r="AK171" s="69">
        <v>0</v>
      </c>
      <c r="AL171" s="69">
        <v>0</v>
      </c>
      <c r="AM171" s="69">
        <v>0</v>
      </c>
      <c r="AN171" s="69">
        <v>0</v>
      </c>
      <c r="AO171" s="69">
        <v>0</v>
      </c>
      <c r="AP171" s="69">
        <v>0</v>
      </c>
      <c r="AQ171" s="69">
        <v>0</v>
      </c>
      <c r="AR171" s="69">
        <v>0</v>
      </c>
      <c r="AS171" s="69">
        <f>SUM(AG171:AR171)</f>
        <v>0</v>
      </c>
      <c r="AT171" s="69">
        <v>0</v>
      </c>
      <c r="AU171" s="69">
        <v>0</v>
      </c>
      <c r="AV171" s="69">
        <v>0</v>
      </c>
      <c r="AW171" s="69">
        <v>0</v>
      </c>
      <c r="AX171" s="69">
        <v>0</v>
      </c>
      <c r="AY171" s="69">
        <v>0</v>
      </c>
      <c r="AZ171" s="69">
        <v>0</v>
      </c>
      <c r="BA171" s="69">
        <v>0</v>
      </c>
      <c r="BB171" s="69">
        <v>0</v>
      </c>
      <c r="BC171" s="69">
        <v>0</v>
      </c>
      <c r="BD171" s="69">
        <v>0</v>
      </c>
      <c r="BE171" s="69">
        <v>0</v>
      </c>
      <c r="BF171" s="69">
        <f>SUM(AT171:BE171)</f>
        <v>0</v>
      </c>
      <c r="BG171" s="69"/>
      <c r="BH171" s="69"/>
      <c r="BI171" s="69"/>
      <c r="BJ171" s="69"/>
      <c r="BL171" s="69">
        <v>0</v>
      </c>
      <c r="BM171" s="69"/>
      <c r="BN171" s="69"/>
      <c r="BO171" s="69"/>
      <c r="BP171" s="130" t="s">
        <v>277</v>
      </c>
      <c r="BQ171" s="6"/>
      <c r="BR171" s="69"/>
      <c r="BS171" s="69"/>
      <c r="BT171" s="20"/>
      <c r="BU171" s="20"/>
      <c r="BV171" s="131">
        <f>SUM(BV172:BV179)</f>
        <v>-717171</v>
      </c>
      <c r="BW171" s="131">
        <f t="shared" ref="BW171:CC171" si="134">SUM(BW172:BW179)</f>
        <v>-518711.75</v>
      </c>
      <c r="BX171" s="131">
        <f t="shared" si="134"/>
        <v>-1068784</v>
      </c>
      <c r="BY171" s="131">
        <f t="shared" si="134"/>
        <v>-2147897.46</v>
      </c>
      <c r="BZ171" s="131">
        <f t="shared" si="134"/>
        <v>-466151.54656552884</v>
      </c>
      <c r="CA171" s="131">
        <f t="shared" si="134"/>
        <v>-937757.10874320229</v>
      </c>
      <c r="CB171" s="131">
        <f t="shared" si="134"/>
        <v>-957398.8320992114</v>
      </c>
      <c r="CC171" s="131">
        <f t="shared" si="134"/>
        <v>-950487.26747336111</v>
      </c>
      <c r="CD171" s="69"/>
      <c r="CE171" s="95">
        <f t="shared" si="130"/>
        <v>-5459692.2148813037</v>
      </c>
      <c r="CF171" s="7">
        <v>-4484499.8294302979</v>
      </c>
      <c r="CG171" s="95">
        <f t="shared" si="131"/>
        <v>-975192.38545100577</v>
      </c>
      <c r="EE171" s="82"/>
      <c r="EF171" s="82"/>
      <c r="EG171" s="82"/>
      <c r="EH171" s="82"/>
      <c r="EI171" s="82"/>
      <c r="EJ171" s="82"/>
      <c r="EK171" s="82"/>
      <c r="EL171" s="82"/>
      <c r="EM171" s="82"/>
      <c r="EN171" s="82"/>
      <c r="EO171" s="82"/>
      <c r="EP171" s="82"/>
      <c r="EQ171" s="82"/>
      <c r="ER171" s="82"/>
      <c r="ES171" s="82"/>
      <c r="ET171" s="82"/>
      <c r="EU171" s="82"/>
      <c r="EV171" s="82"/>
      <c r="EW171" s="82"/>
      <c r="EX171" s="82"/>
      <c r="EY171" s="82"/>
      <c r="EZ171" s="82"/>
      <c r="FA171" s="82"/>
      <c r="FB171" s="82"/>
      <c r="FC171" s="82"/>
      <c r="FD171" s="82"/>
      <c r="FE171" s="82"/>
      <c r="FF171" s="82"/>
      <c r="FG171" s="82"/>
      <c r="FH171" s="82"/>
      <c r="FI171" s="82"/>
      <c r="FJ171" s="82"/>
      <c r="FK171" s="82"/>
      <c r="FL171" s="82"/>
      <c r="FM171" s="82"/>
      <c r="FN171" s="82"/>
      <c r="FO171" s="82"/>
    </row>
    <row r="172" spans="1:171" x14ac:dyDescent="0.25">
      <c r="B172" s="82"/>
      <c r="C172" s="82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L172" s="69"/>
      <c r="BM172" s="69"/>
      <c r="BN172" s="69"/>
      <c r="BO172" s="69"/>
      <c r="BP172" s="57" t="s">
        <v>92</v>
      </c>
      <c r="BQ172" s="6"/>
      <c r="BR172" s="69"/>
      <c r="BS172" s="69"/>
      <c r="BT172" s="20"/>
      <c r="BU172" s="20"/>
      <c r="BV172" s="38"/>
      <c r="BW172" s="38"/>
      <c r="BX172" s="38"/>
      <c r="BY172" s="38">
        <v>-897532</v>
      </c>
      <c r="BZ172" s="38"/>
      <c r="CA172" s="38"/>
      <c r="CB172" s="38"/>
      <c r="CC172" s="38"/>
      <c r="CD172" s="69"/>
      <c r="CE172" s="95">
        <f t="shared" si="130"/>
        <v>-897532</v>
      </c>
      <c r="CF172" s="7">
        <v>0</v>
      </c>
      <c r="CG172" s="95">
        <f t="shared" si="131"/>
        <v>-897532</v>
      </c>
      <c r="EE172" s="82"/>
      <c r="EF172" s="82"/>
      <c r="EG172" s="82"/>
      <c r="EH172" s="82"/>
      <c r="EI172" s="82"/>
      <c r="EJ172" s="82"/>
      <c r="EK172" s="82"/>
      <c r="EL172" s="82"/>
      <c r="EM172" s="82"/>
      <c r="EN172" s="82"/>
      <c r="EO172" s="82"/>
      <c r="EP172" s="82"/>
      <c r="EQ172" s="82"/>
      <c r="ER172" s="82"/>
      <c r="ES172" s="82"/>
      <c r="ET172" s="82"/>
      <c r="EU172" s="82"/>
      <c r="EV172" s="82"/>
      <c r="EW172" s="82"/>
      <c r="EX172" s="82"/>
      <c r="EY172" s="82"/>
      <c r="EZ172" s="82"/>
      <c r="FA172" s="82"/>
      <c r="FB172" s="82"/>
      <c r="FC172" s="82"/>
      <c r="FD172" s="82"/>
      <c r="FE172" s="82"/>
      <c r="FF172" s="82"/>
      <c r="FG172" s="82"/>
      <c r="FH172" s="82"/>
      <c r="FI172" s="82"/>
      <c r="FJ172" s="82"/>
      <c r="FK172" s="82"/>
      <c r="FL172" s="82"/>
      <c r="FM172" s="82"/>
      <c r="FN172" s="82"/>
      <c r="FO172" s="82"/>
    </row>
    <row r="173" spans="1:171" ht="15.75" thickBot="1" x14ac:dyDescent="0.3">
      <c r="A173" s="124" t="s">
        <v>278</v>
      </c>
      <c r="B173" s="132">
        <f>SUM(B169:B172)</f>
        <v>-8150395</v>
      </c>
      <c r="C173" s="132">
        <f>SUM(C169:C172)</f>
        <v>-6572485</v>
      </c>
      <c r="D173" s="132">
        <f t="shared" ref="D173:BF173" si="135">SUM(D169:D172)</f>
        <v>-7686973</v>
      </c>
      <c r="E173" s="132">
        <f t="shared" si="135"/>
        <v>-10267800</v>
      </c>
      <c r="G173" s="132">
        <f t="shared" si="135"/>
        <v>-330198</v>
      </c>
      <c r="H173" s="132">
        <f t="shared" si="135"/>
        <v>-62845</v>
      </c>
      <c r="I173" s="132">
        <f t="shared" si="135"/>
        <v>-270495</v>
      </c>
      <c r="J173" s="132">
        <f t="shared" si="135"/>
        <v>-251169</v>
      </c>
      <c r="K173" s="132">
        <f t="shared" si="135"/>
        <v>-339298</v>
      </c>
      <c r="L173" s="132">
        <f t="shared" si="135"/>
        <v>-697960</v>
      </c>
      <c r="M173" s="132">
        <f t="shared" si="135"/>
        <v>-332749</v>
      </c>
      <c r="N173" s="132">
        <f t="shared" si="135"/>
        <v>-302768</v>
      </c>
      <c r="O173" s="132">
        <f t="shared" si="135"/>
        <v>91525</v>
      </c>
      <c r="P173" s="132">
        <f t="shared" si="135"/>
        <v>-682888</v>
      </c>
      <c r="Q173" s="132">
        <f t="shared" si="135"/>
        <v>-377241</v>
      </c>
      <c r="R173" s="132">
        <f t="shared" si="135"/>
        <v>-3016402</v>
      </c>
      <c r="S173" s="132">
        <f t="shared" si="135"/>
        <v>-6572488</v>
      </c>
      <c r="T173" s="132">
        <f t="shared" si="135"/>
        <v>968581</v>
      </c>
      <c r="U173" s="132">
        <f t="shared" si="135"/>
        <v>168909</v>
      </c>
      <c r="V173" s="132">
        <f t="shared" si="135"/>
        <v>-1836889</v>
      </c>
      <c r="W173" s="132">
        <f t="shared" si="135"/>
        <v>373163</v>
      </c>
      <c r="X173" s="132">
        <f t="shared" si="135"/>
        <v>-921394</v>
      </c>
      <c r="Y173" s="132">
        <f t="shared" si="135"/>
        <v>-1837870</v>
      </c>
      <c r="Z173" s="132">
        <f t="shared" si="135"/>
        <v>443418</v>
      </c>
      <c r="AA173" s="132">
        <f t="shared" si="135"/>
        <v>-169241</v>
      </c>
      <c r="AB173" s="132">
        <f t="shared" si="135"/>
        <v>-3384219</v>
      </c>
      <c r="AC173" s="132">
        <f t="shared" si="135"/>
        <v>916252</v>
      </c>
      <c r="AD173" s="132">
        <f t="shared" si="135"/>
        <v>604541</v>
      </c>
      <c r="AE173" s="132">
        <f t="shared" si="135"/>
        <v>-3012229</v>
      </c>
      <c r="AF173" s="132">
        <f t="shared" si="135"/>
        <v>-7686978</v>
      </c>
      <c r="AG173" s="132">
        <f t="shared" si="135"/>
        <v>-1482801</v>
      </c>
      <c r="AH173" s="132">
        <f t="shared" si="135"/>
        <v>-739203</v>
      </c>
      <c r="AI173" s="132">
        <f t="shared" si="135"/>
        <v>-673281</v>
      </c>
      <c r="AJ173" s="132">
        <f t="shared" si="135"/>
        <v>-699429</v>
      </c>
      <c r="AK173" s="132">
        <f t="shared" si="135"/>
        <v>-284781</v>
      </c>
      <c r="AL173" s="132">
        <f t="shared" si="135"/>
        <v>-737144</v>
      </c>
      <c r="AM173" s="132">
        <f t="shared" si="135"/>
        <v>-951524</v>
      </c>
      <c r="AN173" s="132">
        <f t="shared" si="135"/>
        <v>-297056</v>
      </c>
      <c r="AO173" s="132">
        <f t="shared" si="135"/>
        <v>-433841</v>
      </c>
      <c r="AP173" s="132">
        <f t="shared" si="135"/>
        <v>-787808</v>
      </c>
      <c r="AQ173" s="132">
        <f t="shared" si="135"/>
        <v>-407684</v>
      </c>
      <c r="AR173" s="132">
        <f t="shared" si="135"/>
        <v>-2773253</v>
      </c>
      <c r="AS173" s="132">
        <f t="shared" si="135"/>
        <v>-10267805</v>
      </c>
      <c r="AT173" s="132">
        <f t="shared" si="135"/>
        <v>-82479</v>
      </c>
      <c r="AU173" s="132">
        <f t="shared" si="135"/>
        <v>-539741</v>
      </c>
      <c r="AV173" s="132">
        <f t="shared" si="135"/>
        <v>-1070884</v>
      </c>
      <c r="AW173" s="132">
        <f t="shared" si="135"/>
        <v>-481379</v>
      </c>
      <c r="AX173" s="132">
        <f t="shared" si="135"/>
        <v>-540581</v>
      </c>
      <c r="AY173" s="132">
        <f t="shared" si="135"/>
        <v>-1868672</v>
      </c>
      <c r="AZ173" s="132">
        <f t="shared" si="135"/>
        <v>-2317831</v>
      </c>
      <c r="BA173" s="132">
        <f t="shared" si="135"/>
        <v>-1262433</v>
      </c>
      <c r="BB173" s="132">
        <f t="shared" si="135"/>
        <v>-1514873.63</v>
      </c>
      <c r="BC173" s="132">
        <f t="shared" si="135"/>
        <v>0</v>
      </c>
      <c r="BD173" s="132">
        <f t="shared" si="135"/>
        <v>0</v>
      </c>
      <c r="BE173" s="132">
        <f t="shared" si="135"/>
        <v>0</v>
      </c>
      <c r="BF173" s="132">
        <f t="shared" si="135"/>
        <v>-9678873.629999999</v>
      </c>
      <c r="BG173" s="82"/>
      <c r="BH173" s="82"/>
      <c r="BI173" s="82"/>
      <c r="BJ173" s="82"/>
      <c r="BL173" s="132">
        <f t="shared" ref="BL173" si="136">SUM(BL169:BL172)</f>
        <v>47126.751999999979</v>
      </c>
      <c r="BM173" s="82"/>
      <c r="BN173" s="82"/>
      <c r="BO173" s="82"/>
      <c r="BP173" s="57" t="s">
        <v>93</v>
      </c>
      <c r="BQ173" s="6"/>
      <c r="BR173" s="69"/>
      <c r="BS173" s="69"/>
      <c r="BT173" s="20"/>
      <c r="BU173" s="20"/>
      <c r="BV173" s="38">
        <f t="shared" ref="BV173:CC179" si="137">-BV36</f>
        <v>-465277</v>
      </c>
      <c r="BW173" s="38">
        <f t="shared" si="137"/>
        <v>-457482.75</v>
      </c>
      <c r="BX173" s="38">
        <f t="shared" si="137"/>
        <v>-387255</v>
      </c>
      <c r="BY173" s="38">
        <f>-BY36-130661.46</f>
        <v>-598356.46</v>
      </c>
      <c r="BZ173" s="38">
        <f t="shared" si="137"/>
        <v>-154398.23008849559</v>
      </c>
      <c r="CA173" s="38">
        <f t="shared" si="137"/>
        <v>-309734.51327433629</v>
      </c>
      <c r="CB173" s="38">
        <f t="shared" si="137"/>
        <v>-309734.51327433629</v>
      </c>
      <c r="CC173" s="38">
        <f t="shared" si="137"/>
        <v>-309734.51327433629</v>
      </c>
      <c r="CD173" s="69"/>
      <c r="CE173" s="95">
        <f t="shared" si="130"/>
        <v>-1681958.2299115043</v>
      </c>
      <c r="CF173" s="7">
        <v>-1548672.5663716814</v>
      </c>
      <c r="CG173" s="95">
        <f t="shared" si="131"/>
        <v>-133285.66353982291</v>
      </c>
      <c r="EE173" s="82"/>
      <c r="EF173" s="82"/>
      <c r="EG173" s="82"/>
      <c r="EH173" s="82"/>
      <c r="EI173" s="82"/>
      <c r="EJ173" s="82"/>
      <c r="EK173" s="82"/>
      <c r="EL173" s="82"/>
      <c r="EM173" s="82"/>
      <c r="EN173" s="82"/>
      <c r="EO173" s="82"/>
      <c r="EP173" s="82"/>
      <c r="EQ173" s="82"/>
      <c r="ER173" s="82"/>
      <c r="ES173" s="82"/>
      <c r="ET173" s="82"/>
      <c r="EU173" s="82"/>
      <c r="EV173" s="82"/>
      <c r="EW173" s="82"/>
      <c r="EX173" s="82"/>
      <c r="EY173" s="82"/>
      <c r="EZ173" s="82"/>
      <c r="FA173" s="82"/>
      <c r="FB173" s="82"/>
      <c r="FC173" s="82"/>
      <c r="FD173" s="82"/>
      <c r="FE173" s="82"/>
      <c r="FF173" s="82"/>
      <c r="FG173" s="82"/>
      <c r="FH173" s="82"/>
      <c r="FI173" s="82"/>
      <c r="FJ173" s="82"/>
      <c r="FK173" s="82"/>
      <c r="FL173" s="82"/>
      <c r="FM173" s="82"/>
      <c r="FN173" s="82"/>
      <c r="FO173" s="82"/>
    </row>
    <row r="174" spans="1:171" ht="15.75" thickTop="1" x14ac:dyDescent="0.25">
      <c r="B174" s="82"/>
      <c r="C174" s="82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  <c r="BM174" s="69"/>
      <c r="BN174" s="69"/>
      <c r="BO174" s="69"/>
      <c r="BP174" s="57" t="s">
        <v>94</v>
      </c>
      <c r="BQ174" s="6"/>
      <c r="BR174" s="69"/>
      <c r="BS174" s="69"/>
      <c r="BT174" s="20"/>
      <c r="BU174" s="20"/>
      <c r="BV174" s="38">
        <f t="shared" si="137"/>
        <v>-78760</v>
      </c>
      <c r="BW174" s="38">
        <f t="shared" si="137"/>
        <v>-57007</v>
      </c>
      <c r="BX174" s="38">
        <f t="shared" si="137"/>
        <v>-131701</v>
      </c>
      <c r="BY174" s="38">
        <v>-468242</v>
      </c>
      <c r="BZ174" s="38">
        <f t="shared" si="137"/>
        <v>-89508.57142857142</v>
      </c>
      <c r="CA174" s="38">
        <f t="shared" si="137"/>
        <v>-76190.476190476184</v>
      </c>
      <c r="CB174" s="38">
        <f t="shared" si="137"/>
        <v>-95238.095238095237</v>
      </c>
      <c r="CC174" s="38">
        <f t="shared" si="137"/>
        <v>-104761.90476190476</v>
      </c>
      <c r="CD174" s="69"/>
      <c r="CE174" s="95">
        <f t="shared" si="130"/>
        <v>-833941.04761904757</v>
      </c>
      <c r="CF174" s="7">
        <v>-400000</v>
      </c>
      <c r="CG174" s="95">
        <f t="shared" si="131"/>
        <v>-433941.04761904757</v>
      </c>
      <c r="EE174" s="82"/>
      <c r="EF174" s="82"/>
      <c r="EG174" s="82"/>
      <c r="EH174" s="82"/>
      <c r="EI174" s="82"/>
      <c r="EJ174" s="82"/>
      <c r="EK174" s="82"/>
      <c r="EL174" s="82"/>
      <c r="EM174" s="82"/>
      <c r="EN174" s="82"/>
      <c r="EO174" s="82"/>
      <c r="EP174" s="82"/>
      <c r="EQ174" s="82"/>
      <c r="ER174" s="82"/>
      <c r="ES174" s="82"/>
      <c r="ET174" s="82"/>
      <c r="EU174" s="82"/>
      <c r="EV174" s="82"/>
      <c r="EW174" s="82"/>
      <c r="EX174" s="82"/>
      <c r="EY174" s="82"/>
      <c r="EZ174" s="82"/>
      <c r="FA174" s="82"/>
      <c r="FB174" s="82"/>
      <c r="FC174" s="82"/>
      <c r="FD174" s="82"/>
      <c r="FE174" s="82"/>
      <c r="FF174" s="82"/>
      <c r="FG174" s="82"/>
      <c r="FH174" s="82"/>
      <c r="FI174" s="82"/>
      <c r="FJ174" s="82"/>
      <c r="FK174" s="82"/>
      <c r="FL174" s="82"/>
      <c r="FM174" s="82"/>
      <c r="FN174" s="82"/>
      <c r="FO174" s="82"/>
    </row>
    <row r="175" spans="1:171" x14ac:dyDescent="0.25">
      <c r="B175" s="82"/>
      <c r="C175" s="82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L175" s="69"/>
      <c r="BM175" s="69"/>
      <c r="BN175" s="69"/>
      <c r="BO175" s="69"/>
      <c r="BP175" s="57" t="s">
        <v>95</v>
      </c>
      <c r="BQ175" s="6"/>
      <c r="BR175" s="69"/>
      <c r="BS175" s="69"/>
      <c r="BT175" s="20"/>
      <c r="BU175" s="20"/>
      <c r="BV175" s="38">
        <f t="shared" si="137"/>
        <v>-99216</v>
      </c>
      <c r="BW175" s="38">
        <f t="shared" si="137"/>
        <v>-28</v>
      </c>
      <c r="BX175" s="38">
        <f t="shared" si="137"/>
        <v>-403915</v>
      </c>
      <c r="BY175" s="38">
        <v>-183767</v>
      </c>
      <c r="BZ175" s="38">
        <f t="shared" si="137"/>
        <v>-89871.428571428565</v>
      </c>
      <c r="CA175" s="38">
        <f t="shared" si="137"/>
        <v>-372902.49433106574</v>
      </c>
      <c r="CB175" s="38">
        <f t="shared" si="137"/>
        <v>-416353.74149659864</v>
      </c>
      <c r="CC175" s="38">
        <f t="shared" si="137"/>
        <v>-352299.31972789118</v>
      </c>
      <c r="CD175" s="69"/>
      <c r="CE175" s="95">
        <f t="shared" si="130"/>
        <v>-1415193.9841269841</v>
      </c>
      <c r="CF175" s="7">
        <v>-1817369.6145124715</v>
      </c>
      <c r="CG175" s="95">
        <f t="shared" si="131"/>
        <v>402175.63038548734</v>
      </c>
      <c r="EE175" s="82"/>
      <c r="EF175" s="82"/>
      <c r="EG175" s="82"/>
      <c r="EH175" s="82"/>
      <c r="EI175" s="82"/>
      <c r="EJ175" s="82"/>
      <c r="EK175" s="82"/>
      <c r="EL175" s="82"/>
      <c r="EM175" s="82"/>
      <c r="EN175" s="82"/>
      <c r="EO175" s="82"/>
      <c r="EP175" s="82"/>
      <c r="EQ175" s="82"/>
      <c r="ER175" s="82"/>
      <c r="ES175" s="82"/>
      <c r="ET175" s="82"/>
      <c r="EU175" s="82"/>
      <c r="EV175" s="82"/>
      <c r="EW175" s="82"/>
      <c r="EX175" s="82"/>
      <c r="EY175" s="82"/>
      <c r="EZ175" s="82"/>
      <c r="FA175" s="82"/>
      <c r="FB175" s="82"/>
      <c r="FC175" s="82"/>
      <c r="FD175" s="82"/>
      <c r="FE175" s="82"/>
      <c r="FF175" s="82"/>
      <c r="FG175" s="82"/>
      <c r="FH175" s="82"/>
      <c r="FI175" s="82"/>
      <c r="FJ175" s="82"/>
      <c r="FK175" s="82"/>
      <c r="FL175" s="82"/>
      <c r="FM175" s="82"/>
      <c r="FN175" s="82"/>
      <c r="FO175" s="82"/>
    </row>
    <row r="176" spans="1:171" x14ac:dyDescent="0.25">
      <c r="B176" s="82"/>
      <c r="C176" s="82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L176" s="69"/>
      <c r="BM176" s="69"/>
      <c r="BN176" s="69"/>
      <c r="BO176" s="69"/>
      <c r="BP176" s="57" t="s">
        <v>96</v>
      </c>
      <c r="BQ176" s="6"/>
      <c r="BR176" s="69"/>
      <c r="BS176" s="69"/>
      <c r="BT176" s="20"/>
      <c r="BU176" s="20"/>
      <c r="BV176" s="38">
        <f t="shared" si="137"/>
        <v>-11838</v>
      </c>
      <c r="BW176" s="38">
        <f t="shared" si="137"/>
        <v>-4194</v>
      </c>
      <c r="BX176" s="38">
        <f t="shared" si="137"/>
        <v>0</v>
      </c>
      <c r="BY176" s="38">
        <f t="shared" si="137"/>
        <v>0</v>
      </c>
      <c r="BZ176" s="38">
        <f t="shared" si="137"/>
        <v>0</v>
      </c>
      <c r="CA176" s="38">
        <f t="shared" si="137"/>
        <v>-47619.047619047618</v>
      </c>
      <c r="CB176" s="38">
        <f t="shared" si="137"/>
        <v>-47619.047619047618</v>
      </c>
      <c r="CC176" s="38">
        <f t="shared" si="137"/>
        <v>-47619.047619047618</v>
      </c>
      <c r="CD176" s="69"/>
      <c r="CE176" s="95">
        <f t="shared" si="130"/>
        <v>-142857.14285714284</v>
      </c>
      <c r="CF176" s="7">
        <v>-142857.14285714284</v>
      </c>
      <c r="CG176" s="95">
        <f t="shared" si="131"/>
        <v>0</v>
      </c>
      <c r="EE176" s="82"/>
      <c r="EF176" s="82"/>
      <c r="EG176" s="82"/>
      <c r="EH176" s="82"/>
      <c r="EI176" s="82"/>
      <c r="EJ176" s="82"/>
      <c r="EK176" s="82"/>
      <c r="EL176" s="82"/>
      <c r="EM176" s="82"/>
      <c r="EN176" s="82"/>
      <c r="EO176" s="82"/>
      <c r="EP176" s="82"/>
      <c r="EQ176" s="82"/>
      <c r="ER176" s="82"/>
      <c r="ES176" s="82"/>
      <c r="ET176" s="82"/>
      <c r="EU176" s="82"/>
      <c r="EV176" s="82"/>
      <c r="EW176" s="82"/>
      <c r="EX176" s="82"/>
      <c r="EY176" s="82"/>
      <c r="EZ176" s="82"/>
      <c r="FA176" s="82"/>
      <c r="FB176" s="82"/>
      <c r="FC176" s="82"/>
      <c r="FD176" s="82"/>
      <c r="FE176" s="82"/>
      <c r="FF176" s="82"/>
      <c r="FG176" s="82"/>
      <c r="FH176" s="82"/>
      <c r="FI176" s="82"/>
      <c r="FJ176" s="82"/>
      <c r="FK176" s="82"/>
      <c r="FL176" s="82"/>
      <c r="FM176" s="82"/>
      <c r="FN176" s="82"/>
      <c r="FO176" s="82"/>
    </row>
    <row r="177" spans="1:171" x14ac:dyDescent="0.25">
      <c r="A177" s="9" t="s">
        <v>279</v>
      </c>
      <c r="B177" s="82"/>
      <c r="C177" s="82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L177" s="69"/>
      <c r="BM177" s="69"/>
      <c r="BN177" s="69"/>
      <c r="BO177" s="69"/>
      <c r="BP177" s="57" t="s">
        <v>97</v>
      </c>
      <c r="BQ177" s="6"/>
      <c r="BR177" s="69"/>
      <c r="BS177" s="69"/>
      <c r="BT177" s="20"/>
      <c r="BU177" s="20"/>
      <c r="BV177" s="38">
        <f t="shared" si="137"/>
        <v>0</v>
      </c>
      <c r="BW177" s="38">
        <f t="shared" si="137"/>
        <v>0</v>
      </c>
      <c r="BX177" s="38">
        <f t="shared" si="137"/>
        <v>0</v>
      </c>
      <c r="BY177" s="38">
        <f t="shared" si="137"/>
        <v>0</v>
      </c>
      <c r="BZ177" s="38">
        <f t="shared" si="137"/>
        <v>-8560</v>
      </c>
      <c r="CA177" s="38">
        <f t="shared" si="137"/>
        <v>-9523.8095238095229</v>
      </c>
      <c r="CB177" s="38">
        <f t="shared" si="137"/>
        <v>-14285.714285714284</v>
      </c>
      <c r="CC177" s="38">
        <f t="shared" si="137"/>
        <v>-14285.714285714284</v>
      </c>
      <c r="CD177" s="69"/>
      <c r="CE177" s="95">
        <f t="shared" si="130"/>
        <v>-46655.238095238092</v>
      </c>
      <c r="CF177" s="7">
        <v>-61904.761904761894</v>
      </c>
      <c r="CG177" s="95">
        <f t="shared" si="131"/>
        <v>15249.523809523802</v>
      </c>
      <c r="EE177" s="82"/>
      <c r="EF177" s="82"/>
      <c r="EG177" s="82"/>
      <c r="EH177" s="82"/>
      <c r="EI177" s="82"/>
      <c r="EJ177" s="82"/>
      <c r="EK177" s="82"/>
      <c r="EL177" s="82"/>
      <c r="EM177" s="82"/>
      <c r="EN177" s="82"/>
      <c r="EO177" s="82"/>
      <c r="EP177" s="82"/>
      <c r="EQ177" s="82"/>
      <c r="ER177" s="82"/>
      <c r="ES177" s="82"/>
      <c r="ET177" s="82"/>
      <c r="EU177" s="82"/>
      <c r="EV177" s="82"/>
      <c r="EW177" s="82"/>
      <c r="EX177" s="82"/>
      <c r="EY177" s="82"/>
      <c r="EZ177" s="82"/>
      <c r="FA177" s="82"/>
      <c r="FB177" s="82"/>
      <c r="FC177" s="82"/>
      <c r="FD177" s="82"/>
      <c r="FE177" s="82"/>
      <c r="FF177" s="82"/>
      <c r="FG177" s="82"/>
      <c r="FH177" s="82"/>
      <c r="FI177" s="82"/>
      <c r="FJ177" s="82"/>
      <c r="FK177" s="82"/>
      <c r="FL177" s="82"/>
      <c r="FM177" s="82"/>
      <c r="FN177" s="82"/>
      <c r="FO177" s="82"/>
    </row>
    <row r="178" spans="1:171" x14ac:dyDescent="0.25">
      <c r="A178" s="1" t="s">
        <v>280</v>
      </c>
      <c r="B178" s="82">
        <f>B111+B125</f>
        <v>2815044</v>
      </c>
      <c r="C178" s="82">
        <f>C111+C125</f>
        <v>3100136</v>
      </c>
      <c r="D178" s="82">
        <f>D111+D125</f>
        <v>3014685</v>
      </c>
      <c r="E178" s="82">
        <f>E111+E125</f>
        <v>2773460</v>
      </c>
      <c r="G178" s="82">
        <f t="shared" ref="G178:BF178" si="138">G111+G125</f>
        <v>0</v>
      </c>
      <c r="H178" s="82">
        <f t="shared" si="138"/>
        <v>0</v>
      </c>
      <c r="I178" s="82">
        <f t="shared" si="138"/>
        <v>0</v>
      </c>
      <c r="J178" s="82">
        <f t="shared" si="138"/>
        <v>0</v>
      </c>
      <c r="K178" s="82">
        <f t="shared" si="138"/>
        <v>0</v>
      </c>
      <c r="L178" s="82">
        <f t="shared" si="138"/>
        <v>0</v>
      </c>
      <c r="M178" s="82">
        <f t="shared" si="138"/>
        <v>0</v>
      </c>
      <c r="N178" s="82">
        <f t="shared" si="138"/>
        <v>0</v>
      </c>
      <c r="O178" s="82">
        <f t="shared" si="138"/>
        <v>0</v>
      </c>
      <c r="P178" s="82">
        <f t="shared" si="138"/>
        <v>0</v>
      </c>
      <c r="Q178" s="82">
        <f t="shared" si="138"/>
        <v>0</v>
      </c>
      <c r="R178" s="82">
        <f t="shared" si="138"/>
        <v>3100136</v>
      </c>
      <c r="S178" s="82">
        <f t="shared" si="138"/>
        <v>3100136</v>
      </c>
      <c r="T178" s="82">
        <f t="shared" si="138"/>
        <v>0</v>
      </c>
      <c r="U178" s="82">
        <f t="shared" si="138"/>
        <v>0</v>
      </c>
      <c r="V178" s="82">
        <f t="shared" si="138"/>
        <v>653057</v>
      </c>
      <c r="W178" s="82">
        <f t="shared" si="138"/>
        <v>217686</v>
      </c>
      <c r="X178" s="82">
        <f t="shared" si="138"/>
        <v>217686</v>
      </c>
      <c r="Y178" s="82">
        <f t="shared" si="138"/>
        <v>217686</v>
      </c>
      <c r="Z178" s="82">
        <f t="shared" si="138"/>
        <v>217686</v>
      </c>
      <c r="AA178" s="82">
        <f t="shared" si="138"/>
        <v>217686</v>
      </c>
      <c r="AB178" s="82">
        <f t="shared" si="138"/>
        <v>217686</v>
      </c>
      <c r="AC178" s="82">
        <f t="shared" si="138"/>
        <v>217686</v>
      </c>
      <c r="AD178" s="82">
        <f t="shared" si="138"/>
        <v>217686</v>
      </c>
      <c r="AE178" s="82">
        <f t="shared" si="138"/>
        <v>620142</v>
      </c>
      <c r="AF178" s="82">
        <f t="shared" si="138"/>
        <v>3014687</v>
      </c>
      <c r="AG178" s="82">
        <f t="shared" si="138"/>
        <v>171264</v>
      </c>
      <c r="AH178" s="82">
        <f t="shared" si="138"/>
        <v>171264</v>
      </c>
      <c r="AI178" s="82">
        <f t="shared" si="138"/>
        <v>171264</v>
      </c>
      <c r="AJ178" s="82">
        <f t="shared" si="138"/>
        <v>342528</v>
      </c>
      <c r="AK178" s="82">
        <f t="shared" si="138"/>
        <v>171264</v>
      </c>
      <c r="AL178" s="82">
        <f t="shared" si="138"/>
        <v>171264</v>
      </c>
      <c r="AM178" s="82">
        <f t="shared" si="138"/>
        <v>171264</v>
      </c>
      <c r="AN178" s="82">
        <f t="shared" si="138"/>
        <v>171264</v>
      </c>
      <c r="AO178" s="82">
        <f t="shared" si="138"/>
        <v>171264</v>
      </c>
      <c r="AP178" s="82">
        <f t="shared" si="138"/>
        <v>171264</v>
      </c>
      <c r="AQ178" s="82">
        <f t="shared" si="138"/>
        <v>171264</v>
      </c>
      <c r="AR178" s="82">
        <f t="shared" si="138"/>
        <v>718294</v>
      </c>
      <c r="AS178" s="82">
        <f t="shared" si="138"/>
        <v>2773462</v>
      </c>
      <c r="AT178" s="82">
        <f t="shared" si="138"/>
        <v>171264</v>
      </c>
      <c r="AU178" s="82">
        <f t="shared" si="138"/>
        <v>171264</v>
      </c>
      <c r="AV178" s="82">
        <f t="shared" si="138"/>
        <v>171264</v>
      </c>
      <c r="AW178" s="82">
        <f t="shared" si="138"/>
        <v>171264</v>
      </c>
      <c r="AX178" s="82">
        <f t="shared" si="138"/>
        <v>171264</v>
      </c>
      <c r="AY178" s="82">
        <f t="shared" si="138"/>
        <v>444779</v>
      </c>
      <c r="AZ178" s="82">
        <f t="shared" si="138"/>
        <v>216850</v>
      </c>
      <c r="BA178" s="82">
        <f t="shared" si="138"/>
        <v>171264</v>
      </c>
      <c r="BB178" s="82">
        <f t="shared" si="138"/>
        <v>0</v>
      </c>
      <c r="BC178" s="82">
        <f t="shared" si="138"/>
        <v>0</v>
      </c>
      <c r="BD178" s="82">
        <f t="shared" si="138"/>
        <v>0</v>
      </c>
      <c r="BE178" s="82">
        <f t="shared" si="138"/>
        <v>0</v>
      </c>
      <c r="BF178" s="82">
        <f t="shared" si="138"/>
        <v>1689213</v>
      </c>
      <c r="BG178" s="82"/>
      <c r="BH178" s="82"/>
      <c r="BI178" s="82"/>
      <c r="BJ178" s="82"/>
      <c r="BL178" s="82">
        <f>BL111+BL125</f>
        <v>0</v>
      </c>
      <c r="BM178" s="82"/>
      <c r="BN178" s="82"/>
      <c r="BO178" s="82"/>
      <c r="BP178" s="57" t="s">
        <v>98</v>
      </c>
      <c r="BQ178" s="6"/>
      <c r="BR178" s="69"/>
      <c r="BS178" s="69"/>
      <c r="BT178" s="20"/>
      <c r="BU178" s="20"/>
      <c r="BV178" s="38">
        <f t="shared" si="137"/>
        <v>-31125</v>
      </c>
      <c r="BW178" s="38">
        <f t="shared" si="137"/>
        <v>0</v>
      </c>
      <c r="BX178" s="38">
        <f t="shared" si="137"/>
        <v>-96821</v>
      </c>
      <c r="BY178" s="38">
        <f t="shared" si="137"/>
        <v>0</v>
      </c>
      <c r="BZ178" s="38">
        <f t="shared" si="137"/>
        <v>-95238.095238095237</v>
      </c>
      <c r="CA178" s="38">
        <f t="shared" si="137"/>
        <v>-95238.095238095237</v>
      </c>
      <c r="CB178" s="38">
        <f t="shared" si="137"/>
        <v>-47619.047619047618</v>
      </c>
      <c r="CC178" s="38">
        <f t="shared" si="137"/>
        <v>-95238.095238095237</v>
      </c>
      <c r="CD178" s="69"/>
      <c r="CE178" s="95">
        <f t="shared" si="130"/>
        <v>-333333.33333333337</v>
      </c>
      <c r="CF178" s="7">
        <v>-380952.38095238095</v>
      </c>
      <c r="CG178" s="95">
        <f t="shared" si="131"/>
        <v>47619.047619047575</v>
      </c>
      <c r="EE178" s="82"/>
      <c r="EF178" s="82"/>
      <c r="EG178" s="82"/>
      <c r="EH178" s="82"/>
      <c r="EI178" s="82"/>
      <c r="EJ178" s="82"/>
      <c r="EK178" s="82"/>
      <c r="EL178" s="82"/>
      <c r="EM178" s="82"/>
      <c r="EN178" s="82"/>
      <c r="EO178" s="82"/>
      <c r="EP178" s="82"/>
      <c r="EQ178" s="82"/>
      <c r="ER178" s="82"/>
      <c r="ES178" s="82"/>
      <c r="ET178" s="82"/>
      <c r="EU178" s="82"/>
      <c r="EV178" s="82"/>
      <c r="EW178" s="82"/>
      <c r="EX178" s="82"/>
      <c r="EY178" s="82"/>
      <c r="EZ178" s="82"/>
      <c r="FA178" s="82"/>
      <c r="FB178" s="82"/>
      <c r="FC178" s="82"/>
      <c r="FD178" s="82"/>
      <c r="FE178" s="82"/>
      <c r="FF178" s="82"/>
      <c r="FG178" s="82"/>
      <c r="FH178" s="82"/>
      <c r="FI178" s="82"/>
      <c r="FJ178" s="82"/>
      <c r="FK178" s="82"/>
      <c r="FL178" s="82"/>
      <c r="FM178" s="82"/>
      <c r="FN178" s="82"/>
      <c r="FO178" s="82"/>
    </row>
    <row r="179" spans="1:171" x14ac:dyDescent="0.25">
      <c r="A179" s="1" t="s">
        <v>281</v>
      </c>
      <c r="B179" s="82">
        <f>B126+B135</f>
        <v>2034319</v>
      </c>
      <c r="C179" s="82">
        <f>C126+C135</f>
        <v>2818670</v>
      </c>
      <c r="D179" s="82">
        <f>D126+D135</f>
        <v>2573170</v>
      </c>
      <c r="E179" s="82">
        <f>E126+E135</f>
        <v>4379560</v>
      </c>
      <c r="G179" s="82">
        <f t="shared" ref="G179:BF179" si="139">G126+G135</f>
        <v>33823</v>
      </c>
      <c r="H179" s="82">
        <f t="shared" si="139"/>
        <v>27670</v>
      </c>
      <c r="I179" s="82">
        <f t="shared" si="139"/>
        <v>155975</v>
      </c>
      <c r="J179" s="82">
        <f t="shared" si="139"/>
        <v>27500</v>
      </c>
      <c r="K179" s="82">
        <f t="shared" si="139"/>
        <v>27850</v>
      </c>
      <c r="L179" s="82">
        <f t="shared" si="139"/>
        <v>184987</v>
      </c>
      <c r="M179" s="82">
        <f t="shared" si="139"/>
        <v>223199</v>
      </c>
      <c r="N179" s="82">
        <f t="shared" si="139"/>
        <v>28289</v>
      </c>
      <c r="O179" s="82">
        <f t="shared" si="139"/>
        <v>197543</v>
      </c>
      <c r="P179" s="82">
        <f t="shared" si="139"/>
        <v>27500</v>
      </c>
      <c r="Q179" s="82">
        <f t="shared" si="139"/>
        <v>27518</v>
      </c>
      <c r="R179" s="82">
        <f t="shared" si="139"/>
        <v>1856815</v>
      </c>
      <c r="S179" s="82">
        <f t="shared" si="139"/>
        <v>2818669</v>
      </c>
      <c r="T179" s="82">
        <f t="shared" si="139"/>
        <v>57929</v>
      </c>
      <c r="U179" s="82">
        <f t="shared" si="139"/>
        <v>7666</v>
      </c>
      <c r="V179" s="82">
        <f t="shared" si="139"/>
        <v>547485</v>
      </c>
      <c r="W179" s="82">
        <f t="shared" si="139"/>
        <v>157370</v>
      </c>
      <c r="X179" s="82">
        <f t="shared" si="139"/>
        <v>157444</v>
      </c>
      <c r="Y179" s="82">
        <f t="shared" si="139"/>
        <v>342206</v>
      </c>
      <c r="Z179" s="82">
        <f t="shared" si="139"/>
        <v>133065</v>
      </c>
      <c r="AA179" s="82">
        <f t="shared" si="139"/>
        <v>153518</v>
      </c>
      <c r="AB179" s="82">
        <f t="shared" si="139"/>
        <v>622</v>
      </c>
      <c r="AC179" s="82">
        <f t="shared" si="139"/>
        <v>153254</v>
      </c>
      <c r="AD179" s="82">
        <f t="shared" si="139"/>
        <v>151254</v>
      </c>
      <c r="AE179" s="82">
        <f t="shared" si="139"/>
        <v>711358</v>
      </c>
      <c r="AF179" s="82">
        <f t="shared" si="139"/>
        <v>2573171</v>
      </c>
      <c r="AG179" s="82">
        <f t="shared" si="139"/>
        <v>845584</v>
      </c>
      <c r="AH179" s="82">
        <f t="shared" si="139"/>
        <v>35527</v>
      </c>
      <c r="AI179" s="82">
        <f t="shared" si="139"/>
        <v>489005</v>
      </c>
      <c r="AJ179" s="82">
        <f t="shared" si="139"/>
        <v>36727</v>
      </c>
      <c r="AK179" s="82">
        <f t="shared" si="139"/>
        <v>34662</v>
      </c>
      <c r="AL179" s="82">
        <f t="shared" si="139"/>
        <v>414558</v>
      </c>
      <c r="AM179" s="82">
        <f t="shared" si="139"/>
        <v>38165</v>
      </c>
      <c r="AN179" s="82">
        <f t="shared" si="139"/>
        <v>38205</v>
      </c>
      <c r="AO179" s="82">
        <f t="shared" si="139"/>
        <v>453494</v>
      </c>
      <c r="AP179" s="82">
        <f t="shared" si="139"/>
        <v>2759</v>
      </c>
      <c r="AQ179" s="82">
        <f t="shared" si="139"/>
        <v>-11389</v>
      </c>
      <c r="AR179" s="82">
        <f t="shared" si="139"/>
        <v>2002263</v>
      </c>
      <c r="AS179" s="82">
        <f t="shared" si="139"/>
        <v>4379560</v>
      </c>
      <c r="AT179" s="82">
        <f t="shared" si="139"/>
        <v>0</v>
      </c>
      <c r="AU179" s="82">
        <f t="shared" si="139"/>
        <v>0</v>
      </c>
      <c r="AV179" s="82">
        <f t="shared" si="139"/>
        <v>603732</v>
      </c>
      <c r="AW179" s="82">
        <f t="shared" si="139"/>
        <v>0</v>
      </c>
      <c r="AX179" s="82">
        <f t="shared" si="139"/>
        <v>0</v>
      </c>
      <c r="AY179" s="82">
        <f t="shared" si="139"/>
        <v>736293</v>
      </c>
      <c r="AZ179" s="82">
        <f t="shared" si="139"/>
        <v>1008011</v>
      </c>
      <c r="BA179" s="82">
        <f t="shared" si="139"/>
        <v>49104</v>
      </c>
      <c r="BB179" s="82">
        <f t="shared" si="139"/>
        <v>0</v>
      </c>
      <c r="BC179" s="82">
        <f t="shared" si="139"/>
        <v>0</v>
      </c>
      <c r="BD179" s="82">
        <f t="shared" si="139"/>
        <v>0</v>
      </c>
      <c r="BE179" s="82">
        <f t="shared" si="139"/>
        <v>0</v>
      </c>
      <c r="BF179" s="82">
        <f t="shared" si="139"/>
        <v>2397140</v>
      </c>
      <c r="BG179" s="82"/>
      <c r="BH179" s="82"/>
      <c r="BI179" s="82"/>
      <c r="BJ179" s="82"/>
      <c r="BL179" s="82">
        <f>BL126+BL135</f>
        <v>0</v>
      </c>
      <c r="BM179" s="82"/>
      <c r="BN179" s="82"/>
      <c r="BO179" s="82"/>
      <c r="BP179" s="57" t="s">
        <v>99</v>
      </c>
      <c r="BQ179" s="6"/>
      <c r="BR179" s="69"/>
      <c r="BS179" s="69"/>
      <c r="BT179" s="20"/>
      <c r="BU179" s="20"/>
      <c r="BV179" s="38">
        <f t="shared" si="137"/>
        <v>-30955</v>
      </c>
      <c r="BW179" s="38">
        <f t="shared" si="137"/>
        <v>0</v>
      </c>
      <c r="BX179" s="38">
        <f t="shared" si="137"/>
        <v>-49092</v>
      </c>
      <c r="BY179" s="38">
        <f t="shared" si="137"/>
        <v>0</v>
      </c>
      <c r="BZ179" s="38">
        <f t="shared" si="137"/>
        <v>-28575.221238938055</v>
      </c>
      <c r="CA179" s="38">
        <f t="shared" si="137"/>
        <v>-26548.672566371682</v>
      </c>
      <c r="CB179" s="38">
        <f t="shared" si="137"/>
        <v>-26548.672566371682</v>
      </c>
      <c r="CC179" s="38">
        <f t="shared" si="137"/>
        <v>-26548.672566371682</v>
      </c>
      <c r="CD179" s="69"/>
      <c r="CE179" s="95">
        <f t="shared" si="130"/>
        <v>-108221.23893805309</v>
      </c>
      <c r="CF179" s="7">
        <v>-132743.36283185842</v>
      </c>
      <c r="CG179" s="95">
        <f t="shared" si="131"/>
        <v>24522.123893805328</v>
      </c>
      <c r="EE179" s="82"/>
      <c r="EF179" s="82"/>
      <c r="EG179" s="82"/>
      <c r="EH179" s="82"/>
      <c r="EI179" s="82"/>
      <c r="EJ179" s="82"/>
      <c r="EK179" s="82"/>
      <c r="EL179" s="82"/>
      <c r="EM179" s="82"/>
      <c r="EN179" s="82"/>
      <c r="EO179" s="82"/>
      <c r="EP179" s="82"/>
      <c r="EQ179" s="82"/>
      <c r="ER179" s="82"/>
      <c r="ES179" s="82"/>
      <c r="ET179" s="82"/>
      <c r="EU179" s="82"/>
      <c r="EV179" s="82"/>
      <c r="EW179" s="82"/>
      <c r="EX179" s="82"/>
      <c r="EY179" s="82"/>
      <c r="EZ179" s="82"/>
      <c r="FA179" s="82"/>
      <c r="FB179" s="82"/>
      <c r="FC179" s="82"/>
      <c r="FD179" s="82"/>
      <c r="FE179" s="82"/>
      <c r="FF179" s="82"/>
      <c r="FG179" s="82"/>
      <c r="FH179" s="82"/>
      <c r="FI179" s="82"/>
      <c r="FJ179" s="82"/>
      <c r="FK179" s="82"/>
      <c r="FL179" s="82"/>
      <c r="FM179" s="82"/>
      <c r="FN179" s="82"/>
      <c r="FO179" s="82"/>
    </row>
    <row r="180" spans="1:171" x14ac:dyDescent="0.25">
      <c r="A180" s="1" t="s">
        <v>282</v>
      </c>
      <c r="B180" s="82">
        <f>B128</f>
        <v>1908</v>
      </c>
      <c r="C180" s="82">
        <f>C128</f>
        <v>0</v>
      </c>
      <c r="D180" s="82">
        <f>D128</f>
        <v>122416</v>
      </c>
      <c r="E180" s="82">
        <f>E128</f>
        <v>-2130</v>
      </c>
      <c r="G180" s="82">
        <f t="shared" ref="G180:BF180" si="140">G128</f>
        <v>0</v>
      </c>
      <c r="H180" s="82">
        <f t="shared" si="140"/>
        <v>0</v>
      </c>
      <c r="I180" s="82">
        <f t="shared" si="140"/>
        <v>0</v>
      </c>
      <c r="J180" s="82">
        <f t="shared" si="140"/>
        <v>0</v>
      </c>
      <c r="K180" s="82">
        <f t="shared" si="140"/>
        <v>0</v>
      </c>
      <c r="L180" s="82">
        <f t="shared" si="140"/>
        <v>0</v>
      </c>
      <c r="M180" s="82">
        <f t="shared" si="140"/>
        <v>0</v>
      </c>
      <c r="N180" s="82">
        <f t="shared" si="140"/>
        <v>0</v>
      </c>
      <c r="O180" s="82">
        <f t="shared" si="140"/>
        <v>0</v>
      </c>
      <c r="P180" s="82">
        <f t="shared" si="140"/>
        <v>0</v>
      </c>
      <c r="Q180" s="82">
        <f t="shared" si="140"/>
        <v>0</v>
      </c>
      <c r="R180" s="82">
        <f t="shared" si="140"/>
        <v>0</v>
      </c>
      <c r="S180" s="82">
        <f t="shared" si="140"/>
        <v>0</v>
      </c>
      <c r="T180" s="82">
        <f t="shared" si="140"/>
        <v>77134</v>
      </c>
      <c r="U180" s="82">
        <f t="shared" si="140"/>
        <v>0</v>
      </c>
      <c r="V180" s="82">
        <f t="shared" si="140"/>
        <v>0</v>
      </c>
      <c r="W180" s="82">
        <f t="shared" si="140"/>
        <v>0</v>
      </c>
      <c r="X180" s="82">
        <f t="shared" si="140"/>
        <v>0</v>
      </c>
      <c r="Y180" s="82">
        <f t="shared" si="140"/>
        <v>0</v>
      </c>
      <c r="Z180" s="82">
        <f t="shared" si="140"/>
        <v>0</v>
      </c>
      <c r="AA180" s="82">
        <f t="shared" si="140"/>
        <v>0</v>
      </c>
      <c r="AB180" s="82">
        <f t="shared" si="140"/>
        <v>0</v>
      </c>
      <c r="AC180" s="82">
        <f t="shared" si="140"/>
        <v>45283</v>
      </c>
      <c r="AD180" s="82">
        <f t="shared" si="140"/>
        <v>0</v>
      </c>
      <c r="AE180" s="82">
        <f t="shared" si="140"/>
        <v>0</v>
      </c>
      <c r="AF180" s="82">
        <f t="shared" si="140"/>
        <v>122417</v>
      </c>
      <c r="AG180" s="82">
        <f t="shared" si="140"/>
        <v>0</v>
      </c>
      <c r="AH180" s="82">
        <f t="shared" si="140"/>
        <v>0</v>
      </c>
      <c r="AI180" s="82">
        <f t="shared" si="140"/>
        <v>0</v>
      </c>
      <c r="AJ180" s="82">
        <f t="shared" si="140"/>
        <v>0</v>
      </c>
      <c r="AK180" s="82">
        <f t="shared" si="140"/>
        <v>0</v>
      </c>
      <c r="AL180" s="82">
        <f t="shared" si="140"/>
        <v>0</v>
      </c>
      <c r="AM180" s="82">
        <f t="shared" si="140"/>
        <v>-2130</v>
      </c>
      <c r="AN180" s="82">
        <f t="shared" si="140"/>
        <v>0</v>
      </c>
      <c r="AO180" s="82">
        <f t="shared" si="140"/>
        <v>0</v>
      </c>
      <c r="AP180" s="82">
        <f t="shared" si="140"/>
        <v>0</v>
      </c>
      <c r="AQ180" s="82">
        <f t="shared" si="140"/>
        <v>0</v>
      </c>
      <c r="AR180" s="82">
        <f t="shared" si="140"/>
        <v>0</v>
      </c>
      <c r="AS180" s="82">
        <f t="shared" si="140"/>
        <v>-2130</v>
      </c>
      <c r="AT180" s="82">
        <f t="shared" si="140"/>
        <v>0</v>
      </c>
      <c r="AU180" s="82">
        <f t="shared" si="140"/>
        <v>0</v>
      </c>
      <c r="AV180" s="82">
        <f t="shared" si="140"/>
        <v>0</v>
      </c>
      <c r="AW180" s="82">
        <f t="shared" si="140"/>
        <v>0</v>
      </c>
      <c r="AX180" s="82">
        <f t="shared" si="140"/>
        <v>0</v>
      </c>
      <c r="AY180" s="82">
        <f t="shared" si="140"/>
        <v>0</v>
      </c>
      <c r="AZ180" s="82">
        <f t="shared" si="140"/>
        <v>0</v>
      </c>
      <c r="BA180" s="82">
        <f t="shared" si="140"/>
        <v>0</v>
      </c>
      <c r="BB180" s="82">
        <f t="shared" si="140"/>
        <v>0</v>
      </c>
      <c r="BC180" s="82">
        <f t="shared" si="140"/>
        <v>0</v>
      </c>
      <c r="BD180" s="82">
        <f t="shared" si="140"/>
        <v>0</v>
      </c>
      <c r="BE180" s="82">
        <f t="shared" si="140"/>
        <v>0</v>
      </c>
      <c r="BF180" s="82">
        <f t="shared" si="140"/>
        <v>0</v>
      </c>
      <c r="BG180" s="82"/>
      <c r="BH180" s="82"/>
      <c r="BI180" s="82"/>
      <c r="BJ180" s="82"/>
      <c r="BL180" s="82">
        <f>BL128</f>
        <v>0</v>
      </c>
      <c r="BM180" s="82"/>
      <c r="BN180" s="82"/>
      <c r="BO180" s="82"/>
      <c r="BP180" s="9"/>
      <c r="BQ180" s="6"/>
      <c r="BR180" s="69"/>
      <c r="BS180" s="69"/>
      <c r="BT180" s="20"/>
      <c r="BU180" s="20"/>
      <c r="BV180" s="38"/>
      <c r="BW180" s="38"/>
      <c r="BX180" s="38"/>
      <c r="BY180" s="38"/>
      <c r="BZ180" s="38"/>
      <c r="CA180" s="38"/>
      <c r="CB180" s="38"/>
      <c r="CC180" s="38"/>
      <c r="CD180" s="69"/>
      <c r="CE180" s="95">
        <f t="shared" si="130"/>
        <v>0</v>
      </c>
      <c r="CF180" s="7">
        <v>0</v>
      </c>
      <c r="CG180" s="95">
        <f t="shared" si="131"/>
        <v>0</v>
      </c>
      <c r="EE180" s="82"/>
      <c r="EF180" s="82"/>
      <c r="EG180" s="82"/>
      <c r="EH180" s="82"/>
      <c r="EI180" s="82"/>
      <c r="EJ180" s="82"/>
      <c r="EK180" s="82"/>
      <c r="EL180" s="82"/>
      <c r="EM180" s="82"/>
      <c r="EN180" s="82"/>
      <c r="EO180" s="82"/>
      <c r="EP180" s="82"/>
      <c r="EQ180" s="82"/>
      <c r="ER180" s="82"/>
      <c r="ES180" s="82"/>
      <c r="ET180" s="82"/>
      <c r="EU180" s="82"/>
      <c r="EV180" s="82"/>
      <c r="EW180" s="82"/>
      <c r="EX180" s="82"/>
      <c r="EY180" s="82"/>
      <c r="EZ180" s="82"/>
      <c r="FA180" s="82"/>
      <c r="FB180" s="82"/>
      <c r="FC180" s="82"/>
      <c r="FD180" s="82"/>
      <c r="FE180" s="82"/>
      <c r="FF180" s="82"/>
      <c r="FG180" s="82"/>
      <c r="FH180" s="82"/>
      <c r="FI180" s="82"/>
      <c r="FJ180" s="82"/>
      <c r="FK180" s="82"/>
      <c r="FL180" s="82"/>
      <c r="FM180" s="82"/>
      <c r="FN180" s="82"/>
      <c r="FO180" s="82"/>
    </row>
    <row r="181" spans="1:171" x14ac:dyDescent="0.25">
      <c r="A181" s="1" t="s">
        <v>283</v>
      </c>
      <c r="B181" s="82">
        <f>-B159</f>
        <v>1237663</v>
      </c>
      <c r="C181" s="82">
        <f t="shared" ref="C181:E181" si="141">-C159</f>
        <v>-458846</v>
      </c>
      <c r="D181" s="82">
        <f t="shared" si="141"/>
        <v>-32140</v>
      </c>
      <c r="E181" s="82">
        <f t="shared" si="141"/>
        <v>0</v>
      </c>
      <c r="G181" s="82">
        <f t="shared" ref="G181:BF181" si="142">-G159</f>
        <v>0</v>
      </c>
      <c r="H181" s="82">
        <f t="shared" si="142"/>
        <v>0</v>
      </c>
      <c r="I181" s="82">
        <f t="shared" si="142"/>
        <v>0</v>
      </c>
      <c r="J181" s="82">
        <f t="shared" si="142"/>
        <v>0</v>
      </c>
      <c r="K181" s="82">
        <f t="shared" si="142"/>
        <v>0</v>
      </c>
      <c r="L181" s="82">
        <f t="shared" si="142"/>
        <v>-77613</v>
      </c>
      <c r="M181" s="82">
        <f t="shared" si="142"/>
        <v>-249181</v>
      </c>
      <c r="N181" s="82">
        <f t="shared" si="142"/>
        <v>0</v>
      </c>
      <c r="O181" s="82">
        <f t="shared" si="142"/>
        <v>-132051</v>
      </c>
      <c r="P181" s="82">
        <f t="shared" si="142"/>
        <v>0</v>
      </c>
      <c r="Q181" s="82">
        <f t="shared" si="142"/>
        <v>0</v>
      </c>
      <c r="R181" s="82">
        <f t="shared" si="142"/>
        <v>0</v>
      </c>
      <c r="S181" s="82">
        <f t="shared" si="142"/>
        <v>-458845</v>
      </c>
      <c r="T181" s="82">
        <f t="shared" si="142"/>
        <v>-30475</v>
      </c>
      <c r="U181" s="82">
        <f t="shared" si="142"/>
        <v>0</v>
      </c>
      <c r="V181" s="82">
        <f t="shared" si="142"/>
        <v>0</v>
      </c>
      <c r="W181" s="82">
        <f t="shared" si="142"/>
        <v>0</v>
      </c>
      <c r="X181" s="82">
        <f t="shared" si="142"/>
        <v>0</v>
      </c>
      <c r="Y181" s="82">
        <f t="shared" si="142"/>
        <v>0</v>
      </c>
      <c r="Z181" s="82">
        <f t="shared" si="142"/>
        <v>0</v>
      </c>
      <c r="AA181" s="82">
        <f t="shared" si="142"/>
        <v>0</v>
      </c>
      <c r="AB181" s="82">
        <f t="shared" si="142"/>
        <v>0</v>
      </c>
      <c r="AC181" s="82">
        <f t="shared" si="142"/>
        <v>0</v>
      </c>
      <c r="AD181" s="82">
        <f t="shared" si="142"/>
        <v>-1665</v>
      </c>
      <c r="AE181" s="82">
        <f t="shared" si="142"/>
        <v>0</v>
      </c>
      <c r="AF181" s="82">
        <f t="shared" si="142"/>
        <v>-32140</v>
      </c>
      <c r="AG181" s="82">
        <f t="shared" si="142"/>
        <v>0</v>
      </c>
      <c r="AH181" s="82">
        <f t="shared" si="142"/>
        <v>0</v>
      </c>
      <c r="AI181" s="82">
        <f t="shared" si="142"/>
        <v>0</v>
      </c>
      <c r="AJ181" s="82">
        <f t="shared" si="142"/>
        <v>0</v>
      </c>
      <c r="AK181" s="82">
        <f t="shared" si="142"/>
        <v>0</v>
      </c>
      <c r="AL181" s="82">
        <f t="shared" si="142"/>
        <v>0</v>
      </c>
      <c r="AM181" s="82">
        <f t="shared" si="142"/>
        <v>0</v>
      </c>
      <c r="AN181" s="82">
        <f t="shared" si="142"/>
        <v>0</v>
      </c>
      <c r="AO181" s="82">
        <f t="shared" si="142"/>
        <v>0</v>
      </c>
      <c r="AP181" s="82">
        <f t="shared" si="142"/>
        <v>0</v>
      </c>
      <c r="AQ181" s="82">
        <f t="shared" si="142"/>
        <v>0</v>
      </c>
      <c r="AR181" s="82">
        <f t="shared" si="142"/>
        <v>0</v>
      </c>
      <c r="AS181" s="82">
        <f t="shared" si="142"/>
        <v>0</v>
      </c>
      <c r="AT181" s="82">
        <f t="shared" si="142"/>
        <v>0</v>
      </c>
      <c r="AU181" s="82">
        <f t="shared" si="142"/>
        <v>0</v>
      </c>
      <c r="AV181" s="82">
        <f t="shared" si="142"/>
        <v>0</v>
      </c>
      <c r="AW181" s="82">
        <f t="shared" si="142"/>
        <v>0</v>
      </c>
      <c r="AX181" s="82">
        <f t="shared" si="142"/>
        <v>0</v>
      </c>
      <c r="AY181" s="82">
        <f t="shared" si="142"/>
        <v>0</v>
      </c>
      <c r="AZ181" s="82">
        <f t="shared" si="142"/>
        <v>0</v>
      </c>
      <c r="BA181" s="82">
        <f t="shared" si="142"/>
        <v>0</v>
      </c>
      <c r="BB181" s="82">
        <f t="shared" si="142"/>
        <v>0</v>
      </c>
      <c r="BC181" s="82">
        <f t="shared" si="142"/>
        <v>0</v>
      </c>
      <c r="BD181" s="82">
        <f t="shared" si="142"/>
        <v>0</v>
      </c>
      <c r="BE181" s="82">
        <f t="shared" si="142"/>
        <v>0</v>
      </c>
      <c r="BF181" s="82">
        <f t="shared" si="142"/>
        <v>0</v>
      </c>
      <c r="BG181" s="82"/>
      <c r="BH181" s="82"/>
      <c r="BI181" s="82"/>
      <c r="BJ181" s="82"/>
      <c r="BL181" s="82">
        <f t="shared" ref="BL181" si="143">-BL159</f>
        <v>0</v>
      </c>
      <c r="BM181" s="82"/>
      <c r="BN181" s="82"/>
      <c r="BO181" s="82"/>
      <c r="BP181" s="130" t="s">
        <v>284</v>
      </c>
      <c r="BQ181"/>
      <c r="BR181" s="38"/>
      <c r="BS181" s="38"/>
      <c r="BT181" s="38"/>
      <c r="BU181" s="38"/>
      <c r="BV181" s="131">
        <f t="shared" ref="BV181:CC181" si="144">SUM(BV182:BV189)</f>
        <v>766406</v>
      </c>
      <c r="BW181" s="131">
        <f t="shared" si="144"/>
        <v>525744</v>
      </c>
      <c r="BX181" s="131">
        <f t="shared" si="144"/>
        <v>751484</v>
      </c>
      <c r="BY181" s="131">
        <f t="shared" si="144"/>
        <v>2644565</v>
      </c>
      <c r="BZ181" s="131">
        <f t="shared" si="144"/>
        <v>557383</v>
      </c>
      <c r="CA181" s="131">
        <f t="shared" si="144"/>
        <v>1251707.9838095238</v>
      </c>
      <c r="CB181" s="131">
        <f t="shared" si="144"/>
        <v>749182.61232516612</v>
      </c>
      <c r="CC181" s="131">
        <f t="shared" si="144"/>
        <v>933589.30828968738</v>
      </c>
      <c r="CD181" s="69"/>
      <c r="CE181" s="95">
        <f t="shared" si="130"/>
        <v>6136427.9044243768</v>
      </c>
      <c r="CF181" s="7">
        <v>5250021.43897337</v>
      </c>
      <c r="CG181" s="95">
        <f t="shared" si="131"/>
        <v>886406.46545100678</v>
      </c>
      <c r="EE181" s="82"/>
      <c r="EF181" s="82"/>
      <c r="EG181" s="82"/>
      <c r="EH181" s="82"/>
      <c r="EI181" s="82"/>
      <c r="EJ181" s="82"/>
      <c r="EK181" s="82"/>
      <c r="EL181" s="82"/>
      <c r="EM181" s="82"/>
      <c r="EN181" s="82"/>
      <c r="EO181" s="82"/>
      <c r="EP181" s="82"/>
      <c r="EQ181" s="82"/>
      <c r="ER181" s="82"/>
      <c r="ES181" s="82"/>
      <c r="ET181" s="82"/>
      <c r="EU181" s="82"/>
      <c r="EV181" s="82"/>
      <c r="EW181" s="82"/>
      <c r="EX181" s="82"/>
      <c r="EY181" s="82"/>
      <c r="EZ181" s="82"/>
      <c r="FA181" s="82"/>
      <c r="FB181" s="82"/>
      <c r="FC181" s="82"/>
      <c r="FD181" s="82"/>
      <c r="FE181" s="82"/>
      <c r="FF181" s="82"/>
      <c r="FG181" s="82"/>
      <c r="FH181" s="82"/>
      <c r="FI181" s="82"/>
      <c r="FJ181" s="82"/>
      <c r="FK181" s="82"/>
      <c r="FL181" s="82"/>
      <c r="FM181" s="82"/>
      <c r="FN181" s="82"/>
      <c r="FO181" s="82"/>
    </row>
    <row r="182" spans="1:171" x14ac:dyDescent="0.25">
      <c r="A182" s="1" t="s">
        <v>285</v>
      </c>
      <c r="B182" s="84">
        <f>-B156</f>
        <v>-10883</v>
      </c>
      <c r="C182" s="84">
        <f>-C156</f>
        <v>140658</v>
      </c>
      <c r="D182" s="84">
        <f>-D156</f>
        <v>0</v>
      </c>
      <c r="E182" s="84">
        <f>-E156</f>
        <v>-6369</v>
      </c>
      <c r="G182" s="84">
        <f t="shared" ref="G182:AU182" si="145">-G156</f>
        <v>0</v>
      </c>
      <c r="H182" s="84">
        <f t="shared" si="145"/>
        <v>0</v>
      </c>
      <c r="I182" s="84">
        <f t="shared" si="145"/>
        <v>0</v>
      </c>
      <c r="J182" s="84">
        <f t="shared" si="145"/>
        <v>0</v>
      </c>
      <c r="K182" s="84">
        <f t="shared" si="145"/>
        <v>0</v>
      </c>
      <c r="L182" s="84">
        <f t="shared" si="145"/>
        <v>0</v>
      </c>
      <c r="M182" s="84">
        <f t="shared" si="145"/>
        <v>0</v>
      </c>
      <c r="N182" s="84">
        <f t="shared" si="145"/>
        <v>0</v>
      </c>
      <c r="O182" s="84">
        <f t="shared" si="145"/>
        <v>0</v>
      </c>
      <c r="P182" s="84">
        <f t="shared" si="145"/>
        <v>0</v>
      </c>
      <c r="Q182" s="84">
        <f t="shared" si="145"/>
        <v>0</v>
      </c>
      <c r="R182" s="84">
        <f t="shared" si="145"/>
        <v>140658</v>
      </c>
      <c r="S182" s="84">
        <f t="shared" si="145"/>
        <v>140658</v>
      </c>
      <c r="T182" s="84">
        <f t="shared" si="145"/>
        <v>0</v>
      </c>
      <c r="U182" s="84">
        <f t="shared" si="145"/>
        <v>0</v>
      </c>
      <c r="V182" s="84">
        <f t="shared" si="145"/>
        <v>0</v>
      </c>
      <c r="W182" s="84">
        <f t="shared" si="145"/>
        <v>0</v>
      </c>
      <c r="X182" s="84">
        <f t="shared" si="145"/>
        <v>0</v>
      </c>
      <c r="Y182" s="84">
        <f t="shared" si="145"/>
        <v>0</v>
      </c>
      <c r="Z182" s="84">
        <f t="shared" si="145"/>
        <v>0</v>
      </c>
      <c r="AA182" s="84">
        <f t="shared" si="145"/>
        <v>0</v>
      </c>
      <c r="AB182" s="84">
        <f t="shared" si="145"/>
        <v>0</v>
      </c>
      <c r="AC182" s="84">
        <f t="shared" si="145"/>
        <v>0</v>
      </c>
      <c r="AD182" s="84">
        <f t="shared" si="145"/>
        <v>0</v>
      </c>
      <c r="AE182" s="84">
        <f t="shared" si="145"/>
        <v>0</v>
      </c>
      <c r="AF182" s="84">
        <f t="shared" si="145"/>
        <v>0</v>
      </c>
      <c r="AG182" s="84">
        <f t="shared" si="145"/>
        <v>-14000</v>
      </c>
      <c r="AH182" s="84">
        <f t="shared" si="145"/>
        <v>0</v>
      </c>
      <c r="AI182" s="84">
        <f t="shared" si="145"/>
        <v>7631</v>
      </c>
      <c r="AJ182" s="84">
        <f t="shared" si="145"/>
        <v>0</v>
      </c>
      <c r="AK182" s="84">
        <f t="shared" si="145"/>
        <v>0</v>
      </c>
      <c r="AL182" s="84">
        <f t="shared" si="145"/>
        <v>0</v>
      </c>
      <c r="AM182" s="84">
        <f t="shared" si="145"/>
        <v>0</v>
      </c>
      <c r="AN182" s="84">
        <f t="shared" si="145"/>
        <v>0</v>
      </c>
      <c r="AO182" s="84">
        <f t="shared" si="145"/>
        <v>0</v>
      </c>
      <c r="AP182" s="84">
        <f t="shared" si="145"/>
        <v>0</v>
      </c>
      <c r="AQ182" s="84">
        <f t="shared" si="145"/>
        <v>0</v>
      </c>
      <c r="AR182" s="84">
        <f t="shared" si="145"/>
        <v>0</v>
      </c>
      <c r="AS182" s="84">
        <f t="shared" si="145"/>
        <v>-6369</v>
      </c>
      <c r="AT182" s="84">
        <f t="shared" si="145"/>
        <v>0</v>
      </c>
      <c r="AU182" s="84">
        <f t="shared" si="145"/>
        <v>-30651</v>
      </c>
      <c r="AV182" s="133"/>
      <c r="AW182" s="84">
        <f t="shared" ref="AW182:BE182" si="146">-AW156</f>
        <v>0</v>
      </c>
      <c r="AX182" s="84">
        <f t="shared" si="146"/>
        <v>0</v>
      </c>
      <c r="AY182" s="84">
        <f t="shared" si="146"/>
        <v>0</v>
      </c>
      <c r="AZ182" s="84">
        <f t="shared" si="146"/>
        <v>0</v>
      </c>
      <c r="BA182" s="84">
        <f t="shared" si="146"/>
        <v>0</v>
      </c>
      <c r="BB182" s="84">
        <f t="shared" si="146"/>
        <v>0</v>
      </c>
      <c r="BC182" s="84">
        <f t="shared" si="146"/>
        <v>0</v>
      </c>
      <c r="BD182" s="84">
        <f t="shared" si="146"/>
        <v>0</v>
      </c>
      <c r="BE182" s="84">
        <f t="shared" si="146"/>
        <v>0</v>
      </c>
      <c r="BF182" s="84"/>
      <c r="BG182" s="82"/>
      <c r="BH182" s="82"/>
      <c r="BI182" s="82"/>
      <c r="BJ182" s="82"/>
      <c r="BL182" s="84">
        <f>-BL156</f>
        <v>0</v>
      </c>
      <c r="BM182" s="82"/>
      <c r="BN182" s="82"/>
      <c r="BO182" s="82"/>
      <c r="BP182" s="57" t="s">
        <v>92</v>
      </c>
      <c r="BQ182"/>
      <c r="BR182" s="38"/>
      <c r="BS182" s="38"/>
      <c r="BT182" s="38"/>
      <c r="BU182" s="38"/>
      <c r="BV182" s="38"/>
      <c r="BW182" s="38"/>
      <c r="BX182" s="38"/>
      <c r="BY182" s="38">
        <f>1935396+10000</f>
        <v>1945396</v>
      </c>
      <c r="BZ182" s="38">
        <v>36560</v>
      </c>
      <c r="CA182" s="38"/>
      <c r="CB182" s="38"/>
      <c r="CC182" s="38"/>
      <c r="CD182" s="69"/>
      <c r="CE182" s="95">
        <f t="shared" si="130"/>
        <v>1981956</v>
      </c>
      <c r="CF182" s="7">
        <v>668401.91999999993</v>
      </c>
      <c r="CG182" s="95">
        <f t="shared" si="131"/>
        <v>1313554.08</v>
      </c>
      <c r="CH182" s="1" t="s">
        <v>286</v>
      </c>
      <c r="EE182" s="82"/>
      <c r="EF182" s="82"/>
      <c r="EG182" s="82"/>
      <c r="EH182" s="82"/>
      <c r="EI182" s="82"/>
      <c r="EJ182" s="82"/>
      <c r="EK182" s="82"/>
      <c r="EL182" s="82"/>
      <c r="EM182" s="82"/>
      <c r="EN182" s="82"/>
      <c r="EO182" s="82"/>
      <c r="EP182" s="82"/>
      <c r="EQ182" s="82"/>
      <c r="ER182" s="82"/>
      <c r="ES182" s="82"/>
      <c r="ET182" s="82"/>
      <c r="EU182" s="82"/>
      <c r="EV182" s="82"/>
      <c r="EW182" s="82"/>
      <c r="EX182" s="82"/>
      <c r="EY182" s="82"/>
      <c r="EZ182" s="82"/>
      <c r="FA182" s="82"/>
      <c r="FB182" s="82"/>
      <c r="FC182" s="82"/>
      <c r="FD182" s="82"/>
      <c r="FE182" s="82"/>
      <c r="FF182" s="82"/>
      <c r="FG182" s="82"/>
      <c r="FH182" s="82"/>
      <c r="FI182" s="82"/>
      <c r="FJ182" s="82"/>
      <c r="FK182" s="82"/>
      <c r="FL182" s="82"/>
      <c r="FM182" s="82"/>
      <c r="FN182" s="82"/>
      <c r="FO182" s="82"/>
    </row>
    <row r="183" spans="1:171" x14ac:dyDescent="0.25">
      <c r="A183" s="9" t="s">
        <v>287</v>
      </c>
      <c r="B183" s="82">
        <f>SUM(B173:B182)</f>
        <v>-2072344</v>
      </c>
      <c r="C183" s="82">
        <f t="shared" ref="C183:BF183" si="147">SUM(C173:C182)</f>
        <v>-971867</v>
      </c>
      <c r="D183" s="82">
        <f t="shared" si="147"/>
        <v>-2008842</v>
      </c>
      <c r="E183" s="82">
        <f t="shared" si="147"/>
        <v>-3123279</v>
      </c>
      <c r="G183" s="82">
        <f t="shared" si="147"/>
        <v>-296375</v>
      </c>
      <c r="H183" s="82">
        <f t="shared" si="147"/>
        <v>-35175</v>
      </c>
      <c r="I183" s="82">
        <f t="shared" si="147"/>
        <v>-114520</v>
      </c>
      <c r="J183" s="82">
        <f t="shared" si="147"/>
        <v>-223669</v>
      </c>
      <c r="K183" s="82">
        <f t="shared" si="147"/>
        <v>-311448</v>
      </c>
      <c r="L183" s="82">
        <f t="shared" si="147"/>
        <v>-590586</v>
      </c>
      <c r="M183" s="82">
        <f t="shared" si="147"/>
        <v>-358731</v>
      </c>
      <c r="N183" s="82">
        <f t="shared" si="147"/>
        <v>-274479</v>
      </c>
      <c r="O183" s="82">
        <f t="shared" si="147"/>
        <v>157017</v>
      </c>
      <c r="P183" s="82">
        <f t="shared" si="147"/>
        <v>-655388</v>
      </c>
      <c r="Q183" s="82">
        <f t="shared" si="147"/>
        <v>-349723</v>
      </c>
      <c r="R183" s="82">
        <f t="shared" si="147"/>
        <v>2081207</v>
      </c>
      <c r="S183" s="82">
        <f t="shared" si="147"/>
        <v>-971870</v>
      </c>
      <c r="T183" s="82">
        <f t="shared" si="147"/>
        <v>1073169</v>
      </c>
      <c r="U183" s="82">
        <f t="shared" si="147"/>
        <v>176575</v>
      </c>
      <c r="V183" s="82">
        <f t="shared" si="147"/>
        <v>-636347</v>
      </c>
      <c r="W183" s="82">
        <f t="shared" si="147"/>
        <v>748219</v>
      </c>
      <c r="X183" s="82">
        <f t="shared" si="147"/>
        <v>-546264</v>
      </c>
      <c r="Y183" s="82">
        <f t="shared" si="147"/>
        <v>-1277978</v>
      </c>
      <c r="Z183" s="82">
        <f t="shared" si="147"/>
        <v>794169</v>
      </c>
      <c r="AA183" s="82">
        <f t="shared" si="147"/>
        <v>201963</v>
      </c>
      <c r="AB183" s="82">
        <f t="shared" si="147"/>
        <v>-3165911</v>
      </c>
      <c r="AC183" s="82">
        <f t="shared" si="147"/>
        <v>1332475</v>
      </c>
      <c r="AD183" s="82">
        <f t="shared" si="147"/>
        <v>971816</v>
      </c>
      <c r="AE183" s="82">
        <f t="shared" si="147"/>
        <v>-1680729</v>
      </c>
      <c r="AF183" s="82">
        <f t="shared" si="147"/>
        <v>-2008843</v>
      </c>
      <c r="AG183" s="82">
        <f t="shared" si="147"/>
        <v>-479953</v>
      </c>
      <c r="AH183" s="82">
        <f t="shared" si="147"/>
        <v>-532412</v>
      </c>
      <c r="AI183" s="82">
        <f t="shared" si="147"/>
        <v>-5381</v>
      </c>
      <c r="AJ183" s="82">
        <f t="shared" si="147"/>
        <v>-320174</v>
      </c>
      <c r="AK183" s="82">
        <f t="shared" si="147"/>
        <v>-78855</v>
      </c>
      <c r="AL183" s="82">
        <f t="shared" si="147"/>
        <v>-151322</v>
      </c>
      <c r="AM183" s="82">
        <f t="shared" si="147"/>
        <v>-744225</v>
      </c>
      <c r="AN183" s="82">
        <f t="shared" si="147"/>
        <v>-87587</v>
      </c>
      <c r="AO183" s="82">
        <f t="shared" si="147"/>
        <v>190917</v>
      </c>
      <c r="AP183" s="82">
        <f t="shared" si="147"/>
        <v>-613785</v>
      </c>
      <c r="AQ183" s="82">
        <f t="shared" si="147"/>
        <v>-247809</v>
      </c>
      <c r="AR183" s="82">
        <f t="shared" si="147"/>
        <v>-52696</v>
      </c>
      <c r="AS183" s="82">
        <f t="shared" si="147"/>
        <v>-3123282</v>
      </c>
      <c r="AT183" s="82">
        <f t="shared" si="147"/>
        <v>88785</v>
      </c>
      <c r="AU183" s="82">
        <f t="shared" si="147"/>
        <v>-399128</v>
      </c>
      <c r="AV183" s="82">
        <f t="shared" si="147"/>
        <v>-295888</v>
      </c>
      <c r="AW183" s="82">
        <f t="shared" si="147"/>
        <v>-310115</v>
      </c>
      <c r="AX183" s="82">
        <f t="shared" si="147"/>
        <v>-369317</v>
      </c>
      <c r="AY183" s="82">
        <f t="shared" si="147"/>
        <v>-687600</v>
      </c>
      <c r="AZ183" s="82">
        <f t="shared" si="147"/>
        <v>-1092970</v>
      </c>
      <c r="BA183" s="82">
        <f t="shared" si="147"/>
        <v>-1042065</v>
      </c>
      <c r="BB183" s="82">
        <f t="shared" si="147"/>
        <v>-1514873.63</v>
      </c>
      <c r="BC183" s="82">
        <f t="shared" si="147"/>
        <v>0</v>
      </c>
      <c r="BD183" s="82">
        <f t="shared" si="147"/>
        <v>0</v>
      </c>
      <c r="BE183" s="82">
        <f t="shared" si="147"/>
        <v>0</v>
      </c>
      <c r="BF183" s="82">
        <f t="shared" si="147"/>
        <v>-5592520.629999999</v>
      </c>
      <c r="BG183" s="82"/>
      <c r="BH183" s="82"/>
      <c r="BI183" s="82"/>
      <c r="BJ183" s="82"/>
      <c r="BL183" s="82">
        <f t="shared" ref="BL183" si="148">SUM(BL173:BL182)</f>
        <v>47126.751999999979</v>
      </c>
      <c r="BM183" s="82"/>
      <c r="BN183" s="82"/>
      <c r="BO183" s="82"/>
      <c r="BP183" s="57" t="s">
        <v>93</v>
      </c>
      <c r="BQ183"/>
      <c r="BR183" s="38"/>
      <c r="BS183" s="38"/>
      <c r="BT183" s="38"/>
      <c r="BU183" s="38"/>
      <c r="BV183" s="38">
        <v>285439</v>
      </c>
      <c r="BW183" s="38">
        <v>405844</v>
      </c>
      <c r="BX183" s="39">
        <v>536622</v>
      </c>
      <c r="BY183" s="39">
        <v>306803</v>
      </c>
      <c r="BZ183" s="40">
        <v>271582</v>
      </c>
      <c r="CA183" s="40">
        <f t="shared" ref="CA183:CC184" si="149">-BY173</f>
        <v>598356.46</v>
      </c>
      <c r="CB183" s="40">
        <f t="shared" si="149"/>
        <v>154398.23008849559</v>
      </c>
      <c r="CC183" s="40">
        <f t="shared" si="149"/>
        <v>309734.51327433629</v>
      </c>
      <c r="CD183" s="69"/>
      <c r="CE183" s="95">
        <f t="shared" si="130"/>
        <v>1640874.2033628318</v>
      </c>
      <c r="CF183" s="7">
        <v>1651062.5398230087</v>
      </c>
      <c r="CG183" s="95">
        <f t="shared" si="131"/>
        <v>-10188.336460176855</v>
      </c>
      <c r="EE183" s="82"/>
      <c r="EF183" s="82"/>
      <c r="EG183" s="82"/>
      <c r="EH183" s="82"/>
      <c r="EI183" s="82"/>
      <c r="EJ183" s="82"/>
      <c r="EK183" s="82"/>
      <c r="EL183" s="82"/>
      <c r="EM183" s="82"/>
      <c r="EN183" s="82"/>
      <c r="EO183" s="82"/>
      <c r="EP183" s="82"/>
      <c r="EQ183" s="82"/>
      <c r="ER183" s="82"/>
      <c r="ES183" s="82"/>
      <c r="ET183" s="82"/>
      <c r="EU183" s="82"/>
      <c r="EV183" s="82"/>
      <c r="EW183" s="82"/>
      <c r="EX183" s="82"/>
      <c r="EY183" s="82"/>
      <c r="EZ183" s="82"/>
      <c r="FA183" s="82"/>
      <c r="FB183" s="82"/>
      <c r="FC183" s="82"/>
      <c r="FD183" s="82"/>
      <c r="FE183" s="82"/>
      <c r="FF183" s="82"/>
      <c r="FG183" s="82"/>
      <c r="FH183" s="82"/>
      <c r="FI183" s="82"/>
      <c r="FJ183" s="82"/>
      <c r="FK183" s="82"/>
      <c r="FL183" s="82"/>
      <c r="FM183" s="82"/>
      <c r="FN183" s="82"/>
      <c r="FO183" s="82"/>
    </row>
    <row r="184" spans="1:171" x14ac:dyDescent="0.25"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P184" s="57" t="s">
        <v>94</v>
      </c>
      <c r="BQ184"/>
      <c r="BR184" s="38"/>
      <c r="BS184" s="38"/>
      <c r="BT184" s="38"/>
      <c r="BU184" s="38"/>
      <c r="BV184" s="38">
        <v>135040</v>
      </c>
      <c r="BW184" s="38">
        <f>21479+13394</f>
        <v>34873</v>
      </c>
      <c r="BX184" s="38">
        <v>13394</v>
      </c>
      <c r="BY184" s="38">
        <v>33209</v>
      </c>
      <c r="BZ184" s="38">
        <v>10000</v>
      </c>
      <c r="CA184" s="38">
        <f t="shared" si="149"/>
        <v>468242</v>
      </c>
      <c r="CB184" s="38">
        <f t="shared" si="149"/>
        <v>89508.57142857142</v>
      </c>
      <c r="CC184" s="38">
        <f t="shared" si="149"/>
        <v>76190.476190476184</v>
      </c>
      <c r="CD184" s="69"/>
      <c r="CE184" s="95">
        <f t="shared" si="130"/>
        <v>677150.04761904757</v>
      </c>
      <c r="CF184" s="7">
        <v>443359</v>
      </c>
      <c r="CG184" s="95">
        <f t="shared" si="131"/>
        <v>233791.04761904757</v>
      </c>
      <c r="EE184" s="82"/>
      <c r="EF184" s="82"/>
      <c r="EG184" s="82"/>
      <c r="EH184" s="82"/>
      <c r="EI184" s="82"/>
      <c r="EJ184" s="82"/>
      <c r="EK184" s="82"/>
      <c r="EL184" s="82"/>
      <c r="EM184" s="82"/>
      <c r="EN184" s="82"/>
      <c r="EO184" s="82"/>
      <c r="EP184" s="82"/>
      <c r="EQ184" s="82"/>
      <c r="ER184" s="82"/>
      <c r="ES184" s="82"/>
      <c r="ET184" s="82"/>
      <c r="EU184" s="82"/>
      <c r="EV184" s="82"/>
      <c r="EW184" s="82"/>
      <c r="EX184" s="82"/>
      <c r="EY184" s="82"/>
      <c r="EZ184" s="82"/>
      <c r="FA184" s="82"/>
      <c r="FB184" s="82"/>
      <c r="FC184" s="82"/>
      <c r="FD184" s="82"/>
      <c r="FE184" s="82"/>
      <c r="FF184" s="82"/>
      <c r="FG184" s="82"/>
      <c r="FH184" s="82"/>
      <c r="FI184" s="82"/>
      <c r="FJ184" s="82"/>
      <c r="FK184" s="82"/>
      <c r="FL184" s="82"/>
      <c r="FM184" s="82"/>
      <c r="FN184" s="82"/>
      <c r="FO184" s="82"/>
    </row>
    <row r="185" spans="1:171" x14ac:dyDescent="0.25">
      <c r="A185" s="9" t="s">
        <v>253</v>
      </c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P185" s="57" t="s">
        <v>95</v>
      </c>
      <c r="BQ185"/>
      <c r="BR185" s="38"/>
      <c r="BS185" s="38"/>
      <c r="BT185" s="38"/>
      <c r="BU185" s="38"/>
      <c r="BV185" s="38">
        <f>153354+105681</f>
        <v>259035</v>
      </c>
      <c r="BW185" s="39">
        <f>7363+71036</f>
        <v>78399</v>
      </c>
      <c r="BX185" s="39">
        <v>166000</v>
      </c>
      <c r="BY185" s="40">
        <v>257495</v>
      </c>
      <c r="BZ185" s="40">
        <f t="shared" ref="BZ185:CC185" si="150">-BY175</f>
        <v>183767</v>
      </c>
      <c r="CA185" s="40">
        <f t="shared" si="150"/>
        <v>89871.428571428565</v>
      </c>
      <c r="CB185" s="40">
        <f t="shared" si="150"/>
        <v>372902.49433106574</v>
      </c>
      <c r="CC185" s="40">
        <f t="shared" si="150"/>
        <v>416353.74149659864</v>
      </c>
      <c r="CD185" s="69"/>
      <c r="CE185" s="95">
        <f t="shared" si="130"/>
        <v>1320389.6643990928</v>
      </c>
      <c r="CF185" s="7">
        <v>1868248.2947845806</v>
      </c>
      <c r="CG185" s="95">
        <f t="shared" si="131"/>
        <v>-547858.63038548781</v>
      </c>
      <c r="EE185" s="82"/>
      <c r="EF185" s="82"/>
      <c r="EG185" s="82"/>
      <c r="EH185" s="82"/>
      <c r="EI185" s="82"/>
      <c r="EJ185" s="82"/>
      <c r="EK185" s="82"/>
      <c r="EL185" s="82"/>
      <c r="EM185" s="82"/>
      <c r="EN185" s="82"/>
      <c r="EO185" s="82"/>
      <c r="EP185" s="82"/>
      <c r="EQ185" s="82"/>
      <c r="ER185" s="82"/>
      <c r="ES185" s="82"/>
      <c r="ET185" s="82"/>
      <c r="EU185" s="82"/>
      <c r="EV185" s="82"/>
      <c r="EW185" s="82"/>
      <c r="EX185" s="82"/>
      <c r="EY185" s="82"/>
      <c r="EZ185" s="82"/>
      <c r="FA185" s="82"/>
      <c r="FB185" s="82"/>
      <c r="FC185" s="82"/>
      <c r="FD185" s="82"/>
      <c r="FE185" s="82"/>
      <c r="FF185" s="82"/>
      <c r="FG185" s="82"/>
      <c r="FH185" s="82"/>
      <c r="FI185" s="82"/>
      <c r="FJ185" s="82"/>
      <c r="FK185" s="82"/>
      <c r="FL185" s="82"/>
      <c r="FM185" s="82"/>
      <c r="FN185" s="82"/>
      <c r="FO185" s="82"/>
    </row>
    <row r="186" spans="1:171" x14ac:dyDescent="0.25">
      <c r="A186" s="1" t="s">
        <v>288</v>
      </c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P186" s="57" t="s">
        <v>96</v>
      </c>
      <c r="BQ186"/>
      <c r="BR186" s="38"/>
      <c r="BS186" s="38"/>
      <c r="BT186" s="38"/>
      <c r="BU186" s="38"/>
      <c r="BV186" s="38">
        <v>12728</v>
      </c>
      <c r="BW186" s="38">
        <f>2820+3676+132</f>
        <v>6628</v>
      </c>
      <c r="BX186" s="38"/>
      <c r="BY186" s="38"/>
      <c r="BZ186" s="38">
        <f t="shared" ref="BZ186:CC187" si="151">-BX176</f>
        <v>0</v>
      </c>
      <c r="CA186" s="38">
        <f t="shared" si="151"/>
        <v>0</v>
      </c>
      <c r="CB186" s="38">
        <f t="shared" si="151"/>
        <v>0</v>
      </c>
      <c r="CC186" s="38">
        <f t="shared" si="151"/>
        <v>47619.047619047618</v>
      </c>
      <c r="CD186" s="69"/>
      <c r="CE186" s="95">
        <f t="shared" si="130"/>
        <v>47619.047619047618</v>
      </c>
      <c r="CF186" s="7">
        <v>63651.047619047618</v>
      </c>
      <c r="CG186" s="95">
        <f t="shared" si="131"/>
        <v>-16032</v>
      </c>
      <c r="EE186" s="82"/>
      <c r="EF186" s="82"/>
      <c r="EG186" s="82"/>
      <c r="EH186" s="82"/>
      <c r="EI186" s="82"/>
      <c r="EJ186" s="82"/>
      <c r="EK186" s="82"/>
      <c r="EL186" s="82"/>
      <c r="EM186" s="82"/>
      <c r="EN186" s="82"/>
      <c r="EO186" s="82"/>
      <c r="EP186" s="82"/>
      <c r="EQ186" s="82"/>
      <c r="ER186" s="82"/>
      <c r="ES186" s="82"/>
      <c r="ET186" s="82"/>
      <c r="EU186" s="82"/>
      <c r="EV186" s="82"/>
      <c r="EW186" s="82"/>
      <c r="EX186" s="82"/>
      <c r="EY186" s="82"/>
      <c r="EZ186" s="82"/>
      <c r="FA186" s="82"/>
      <c r="FB186" s="82"/>
      <c r="FC186" s="82"/>
      <c r="FD186" s="82"/>
      <c r="FE186" s="82"/>
      <c r="FF186" s="82"/>
      <c r="FG186" s="82"/>
      <c r="FH186" s="82"/>
      <c r="FI186" s="82"/>
      <c r="FJ186" s="82"/>
      <c r="FK186" s="82"/>
      <c r="FL186" s="82"/>
      <c r="FM186" s="82"/>
      <c r="FN186" s="82"/>
      <c r="FO186" s="82"/>
    </row>
    <row r="187" spans="1:171" x14ac:dyDescent="0.25">
      <c r="A187" s="1" t="s">
        <v>289</v>
      </c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P187" s="57" t="s">
        <v>97</v>
      </c>
      <c r="BQ187"/>
      <c r="BR187" s="38"/>
      <c r="BS187" s="38"/>
      <c r="BT187" s="38"/>
      <c r="BU187" s="38"/>
      <c r="BV187" s="38"/>
      <c r="BW187" s="38"/>
      <c r="BX187" s="38"/>
      <c r="BY187" s="38"/>
      <c r="BZ187" s="38">
        <f t="shared" si="151"/>
        <v>0</v>
      </c>
      <c r="CA187" s="38">
        <f t="shared" si="151"/>
        <v>0</v>
      </c>
      <c r="CB187" s="38">
        <f t="shared" si="151"/>
        <v>8560</v>
      </c>
      <c r="CC187" s="38">
        <f t="shared" si="151"/>
        <v>9523.8095238095229</v>
      </c>
      <c r="CD187" s="69"/>
      <c r="CE187" s="95">
        <f t="shared" si="130"/>
        <v>18083.809523809523</v>
      </c>
      <c r="CF187" s="7">
        <v>33333.333333333328</v>
      </c>
      <c r="CG187" s="95">
        <f t="shared" si="131"/>
        <v>-15249.523809523806</v>
      </c>
      <c r="EE187" s="82"/>
      <c r="EF187" s="82"/>
      <c r="EG187" s="82"/>
      <c r="EH187" s="82"/>
      <c r="EI187" s="82"/>
      <c r="EJ187" s="82"/>
      <c r="EK187" s="82"/>
      <c r="EL187" s="82"/>
      <c r="EM187" s="82"/>
      <c r="EN187" s="82"/>
      <c r="EO187" s="82"/>
      <c r="EP187" s="82"/>
      <c r="EQ187" s="82"/>
      <c r="ER187" s="82"/>
      <c r="ES187" s="82"/>
      <c r="ET187" s="82"/>
      <c r="EU187" s="82"/>
      <c r="EV187" s="82"/>
      <c r="EW187" s="82"/>
      <c r="EX187" s="82"/>
      <c r="EY187" s="82"/>
      <c r="EZ187" s="82"/>
      <c r="FA187" s="82"/>
      <c r="FB187" s="82"/>
      <c r="FC187" s="82"/>
      <c r="FD187" s="82"/>
      <c r="FE187" s="82"/>
      <c r="FF187" s="82"/>
      <c r="FG187" s="82"/>
      <c r="FH187" s="82"/>
      <c r="FI187" s="82"/>
      <c r="FJ187" s="82"/>
      <c r="FK187" s="82"/>
      <c r="FL187" s="82"/>
      <c r="FM187" s="82"/>
      <c r="FN187" s="82"/>
      <c r="FO187" s="82"/>
    </row>
    <row r="188" spans="1:171" x14ac:dyDescent="0.25">
      <c r="A188" s="1" t="s">
        <v>290</v>
      </c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P188" s="57" t="s">
        <v>98</v>
      </c>
      <c r="BQ188"/>
      <c r="BR188" s="38"/>
      <c r="BS188" s="38"/>
      <c r="BT188" s="38"/>
      <c r="BU188" s="38"/>
      <c r="BV188" s="38">
        <v>32681</v>
      </c>
      <c r="BW188" s="38"/>
      <c r="BX188" s="38"/>
      <c r="BY188" s="38">
        <v>101662</v>
      </c>
      <c r="BZ188" s="38">
        <f t="shared" ref="BZ188:CC188" si="152">-BY178</f>
        <v>0</v>
      </c>
      <c r="CA188" s="38">
        <f t="shared" si="152"/>
        <v>95238.095238095237</v>
      </c>
      <c r="CB188" s="38">
        <f t="shared" si="152"/>
        <v>95238.095238095237</v>
      </c>
      <c r="CC188" s="38">
        <f t="shared" si="152"/>
        <v>47619.047619047618</v>
      </c>
      <c r="CD188" s="69"/>
      <c r="CE188" s="95">
        <f t="shared" si="130"/>
        <v>339757.23809523811</v>
      </c>
      <c r="CF188" s="7">
        <v>382535.28571428574</v>
      </c>
      <c r="CG188" s="95">
        <f t="shared" si="131"/>
        <v>-42778.047619047633</v>
      </c>
      <c r="EE188" s="82"/>
      <c r="EF188" s="82"/>
      <c r="EG188" s="82"/>
      <c r="EH188" s="82"/>
      <c r="EI188" s="82"/>
      <c r="EJ188" s="82"/>
      <c r="EK188" s="82"/>
      <c r="EL188" s="82"/>
      <c r="EM188" s="82"/>
      <c r="EN188" s="82"/>
      <c r="EO188" s="82"/>
      <c r="EP188" s="82"/>
      <c r="EQ188" s="82"/>
      <c r="ER188" s="82"/>
      <c r="ES188" s="82"/>
      <c r="ET188" s="82"/>
      <c r="EU188" s="82"/>
      <c r="EV188" s="82"/>
      <c r="EW188" s="82"/>
      <c r="EX188" s="82"/>
      <c r="EY188" s="82"/>
      <c r="EZ188" s="82"/>
      <c r="FA188" s="82"/>
      <c r="FB188" s="82"/>
      <c r="FC188" s="82"/>
      <c r="FD188" s="82"/>
      <c r="FE188" s="82"/>
      <c r="FF188" s="82"/>
      <c r="FG188" s="82"/>
      <c r="FH188" s="82"/>
      <c r="FI188" s="82"/>
      <c r="FJ188" s="82"/>
      <c r="FK188" s="82"/>
      <c r="FL188" s="82"/>
      <c r="FM188" s="82"/>
      <c r="FN188" s="82"/>
      <c r="FO188" s="82"/>
    </row>
    <row r="189" spans="1:171" x14ac:dyDescent="0.25">
      <c r="A189" s="1" t="s">
        <v>291</v>
      </c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P189" s="57" t="s">
        <v>99</v>
      </c>
      <c r="BQ189"/>
      <c r="BR189" s="38"/>
      <c r="BS189" s="38"/>
      <c r="BT189" s="38"/>
      <c r="BU189" s="38"/>
      <c r="BV189" s="38">
        <v>41483</v>
      </c>
      <c r="BW189" s="38"/>
      <c r="BX189" s="38">
        <v>35468</v>
      </c>
      <c r="BY189" s="38"/>
      <c r="BZ189" s="38">
        <v>55474</v>
      </c>
      <c r="CA189" s="38">
        <f t="shared" ref="CA189:CC189" si="153">-BY179</f>
        <v>0</v>
      </c>
      <c r="CB189" s="38">
        <f t="shared" si="153"/>
        <v>28575.221238938055</v>
      </c>
      <c r="CC189" s="38">
        <f t="shared" si="153"/>
        <v>26548.672566371682</v>
      </c>
      <c r="CD189" s="69"/>
      <c r="CE189" s="95">
        <f t="shared" si="130"/>
        <v>110597.89380530974</v>
      </c>
      <c r="CF189" s="7">
        <v>139430.01769911504</v>
      </c>
      <c r="CG189" s="95">
        <f t="shared" si="131"/>
        <v>-28832.123893805299</v>
      </c>
      <c r="EE189" s="82"/>
      <c r="EF189" s="82"/>
      <c r="EG189" s="82"/>
      <c r="EH189" s="82"/>
      <c r="EI189" s="82"/>
      <c r="EJ189" s="82"/>
      <c r="EK189" s="82"/>
      <c r="EL189" s="82"/>
      <c r="EM189" s="82"/>
      <c r="EN189" s="82"/>
      <c r="EO189" s="82"/>
      <c r="EP189" s="82"/>
      <c r="EQ189" s="82"/>
      <c r="ER189" s="82"/>
      <c r="ES189" s="82"/>
      <c r="ET189" s="82"/>
      <c r="EU189" s="82"/>
      <c r="EV189" s="82"/>
      <c r="EW189" s="82"/>
      <c r="EX189" s="82"/>
      <c r="EY189" s="82"/>
      <c r="EZ189" s="82"/>
      <c r="FA189" s="82"/>
      <c r="FB189" s="82"/>
      <c r="FC189" s="82"/>
      <c r="FD189" s="82"/>
      <c r="FE189" s="82"/>
      <c r="FF189" s="82"/>
      <c r="FG189" s="82"/>
      <c r="FH189" s="82"/>
      <c r="FI189" s="82"/>
      <c r="FJ189" s="82"/>
      <c r="FK189" s="82"/>
      <c r="FL189" s="82"/>
      <c r="FM189" s="82"/>
      <c r="FN189" s="82"/>
      <c r="FO189" s="82"/>
    </row>
    <row r="190" spans="1:171" x14ac:dyDescent="0.25">
      <c r="A190" s="1" t="s">
        <v>292</v>
      </c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P190" s="9"/>
      <c r="BQ190" s="6"/>
      <c r="BR190" s="69"/>
      <c r="BS190" s="69"/>
      <c r="BT190" s="69"/>
      <c r="BU190" s="38"/>
      <c r="BV190" s="20"/>
      <c r="BW190" s="20"/>
      <c r="BX190" s="20"/>
      <c r="BY190" s="20"/>
      <c r="BZ190" s="20"/>
      <c r="CA190" s="20"/>
      <c r="CB190" s="20"/>
      <c r="CC190" s="20"/>
      <c r="CD190" s="69"/>
      <c r="CE190" s="95">
        <f t="shared" si="130"/>
        <v>0</v>
      </c>
      <c r="EE190" s="82"/>
      <c r="EF190" s="82"/>
      <c r="EG190" s="82"/>
      <c r="EH190" s="82"/>
      <c r="EI190" s="82"/>
      <c r="EJ190" s="82"/>
      <c r="EK190" s="82"/>
      <c r="EL190" s="82"/>
      <c r="EM190" s="82"/>
      <c r="EN190" s="82"/>
      <c r="EO190" s="82"/>
      <c r="EP190" s="82"/>
      <c r="EQ190" s="82"/>
      <c r="ER190" s="82"/>
      <c r="ES190" s="82"/>
      <c r="ET190" s="82"/>
      <c r="EU190" s="82"/>
      <c r="EV190" s="82"/>
      <c r="EW190" s="82"/>
      <c r="EX190" s="82"/>
      <c r="EY190" s="82"/>
      <c r="EZ190" s="82"/>
      <c r="FA190" s="82"/>
      <c r="FB190" s="82"/>
      <c r="FC190" s="82"/>
      <c r="FD190" s="82"/>
      <c r="FE190" s="82"/>
      <c r="FF190" s="82"/>
      <c r="FG190" s="82"/>
      <c r="FH190" s="82"/>
      <c r="FI190" s="82"/>
      <c r="FJ190" s="82"/>
      <c r="FK190" s="82"/>
      <c r="FL190" s="82"/>
      <c r="FM190" s="82"/>
      <c r="FN190" s="82"/>
      <c r="FO190" s="82"/>
    </row>
    <row r="191" spans="1:171" x14ac:dyDescent="0.25">
      <c r="A191" s="1" t="s">
        <v>293</v>
      </c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P191" s="9" t="s">
        <v>294</v>
      </c>
      <c r="BQ191"/>
      <c r="BR191" s="41">
        <f>SUM(BR154:BR190)</f>
        <v>-1090021</v>
      </c>
      <c r="BS191" s="41">
        <f>SUM(BS154:BS190)</f>
        <v>-102465</v>
      </c>
      <c r="BT191" s="41">
        <f>SUM(BT154:BT190)</f>
        <v>422923</v>
      </c>
      <c r="BU191" s="41">
        <f>SUM(BU154:BU190)</f>
        <v>195779</v>
      </c>
      <c r="BV191" s="41">
        <f t="shared" ref="BV191:CC191" si="154">SUM(BV154:BV169,BV171,BV181)</f>
        <v>346301</v>
      </c>
      <c r="BW191" s="41">
        <f t="shared" si="154"/>
        <v>-1023040.52</v>
      </c>
      <c r="BX191" s="41">
        <f t="shared" si="154"/>
        <v>5831.1699999999255</v>
      </c>
      <c r="BY191" s="41">
        <f t="shared" si="154"/>
        <v>831966.54</v>
      </c>
      <c r="BZ191" s="41">
        <f t="shared" si="154"/>
        <v>-1691114.5155972689</v>
      </c>
      <c r="CA191" s="41">
        <f t="shared" si="154"/>
        <v>403357.57459134609</v>
      </c>
      <c r="CB191" s="41">
        <f t="shared" si="154"/>
        <v>-573762.63125474355</v>
      </c>
      <c r="CC191" s="41">
        <f t="shared" si="154"/>
        <v>-554590.19522704068</v>
      </c>
      <c r="CD191" s="69"/>
      <c r="CE191" s="95">
        <f t="shared" si="130"/>
        <v>-1584143.227487707</v>
      </c>
      <c r="EE191" s="82"/>
      <c r="EF191" s="82"/>
      <c r="EG191" s="82"/>
      <c r="EH191" s="82"/>
      <c r="EI191" s="82"/>
      <c r="EJ191" s="82"/>
      <c r="EK191" s="82"/>
      <c r="EL191" s="82"/>
      <c r="EM191" s="82"/>
      <c r="EN191" s="82"/>
      <c r="EO191" s="82"/>
      <c r="EP191" s="82"/>
      <c r="EQ191" s="82"/>
      <c r="ER191" s="82"/>
      <c r="ES191" s="82"/>
      <c r="ET191" s="82"/>
      <c r="EU191" s="82"/>
      <c r="EV191" s="82"/>
      <c r="EW191" s="82"/>
      <c r="EX191" s="82"/>
      <c r="EY191" s="82"/>
      <c r="EZ191" s="82"/>
      <c r="FA191" s="82"/>
      <c r="FB191" s="82"/>
      <c r="FC191" s="82"/>
      <c r="FD191" s="82"/>
      <c r="FE191" s="82"/>
      <c r="FF191" s="82"/>
      <c r="FG191" s="82"/>
      <c r="FH191" s="82"/>
      <c r="FI191" s="82"/>
      <c r="FJ191" s="82"/>
      <c r="FK191" s="82"/>
      <c r="FL191" s="82"/>
      <c r="FM191" s="82"/>
      <c r="FN191" s="82"/>
      <c r="FO191" s="82"/>
    </row>
    <row r="192" spans="1:171" x14ac:dyDescent="0.25">
      <c r="A192" s="1" t="s">
        <v>295</v>
      </c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P192" s="1" t="s">
        <v>296</v>
      </c>
      <c r="BQ192" s="76"/>
      <c r="BR192" s="47">
        <f>BQ193</f>
        <v>1253840</v>
      </c>
      <c r="BS192" s="47">
        <f t="shared" ref="BS192:BU192" si="155">BR193</f>
        <v>163819</v>
      </c>
      <c r="BT192" s="47">
        <f t="shared" si="155"/>
        <v>61354</v>
      </c>
      <c r="BU192" s="47">
        <f t="shared" si="155"/>
        <v>484277</v>
      </c>
      <c r="BV192" s="47">
        <f>BU193</f>
        <v>680056</v>
      </c>
      <c r="BW192" s="47">
        <f>BV193</f>
        <v>1026357</v>
      </c>
      <c r="BX192" s="47">
        <f t="shared" ref="BX192:CC192" si="156">BW193</f>
        <v>3316.4799999999814</v>
      </c>
      <c r="BY192" s="47">
        <f t="shared" si="156"/>
        <v>9147.6499999999069</v>
      </c>
      <c r="BZ192" s="47">
        <f t="shared" si="156"/>
        <v>841114.19</v>
      </c>
      <c r="CA192" s="47">
        <f t="shared" si="156"/>
        <v>-850000.32559726899</v>
      </c>
      <c r="CB192" s="47">
        <f t="shared" si="156"/>
        <v>-446642.75100592291</v>
      </c>
      <c r="CC192" s="47">
        <f t="shared" si="156"/>
        <v>-1020405.3822606665</v>
      </c>
      <c r="CD192" s="69"/>
      <c r="CE192" s="95">
        <f t="shared" si="130"/>
        <v>-1466786.6188638585</v>
      </c>
      <c r="EE192" s="82"/>
      <c r="EF192" s="82"/>
      <c r="EG192" s="82"/>
      <c r="EH192" s="82"/>
      <c r="EI192" s="82"/>
      <c r="EJ192" s="82"/>
      <c r="EK192" s="82"/>
      <c r="EL192" s="82"/>
      <c r="EM192" s="82"/>
      <c r="EN192" s="82"/>
      <c r="EO192" s="82"/>
      <c r="EP192" s="82"/>
      <c r="EQ192" s="82"/>
      <c r="ER192" s="82"/>
      <c r="ES192" s="82"/>
      <c r="ET192" s="82"/>
      <c r="EU192" s="82"/>
      <c r="EV192" s="82"/>
      <c r="EW192" s="82"/>
      <c r="EX192" s="82"/>
      <c r="EY192" s="82"/>
      <c r="EZ192" s="82"/>
      <c r="FA192" s="82"/>
      <c r="FB192" s="82"/>
      <c r="FC192" s="82"/>
      <c r="FD192" s="82"/>
      <c r="FE192" s="82"/>
      <c r="FF192" s="82"/>
      <c r="FG192" s="82"/>
      <c r="FH192" s="82"/>
      <c r="FI192" s="82"/>
      <c r="FJ192" s="82"/>
      <c r="FK192" s="82"/>
      <c r="FL192" s="82"/>
      <c r="FM192" s="82"/>
      <c r="FN192" s="82"/>
      <c r="FO192" s="82"/>
    </row>
    <row r="193" spans="1:171" x14ac:dyDescent="0.25">
      <c r="A193" s="1" t="s">
        <v>297</v>
      </c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P193" s="1" t="s">
        <v>298</v>
      </c>
      <c r="BQ193" s="38">
        <v>1253840</v>
      </c>
      <c r="BR193" s="38">
        <f>SUM(BR191:BR192)</f>
        <v>163819</v>
      </c>
      <c r="BS193" s="38">
        <f t="shared" ref="BS193:BU193" si="157">SUM(BS191:BS192)</f>
        <v>61354</v>
      </c>
      <c r="BT193" s="38">
        <f t="shared" si="157"/>
        <v>484277</v>
      </c>
      <c r="BU193" s="38">
        <f t="shared" si="157"/>
        <v>680056</v>
      </c>
      <c r="BV193" s="38">
        <f>SUM(BV191:BV192)</f>
        <v>1026357</v>
      </c>
      <c r="BW193" s="38">
        <f t="shared" ref="BW193:CC193" si="158">SUM(BW191:BW192)</f>
        <v>3316.4799999999814</v>
      </c>
      <c r="BX193" s="38">
        <f t="shared" si="158"/>
        <v>9147.6499999999069</v>
      </c>
      <c r="BY193" s="38">
        <f t="shared" si="158"/>
        <v>841114.19</v>
      </c>
      <c r="BZ193" s="38">
        <f t="shared" si="158"/>
        <v>-850000.32559726899</v>
      </c>
      <c r="CA193" s="38">
        <f t="shared" si="158"/>
        <v>-446642.75100592291</v>
      </c>
      <c r="CB193" s="38">
        <f t="shared" si="158"/>
        <v>-1020405.3822606665</v>
      </c>
      <c r="CC193" s="38">
        <f t="shared" si="158"/>
        <v>-1574995.5774877071</v>
      </c>
      <c r="CD193" s="69"/>
      <c r="CE193" s="95">
        <f t="shared" si="130"/>
        <v>-3050929.8463515658</v>
      </c>
      <c r="EE193" s="82"/>
      <c r="EF193" s="82"/>
      <c r="EG193" s="82"/>
      <c r="EH193" s="82"/>
      <c r="EI193" s="82"/>
      <c r="EJ193" s="82"/>
      <c r="EK193" s="82"/>
      <c r="EL193" s="82"/>
      <c r="EM193" s="82"/>
      <c r="EN193" s="82"/>
      <c r="EO193" s="82"/>
      <c r="EP193" s="82"/>
      <c r="EQ193" s="82"/>
      <c r="ER193" s="82"/>
      <c r="ES193" s="82"/>
      <c r="ET193" s="82"/>
      <c r="EU193" s="82"/>
      <c r="EV193" s="82"/>
      <c r="EW193" s="82"/>
      <c r="EX193" s="82"/>
      <c r="EY193" s="82"/>
      <c r="EZ193" s="82"/>
      <c r="FA193" s="82"/>
      <c r="FB193" s="82"/>
      <c r="FC193" s="82"/>
      <c r="FD193" s="82"/>
      <c r="FE193" s="82"/>
      <c r="FF193" s="82"/>
      <c r="FG193" s="82"/>
      <c r="FH193" s="82"/>
      <c r="FI193" s="82"/>
      <c r="FJ193" s="82"/>
      <c r="FK193" s="82"/>
      <c r="FL193" s="82"/>
      <c r="FM193" s="82"/>
      <c r="FN193" s="82"/>
      <c r="FO193" s="82"/>
    </row>
    <row r="194" spans="1:171" x14ac:dyDescent="0.25">
      <c r="A194" s="1" t="s">
        <v>299</v>
      </c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P194" s="69"/>
      <c r="BQ194" s="6"/>
      <c r="BR194" s="69"/>
      <c r="BS194" s="69"/>
      <c r="BT194" s="69"/>
      <c r="BU194" s="69"/>
      <c r="BV194" s="69"/>
      <c r="BW194" s="69"/>
      <c r="BX194" s="69"/>
      <c r="BY194" s="69"/>
      <c r="BZ194" s="69"/>
      <c r="CA194" s="69"/>
      <c r="CB194" s="69"/>
      <c r="CC194" s="69"/>
      <c r="CD194" s="69"/>
      <c r="EE194" s="82"/>
      <c r="EF194" s="82"/>
      <c r="EG194" s="82"/>
      <c r="EH194" s="82"/>
      <c r="EI194" s="82"/>
      <c r="EJ194" s="82"/>
      <c r="EK194" s="82"/>
      <c r="EL194" s="82"/>
      <c r="EM194" s="82"/>
      <c r="EN194" s="82"/>
      <c r="EO194" s="82"/>
      <c r="EP194" s="82"/>
      <c r="EQ194" s="82"/>
      <c r="ER194" s="82"/>
      <c r="ES194" s="82"/>
      <c r="ET194" s="82"/>
      <c r="EU194" s="82"/>
      <c r="EV194" s="82"/>
      <c r="EW194" s="82"/>
      <c r="EX194" s="82"/>
      <c r="EY194" s="82"/>
      <c r="EZ194" s="82"/>
      <c r="FA194" s="82"/>
      <c r="FB194" s="82"/>
      <c r="FC194" s="82"/>
      <c r="FD194" s="82"/>
      <c r="FE194" s="82"/>
      <c r="FF194" s="82"/>
      <c r="FG194" s="82"/>
      <c r="FH194" s="82"/>
      <c r="FI194" s="82"/>
      <c r="FJ194" s="82"/>
      <c r="FK194" s="82"/>
      <c r="FL194" s="82"/>
      <c r="FM194" s="82"/>
      <c r="FN194" s="82"/>
      <c r="FO194" s="82"/>
    </row>
    <row r="195" spans="1:171" x14ac:dyDescent="0.25">
      <c r="A195" s="1" t="s">
        <v>300</v>
      </c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P195" s="86"/>
      <c r="BQ195" s="134"/>
      <c r="BR195" s="86"/>
      <c r="BS195" s="86"/>
      <c r="BT195" s="86"/>
      <c r="BU195" s="86"/>
      <c r="BV195" s="86"/>
      <c r="BW195" s="86"/>
      <c r="BX195" s="86"/>
      <c r="BY195" s="86"/>
      <c r="BZ195" s="86"/>
      <c r="CA195" s="86"/>
      <c r="CB195" s="86"/>
      <c r="CC195" s="86"/>
      <c r="CD195" s="86"/>
      <c r="EE195" s="82"/>
      <c r="EF195" s="82"/>
      <c r="EG195" s="82"/>
      <c r="EH195" s="82"/>
      <c r="EI195" s="82"/>
      <c r="EJ195" s="82"/>
      <c r="EK195" s="82"/>
      <c r="EL195" s="82"/>
      <c r="EM195" s="82"/>
      <c r="EN195" s="82"/>
      <c r="EO195" s="82"/>
      <c r="EP195" s="82"/>
      <c r="EQ195" s="82"/>
      <c r="ER195" s="82"/>
      <c r="ES195" s="82"/>
      <c r="ET195" s="82"/>
      <c r="EU195" s="82"/>
      <c r="EV195" s="82"/>
      <c r="EW195" s="82"/>
      <c r="EX195" s="82"/>
      <c r="EY195" s="82"/>
      <c r="EZ195" s="82"/>
      <c r="FA195" s="82"/>
      <c r="FB195" s="82"/>
      <c r="FC195" s="82"/>
      <c r="FD195" s="82"/>
      <c r="FE195" s="82"/>
      <c r="FF195" s="82"/>
      <c r="FG195" s="82"/>
      <c r="FH195" s="82"/>
      <c r="FI195" s="82"/>
      <c r="FJ195" s="82"/>
      <c r="FK195" s="82"/>
      <c r="FL195" s="82"/>
      <c r="FM195" s="82"/>
      <c r="FN195" s="82"/>
      <c r="FO195" s="82"/>
    </row>
    <row r="196" spans="1:171" x14ac:dyDescent="0.25">
      <c r="A196" s="1" t="s">
        <v>301</v>
      </c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P196" s="86"/>
      <c r="BQ196" s="134"/>
      <c r="BR196" s="134"/>
      <c r="BS196" s="134"/>
      <c r="BT196" s="134"/>
      <c r="BU196" s="134"/>
      <c r="BV196" s="134"/>
      <c r="BW196" s="134"/>
      <c r="BX196" s="134"/>
      <c r="BY196" s="134"/>
      <c r="BZ196" s="134"/>
      <c r="CA196" s="86"/>
      <c r="CB196" s="86"/>
      <c r="CC196" s="86"/>
      <c r="CD196" s="86"/>
      <c r="EE196" s="82"/>
      <c r="EF196" s="82"/>
      <c r="EG196" s="82"/>
      <c r="EH196" s="82"/>
      <c r="EI196" s="82"/>
      <c r="EJ196" s="82"/>
      <c r="EK196" s="82"/>
      <c r="EL196" s="82"/>
      <c r="EM196" s="82"/>
      <c r="EN196" s="82"/>
      <c r="EO196" s="82"/>
      <c r="EP196" s="82"/>
      <c r="EQ196" s="82"/>
      <c r="ER196" s="82"/>
      <c r="ES196" s="82"/>
      <c r="ET196" s="82"/>
      <c r="EU196" s="82"/>
      <c r="EV196" s="82"/>
      <c r="EW196" s="82"/>
      <c r="EX196" s="82"/>
      <c r="EY196" s="82"/>
      <c r="EZ196" s="82"/>
      <c r="FA196" s="82"/>
      <c r="FB196" s="82"/>
      <c r="FC196" s="82"/>
      <c r="FD196" s="82"/>
      <c r="FE196" s="82"/>
      <c r="FF196" s="82"/>
      <c r="FG196" s="82"/>
      <c r="FH196" s="82"/>
      <c r="FI196" s="82"/>
      <c r="FJ196" s="82"/>
      <c r="FK196" s="82"/>
      <c r="FL196" s="82"/>
      <c r="FM196" s="82"/>
      <c r="FN196" s="82"/>
      <c r="FO196" s="82"/>
    </row>
    <row r="197" spans="1:171" x14ac:dyDescent="0.25">
      <c r="A197" s="1" t="s">
        <v>302</v>
      </c>
      <c r="BP197" s="86"/>
      <c r="BQ197" s="134"/>
      <c r="BR197" s="86"/>
      <c r="BS197" s="86"/>
      <c r="BT197" s="86"/>
      <c r="BU197" s="86"/>
      <c r="BV197" s="86"/>
      <c r="BW197" s="86"/>
      <c r="BX197" s="86"/>
      <c r="BY197" s="86"/>
      <c r="BZ197" s="86"/>
      <c r="CA197" s="86"/>
      <c r="CB197" s="86"/>
      <c r="CC197" s="86"/>
      <c r="CD197" s="86"/>
    </row>
    <row r="198" spans="1:171" x14ac:dyDescent="0.25">
      <c r="A198" s="1" t="s">
        <v>303</v>
      </c>
      <c r="BP198" s="86"/>
      <c r="BQ198" s="134"/>
      <c r="BR198" s="86"/>
      <c r="BS198" s="86"/>
      <c r="BT198" s="86"/>
      <c r="BU198" s="86"/>
      <c r="BV198" s="86"/>
      <c r="BW198" s="86"/>
      <c r="BX198" s="86"/>
      <c r="BY198" s="86"/>
      <c r="BZ198" s="86"/>
      <c r="CA198" s="86"/>
      <c r="CB198" s="86"/>
      <c r="CC198" s="86"/>
      <c r="CD198" s="86"/>
    </row>
    <row r="199" spans="1:171" x14ac:dyDescent="0.25">
      <c r="A199" s="9" t="s">
        <v>304</v>
      </c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P199" s="86"/>
      <c r="BQ199" s="134"/>
      <c r="BR199" s="86"/>
      <c r="BS199" s="86"/>
      <c r="BT199" s="86"/>
      <c r="BU199" s="86"/>
      <c r="BV199" s="86"/>
      <c r="BW199" s="86"/>
      <c r="BX199" s="86"/>
      <c r="BY199" s="86"/>
      <c r="BZ199" s="86"/>
      <c r="CA199" s="86"/>
      <c r="CB199" s="86"/>
      <c r="CC199" s="86"/>
      <c r="CD199" s="86"/>
      <c r="EE199" s="82"/>
      <c r="EF199" s="82"/>
      <c r="EG199" s="82"/>
      <c r="EH199" s="82"/>
      <c r="EI199" s="82"/>
      <c r="EJ199" s="82"/>
      <c r="EK199" s="82"/>
      <c r="EL199" s="82"/>
      <c r="EM199" s="82"/>
      <c r="EN199" s="82"/>
      <c r="EO199" s="82"/>
      <c r="EP199" s="82"/>
      <c r="EQ199" s="82"/>
      <c r="ER199" s="82"/>
      <c r="ES199" s="82"/>
      <c r="ET199" s="82"/>
      <c r="EU199" s="82"/>
      <c r="EV199" s="82"/>
      <c r="EW199" s="82"/>
      <c r="EX199" s="82"/>
      <c r="EY199" s="82"/>
      <c r="EZ199" s="82"/>
      <c r="FA199" s="82"/>
      <c r="FB199" s="82"/>
      <c r="FC199" s="82"/>
      <c r="FD199" s="82"/>
      <c r="FE199" s="82"/>
      <c r="FF199" s="82"/>
      <c r="FG199" s="82"/>
      <c r="FH199" s="82"/>
      <c r="FI199" s="82"/>
      <c r="FJ199" s="82"/>
      <c r="FK199" s="82"/>
      <c r="FL199" s="82"/>
      <c r="FM199" s="82"/>
      <c r="FN199" s="82"/>
      <c r="FO199" s="82"/>
    </row>
    <row r="200" spans="1:171" x14ac:dyDescent="0.25">
      <c r="A200" s="9" t="s">
        <v>305</v>
      </c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P200" s="86"/>
      <c r="BQ200" s="134"/>
      <c r="BR200" s="86"/>
      <c r="BS200" s="86"/>
      <c r="BT200" s="86"/>
      <c r="BU200" s="86"/>
      <c r="BV200" s="86"/>
      <c r="BW200" s="86"/>
      <c r="BX200" s="86"/>
      <c r="BY200" s="86"/>
      <c r="BZ200" s="86"/>
      <c r="CA200" s="86"/>
      <c r="CB200" s="86"/>
      <c r="CC200" s="86"/>
      <c r="CD200" s="86"/>
      <c r="EE200" s="82"/>
      <c r="EF200" s="82"/>
      <c r="EG200" s="82"/>
      <c r="EH200" s="82"/>
      <c r="EI200" s="82"/>
      <c r="EJ200" s="82"/>
      <c r="EK200" s="82"/>
      <c r="EL200" s="82"/>
      <c r="EM200" s="82"/>
      <c r="EN200" s="82"/>
      <c r="EO200" s="82"/>
      <c r="EP200" s="82"/>
      <c r="EQ200" s="82"/>
      <c r="ER200" s="82"/>
      <c r="ES200" s="82"/>
      <c r="ET200" s="82"/>
      <c r="EU200" s="82"/>
      <c r="EV200" s="82"/>
      <c r="EW200" s="82"/>
      <c r="EX200" s="82"/>
      <c r="EY200" s="82"/>
      <c r="EZ200" s="82"/>
      <c r="FA200" s="82"/>
      <c r="FB200" s="82"/>
      <c r="FC200" s="82"/>
      <c r="FD200" s="82"/>
      <c r="FE200" s="82"/>
      <c r="FF200" s="82"/>
      <c r="FG200" s="82"/>
      <c r="FH200" s="82"/>
      <c r="FI200" s="82"/>
      <c r="FJ200" s="82"/>
      <c r="FK200" s="82"/>
      <c r="FL200" s="82"/>
      <c r="FM200" s="82"/>
      <c r="FN200" s="82"/>
      <c r="FO200" s="82"/>
    </row>
    <row r="201" spans="1:171" x14ac:dyDescent="0.25">
      <c r="A201" s="1" t="s">
        <v>306</v>
      </c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P201" s="86"/>
      <c r="BQ201" s="134"/>
      <c r="BR201" s="86"/>
      <c r="BS201" s="86"/>
      <c r="BT201" s="86"/>
      <c r="BU201" s="86"/>
      <c r="BV201" s="86"/>
      <c r="BW201" s="86"/>
      <c r="BX201" s="86"/>
      <c r="BY201" s="86"/>
      <c r="BZ201" s="86"/>
      <c r="CA201" s="86"/>
      <c r="CB201" s="86"/>
      <c r="CC201" s="86"/>
      <c r="CD201" s="86"/>
      <c r="EE201" s="82"/>
      <c r="EF201" s="82"/>
      <c r="EG201" s="82"/>
      <c r="EH201" s="82"/>
      <c r="EI201" s="82"/>
      <c r="EJ201" s="82"/>
      <c r="EK201" s="82"/>
      <c r="EL201" s="82"/>
      <c r="EM201" s="82"/>
      <c r="EN201" s="82"/>
      <c r="EO201" s="82"/>
      <c r="EP201" s="82"/>
      <c r="EQ201" s="82"/>
      <c r="ER201" s="82"/>
      <c r="ES201" s="82"/>
      <c r="ET201" s="82"/>
      <c r="EU201" s="82"/>
      <c r="EV201" s="82"/>
      <c r="EW201" s="82"/>
      <c r="EX201" s="82"/>
      <c r="EY201" s="82"/>
      <c r="EZ201" s="82"/>
      <c r="FA201" s="82"/>
      <c r="FB201" s="82"/>
      <c r="FC201" s="82"/>
      <c r="FD201" s="82"/>
      <c r="FE201" s="82"/>
      <c r="FF201" s="82"/>
      <c r="FG201" s="82"/>
      <c r="FH201" s="82"/>
      <c r="FI201" s="82"/>
      <c r="FJ201" s="82"/>
      <c r="FK201" s="82"/>
      <c r="FL201" s="82"/>
      <c r="FM201" s="82"/>
      <c r="FN201" s="82"/>
      <c r="FO201" s="82"/>
    </row>
    <row r="202" spans="1:171" x14ac:dyDescent="0.25">
      <c r="A202" s="1" t="s">
        <v>307</v>
      </c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P202" s="86"/>
      <c r="BQ202" s="134"/>
      <c r="BR202" s="86"/>
      <c r="BS202" s="86"/>
      <c r="BT202" s="86"/>
      <c r="BU202" s="86"/>
      <c r="BV202" s="86"/>
      <c r="BW202" s="86"/>
      <c r="BX202" s="86"/>
      <c r="BY202" s="86"/>
      <c r="BZ202" s="86"/>
      <c r="CA202" s="86"/>
      <c r="CB202" s="86"/>
      <c r="CC202" s="86"/>
      <c r="CD202" s="86"/>
      <c r="EE202" s="82"/>
      <c r="EF202" s="82"/>
      <c r="EG202" s="82"/>
      <c r="EH202" s="82"/>
      <c r="EI202" s="82"/>
      <c r="EJ202" s="82"/>
      <c r="EK202" s="82"/>
      <c r="EL202" s="82"/>
      <c r="EM202" s="82"/>
      <c r="EN202" s="82"/>
      <c r="EO202" s="82"/>
      <c r="EP202" s="82"/>
      <c r="EQ202" s="82"/>
      <c r="ER202" s="82"/>
      <c r="ES202" s="82"/>
      <c r="ET202" s="82"/>
      <c r="EU202" s="82"/>
      <c r="EV202" s="82"/>
      <c r="EW202" s="82"/>
      <c r="EX202" s="82"/>
      <c r="EY202" s="82"/>
      <c r="EZ202" s="82"/>
      <c r="FA202" s="82"/>
      <c r="FB202" s="82"/>
      <c r="FC202" s="82"/>
      <c r="FD202" s="82"/>
      <c r="FE202" s="82"/>
      <c r="FF202" s="82"/>
      <c r="FG202" s="82"/>
      <c r="FH202" s="82"/>
      <c r="FI202" s="82"/>
      <c r="FJ202" s="82"/>
      <c r="FK202" s="82"/>
      <c r="FL202" s="82"/>
      <c r="FM202" s="82"/>
      <c r="FN202" s="82"/>
      <c r="FO202" s="82"/>
    </row>
    <row r="203" spans="1:171" x14ac:dyDescent="0.25">
      <c r="A203" s="1" t="s">
        <v>308</v>
      </c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P203" s="86"/>
      <c r="BQ203" s="134"/>
      <c r="BR203" s="86"/>
      <c r="BS203" s="86"/>
      <c r="BT203" s="86"/>
      <c r="BU203" s="86"/>
      <c r="BV203" s="86"/>
      <c r="BW203" s="86"/>
      <c r="BX203" s="86"/>
      <c r="BY203" s="86"/>
      <c r="BZ203" s="86"/>
      <c r="CA203" s="86"/>
      <c r="CB203" s="86"/>
      <c r="CC203" s="86"/>
      <c r="CD203" s="86"/>
      <c r="EE203" s="82"/>
      <c r="EF203" s="82"/>
      <c r="EG203" s="82"/>
      <c r="EH203" s="82"/>
      <c r="EI203" s="82"/>
      <c r="EJ203" s="82"/>
      <c r="EK203" s="82"/>
      <c r="EL203" s="82"/>
      <c r="EM203" s="82"/>
      <c r="EN203" s="82"/>
      <c r="EO203" s="82"/>
      <c r="EP203" s="82"/>
      <c r="EQ203" s="82"/>
      <c r="ER203" s="82"/>
      <c r="ES203" s="82"/>
      <c r="ET203" s="82"/>
      <c r="EU203" s="82"/>
      <c r="EV203" s="82"/>
      <c r="EW203" s="82"/>
      <c r="EX203" s="82"/>
      <c r="EY203" s="82"/>
      <c r="EZ203" s="82"/>
      <c r="FA203" s="82"/>
      <c r="FB203" s="82"/>
      <c r="FC203" s="82"/>
      <c r="FD203" s="82"/>
      <c r="FE203" s="82"/>
      <c r="FF203" s="82"/>
      <c r="FG203" s="82"/>
      <c r="FH203" s="82"/>
      <c r="FI203" s="82"/>
      <c r="FJ203" s="82"/>
      <c r="FK203" s="82"/>
      <c r="FL203" s="82"/>
      <c r="FM203" s="82"/>
      <c r="FN203" s="82"/>
      <c r="FO203" s="82"/>
    </row>
    <row r="204" spans="1:171" x14ac:dyDescent="0.25">
      <c r="A204" s="1" t="s">
        <v>309</v>
      </c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P204" s="86"/>
      <c r="BQ204" s="134"/>
      <c r="BR204" s="86"/>
      <c r="BS204" s="86"/>
      <c r="BT204" s="86"/>
      <c r="BU204" s="86"/>
      <c r="BV204" s="86"/>
      <c r="BW204" s="86"/>
      <c r="BX204" s="86"/>
      <c r="BY204" s="86"/>
      <c r="BZ204" s="86"/>
      <c r="CA204" s="86"/>
      <c r="CB204" s="86"/>
      <c r="CC204" s="86"/>
      <c r="CD204" s="86"/>
      <c r="EE204" s="82"/>
      <c r="EF204" s="82"/>
      <c r="EG204" s="82"/>
      <c r="EH204" s="82"/>
      <c r="EI204" s="82"/>
      <c r="EJ204" s="82"/>
      <c r="EK204" s="82"/>
      <c r="EL204" s="82"/>
      <c r="EM204" s="82"/>
      <c r="EN204" s="82"/>
      <c r="EO204" s="82"/>
      <c r="EP204" s="82"/>
      <c r="EQ204" s="82"/>
      <c r="ER204" s="82"/>
      <c r="ES204" s="82"/>
      <c r="ET204" s="82"/>
      <c r="EU204" s="82"/>
      <c r="EV204" s="82"/>
      <c r="EW204" s="82"/>
      <c r="EX204" s="82"/>
      <c r="EY204" s="82"/>
      <c r="EZ204" s="82"/>
      <c r="FA204" s="82"/>
      <c r="FB204" s="82"/>
      <c r="FC204" s="82"/>
      <c r="FD204" s="82"/>
      <c r="FE204" s="82"/>
      <c r="FF204" s="82"/>
      <c r="FG204" s="82"/>
      <c r="FH204" s="82"/>
      <c r="FI204" s="82"/>
      <c r="FJ204" s="82"/>
      <c r="FK204" s="82"/>
      <c r="FL204" s="82"/>
      <c r="FM204" s="82"/>
      <c r="FN204" s="82"/>
      <c r="FO204" s="82"/>
    </row>
    <row r="205" spans="1:171" x14ac:dyDescent="0.25"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P205" s="86"/>
      <c r="BQ205" s="134"/>
      <c r="BR205" s="86"/>
      <c r="BS205" s="86"/>
      <c r="BT205" s="86"/>
      <c r="BU205" s="86"/>
      <c r="BV205" s="86"/>
      <c r="BW205" s="86"/>
      <c r="BX205" s="86"/>
      <c r="BY205" s="86"/>
      <c r="BZ205" s="86"/>
      <c r="CA205" s="86"/>
      <c r="CB205" s="86"/>
      <c r="CC205" s="86"/>
      <c r="CD205" s="86"/>
      <c r="EE205" s="82"/>
      <c r="EF205" s="82"/>
      <c r="EG205" s="82"/>
      <c r="EH205" s="82"/>
      <c r="EI205" s="82"/>
      <c r="EJ205" s="82"/>
      <c r="EK205" s="82"/>
      <c r="EL205" s="82"/>
      <c r="EM205" s="82"/>
      <c r="EN205" s="82"/>
      <c r="EO205" s="82"/>
      <c r="EP205" s="82"/>
      <c r="EQ205" s="82"/>
      <c r="ER205" s="82"/>
      <c r="ES205" s="82"/>
      <c r="ET205" s="82"/>
      <c r="EU205" s="82"/>
      <c r="EV205" s="82"/>
      <c r="EW205" s="82"/>
      <c r="EX205" s="82"/>
      <c r="EY205" s="82"/>
      <c r="EZ205" s="82"/>
      <c r="FA205" s="82"/>
      <c r="FB205" s="82"/>
      <c r="FC205" s="82"/>
      <c r="FD205" s="82"/>
      <c r="FE205" s="82"/>
      <c r="FF205" s="82"/>
      <c r="FG205" s="82"/>
      <c r="FH205" s="82"/>
      <c r="FI205" s="82"/>
      <c r="FJ205" s="82"/>
      <c r="FK205" s="82"/>
      <c r="FL205" s="82"/>
      <c r="FM205" s="82"/>
      <c r="FN205" s="82"/>
      <c r="FO205" s="82"/>
    </row>
    <row r="206" spans="1:171" x14ac:dyDescent="0.25">
      <c r="A206" s="9" t="s">
        <v>294</v>
      </c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135" t="s">
        <v>310</v>
      </c>
      <c r="AF206" s="136"/>
      <c r="AG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P206" s="86"/>
      <c r="BQ206" s="134"/>
      <c r="BR206" s="86"/>
      <c r="BS206" s="86"/>
      <c r="BT206" s="86"/>
      <c r="BU206" s="86"/>
      <c r="BV206" s="86"/>
      <c r="BW206" s="86"/>
      <c r="BX206" s="86"/>
      <c r="BY206" s="86"/>
      <c r="BZ206" s="86"/>
      <c r="CA206" s="86"/>
      <c r="CB206" s="86"/>
      <c r="CC206" s="86"/>
      <c r="CD206" s="86"/>
      <c r="EE206" s="82"/>
      <c r="EF206" s="82"/>
      <c r="EG206" s="82"/>
      <c r="EH206" s="82"/>
      <c r="EI206" s="82"/>
      <c r="EJ206" s="82"/>
      <c r="EK206" s="82"/>
      <c r="EL206" s="82"/>
      <c r="EM206" s="82"/>
      <c r="EN206" s="82"/>
      <c r="EO206" s="82"/>
      <c r="EP206" s="82"/>
      <c r="EQ206" s="82"/>
      <c r="ER206" s="82"/>
      <c r="ES206" s="82"/>
      <c r="ET206" s="82"/>
      <c r="EU206" s="82"/>
      <c r="EV206" s="82"/>
      <c r="EW206" s="82"/>
      <c r="EX206" s="82"/>
      <c r="EY206" s="82"/>
      <c r="EZ206" s="82"/>
      <c r="FA206" s="82"/>
      <c r="FB206" s="82"/>
      <c r="FC206" s="82"/>
      <c r="FD206" s="82"/>
      <c r="FE206" s="82"/>
      <c r="FF206" s="82"/>
      <c r="FG206" s="82"/>
      <c r="FH206" s="82"/>
      <c r="FI206" s="82"/>
      <c r="FJ206" s="82"/>
      <c r="FK206" s="82"/>
      <c r="FL206" s="82"/>
      <c r="FM206" s="82"/>
      <c r="FN206" s="82"/>
      <c r="FO206" s="82"/>
    </row>
    <row r="207" spans="1:171" x14ac:dyDescent="0.25">
      <c r="A207" s="1" t="s">
        <v>296</v>
      </c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 t="s">
        <v>311</v>
      </c>
      <c r="AF207" s="137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P207" s="86"/>
      <c r="BQ207" s="134"/>
      <c r="BR207" s="86"/>
      <c r="BS207" s="86"/>
      <c r="BT207" s="86"/>
      <c r="BU207" s="86"/>
      <c r="BV207" s="86"/>
      <c r="BW207" s="86"/>
      <c r="BX207" s="86"/>
      <c r="BY207" s="86"/>
      <c r="BZ207" s="86"/>
      <c r="CA207" s="86"/>
      <c r="CB207" s="86"/>
      <c r="CC207" s="86"/>
      <c r="CD207" s="86"/>
      <c r="EE207" s="82"/>
      <c r="EF207" s="82"/>
      <c r="EG207" s="82"/>
      <c r="EH207" s="82"/>
      <c r="EI207" s="82"/>
      <c r="EJ207" s="82"/>
      <c r="EK207" s="82"/>
      <c r="EL207" s="82"/>
      <c r="EM207" s="82"/>
      <c r="EN207" s="82"/>
      <c r="EO207" s="82"/>
      <c r="EP207" s="82"/>
      <c r="EQ207" s="82"/>
      <c r="ER207" s="82"/>
      <c r="ES207" s="82"/>
      <c r="ET207" s="82"/>
      <c r="EU207" s="82"/>
      <c r="EV207" s="82"/>
      <c r="EW207" s="82"/>
      <c r="EX207" s="82"/>
      <c r="EY207" s="82"/>
      <c r="EZ207" s="82"/>
      <c r="FA207" s="82"/>
      <c r="FB207" s="82"/>
      <c r="FC207" s="82"/>
      <c r="FD207" s="82"/>
      <c r="FE207" s="82"/>
      <c r="FF207" s="82"/>
      <c r="FG207" s="82"/>
      <c r="FH207" s="82"/>
      <c r="FI207" s="82"/>
      <c r="FJ207" s="82"/>
      <c r="FK207" s="82"/>
      <c r="FL207" s="82"/>
      <c r="FM207" s="82"/>
      <c r="FN207" s="82"/>
      <c r="FO207" s="82"/>
    </row>
    <row r="208" spans="1:171" x14ac:dyDescent="0.25">
      <c r="A208" s="1" t="s">
        <v>298</v>
      </c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138" t="s">
        <v>312</v>
      </c>
      <c r="AF208" s="137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P208" s="86"/>
      <c r="BQ208" s="134"/>
      <c r="BR208" s="86"/>
      <c r="BS208" s="86"/>
      <c r="BT208" s="86"/>
      <c r="BU208" s="86"/>
      <c r="BV208" s="86"/>
      <c r="BW208" s="86"/>
      <c r="BX208" s="86"/>
      <c r="BY208" s="86"/>
      <c r="BZ208" s="86"/>
      <c r="CA208" s="86"/>
      <c r="CB208" s="86"/>
      <c r="CC208" s="86"/>
      <c r="CD208" s="86"/>
    </row>
    <row r="209" spans="7:82" x14ac:dyDescent="0.25"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138" t="s">
        <v>313</v>
      </c>
      <c r="AF209" s="137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P209" s="86"/>
      <c r="BQ209" s="134"/>
      <c r="BR209" s="86"/>
      <c r="BS209" s="86"/>
      <c r="BT209" s="86"/>
      <c r="BU209" s="86"/>
      <c r="BV209" s="86"/>
      <c r="BW209" s="86"/>
      <c r="BX209" s="86"/>
      <c r="BY209" s="86"/>
      <c r="BZ209" s="86"/>
      <c r="CA209" s="86"/>
      <c r="CB209" s="86"/>
      <c r="CC209" s="86"/>
      <c r="CD209" s="86"/>
    </row>
    <row r="210" spans="7:82" x14ac:dyDescent="0.25"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138" t="s">
        <v>314</v>
      </c>
      <c r="AF210" s="137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P210" s="86"/>
      <c r="BQ210" s="134"/>
      <c r="BR210" s="86"/>
      <c r="BS210" s="86"/>
      <c r="BT210" s="86"/>
      <c r="BU210" s="86"/>
      <c r="BV210" s="86"/>
      <c r="BW210" s="86"/>
      <c r="BX210" s="86"/>
      <c r="BY210" s="86"/>
      <c r="BZ210" s="86"/>
      <c r="CA210" s="86"/>
      <c r="CB210" s="86"/>
      <c r="CC210" s="86"/>
      <c r="CD210" s="86"/>
    </row>
    <row r="211" spans="7:82" x14ac:dyDescent="0.25"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138" t="s">
        <v>315</v>
      </c>
      <c r="AF211" s="137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P211" s="86"/>
      <c r="BQ211" s="134"/>
      <c r="BR211" s="86"/>
      <c r="BS211" s="86"/>
      <c r="BT211" s="86"/>
      <c r="BU211" s="86"/>
      <c r="BV211" s="86"/>
      <c r="BW211" s="86"/>
      <c r="BX211" s="86"/>
      <c r="BY211" s="86"/>
      <c r="BZ211" s="86"/>
      <c r="CA211" s="86"/>
      <c r="CB211" s="86"/>
      <c r="CC211" s="86"/>
      <c r="CD211" s="86"/>
    </row>
    <row r="212" spans="7:82" x14ac:dyDescent="0.25"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  <c r="AB212" s="69"/>
      <c r="AC212" s="69"/>
      <c r="AD212" s="69"/>
      <c r="AE212" s="138" t="s">
        <v>316</v>
      </c>
      <c r="AF212" s="137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P212" s="86"/>
      <c r="BQ212" s="134"/>
      <c r="BR212" s="86"/>
      <c r="BS212" s="86"/>
      <c r="BT212" s="86"/>
      <c r="BU212" s="86"/>
      <c r="BV212" s="86"/>
      <c r="BW212" s="86"/>
      <c r="BX212" s="86"/>
      <c r="BY212" s="86"/>
      <c r="BZ212" s="86"/>
      <c r="CA212" s="86"/>
      <c r="CB212" s="86"/>
      <c r="CC212" s="86"/>
      <c r="CD212" s="86"/>
    </row>
    <row r="213" spans="7:82" x14ac:dyDescent="0.25"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  <c r="AB213" s="69"/>
      <c r="AC213" s="69"/>
      <c r="AD213" s="69"/>
      <c r="AE213" s="138" t="s">
        <v>317</v>
      </c>
      <c r="AF213" s="137"/>
      <c r="AG213" s="69"/>
      <c r="AH213" s="69"/>
      <c r="AI213" s="69"/>
      <c r="AJ213" s="69"/>
      <c r="AK213" s="69"/>
      <c r="AL213" s="69"/>
      <c r="AM213" s="69"/>
      <c r="AN213" s="69"/>
      <c r="AO213" s="69"/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P213" s="86"/>
      <c r="BQ213" s="134"/>
      <c r="BR213" s="86"/>
      <c r="BS213" s="86"/>
      <c r="BT213" s="86"/>
      <c r="BU213" s="86"/>
      <c r="BV213" s="86"/>
      <c r="BW213" s="86"/>
      <c r="BX213" s="86"/>
      <c r="BY213" s="86"/>
      <c r="BZ213" s="86"/>
      <c r="CA213" s="86"/>
      <c r="CB213" s="86"/>
      <c r="CC213" s="86"/>
      <c r="CD213" s="86"/>
    </row>
    <row r="214" spans="7:82" x14ac:dyDescent="0.25">
      <c r="BP214" s="86"/>
      <c r="BQ214" s="134"/>
      <c r="BR214" s="86"/>
      <c r="BS214" s="86"/>
      <c r="BT214" s="86"/>
      <c r="BU214" s="86"/>
      <c r="BV214" s="86"/>
      <c r="BW214" s="86"/>
      <c r="BX214" s="86"/>
      <c r="BY214" s="86"/>
      <c r="BZ214" s="86"/>
      <c r="CA214" s="86"/>
      <c r="CB214" s="86"/>
      <c r="CC214" s="86"/>
      <c r="CD214" s="86"/>
    </row>
    <row r="215" spans="7:82" x14ac:dyDescent="0.25">
      <c r="BP215" s="86"/>
      <c r="BQ215" s="134"/>
      <c r="BR215" s="86"/>
      <c r="BS215" s="86"/>
      <c r="BT215" s="86"/>
      <c r="BU215" s="86"/>
      <c r="BV215" s="86"/>
      <c r="BW215" s="86"/>
      <c r="BX215" s="86"/>
      <c r="BY215" s="86"/>
      <c r="BZ215" s="86"/>
      <c r="CA215" s="86"/>
      <c r="CB215" s="86"/>
      <c r="CC215" s="86"/>
      <c r="CD215" s="86"/>
    </row>
    <row r="216" spans="7:82" x14ac:dyDescent="0.25">
      <c r="BP216" s="86"/>
      <c r="BQ216" s="134"/>
      <c r="BR216" s="86"/>
      <c r="BS216" s="86"/>
      <c r="BT216" s="86"/>
      <c r="BU216" s="86"/>
      <c r="BV216" s="86"/>
      <c r="BW216" s="86"/>
      <c r="BX216" s="86"/>
      <c r="BY216" s="86"/>
      <c r="BZ216" s="86"/>
      <c r="CA216" s="86"/>
      <c r="CB216" s="86"/>
      <c r="CC216" s="86"/>
      <c r="CD216" s="86"/>
    </row>
    <row r="217" spans="7:82" x14ac:dyDescent="0.25">
      <c r="BP217" s="86"/>
      <c r="BQ217" s="134"/>
      <c r="BR217" s="86"/>
      <c r="BS217" s="86"/>
      <c r="BT217" s="86"/>
      <c r="BU217" s="86"/>
      <c r="BV217" s="86"/>
      <c r="BW217" s="86"/>
      <c r="BX217" s="86"/>
      <c r="BY217" s="86"/>
      <c r="BZ217" s="86"/>
      <c r="CA217" s="86"/>
      <c r="CB217" s="86"/>
      <c r="CC217" s="86"/>
      <c r="CD217" s="86"/>
    </row>
    <row r="218" spans="7:82" x14ac:dyDescent="0.25">
      <c r="BP218" s="86"/>
      <c r="BQ218" s="134"/>
      <c r="BR218" s="86"/>
      <c r="BS218" s="86"/>
      <c r="BT218" s="86"/>
      <c r="BU218" s="86"/>
      <c r="BV218" s="86"/>
      <c r="BW218" s="86"/>
      <c r="BX218" s="86"/>
      <c r="BY218" s="86"/>
      <c r="BZ218" s="86"/>
      <c r="CA218" s="86"/>
      <c r="CB218" s="86"/>
      <c r="CC218" s="86"/>
      <c r="CD218" s="86"/>
    </row>
    <row r="219" spans="7:82" x14ac:dyDescent="0.25">
      <c r="BP219" s="86"/>
      <c r="BQ219" s="134"/>
      <c r="BR219" s="86"/>
      <c r="BS219" s="86"/>
      <c r="BT219" s="86"/>
      <c r="BU219" s="86"/>
      <c r="BV219" s="86"/>
      <c r="BW219" s="86"/>
      <c r="BX219" s="86"/>
      <c r="BY219" s="86"/>
      <c r="BZ219" s="86"/>
      <c r="CA219" s="86"/>
      <c r="CB219" s="86"/>
      <c r="CC219" s="86"/>
      <c r="CD219" s="86"/>
    </row>
    <row r="220" spans="7:82" x14ac:dyDescent="0.25">
      <c r="BP220" s="86"/>
      <c r="BQ220" s="134"/>
      <c r="BR220" s="86"/>
      <c r="BS220" s="86"/>
      <c r="BT220" s="86"/>
      <c r="BU220" s="86"/>
      <c r="BV220" s="86"/>
      <c r="BW220" s="86"/>
      <c r="BX220" s="86"/>
      <c r="BY220" s="86"/>
      <c r="BZ220" s="86"/>
      <c r="CA220" s="86"/>
      <c r="CB220" s="86"/>
      <c r="CC220" s="86"/>
      <c r="CD220" s="86"/>
    </row>
    <row r="221" spans="7:82" x14ac:dyDescent="0.25">
      <c r="BP221" s="86"/>
      <c r="BQ221" s="134"/>
      <c r="BR221" s="86"/>
      <c r="BS221" s="86"/>
      <c r="BT221" s="86"/>
      <c r="BU221" s="86"/>
      <c r="BV221" s="86"/>
      <c r="BW221" s="86"/>
      <c r="BX221" s="86"/>
      <c r="BY221" s="86"/>
      <c r="BZ221" s="86"/>
      <c r="CA221" s="86"/>
      <c r="CB221" s="86"/>
      <c r="CC221" s="86"/>
      <c r="CD221" s="86"/>
    </row>
    <row r="222" spans="7:82" x14ac:dyDescent="0.25">
      <c r="BP222" s="86"/>
      <c r="BQ222" s="134"/>
      <c r="BR222" s="86"/>
      <c r="BS222" s="86"/>
      <c r="BT222" s="86"/>
      <c r="BU222" s="86"/>
      <c r="BV222" s="86"/>
      <c r="BW222" s="86"/>
      <c r="BX222" s="86"/>
      <c r="BY222" s="86"/>
      <c r="BZ222" s="86"/>
      <c r="CA222" s="86"/>
      <c r="CB222" s="86"/>
      <c r="CC222" s="86"/>
      <c r="CD222" s="86"/>
    </row>
    <row r="223" spans="7:82" x14ac:dyDescent="0.25">
      <c r="BP223" s="86"/>
      <c r="BQ223" s="134"/>
      <c r="BR223" s="86"/>
      <c r="BS223" s="86"/>
      <c r="BT223" s="86"/>
      <c r="BU223" s="86"/>
      <c r="BV223" s="86"/>
      <c r="BW223" s="86"/>
      <c r="BX223" s="86"/>
      <c r="BY223" s="86"/>
      <c r="BZ223" s="86"/>
      <c r="CA223" s="86"/>
      <c r="CB223" s="86"/>
      <c r="CC223" s="86"/>
      <c r="CD223" s="86"/>
    </row>
    <row r="224" spans="7:82" x14ac:dyDescent="0.25">
      <c r="BP224" s="86"/>
      <c r="BQ224" s="134"/>
      <c r="BR224" s="86"/>
      <c r="BS224" s="86"/>
      <c r="BT224" s="86"/>
      <c r="BU224" s="86"/>
      <c r="BV224" s="86"/>
      <c r="BW224" s="86"/>
      <c r="BX224" s="86"/>
      <c r="BY224" s="86"/>
      <c r="BZ224" s="86"/>
      <c r="CA224" s="86"/>
      <c r="CB224" s="86"/>
      <c r="CC224" s="86"/>
      <c r="CD224" s="86"/>
    </row>
    <row r="225" spans="68:82" x14ac:dyDescent="0.25">
      <c r="BP225" s="86"/>
      <c r="BQ225" s="134"/>
      <c r="BR225" s="86"/>
      <c r="BS225" s="86"/>
      <c r="BT225" s="86"/>
      <c r="BU225" s="86"/>
      <c r="BV225" s="86"/>
      <c r="BW225" s="86"/>
      <c r="BX225" s="86"/>
      <c r="BY225" s="86"/>
      <c r="BZ225" s="86"/>
      <c r="CA225" s="86"/>
      <c r="CB225" s="86"/>
      <c r="CC225" s="86"/>
      <c r="CD225" s="86"/>
    </row>
    <row r="226" spans="68:82" x14ac:dyDescent="0.25">
      <c r="BP226" s="86"/>
      <c r="BQ226" s="134"/>
      <c r="BR226" s="86"/>
      <c r="BS226" s="86"/>
      <c r="BT226" s="86"/>
      <c r="BU226" s="86"/>
      <c r="BV226" s="86"/>
      <c r="BW226" s="86"/>
      <c r="BX226" s="86"/>
      <c r="BY226" s="86"/>
      <c r="BZ226" s="86"/>
      <c r="CA226" s="86"/>
      <c r="CB226" s="86"/>
      <c r="CC226" s="86"/>
      <c r="CD226" s="86"/>
    </row>
    <row r="227" spans="68:82" x14ac:dyDescent="0.25">
      <c r="BP227" s="86"/>
      <c r="BQ227" s="134"/>
      <c r="BR227" s="86"/>
      <c r="BS227" s="86"/>
      <c r="BT227" s="86"/>
      <c r="BU227" s="86"/>
      <c r="BV227" s="86"/>
      <c r="BW227" s="86"/>
      <c r="BX227" s="86"/>
      <c r="BY227" s="86"/>
      <c r="BZ227" s="86"/>
      <c r="CA227" s="86"/>
      <c r="CB227" s="86"/>
      <c r="CC227" s="86"/>
      <c r="CD227" s="86"/>
    </row>
    <row r="228" spans="68:82" x14ac:dyDescent="0.25">
      <c r="BP228" s="86"/>
      <c r="BQ228" s="134"/>
      <c r="BR228" s="86"/>
      <c r="BS228" s="86"/>
      <c r="BT228" s="86"/>
      <c r="BU228" s="86"/>
      <c r="BV228" s="86"/>
      <c r="BW228" s="86"/>
      <c r="BX228" s="86"/>
      <c r="BY228" s="86"/>
      <c r="BZ228" s="86"/>
      <c r="CA228" s="86"/>
      <c r="CB228" s="86"/>
      <c r="CC228" s="86"/>
      <c r="CD228" s="86"/>
    </row>
    <row r="229" spans="68:82" x14ac:dyDescent="0.25">
      <c r="BP229" s="86"/>
      <c r="BQ229" s="134"/>
      <c r="BR229" s="86"/>
      <c r="BS229" s="86"/>
      <c r="BT229" s="86"/>
      <c r="BU229" s="86"/>
      <c r="BV229" s="86"/>
      <c r="BW229" s="86"/>
      <c r="BX229" s="86"/>
      <c r="BY229" s="86"/>
      <c r="BZ229" s="86"/>
      <c r="CA229" s="86"/>
      <c r="CB229" s="86"/>
      <c r="CC229" s="86"/>
      <c r="CD229" s="86"/>
    </row>
    <row r="230" spans="68:82" x14ac:dyDescent="0.25">
      <c r="BP230" s="86"/>
      <c r="BQ230" s="134"/>
      <c r="BR230" s="86"/>
      <c r="BS230" s="86"/>
      <c r="BT230" s="86"/>
      <c r="BU230" s="86"/>
      <c r="BV230" s="86"/>
      <c r="BW230" s="86"/>
      <c r="BX230" s="86"/>
      <c r="BY230" s="86"/>
      <c r="BZ230" s="86"/>
      <c r="CA230" s="86"/>
      <c r="CB230" s="86"/>
      <c r="CC230" s="86"/>
      <c r="CD230" s="86"/>
    </row>
    <row r="231" spans="68:82" x14ac:dyDescent="0.25">
      <c r="BP231" s="86"/>
      <c r="BQ231" s="134"/>
      <c r="BR231" s="86"/>
      <c r="BS231" s="86"/>
      <c r="BT231" s="86"/>
      <c r="BU231" s="86"/>
      <c r="BV231" s="86"/>
      <c r="BW231" s="86"/>
      <c r="BX231" s="86"/>
      <c r="BY231" s="86"/>
      <c r="BZ231" s="86"/>
      <c r="CA231" s="86"/>
      <c r="CB231" s="86"/>
      <c r="CC231" s="86"/>
      <c r="CD231" s="86"/>
    </row>
    <row r="232" spans="68:82" x14ac:dyDescent="0.25">
      <c r="BP232" s="86"/>
      <c r="BQ232" s="134"/>
      <c r="BR232" s="86"/>
      <c r="BS232" s="86"/>
      <c r="BT232" s="86"/>
      <c r="BU232" s="86"/>
      <c r="BV232" s="86"/>
      <c r="BW232" s="86"/>
      <c r="BX232" s="86"/>
      <c r="BY232" s="86"/>
      <c r="BZ232" s="86"/>
      <c r="CA232" s="86"/>
      <c r="CB232" s="86"/>
      <c r="CC232" s="86"/>
      <c r="CD232" s="86"/>
    </row>
    <row r="233" spans="68:82" x14ac:dyDescent="0.25">
      <c r="BP233" s="86"/>
      <c r="BQ233" s="134"/>
      <c r="BR233" s="86"/>
      <c r="BS233" s="86"/>
      <c r="BT233" s="86"/>
      <c r="BU233" s="86"/>
      <c r="BV233" s="86"/>
      <c r="BW233" s="86"/>
      <c r="BX233" s="86"/>
      <c r="BY233" s="86"/>
      <c r="BZ233" s="86"/>
      <c r="CA233" s="86"/>
      <c r="CB233" s="86"/>
      <c r="CC233" s="86"/>
      <c r="CD233" s="86"/>
    </row>
    <row r="234" spans="68:82" x14ac:dyDescent="0.25">
      <c r="BP234" s="86"/>
      <c r="BQ234" s="134"/>
      <c r="BR234" s="86"/>
      <c r="BS234" s="86"/>
      <c r="BT234" s="86"/>
      <c r="BU234" s="86"/>
      <c r="BV234" s="86"/>
      <c r="BW234" s="86"/>
      <c r="BX234" s="86"/>
      <c r="BY234" s="86"/>
      <c r="BZ234" s="86"/>
      <c r="CA234" s="86"/>
      <c r="CB234" s="86"/>
      <c r="CC234" s="86"/>
      <c r="CD234" s="86"/>
    </row>
    <row r="235" spans="68:82" x14ac:dyDescent="0.25">
      <c r="BP235" s="86"/>
      <c r="BQ235" s="134"/>
      <c r="BR235" s="86"/>
      <c r="BS235" s="86"/>
      <c r="BT235" s="86"/>
      <c r="BU235" s="86"/>
      <c r="BV235" s="86"/>
      <c r="BW235" s="86"/>
      <c r="BX235" s="86"/>
      <c r="BY235" s="86"/>
      <c r="BZ235" s="86"/>
      <c r="CA235" s="86"/>
      <c r="CB235" s="86"/>
      <c r="CC235" s="86"/>
      <c r="CD235" s="86"/>
    </row>
    <row r="236" spans="68:82" x14ac:dyDescent="0.25">
      <c r="BP236" s="86"/>
      <c r="BQ236" s="134"/>
      <c r="BR236" s="86"/>
      <c r="BS236" s="86"/>
      <c r="BT236" s="86"/>
      <c r="BU236" s="86"/>
      <c r="BV236" s="86"/>
      <c r="BW236" s="86"/>
      <c r="BX236" s="86"/>
      <c r="BY236" s="86"/>
      <c r="BZ236" s="86"/>
      <c r="CA236" s="86"/>
      <c r="CB236" s="86"/>
      <c r="CC236" s="86"/>
      <c r="CD236" s="86"/>
    </row>
    <row r="237" spans="68:82" x14ac:dyDescent="0.25">
      <c r="BP237" s="86"/>
      <c r="BQ237" s="134"/>
      <c r="BR237" s="86"/>
      <c r="BS237" s="86"/>
      <c r="BT237" s="86"/>
      <c r="BU237" s="86"/>
      <c r="BV237" s="86"/>
      <c r="BW237" s="86"/>
      <c r="BX237" s="86"/>
      <c r="BY237" s="86"/>
      <c r="BZ237" s="86"/>
      <c r="CA237" s="86"/>
      <c r="CB237" s="86"/>
      <c r="CC237" s="86"/>
      <c r="CD237" s="86"/>
    </row>
    <row r="238" spans="68:82" x14ac:dyDescent="0.25">
      <c r="BP238" s="86"/>
      <c r="BQ238" s="134"/>
      <c r="BR238" s="86"/>
      <c r="BS238" s="86"/>
      <c r="BT238" s="86"/>
      <c r="BU238" s="86"/>
      <c r="BV238" s="86"/>
      <c r="BW238" s="86"/>
      <c r="BX238" s="86"/>
      <c r="BY238" s="86"/>
      <c r="BZ238" s="86"/>
      <c r="CA238" s="86"/>
      <c r="CB238" s="86"/>
      <c r="CC238" s="86"/>
      <c r="CD238" s="86"/>
    </row>
    <row r="239" spans="68:82" x14ac:dyDescent="0.25">
      <c r="BP239" s="86"/>
      <c r="BQ239" s="134"/>
      <c r="BR239" s="86"/>
      <c r="BS239" s="86"/>
      <c r="BT239" s="86"/>
      <c r="BU239" s="86"/>
      <c r="BV239" s="86"/>
      <c r="BW239" s="86"/>
      <c r="BX239" s="86"/>
      <c r="BY239" s="86"/>
      <c r="BZ239" s="86"/>
      <c r="CA239" s="86"/>
      <c r="CB239" s="86"/>
      <c r="CC239" s="86"/>
      <c r="CD239" s="86"/>
    </row>
    <row r="240" spans="68:82" x14ac:dyDescent="0.25">
      <c r="BP240" s="86"/>
      <c r="BQ240" s="134"/>
      <c r="BR240" s="86"/>
      <c r="BS240" s="86"/>
      <c r="BT240" s="86"/>
      <c r="BU240" s="86"/>
      <c r="BV240" s="86"/>
      <c r="BW240" s="86"/>
      <c r="BX240" s="86"/>
      <c r="BY240" s="86"/>
      <c r="BZ240" s="86"/>
      <c r="CA240" s="86"/>
      <c r="CB240" s="86"/>
      <c r="CC240" s="86"/>
      <c r="CD240" s="86"/>
    </row>
    <row r="241" spans="68:82" x14ac:dyDescent="0.25">
      <c r="BP241" s="86"/>
      <c r="BQ241" s="134"/>
      <c r="BR241" s="86"/>
      <c r="BS241" s="86"/>
      <c r="BT241" s="86"/>
      <c r="BU241" s="86"/>
      <c r="BV241" s="86"/>
      <c r="BW241" s="86"/>
      <c r="BX241" s="86"/>
      <c r="BY241" s="86"/>
      <c r="BZ241" s="86"/>
      <c r="CA241" s="86"/>
      <c r="CB241" s="86"/>
      <c r="CC241" s="86"/>
      <c r="CD241" s="86"/>
    </row>
    <row r="242" spans="68:82" x14ac:dyDescent="0.25">
      <c r="BP242" s="86"/>
      <c r="BQ242" s="134"/>
      <c r="BR242" s="86"/>
      <c r="BS242" s="86"/>
      <c r="BT242" s="86"/>
      <c r="BU242" s="86"/>
      <c r="BV242" s="86"/>
      <c r="BW242" s="86"/>
      <c r="BX242" s="86"/>
      <c r="BY242" s="86"/>
      <c r="BZ242" s="86"/>
      <c r="CA242" s="86"/>
      <c r="CB242" s="86"/>
      <c r="CC242" s="86"/>
      <c r="CD242" s="86"/>
    </row>
    <row r="243" spans="68:82" x14ac:dyDescent="0.25">
      <c r="BP243" s="86"/>
      <c r="BQ243" s="134"/>
      <c r="BR243" s="86"/>
      <c r="BS243" s="86"/>
      <c r="BT243" s="86"/>
      <c r="BU243" s="86"/>
      <c r="BV243" s="86"/>
      <c r="BW243" s="86"/>
      <c r="BX243" s="86"/>
      <c r="BY243" s="86"/>
      <c r="BZ243" s="86"/>
      <c r="CA243" s="86"/>
      <c r="CB243" s="86"/>
      <c r="CC243" s="86"/>
      <c r="CD243" s="86"/>
    </row>
    <row r="244" spans="68:82" x14ac:dyDescent="0.25">
      <c r="BP244" s="86"/>
      <c r="BQ244" s="134"/>
      <c r="BR244" s="86"/>
      <c r="BS244" s="86"/>
      <c r="BT244" s="86"/>
      <c r="BU244" s="86"/>
      <c r="BV244" s="86"/>
      <c r="BW244" s="86"/>
      <c r="BX244" s="86"/>
      <c r="BY244" s="86"/>
      <c r="BZ244" s="86"/>
      <c r="CA244" s="86"/>
      <c r="CB244" s="86"/>
      <c r="CC244" s="86"/>
      <c r="CD244" s="86"/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23A2F-5A33-4429-8F52-354D907F5A37}">
  <dimension ref="A1:I192"/>
  <sheetViews>
    <sheetView workbookViewId="0">
      <selection activeCell="J17" sqref="J17"/>
    </sheetView>
  </sheetViews>
  <sheetFormatPr defaultColWidth="8.85546875" defaultRowHeight="15" x14ac:dyDescent="0.25"/>
  <cols>
    <col min="1" max="1" width="54.140625" style="1" customWidth="1"/>
    <col min="2" max="2" width="9.42578125" style="1" customWidth="1"/>
    <col min="3" max="3" width="12" style="1" customWidth="1"/>
    <col min="4" max="4" width="18" style="1" customWidth="1"/>
    <col min="5" max="5" width="7.7109375" style="1" customWidth="1"/>
    <col min="6" max="6" width="9.42578125" style="1" customWidth="1"/>
    <col min="7" max="8" width="12" style="1" customWidth="1"/>
    <col min="9" max="9" width="8.5703125" style="1" customWidth="1"/>
    <col min="10" max="16384" width="8.85546875" style="1"/>
  </cols>
  <sheetData>
    <row r="1" spans="1:9" ht="18" x14ac:dyDescent="0.25">
      <c r="A1" s="139" t="s">
        <v>318</v>
      </c>
    </row>
    <row r="2" spans="1:9" ht="18" x14ac:dyDescent="0.25">
      <c r="A2" s="139" t="s">
        <v>319</v>
      </c>
    </row>
    <row r="3" spans="1:9" x14ac:dyDescent="0.25">
      <c r="A3" s="140" t="s">
        <v>320</v>
      </c>
    </row>
    <row r="5" spans="1:9" ht="24.75" x14ac:dyDescent="0.25">
      <c r="B5" s="141" t="s">
        <v>321</v>
      </c>
      <c r="C5" s="141" t="s">
        <v>322</v>
      </c>
      <c r="D5" s="141" t="s">
        <v>323</v>
      </c>
      <c r="E5" s="141" t="s">
        <v>324</v>
      </c>
      <c r="F5" s="141" t="s">
        <v>325</v>
      </c>
      <c r="G5" s="141" t="s">
        <v>326</v>
      </c>
      <c r="H5" s="141" t="s">
        <v>327</v>
      </c>
      <c r="I5" s="141" t="s">
        <v>328</v>
      </c>
    </row>
    <row r="6" spans="1:9" x14ac:dyDescent="0.25">
      <c r="A6" s="142" t="s">
        <v>329</v>
      </c>
    </row>
    <row r="7" spans="1:9" x14ac:dyDescent="0.25">
      <c r="B7" s="143" t="s">
        <v>330</v>
      </c>
      <c r="C7" s="143" t="s">
        <v>331</v>
      </c>
      <c r="D7" s="143">
        <v>2664</v>
      </c>
      <c r="E7" s="143" t="s">
        <v>121</v>
      </c>
      <c r="F7" s="143" t="s">
        <v>332</v>
      </c>
      <c r="G7" s="144">
        <v>2331</v>
      </c>
      <c r="H7" s="144">
        <v>2331</v>
      </c>
      <c r="I7" s="144">
        <v>2331</v>
      </c>
    </row>
    <row r="8" spans="1:9" x14ac:dyDescent="0.25">
      <c r="A8" s="142" t="s">
        <v>333</v>
      </c>
      <c r="G8" s="145">
        <v>2331</v>
      </c>
      <c r="H8" s="145">
        <v>2331</v>
      </c>
    </row>
    <row r="9" spans="1:9" x14ac:dyDescent="0.25">
      <c r="A9" s="142" t="s">
        <v>334</v>
      </c>
    </row>
    <row r="10" spans="1:9" x14ac:dyDescent="0.25">
      <c r="B10" s="143" t="s">
        <v>335</v>
      </c>
      <c r="C10" s="143" t="s">
        <v>331</v>
      </c>
      <c r="D10" s="143">
        <v>3134</v>
      </c>
      <c r="E10" s="143" t="s">
        <v>121</v>
      </c>
      <c r="F10" s="143" t="s">
        <v>336</v>
      </c>
      <c r="G10" s="144">
        <v>2007</v>
      </c>
      <c r="H10" s="144">
        <v>2007</v>
      </c>
      <c r="I10" s="144">
        <v>2007</v>
      </c>
    </row>
    <row r="11" spans="1:9" x14ac:dyDescent="0.25">
      <c r="B11" s="143" t="s">
        <v>337</v>
      </c>
      <c r="C11" s="143" t="s">
        <v>331</v>
      </c>
      <c r="D11" s="143">
        <v>3135</v>
      </c>
      <c r="E11" s="143"/>
      <c r="F11" s="143" t="s">
        <v>338</v>
      </c>
      <c r="G11" s="144">
        <v>21981.8</v>
      </c>
      <c r="H11" s="144">
        <v>21981.8</v>
      </c>
      <c r="I11" s="144">
        <v>23988.799999999999</v>
      </c>
    </row>
    <row r="12" spans="1:9" x14ac:dyDescent="0.25">
      <c r="B12" s="143" t="s">
        <v>339</v>
      </c>
      <c r="C12" s="143" t="s">
        <v>331</v>
      </c>
      <c r="D12" s="143">
        <v>3213</v>
      </c>
      <c r="E12" s="143" t="s">
        <v>121</v>
      </c>
      <c r="F12" s="143" t="s">
        <v>340</v>
      </c>
      <c r="G12" s="144">
        <v>75916.98</v>
      </c>
      <c r="H12" s="144">
        <v>73516.98</v>
      </c>
      <c r="I12" s="144">
        <v>97505.78</v>
      </c>
    </row>
    <row r="13" spans="1:9" x14ac:dyDescent="0.25">
      <c r="B13" s="143" t="s">
        <v>341</v>
      </c>
      <c r="C13" s="143" t="s">
        <v>331</v>
      </c>
      <c r="D13" s="143">
        <v>3226</v>
      </c>
      <c r="E13" s="143"/>
      <c r="F13" s="143" t="s">
        <v>342</v>
      </c>
      <c r="G13" s="144">
        <v>20680.189999999999</v>
      </c>
      <c r="H13" s="144">
        <v>13652.29</v>
      </c>
      <c r="I13" s="144">
        <v>111158.07</v>
      </c>
    </row>
    <row r="14" spans="1:9" x14ac:dyDescent="0.25">
      <c r="B14" s="143" t="s">
        <v>343</v>
      </c>
      <c r="C14" s="143" t="s">
        <v>331</v>
      </c>
      <c r="D14" s="143">
        <v>3323</v>
      </c>
      <c r="E14" s="143"/>
      <c r="F14" s="143" t="s">
        <v>344</v>
      </c>
      <c r="G14" s="144">
        <v>17247.759999999998</v>
      </c>
      <c r="H14" s="144">
        <v>6210.04</v>
      </c>
      <c r="I14" s="144">
        <v>117368.11</v>
      </c>
    </row>
    <row r="15" spans="1:9" x14ac:dyDescent="0.25">
      <c r="B15" s="143" t="s">
        <v>344</v>
      </c>
      <c r="C15" s="143" t="s">
        <v>331</v>
      </c>
      <c r="D15" s="143">
        <v>3419</v>
      </c>
      <c r="E15" s="143"/>
      <c r="F15" s="143" t="s">
        <v>345</v>
      </c>
      <c r="G15" s="144">
        <v>9544.0400000000009</v>
      </c>
      <c r="H15" s="144">
        <v>9544.0400000000009</v>
      </c>
      <c r="I15" s="144">
        <v>126912.15</v>
      </c>
    </row>
    <row r="16" spans="1:9" x14ac:dyDescent="0.25">
      <c r="B16" s="143" t="s">
        <v>346</v>
      </c>
      <c r="C16" s="143" t="s">
        <v>331</v>
      </c>
      <c r="D16" s="143">
        <v>3489</v>
      </c>
      <c r="E16" s="143"/>
      <c r="F16" s="143" t="s">
        <v>347</v>
      </c>
      <c r="G16" s="144">
        <v>12081.72</v>
      </c>
      <c r="H16" s="144">
        <v>12081.72</v>
      </c>
      <c r="I16" s="144">
        <v>138993.87</v>
      </c>
    </row>
    <row r="17" spans="1:9" x14ac:dyDescent="0.25">
      <c r="B17" s="143" t="s">
        <v>347</v>
      </c>
      <c r="C17" s="143" t="s">
        <v>331</v>
      </c>
      <c r="D17" s="143">
        <v>3575</v>
      </c>
      <c r="E17" s="143"/>
      <c r="F17" s="143" t="s">
        <v>348</v>
      </c>
      <c r="G17" s="144">
        <v>11725.84</v>
      </c>
      <c r="H17" s="144">
        <v>11725.84</v>
      </c>
      <c r="I17" s="144">
        <v>150719.71</v>
      </c>
    </row>
    <row r="18" spans="1:9" x14ac:dyDescent="0.25">
      <c r="B18" s="143" t="s">
        <v>349</v>
      </c>
      <c r="C18" s="143" t="s">
        <v>331</v>
      </c>
      <c r="D18" s="143">
        <v>3659</v>
      </c>
      <c r="E18" s="143"/>
      <c r="F18" s="143" t="s">
        <v>350</v>
      </c>
      <c r="G18" s="144">
        <v>18658.46</v>
      </c>
      <c r="H18" s="144">
        <v>18658.46</v>
      </c>
      <c r="I18" s="144">
        <v>169378.17</v>
      </c>
    </row>
    <row r="19" spans="1:9" x14ac:dyDescent="0.25">
      <c r="B19" s="143" t="s">
        <v>351</v>
      </c>
      <c r="C19" s="143" t="s">
        <v>331</v>
      </c>
      <c r="D19" s="143">
        <v>3712</v>
      </c>
      <c r="E19" s="143"/>
      <c r="F19" s="143" t="s">
        <v>352</v>
      </c>
      <c r="G19" s="144">
        <v>31517.49</v>
      </c>
      <c r="H19" s="144">
        <v>31517.49</v>
      </c>
      <c r="I19" s="144">
        <v>200895.66</v>
      </c>
    </row>
    <row r="20" spans="1:9" x14ac:dyDescent="0.25">
      <c r="B20" s="143" t="s">
        <v>353</v>
      </c>
      <c r="C20" s="143" t="s">
        <v>331</v>
      </c>
      <c r="D20" s="143">
        <v>3771</v>
      </c>
      <c r="E20" s="143"/>
      <c r="F20" s="143" t="s">
        <v>354</v>
      </c>
      <c r="G20" s="144">
        <v>2100</v>
      </c>
      <c r="H20" s="144">
        <v>2100</v>
      </c>
      <c r="I20" s="144">
        <v>202995.66</v>
      </c>
    </row>
    <row r="21" spans="1:9" x14ac:dyDescent="0.25">
      <c r="A21" s="142" t="s">
        <v>355</v>
      </c>
      <c r="G21" s="145">
        <v>223461.28</v>
      </c>
      <c r="H21" s="145">
        <v>202995.66</v>
      </c>
    </row>
    <row r="22" spans="1:9" x14ac:dyDescent="0.25">
      <c r="A22" s="142" t="s">
        <v>356</v>
      </c>
    </row>
    <row r="23" spans="1:9" x14ac:dyDescent="0.25">
      <c r="B23" s="143" t="s">
        <v>341</v>
      </c>
      <c r="C23" s="143" t="s">
        <v>357</v>
      </c>
      <c r="D23" s="143" t="s">
        <v>358</v>
      </c>
      <c r="E23" s="143"/>
      <c r="F23" s="143" t="s">
        <v>341</v>
      </c>
      <c r="G23" s="144">
        <v>-13467.84</v>
      </c>
      <c r="H23" s="144">
        <v>-929.45</v>
      </c>
      <c r="I23" s="144">
        <v>-929.45</v>
      </c>
    </row>
    <row r="24" spans="1:9" x14ac:dyDescent="0.25">
      <c r="B24" s="143" t="s">
        <v>343</v>
      </c>
      <c r="C24" s="143" t="s">
        <v>357</v>
      </c>
      <c r="D24" s="143" t="s">
        <v>359</v>
      </c>
      <c r="E24" s="143"/>
      <c r="F24" s="143" t="s">
        <v>343</v>
      </c>
      <c r="G24" s="144">
        <v>-7376.19</v>
      </c>
      <c r="H24" s="144">
        <v>-4374.58</v>
      </c>
      <c r="I24" s="144">
        <v>-5304.03</v>
      </c>
    </row>
    <row r="25" spans="1:9" x14ac:dyDescent="0.25">
      <c r="B25" s="143" t="s">
        <v>347</v>
      </c>
      <c r="C25" s="143" t="s">
        <v>357</v>
      </c>
      <c r="D25" s="143" t="s">
        <v>360</v>
      </c>
      <c r="E25" s="143"/>
      <c r="F25" s="143" t="s">
        <v>347</v>
      </c>
      <c r="G25" s="144">
        <v>-11058.42</v>
      </c>
      <c r="H25" s="144">
        <v>-11058.42</v>
      </c>
      <c r="I25" s="144">
        <v>-16362.45</v>
      </c>
    </row>
    <row r="26" spans="1:9" x14ac:dyDescent="0.25">
      <c r="B26" s="143" t="s">
        <v>349</v>
      </c>
      <c r="C26" s="143" t="s">
        <v>357</v>
      </c>
      <c r="D26" s="143" t="s">
        <v>361</v>
      </c>
      <c r="E26" s="143"/>
      <c r="F26" s="143" t="s">
        <v>349</v>
      </c>
      <c r="G26" s="144">
        <v>-4244.8599999999997</v>
      </c>
      <c r="H26" s="144">
        <v>-4244.8599999999997</v>
      </c>
      <c r="I26" s="144">
        <v>-20607.310000000001</v>
      </c>
    </row>
    <row r="27" spans="1:9" x14ac:dyDescent="0.25">
      <c r="B27" s="143" t="s">
        <v>351</v>
      </c>
      <c r="C27" s="143" t="s">
        <v>357</v>
      </c>
      <c r="D27" s="143" t="s">
        <v>362</v>
      </c>
      <c r="E27" s="143"/>
      <c r="F27" s="143" t="s">
        <v>351</v>
      </c>
      <c r="G27" s="144">
        <v>-4347.8100000000004</v>
      </c>
      <c r="H27" s="144">
        <v>-4347.8100000000004</v>
      </c>
      <c r="I27" s="144">
        <v>-24955.119999999999</v>
      </c>
    </row>
    <row r="28" spans="1:9" x14ac:dyDescent="0.25">
      <c r="A28" s="142" t="s">
        <v>363</v>
      </c>
      <c r="G28" s="145">
        <v>-40495.120000000003</v>
      </c>
      <c r="H28" s="145">
        <v>-24955.119999999999</v>
      </c>
    </row>
    <row r="29" spans="1:9" x14ac:dyDescent="0.25">
      <c r="A29" s="142" t="s">
        <v>364</v>
      </c>
    </row>
    <row r="30" spans="1:9" x14ac:dyDescent="0.25">
      <c r="B30" s="143" t="s">
        <v>365</v>
      </c>
      <c r="C30" s="143" t="s">
        <v>331</v>
      </c>
      <c r="D30" s="143">
        <v>2923</v>
      </c>
      <c r="E30" s="143" t="s">
        <v>121</v>
      </c>
      <c r="F30" s="143" t="s">
        <v>365</v>
      </c>
      <c r="G30" s="144">
        <v>21272.55</v>
      </c>
      <c r="H30" s="144">
        <v>21272.55</v>
      </c>
      <c r="I30" s="144">
        <v>21272.55</v>
      </c>
    </row>
    <row r="31" spans="1:9" x14ac:dyDescent="0.25">
      <c r="A31" s="142" t="s">
        <v>366</v>
      </c>
      <c r="G31" s="145">
        <v>21272.55</v>
      </c>
      <c r="H31" s="145">
        <v>21272.55</v>
      </c>
    </row>
    <row r="32" spans="1:9" x14ac:dyDescent="0.25">
      <c r="A32" s="142" t="s">
        <v>367</v>
      </c>
    </row>
    <row r="33" spans="1:9" x14ac:dyDescent="0.25">
      <c r="B33" s="143" t="s">
        <v>368</v>
      </c>
      <c r="C33" s="143" t="s">
        <v>331</v>
      </c>
      <c r="D33" s="143">
        <v>3797</v>
      </c>
      <c r="E33" s="143" t="s">
        <v>121</v>
      </c>
      <c r="F33" s="143" t="s">
        <v>369</v>
      </c>
      <c r="G33" s="144">
        <v>39397.24</v>
      </c>
      <c r="H33" s="144">
        <v>39397.24</v>
      </c>
      <c r="I33" s="144">
        <v>39397.24</v>
      </c>
    </row>
    <row r="34" spans="1:9" x14ac:dyDescent="0.25">
      <c r="B34" s="143" t="s">
        <v>368</v>
      </c>
      <c r="C34" s="143" t="s">
        <v>331</v>
      </c>
      <c r="D34" s="143">
        <v>3801</v>
      </c>
      <c r="E34" s="143" t="s">
        <v>121</v>
      </c>
      <c r="F34" s="143" t="s">
        <v>369</v>
      </c>
      <c r="G34" s="144">
        <v>12165.12</v>
      </c>
      <c r="H34" s="144">
        <v>12165.12</v>
      </c>
      <c r="I34" s="144">
        <v>51562.36</v>
      </c>
    </row>
    <row r="35" spans="1:9" x14ac:dyDescent="0.25">
      <c r="B35" s="143" t="s">
        <v>368</v>
      </c>
      <c r="C35" s="143" t="s">
        <v>331</v>
      </c>
      <c r="D35" s="143">
        <v>3799</v>
      </c>
      <c r="E35" s="143" t="s">
        <v>121</v>
      </c>
      <c r="F35" s="143" t="s">
        <v>369</v>
      </c>
      <c r="G35" s="144">
        <v>72306.44</v>
      </c>
      <c r="H35" s="144">
        <v>72306.44</v>
      </c>
      <c r="I35" s="144">
        <v>123868.8</v>
      </c>
    </row>
    <row r="36" spans="1:9" x14ac:dyDescent="0.25">
      <c r="B36" s="143" t="s">
        <v>368</v>
      </c>
      <c r="C36" s="143" t="s">
        <v>331</v>
      </c>
      <c r="D36" s="143">
        <v>3800</v>
      </c>
      <c r="E36" s="143" t="s">
        <v>121</v>
      </c>
      <c r="F36" s="143" t="s">
        <v>369</v>
      </c>
      <c r="G36" s="144">
        <v>72118.78</v>
      </c>
      <c r="H36" s="144">
        <v>72118.78</v>
      </c>
      <c r="I36" s="144">
        <v>195987.58</v>
      </c>
    </row>
    <row r="37" spans="1:9" x14ac:dyDescent="0.25">
      <c r="B37" s="143" t="s">
        <v>368</v>
      </c>
      <c r="C37" s="143" t="s">
        <v>331</v>
      </c>
      <c r="D37" s="143">
        <v>3798</v>
      </c>
      <c r="E37" s="143" t="s">
        <v>121</v>
      </c>
      <c r="F37" s="143" t="s">
        <v>369</v>
      </c>
      <c r="G37" s="144">
        <v>24131.4</v>
      </c>
      <c r="H37" s="144">
        <v>24131.4</v>
      </c>
      <c r="I37" s="144">
        <v>220118.98</v>
      </c>
    </row>
    <row r="38" spans="1:9" x14ac:dyDescent="0.25">
      <c r="A38" s="142" t="s">
        <v>370</v>
      </c>
      <c r="G38" s="145">
        <v>220118.98</v>
      </c>
      <c r="H38" s="145">
        <v>220118.98</v>
      </c>
    </row>
    <row r="39" spans="1:9" x14ac:dyDescent="0.25">
      <c r="A39" s="142" t="s">
        <v>371</v>
      </c>
    </row>
    <row r="40" spans="1:9" x14ac:dyDescent="0.25">
      <c r="B40" s="143" t="s">
        <v>372</v>
      </c>
      <c r="C40" s="143" t="s">
        <v>331</v>
      </c>
      <c r="D40" s="143">
        <v>3802</v>
      </c>
      <c r="E40" s="143" t="s">
        <v>125</v>
      </c>
      <c r="F40" s="143" t="s">
        <v>373</v>
      </c>
      <c r="G40" s="144">
        <v>99082.62</v>
      </c>
      <c r="H40" s="144">
        <v>99082.62</v>
      </c>
      <c r="I40" s="144">
        <v>99082.62</v>
      </c>
    </row>
    <row r="41" spans="1:9" x14ac:dyDescent="0.25">
      <c r="A41" s="142" t="s">
        <v>374</v>
      </c>
      <c r="G41" s="145">
        <v>99082.62</v>
      </c>
      <c r="H41" s="145">
        <v>99082.62</v>
      </c>
    </row>
    <row r="42" spans="1:9" x14ac:dyDescent="0.25">
      <c r="A42" s="142" t="s">
        <v>375</v>
      </c>
    </row>
    <row r="43" spans="1:9" x14ac:dyDescent="0.25">
      <c r="B43" s="143" t="s">
        <v>376</v>
      </c>
      <c r="C43" s="143" t="s">
        <v>331</v>
      </c>
      <c r="D43" s="143">
        <v>3780</v>
      </c>
      <c r="E43" s="143" t="s">
        <v>377</v>
      </c>
      <c r="F43" s="143" t="s">
        <v>378</v>
      </c>
      <c r="G43" s="144">
        <v>3543.49</v>
      </c>
      <c r="H43" s="144">
        <v>3543.49</v>
      </c>
      <c r="I43" s="144">
        <v>3543.49</v>
      </c>
    </row>
    <row r="44" spans="1:9" x14ac:dyDescent="0.25">
      <c r="A44" s="142" t="s">
        <v>379</v>
      </c>
      <c r="G44" s="145">
        <v>3543.49</v>
      </c>
      <c r="H44" s="145">
        <v>3543.49</v>
      </c>
    </row>
    <row r="45" spans="1:9" x14ac:dyDescent="0.25">
      <c r="A45" s="142" t="s">
        <v>380</v>
      </c>
    </row>
    <row r="46" spans="1:9" x14ac:dyDescent="0.25">
      <c r="B46" s="143" t="s">
        <v>381</v>
      </c>
      <c r="C46" s="143" t="s">
        <v>331</v>
      </c>
      <c r="D46" s="143">
        <v>2870</v>
      </c>
      <c r="E46" s="143" t="s">
        <v>125</v>
      </c>
      <c r="F46" s="143" t="s">
        <v>381</v>
      </c>
      <c r="G46" s="144">
        <v>2990.79</v>
      </c>
      <c r="H46" s="144">
        <v>2990.79</v>
      </c>
      <c r="I46" s="144">
        <v>2990.79</v>
      </c>
    </row>
    <row r="47" spans="1:9" x14ac:dyDescent="0.25">
      <c r="A47" s="142" t="s">
        <v>382</v>
      </c>
      <c r="G47" s="145">
        <v>2990.79</v>
      </c>
      <c r="H47" s="145">
        <v>2990.79</v>
      </c>
    </row>
    <row r="48" spans="1:9" x14ac:dyDescent="0.25">
      <c r="A48" s="142" t="s">
        <v>383</v>
      </c>
    </row>
    <row r="49" spans="1:9" x14ac:dyDescent="0.25">
      <c r="B49" s="143" t="s">
        <v>384</v>
      </c>
      <c r="C49" s="143" t="s">
        <v>331</v>
      </c>
      <c r="D49" s="143">
        <v>3064</v>
      </c>
      <c r="E49" s="143" t="s">
        <v>121</v>
      </c>
      <c r="F49" s="143" t="s">
        <v>385</v>
      </c>
      <c r="G49" s="144">
        <v>31846.07</v>
      </c>
      <c r="H49" s="144">
        <v>2095.0700000000002</v>
      </c>
      <c r="I49" s="144">
        <v>2095.0700000000002</v>
      </c>
    </row>
    <row r="50" spans="1:9" x14ac:dyDescent="0.25">
      <c r="A50" s="142" t="s">
        <v>386</v>
      </c>
      <c r="G50" s="145">
        <v>31846.07</v>
      </c>
      <c r="H50" s="145">
        <v>2095.0700000000002</v>
      </c>
    </row>
    <row r="51" spans="1:9" x14ac:dyDescent="0.25">
      <c r="A51" s="142" t="s">
        <v>387</v>
      </c>
    </row>
    <row r="52" spans="1:9" ht="23.25" x14ac:dyDescent="0.25">
      <c r="B52" s="143" t="s">
        <v>388</v>
      </c>
      <c r="C52" s="143" t="s">
        <v>331</v>
      </c>
      <c r="D52" s="143" t="s">
        <v>389</v>
      </c>
      <c r="E52" s="143" t="s">
        <v>124</v>
      </c>
      <c r="F52" s="143" t="s">
        <v>390</v>
      </c>
      <c r="G52" s="144">
        <v>47639.87</v>
      </c>
      <c r="H52" s="144">
        <v>4856.71</v>
      </c>
      <c r="I52" s="144">
        <v>4856.71</v>
      </c>
    </row>
    <row r="53" spans="1:9" x14ac:dyDescent="0.25">
      <c r="B53" s="143" t="s">
        <v>391</v>
      </c>
      <c r="C53" s="143" t="s">
        <v>331</v>
      </c>
      <c r="D53" s="143" t="s">
        <v>392</v>
      </c>
      <c r="E53" s="143" t="s">
        <v>124</v>
      </c>
      <c r="F53" s="143" t="s">
        <v>391</v>
      </c>
      <c r="G53" s="144">
        <v>10226.11</v>
      </c>
      <c r="H53" s="144">
        <v>8226.11</v>
      </c>
      <c r="I53" s="144">
        <v>13082.82</v>
      </c>
    </row>
    <row r="54" spans="1:9" x14ac:dyDescent="0.25">
      <c r="A54" s="142" t="s">
        <v>393</v>
      </c>
      <c r="G54" s="145">
        <v>57865.98</v>
      </c>
      <c r="H54" s="145">
        <v>13082.82</v>
      </c>
    </row>
    <row r="55" spans="1:9" x14ac:dyDescent="0.25">
      <c r="A55" s="142" t="s">
        <v>394</v>
      </c>
    </row>
    <row r="56" spans="1:9" x14ac:dyDescent="0.25">
      <c r="B56" s="143" t="s">
        <v>395</v>
      </c>
      <c r="C56" s="143" t="s">
        <v>331</v>
      </c>
      <c r="D56" s="143">
        <v>3184</v>
      </c>
      <c r="E56" s="143" t="s">
        <v>396</v>
      </c>
      <c r="F56" s="143" t="s">
        <v>397</v>
      </c>
      <c r="G56" s="144">
        <v>3568.71</v>
      </c>
      <c r="H56" s="144">
        <v>3568.71</v>
      </c>
      <c r="I56" s="144">
        <v>3568.71</v>
      </c>
    </row>
    <row r="57" spans="1:9" x14ac:dyDescent="0.25">
      <c r="A57" s="142" t="s">
        <v>398</v>
      </c>
      <c r="G57" s="145">
        <v>3568.71</v>
      </c>
      <c r="H57" s="145">
        <v>3568.71</v>
      </c>
    </row>
    <row r="58" spans="1:9" x14ac:dyDescent="0.25">
      <c r="A58" s="142" t="s">
        <v>399</v>
      </c>
    </row>
    <row r="59" spans="1:9" x14ac:dyDescent="0.25">
      <c r="B59" s="143" t="s">
        <v>400</v>
      </c>
      <c r="C59" s="143" t="s">
        <v>331</v>
      </c>
      <c r="D59" s="143">
        <v>3728</v>
      </c>
      <c r="E59" s="143" t="s">
        <v>124</v>
      </c>
      <c r="F59" s="143" t="s">
        <v>401</v>
      </c>
      <c r="G59" s="144">
        <v>145179.4</v>
      </c>
      <c r="H59" s="144">
        <v>130661.46</v>
      </c>
      <c r="I59" s="144">
        <v>130661.46</v>
      </c>
    </row>
    <row r="60" spans="1:9" x14ac:dyDescent="0.25">
      <c r="A60" s="142" t="s">
        <v>402</v>
      </c>
      <c r="G60" s="145">
        <v>145179.4</v>
      </c>
      <c r="H60" s="145">
        <v>130661.46</v>
      </c>
    </row>
    <row r="61" spans="1:9" x14ac:dyDescent="0.25">
      <c r="A61" s="142" t="s">
        <v>403</v>
      </c>
    </row>
    <row r="62" spans="1:9" x14ac:dyDescent="0.25">
      <c r="B62" s="143" t="s">
        <v>404</v>
      </c>
      <c r="C62" s="143" t="s">
        <v>331</v>
      </c>
      <c r="D62" s="143" t="s">
        <v>405</v>
      </c>
      <c r="E62" s="143" t="s">
        <v>125</v>
      </c>
      <c r="F62" s="143" t="s">
        <v>404</v>
      </c>
      <c r="G62" s="144">
        <v>8796.74</v>
      </c>
      <c r="H62" s="144">
        <v>8796.74</v>
      </c>
      <c r="I62" s="144">
        <v>8796.74</v>
      </c>
    </row>
    <row r="63" spans="1:9" x14ac:dyDescent="0.25">
      <c r="B63" s="143" t="s">
        <v>406</v>
      </c>
      <c r="C63" s="143" t="s">
        <v>331</v>
      </c>
      <c r="D63" s="143">
        <v>3394</v>
      </c>
      <c r="E63" s="143" t="s">
        <v>125</v>
      </c>
      <c r="F63" s="143" t="s">
        <v>407</v>
      </c>
      <c r="G63" s="144">
        <v>64239.98</v>
      </c>
      <c r="H63" s="144">
        <v>2912.17</v>
      </c>
      <c r="I63" s="144">
        <v>11708.91</v>
      </c>
    </row>
    <row r="64" spans="1:9" x14ac:dyDescent="0.25">
      <c r="A64" s="142" t="s">
        <v>408</v>
      </c>
      <c r="G64" s="145">
        <v>73036.72</v>
      </c>
      <c r="H64" s="145">
        <v>11708.91</v>
      </c>
    </row>
    <row r="65" spans="1:9" x14ac:dyDescent="0.25">
      <c r="A65" s="142" t="s">
        <v>409</v>
      </c>
    </row>
    <row r="66" spans="1:9" x14ac:dyDescent="0.25">
      <c r="B66" s="143" t="s">
        <v>410</v>
      </c>
      <c r="C66" s="143" t="s">
        <v>331</v>
      </c>
      <c r="D66" s="143">
        <v>3393</v>
      </c>
      <c r="E66" s="143"/>
      <c r="F66" s="143" t="s">
        <v>411</v>
      </c>
      <c r="G66" s="144">
        <v>12600</v>
      </c>
      <c r="H66" s="144">
        <v>12600</v>
      </c>
      <c r="I66" s="144">
        <v>12600</v>
      </c>
    </row>
    <row r="67" spans="1:9" x14ac:dyDescent="0.25">
      <c r="A67" s="142" t="s">
        <v>412</v>
      </c>
      <c r="G67" s="145">
        <v>12600</v>
      </c>
      <c r="H67" s="145">
        <v>12600</v>
      </c>
    </row>
    <row r="68" spans="1:9" x14ac:dyDescent="0.25">
      <c r="A68" s="142" t="s">
        <v>413</v>
      </c>
    </row>
    <row r="69" spans="1:9" x14ac:dyDescent="0.25">
      <c r="B69" s="143" t="s">
        <v>385</v>
      </c>
      <c r="C69" s="143" t="s">
        <v>331</v>
      </c>
      <c r="D69" s="143">
        <v>3114</v>
      </c>
      <c r="E69" s="143" t="s">
        <v>128</v>
      </c>
      <c r="F69" s="143" t="s">
        <v>337</v>
      </c>
      <c r="G69" s="144">
        <v>1562.4</v>
      </c>
      <c r="H69" s="144">
        <v>573.34</v>
      </c>
      <c r="I69" s="144">
        <v>573.34</v>
      </c>
    </row>
    <row r="70" spans="1:9" x14ac:dyDescent="0.25">
      <c r="B70" s="143" t="s">
        <v>414</v>
      </c>
      <c r="C70" s="143" t="s">
        <v>331</v>
      </c>
      <c r="D70" s="143">
        <v>3148</v>
      </c>
      <c r="E70" s="143" t="s">
        <v>128</v>
      </c>
      <c r="F70" s="143" t="s">
        <v>339</v>
      </c>
      <c r="G70" s="144">
        <v>113.4</v>
      </c>
      <c r="H70" s="144">
        <v>113.4</v>
      </c>
      <c r="I70" s="144">
        <v>686.74</v>
      </c>
    </row>
    <row r="71" spans="1:9" x14ac:dyDescent="0.25">
      <c r="B71" s="143" t="s">
        <v>415</v>
      </c>
      <c r="C71" s="143" t="s">
        <v>331</v>
      </c>
      <c r="D71" s="143">
        <v>3170</v>
      </c>
      <c r="E71" s="143" t="s">
        <v>128</v>
      </c>
      <c r="F71" s="143" t="s">
        <v>416</v>
      </c>
      <c r="G71" s="144">
        <v>630</v>
      </c>
      <c r="H71" s="144">
        <v>630</v>
      </c>
      <c r="I71" s="144">
        <v>1316.74</v>
      </c>
    </row>
    <row r="72" spans="1:9" x14ac:dyDescent="0.25">
      <c r="B72" s="143" t="s">
        <v>417</v>
      </c>
      <c r="C72" s="143" t="s">
        <v>331</v>
      </c>
      <c r="D72" s="143">
        <v>3195</v>
      </c>
      <c r="E72" s="143" t="s">
        <v>128</v>
      </c>
      <c r="F72" s="143" t="s">
        <v>418</v>
      </c>
      <c r="G72" s="144">
        <v>1222.2</v>
      </c>
      <c r="H72" s="144">
        <v>1222.2</v>
      </c>
      <c r="I72" s="144">
        <v>2538.94</v>
      </c>
    </row>
    <row r="73" spans="1:9" x14ac:dyDescent="0.25">
      <c r="B73" s="143" t="s">
        <v>417</v>
      </c>
      <c r="C73" s="143" t="s">
        <v>331</v>
      </c>
      <c r="D73" s="143">
        <v>3193</v>
      </c>
      <c r="E73" s="143" t="s">
        <v>128</v>
      </c>
      <c r="F73" s="143" t="s">
        <v>418</v>
      </c>
      <c r="G73" s="144">
        <v>504</v>
      </c>
      <c r="H73" s="144">
        <v>504</v>
      </c>
      <c r="I73" s="144">
        <v>3042.94</v>
      </c>
    </row>
    <row r="74" spans="1:9" x14ac:dyDescent="0.25">
      <c r="B74" s="143" t="s">
        <v>419</v>
      </c>
      <c r="C74" s="143" t="s">
        <v>331</v>
      </c>
      <c r="D74" s="143">
        <v>3349</v>
      </c>
      <c r="E74" s="143" t="s">
        <v>128</v>
      </c>
      <c r="F74" s="143" t="s">
        <v>420</v>
      </c>
      <c r="G74" s="144">
        <v>478.8</v>
      </c>
      <c r="H74" s="144">
        <v>478.8</v>
      </c>
      <c r="I74" s="144">
        <v>3521.74</v>
      </c>
    </row>
    <row r="75" spans="1:9" x14ac:dyDescent="0.25">
      <c r="B75" s="143" t="s">
        <v>421</v>
      </c>
      <c r="C75" s="143" t="s">
        <v>331</v>
      </c>
      <c r="D75" s="143">
        <v>3520</v>
      </c>
      <c r="E75" s="143" t="s">
        <v>128</v>
      </c>
      <c r="F75" s="143" t="s">
        <v>422</v>
      </c>
      <c r="G75" s="144">
        <v>860.96</v>
      </c>
      <c r="H75" s="144">
        <v>860.96</v>
      </c>
      <c r="I75" s="144">
        <v>4382.7</v>
      </c>
    </row>
    <row r="76" spans="1:9" x14ac:dyDescent="0.25">
      <c r="B76" s="143" t="s">
        <v>421</v>
      </c>
      <c r="C76" s="143" t="s">
        <v>331</v>
      </c>
      <c r="D76" s="143">
        <v>3522</v>
      </c>
      <c r="E76" s="143" t="s">
        <v>128</v>
      </c>
      <c r="F76" s="143" t="s">
        <v>422</v>
      </c>
      <c r="G76" s="144">
        <v>478.8</v>
      </c>
      <c r="H76" s="144">
        <v>478.8</v>
      </c>
      <c r="I76" s="144">
        <v>4861.5</v>
      </c>
    </row>
    <row r="77" spans="1:9" x14ac:dyDescent="0.25">
      <c r="B77" s="143" t="s">
        <v>421</v>
      </c>
      <c r="C77" s="143" t="s">
        <v>331</v>
      </c>
      <c r="D77" s="143">
        <v>3519</v>
      </c>
      <c r="E77" s="143" t="s">
        <v>128</v>
      </c>
      <c r="F77" s="143" t="s">
        <v>422</v>
      </c>
      <c r="G77" s="144">
        <v>869.4</v>
      </c>
      <c r="H77" s="144">
        <v>869.4</v>
      </c>
      <c r="I77" s="144">
        <v>5730.9</v>
      </c>
    </row>
    <row r="78" spans="1:9" x14ac:dyDescent="0.25">
      <c r="B78" s="143" t="s">
        <v>421</v>
      </c>
      <c r="C78" s="143" t="s">
        <v>331</v>
      </c>
      <c r="D78" s="143">
        <v>3521</v>
      </c>
      <c r="E78" s="143" t="s">
        <v>128</v>
      </c>
      <c r="F78" s="143" t="s">
        <v>422</v>
      </c>
      <c r="G78" s="144">
        <v>113.4</v>
      </c>
      <c r="H78" s="144">
        <v>113.4</v>
      </c>
      <c r="I78" s="144">
        <v>5844.3</v>
      </c>
    </row>
    <row r="79" spans="1:9" x14ac:dyDescent="0.25">
      <c r="B79" s="143" t="s">
        <v>421</v>
      </c>
      <c r="C79" s="143" t="s">
        <v>331</v>
      </c>
      <c r="D79" s="143">
        <v>3523</v>
      </c>
      <c r="E79" s="143" t="s">
        <v>128</v>
      </c>
      <c r="F79" s="143" t="s">
        <v>422</v>
      </c>
      <c r="G79" s="144">
        <v>749.44</v>
      </c>
      <c r="H79" s="144">
        <v>749.44</v>
      </c>
      <c r="I79" s="144">
        <v>6593.74</v>
      </c>
    </row>
    <row r="80" spans="1:9" x14ac:dyDescent="0.25">
      <c r="B80" s="143" t="s">
        <v>346</v>
      </c>
      <c r="C80" s="143" t="s">
        <v>331</v>
      </c>
      <c r="D80" s="143">
        <v>3579</v>
      </c>
      <c r="E80" s="143" t="s">
        <v>128</v>
      </c>
      <c r="F80" s="143" t="s">
        <v>347</v>
      </c>
      <c r="G80" s="144">
        <v>529.20000000000005</v>
      </c>
      <c r="H80" s="144">
        <v>529.20000000000005</v>
      </c>
      <c r="I80" s="144">
        <v>7122.94</v>
      </c>
    </row>
    <row r="81" spans="2:9" x14ac:dyDescent="0.25">
      <c r="B81" s="143" t="s">
        <v>346</v>
      </c>
      <c r="C81" s="143" t="s">
        <v>331</v>
      </c>
      <c r="D81" s="143">
        <v>3583</v>
      </c>
      <c r="E81" s="143" t="s">
        <v>128</v>
      </c>
      <c r="F81" s="143" t="s">
        <v>347</v>
      </c>
      <c r="G81" s="144">
        <v>302.39999999999998</v>
      </c>
      <c r="H81" s="144">
        <v>302.39999999999998</v>
      </c>
      <c r="I81" s="144">
        <v>7425.34</v>
      </c>
    </row>
    <row r="82" spans="2:9" x14ac:dyDescent="0.25">
      <c r="B82" s="143" t="s">
        <v>346</v>
      </c>
      <c r="C82" s="143" t="s">
        <v>331</v>
      </c>
      <c r="D82" s="143">
        <v>3580</v>
      </c>
      <c r="E82" s="143" t="s">
        <v>128</v>
      </c>
      <c r="F82" s="143" t="s">
        <v>347</v>
      </c>
      <c r="G82" s="144">
        <v>195.3</v>
      </c>
      <c r="H82" s="144">
        <v>195.3</v>
      </c>
      <c r="I82" s="144">
        <v>7620.64</v>
      </c>
    </row>
    <row r="83" spans="2:9" x14ac:dyDescent="0.25">
      <c r="B83" s="143" t="s">
        <v>346</v>
      </c>
      <c r="C83" s="143" t="s">
        <v>331</v>
      </c>
      <c r="D83" s="143">
        <v>3593</v>
      </c>
      <c r="E83" s="143" t="s">
        <v>128</v>
      </c>
      <c r="F83" s="143" t="s">
        <v>347</v>
      </c>
      <c r="G83" s="144">
        <v>302.39999999999998</v>
      </c>
      <c r="H83" s="144">
        <v>302.39999999999998</v>
      </c>
      <c r="I83" s="144">
        <v>7923.04</v>
      </c>
    </row>
    <row r="84" spans="2:9" x14ac:dyDescent="0.25">
      <c r="B84" s="143" t="s">
        <v>423</v>
      </c>
      <c r="C84" s="143" t="s">
        <v>331</v>
      </c>
      <c r="D84" s="143">
        <v>3610</v>
      </c>
      <c r="E84" s="143" t="s">
        <v>128</v>
      </c>
      <c r="F84" s="143" t="s">
        <v>424</v>
      </c>
      <c r="G84" s="144">
        <v>412.65</v>
      </c>
      <c r="H84" s="144">
        <v>412.65</v>
      </c>
      <c r="I84" s="144">
        <v>8335.69</v>
      </c>
    </row>
    <row r="85" spans="2:9" x14ac:dyDescent="0.25">
      <c r="B85" s="143" t="s">
        <v>423</v>
      </c>
      <c r="C85" s="143" t="s">
        <v>331</v>
      </c>
      <c r="D85" s="143">
        <v>3606</v>
      </c>
      <c r="E85" s="143" t="s">
        <v>128</v>
      </c>
      <c r="F85" s="143" t="s">
        <v>424</v>
      </c>
      <c r="G85" s="144">
        <v>586.91</v>
      </c>
      <c r="H85" s="144">
        <v>586.91</v>
      </c>
      <c r="I85" s="144">
        <v>8922.6</v>
      </c>
    </row>
    <row r="86" spans="2:9" x14ac:dyDescent="0.25">
      <c r="B86" s="143" t="s">
        <v>423</v>
      </c>
      <c r="C86" s="143" t="s">
        <v>331</v>
      </c>
      <c r="D86" s="143">
        <v>3614</v>
      </c>
      <c r="E86" s="143" t="s">
        <v>128</v>
      </c>
      <c r="F86" s="143" t="s">
        <v>424</v>
      </c>
      <c r="G86" s="144">
        <v>151.19999999999999</v>
      </c>
      <c r="H86" s="144">
        <v>151.19999999999999</v>
      </c>
      <c r="I86" s="144">
        <v>9073.7999999999993</v>
      </c>
    </row>
    <row r="87" spans="2:9" x14ac:dyDescent="0.25">
      <c r="B87" s="143" t="s">
        <v>423</v>
      </c>
      <c r="C87" s="143" t="s">
        <v>331</v>
      </c>
      <c r="D87" s="143">
        <v>3615</v>
      </c>
      <c r="E87" s="143" t="s">
        <v>128</v>
      </c>
      <c r="F87" s="143" t="s">
        <v>424</v>
      </c>
      <c r="G87" s="144">
        <v>151.19999999999999</v>
      </c>
      <c r="H87" s="144">
        <v>151.19999999999999</v>
      </c>
      <c r="I87" s="144">
        <v>9225</v>
      </c>
    </row>
    <row r="88" spans="2:9" x14ac:dyDescent="0.25">
      <c r="B88" s="143" t="s">
        <v>423</v>
      </c>
      <c r="C88" s="143" t="s">
        <v>331</v>
      </c>
      <c r="D88" s="143">
        <v>3617</v>
      </c>
      <c r="E88" s="143" t="s">
        <v>128</v>
      </c>
      <c r="F88" s="143" t="s">
        <v>424</v>
      </c>
      <c r="G88" s="144">
        <v>239.27</v>
      </c>
      <c r="H88" s="144">
        <v>239.27</v>
      </c>
      <c r="I88" s="144">
        <v>9464.27</v>
      </c>
    </row>
    <row r="89" spans="2:9" x14ac:dyDescent="0.25">
      <c r="B89" s="143" t="s">
        <v>423</v>
      </c>
      <c r="C89" s="143" t="s">
        <v>331</v>
      </c>
      <c r="D89" s="143">
        <v>3618</v>
      </c>
      <c r="E89" s="143" t="s">
        <v>128</v>
      </c>
      <c r="F89" s="143" t="s">
        <v>424</v>
      </c>
      <c r="G89" s="144">
        <v>239.27</v>
      </c>
      <c r="H89" s="144">
        <v>239.27</v>
      </c>
      <c r="I89" s="144">
        <v>9703.5400000000009</v>
      </c>
    </row>
    <row r="90" spans="2:9" x14ac:dyDescent="0.25">
      <c r="B90" s="143" t="s">
        <v>423</v>
      </c>
      <c r="C90" s="143" t="s">
        <v>331</v>
      </c>
      <c r="D90" s="143">
        <v>3607</v>
      </c>
      <c r="E90" s="143" t="s">
        <v>128</v>
      </c>
      <c r="F90" s="143" t="s">
        <v>424</v>
      </c>
      <c r="G90" s="144">
        <v>302.39999999999998</v>
      </c>
      <c r="H90" s="144">
        <v>302.39999999999998</v>
      </c>
      <c r="I90" s="144">
        <v>10005.94</v>
      </c>
    </row>
    <row r="91" spans="2:9" x14ac:dyDescent="0.25">
      <c r="B91" s="143" t="s">
        <v>423</v>
      </c>
      <c r="C91" s="143" t="s">
        <v>331</v>
      </c>
      <c r="D91" s="143">
        <v>3608</v>
      </c>
      <c r="E91" s="143" t="s">
        <v>128</v>
      </c>
      <c r="F91" s="143" t="s">
        <v>424</v>
      </c>
      <c r="G91" s="144">
        <v>302.39999999999998</v>
      </c>
      <c r="H91" s="144">
        <v>302.39999999999998</v>
      </c>
      <c r="I91" s="144">
        <v>10308.34</v>
      </c>
    </row>
    <row r="92" spans="2:9" x14ac:dyDescent="0.25">
      <c r="B92" s="143" t="s">
        <v>423</v>
      </c>
      <c r="C92" s="143" t="s">
        <v>331</v>
      </c>
      <c r="D92" s="143">
        <v>3609</v>
      </c>
      <c r="E92" s="143" t="s">
        <v>128</v>
      </c>
      <c r="F92" s="143" t="s">
        <v>424</v>
      </c>
      <c r="G92" s="144">
        <v>368.55</v>
      </c>
      <c r="H92" s="144">
        <v>368.55</v>
      </c>
      <c r="I92" s="144">
        <v>10676.89</v>
      </c>
    </row>
    <row r="93" spans="2:9" x14ac:dyDescent="0.25">
      <c r="B93" s="143" t="s">
        <v>423</v>
      </c>
      <c r="C93" s="143" t="s">
        <v>331</v>
      </c>
      <c r="D93" s="143">
        <v>3611</v>
      </c>
      <c r="E93" s="143" t="s">
        <v>128</v>
      </c>
      <c r="F93" s="143" t="s">
        <v>424</v>
      </c>
      <c r="G93" s="144">
        <v>435.71</v>
      </c>
      <c r="H93" s="144">
        <v>435.71</v>
      </c>
      <c r="I93" s="144">
        <v>11112.6</v>
      </c>
    </row>
    <row r="94" spans="2:9" x14ac:dyDescent="0.25">
      <c r="B94" s="143" t="s">
        <v>423</v>
      </c>
      <c r="C94" s="143" t="s">
        <v>331</v>
      </c>
      <c r="D94" s="143">
        <v>3605</v>
      </c>
      <c r="E94" s="143" t="s">
        <v>128</v>
      </c>
      <c r="F94" s="143" t="s">
        <v>424</v>
      </c>
      <c r="G94" s="144">
        <v>435.71</v>
      </c>
      <c r="H94" s="144">
        <v>435.71</v>
      </c>
      <c r="I94" s="144">
        <v>11548.31</v>
      </c>
    </row>
    <row r="95" spans="2:9" x14ac:dyDescent="0.25">
      <c r="B95" s="143" t="s">
        <v>423</v>
      </c>
      <c r="C95" s="143" t="s">
        <v>331</v>
      </c>
      <c r="D95" s="143">
        <v>3612</v>
      </c>
      <c r="E95" s="143" t="s">
        <v>128</v>
      </c>
      <c r="F95" s="143" t="s">
        <v>424</v>
      </c>
      <c r="G95" s="144">
        <v>66.150000000000006</v>
      </c>
      <c r="H95" s="144">
        <v>66.150000000000006</v>
      </c>
      <c r="I95" s="144">
        <v>11614.46</v>
      </c>
    </row>
    <row r="96" spans="2:9" x14ac:dyDescent="0.25">
      <c r="B96" s="143" t="s">
        <v>423</v>
      </c>
      <c r="C96" s="143" t="s">
        <v>331</v>
      </c>
      <c r="D96" s="143">
        <v>3619</v>
      </c>
      <c r="E96" s="143" t="s">
        <v>128</v>
      </c>
      <c r="F96" s="143" t="s">
        <v>424</v>
      </c>
      <c r="G96" s="144">
        <v>113.4</v>
      </c>
      <c r="H96" s="144">
        <v>113.4</v>
      </c>
      <c r="I96" s="144">
        <v>11727.86</v>
      </c>
    </row>
    <row r="97" spans="1:9" x14ac:dyDescent="0.25">
      <c r="B97" s="143" t="s">
        <v>423</v>
      </c>
      <c r="C97" s="143" t="s">
        <v>331</v>
      </c>
      <c r="D97" s="143">
        <v>3616</v>
      </c>
      <c r="E97" s="143" t="s">
        <v>128</v>
      </c>
      <c r="F97" s="143" t="s">
        <v>424</v>
      </c>
      <c r="G97" s="144">
        <v>113.4</v>
      </c>
      <c r="H97" s="144">
        <v>113.4</v>
      </c>
      <c r="I97" s="144">
        <v>11841.26</v>
      </c>
    </row>
    <row r="98" spans="1:9" x14ac:dyDescent="0.25">
      <c r="B98" s="143" t="s">
        <v>423</v>
      </c>
      <c r="C98" s="143" t="s">
        <v>331</v>
      </c>
      <c r="D98" s="143">
        <v>3613</v>
      </c>
      <c r="E98" s="143" t="s">
        <v>128</v>
      </c>
      <c r="F98" s="143" t="s">
        <v>424</v>
      </c>
      <c r="G98" s="144">
        <v>151.19999999999999</v>
      </c>
      <c r="H98" s="144">
        <v>151.19999999999999</v>
      </c>
      <c r="I98" s="144">
        <v>11992.46</v>
      </c>
    </row>
    <row r="99" spans="1:9" x14ac:dyDescent="0.25">
      <c r="B99" s="143" t="s">
        <v>425</v>
      </c>
      <c r="C99" s="143" t="s">
        <v>331</v>
      </c>
      <c r="D99" s="143">
        <v>3639</v>
      </c>
      <c r="E99" s="143" t="s">
        <v>128</v>
      </c>
      <c r="F99" s="143" t="s">
        <v>426</v>
      </c>
      <c r="G99" s="144">
        <v>333.9</v>
      </c>
      <c r="H99" s="144">
        <v>333.9</v>
      </c>
      <c r="I99" s="144">
        <v>12326.36</v>
      </c>
    </row>
    <row r="100" spans="1:9" x14ac:dyDescent="0.25">
      <c r="A100" s="142" t="s">
        <v>427</v>
      </c>
      <c r="G100" s="145">
        <v>13315.42</v>
      </c>
      <c r="H100" s="145">
        <v>12326.36</v>
      </c>
    </row>
    <row r="101" spans="1:9" x14ac:dyDescent="0.25">
      <c r="A101" s="142" t="s">
        <v>428</v>
      </c>
    </row>
    <row r="102" spans="1:9" x14ac:dyDescent="0.25">
      <c r="B102" s="143" t="s">
        <v>407</v>
      </c>
      <c r="C102" s="143" t="s">
        <v>331</v>
      </c>
      <c r="D102" s="143">
        <v>3392</v>
      </c>
      <c r="E102" s="143"/>
      <c r="F102" s="143" t="s">
        <v>429</v>
      </c>
      <c r="G102" s="144">
        <v>2465.25</v>
      </c>
      <c r="H102" s="144">
        <v>2465.25</v>
      </c>
      <c r="I102" s="144">
        <v>2465.25</v>
      </c>
    </row>
    <row r="103" spans="1:9" x14ac:dyDescent="0.25">
      <c r="B103" s="143" t="s">
        <v>407</v>
      </c>
      <c r="C103" s="143" t="s">
        <v>331</v>
      </c>
      <c r="D103" s="143">
        <v>3391</v>
      </c>
      <c r="E103" s="143" t="s">
        <v>396</v>
      </c>
      <c r="F103" s="143" t="s">
        <v>429</v>
      </c>
      <c r="G103" s="144">
        <v>2832.11</v>
      </c>
      <c r="H103" s="144">
        <v>2832.11</v>
      </c>
      <c r="I103" s="144">
        <v>5297.36</v>
      </c>
    </row>
    <row r="104" spans="1:9" x14ac:dyDescent="0.25">
      <c r="B104" s="143" t="s">
        <v>410</v>
      </c>
      <c r="C104" s="143" t="s">
        <v>430</v>
      </c>
      <c r="D104" s="143">
        <v>3427</v>
      </c>
      <c r="E104" s="143" t="s">
        <v>396</v>
      </c>
      <c r="F104" s="143" t="s">
        <v>410</v>
      </c>
      <c r="G104" s="144">
        <v>-253.76</v>
      </c>
      <c r="H104" s="144">
        <v>-253.76</v>
      </c>
      <c r="I104" s="144">
        <v>5043.6000000000004</v>
      </c>
    </row>
    <row r="105" spans="1:9" x14ac:dyDescent="0.25">
      <c r="B105" s="143" t="s">
        <v>343</v>
      </c>
      <c r="C105" s="143" t="s">
        <v>331</v>
      </c>
      <c r="D105" s="143">
        <v>3699</v>
      </c>
      <c r="E105" s="143" t="s">
        <v>396</v>
      </c>
      <c r="F105" s="143" t="s">
        <v>344</v>
      </c>
      <c r="G105" s="144">
        <v>3822.27</v>
      </c>
      <c r="H105" s="144">
        <v>3822.27</v>
      </c>
      <c r="I105" s="144">
        <v>8865.8700000000008</v>
      </c>
    </row>
    <row r="106" spans="1:9" x14ac:dyDescent="0.25">
      <c r="B106" s="143" t="s">
        <v>344</v>
      </c>
      <c r="C106" s="143" t="s">
        <v>331</v>
      </c>
      <c r="D106" s="143">
        <v>3700</v>
      </c>
      <c r="E106" s="143" t="s">
        <v>396</v>
      </c>
      <c r="F106" s="143" t="s">
        <v>345</v>
      </c>
      <c r="G106" s="144">
        <v>3709.19</v>
      </c>
      <c r="H106" s="144">
        <v>3709.19</v>
      </c>
      <c r="I106" s="144">
        <v>12575.06</v>
      </c>
    </row>
    <row r="107" spans="1:9" x14ac:dyDescent="0.25">
      <c r="B107" s="143" t="s">
        <v>346</v>
      </c>
      <c r="C107" s="143" t="s">
        <v>331</v>
      </c>
      <c r="D107" s="143">
        <v>3701</v>
      </c>
      <c r="E107" s="143" t="s">
        <v>396</v>
      </c>
      <c r="F107" s="143" t="s">
        <v>347</v>
      </c>
      <c r="G107" s="144">
        <v>3369.93</v>
      </c>
      <c r="H107" s="144">
        <v>3369.93</v>
      </c>
      <c r="I107" s="144">
        <v>15944.99</v>
      </c>
    </row>
    <row r="108" spans="1:9" x14ac:dyDescent="0.25">
      <c r="B108" s="143" t="s">
        <v>347</v>
      </c>
      <c r="C108" s="143" t="s">
        <v>331</v>
      </c>
      <c r="D108" s="143">
        <v>3702</v>
      </c>
      <c r="E108" s="143" t="s">
        <v>396</v>
      </c>
      <c r="F108" s="143" t="s">
        <v>348</v>
      </c>
      <c r="G108" s="144">
        <v>2623.57</v>
      </c>
      <c r="H108" s="144">
        <v>2623.57</v>
      </c>
      <c r="I108" s="144">
        <v>18568.560000000001</v>
      </c>
    </row>
    <row r="109" spans="1:9" x14ac:dyDescent="0.25">
      <c r="B109" s="143" t="s">
        <v>347</v>
      </c>
      <c r="C109" s="143" t="s">
        <v>331</v>
      </c>
      <c r="D109" s="143">
        <v>3630</v>
      </c>
      <c r="E109" s="143" t="s">
        <v>396</v>
      </c>
      <c r="F109" s="143" t="s">
        <v>348</v>
      </c>
      <c r="G109" s="144">
        <v>642.6</v>
      </c>
      <c r="H109" s="144">
        <v>642.6</v>
      </c>
      <c r="I109" s="144">
        <v>19211.16</v>
      </c>
    </row>
    <row r="110" spans="1:9" x14ac:dyDescent="0.25">
      <c r="B110" s="143" t="s">
        <v>347</v>
      </c>
      <c r="C110" s="143" t="s">
        <v>331</v>
      </c>
      <c r="D110" s="143">
        <v>3690</v>
      </c>
      <c r="E110" s="143" t="s">
        <v>396</v>
      </c>
      <c r="F110" s="143" t="s">
        <v>348</v>
      </c>
      <c r="G110" s="144">
        <v>3659.04</v>
      </c>
      <c r="H110" s="144">
        <v>3659.04</v>
      </c>
      <c r="I110" s="144">
        <v>22870.2</v>
      </c>
    </row>
    <row r="111" spans="1:9" x14ac:dyDescent="0.25">
      <c r="B111" s="143" t="s">
        <v>349</v>
      </c>
      <c r="C111" s="143" t="s">
        <v>331</v>
      </c>
      <c r="D111" s="143">
        <v>3747</v>
      </c>
      <c r="E111" s="143" t="s">
        <v>396</v>
      </c>
      <c r="F111" s="143" t="s">
        <v>349</v>
      </c>
      <c r="G111" s="144">
        <v>3858.63</v>
      </c>
      <c r="H111" s="144">
        <v>3858.63</v>
      </c>
      <c r="I111" s="144">
        <v>26728.83</v>
      </c>
    </row>
    <row r="112" spans="1:9" x14ac:dyDescent="0.25">
      <c r="B112" s="143" t="s">
        <v>349</v>
      </c>
      <c r="C112" s="143" t="s">
        <v>331</v>
      </c>
      <c r="D112" s="143">
        <v>3748</v>
      </c>
      <c r="E112" s="143" t="s">
        <v>396</v>
      </c>
      <c r="F112" s="143" t="s">
        <v>349</v>
      </c>
      <c r="G112" s="144">
        <v>3893.4</v>
      </c>
      <c r="H112" s="144">
        <v>3893.4</v>
      </c>
      <c r="I112" s="144">
        <v>30622.23</v>
      </c>
    </row>
    <row r="113" spans="1:9" x14ac:dyDescent="0.25">
      <c r="B113" s="143" t="s">
        <v>349</v>
      </c>
      <c r="C113" s="143" t="s">
        <v>331</v>
      </c>
      <c r="D113" s="143">
        <v>3746</v>
      </c>
      <c r="E113" s="143" t="s">
        <v>396</v>
      </c>
      <c r="F113" s="143" t="s">
        <v>349</v>
      </c>
      <c r="G113" s="144">
        <v>1831.97</v>
      </c>
      <c r="H113" s="144">
        <v>1831.97</v>
      </c>
      <c r="I113" s="144">
        <v>32454.2</v>
      </c>
    </row>
    <row r="114" spans="1:9" x14ac:dyDescent="0.25">
      <c r="B114" s="143" t="s">
        <v>351</v>
      </c>
      <c r="C114" s="143" t="s">
        <v>331</v>
      </c>
      <c r="D114" s="143">
        <v>3788</v>
      </c>
      <c r="E114" s="143" t="s">
        <v>396</v>
      </c>
      <c r="F114" s="143" t="s">
        <v>351</v>
      </c>
      <c r="G114" s="144">
        <v>1560.57</v>
      </c>
      <c r="H114" s="144">
        <v>1560.57</v>
      </c>
      <c r="I114" s="144">
        <v>34014.769999999997</v>
      </c>
    </row>
    <row r="115" spans="1:9" x14ac:dyDescent="0.25">
      <c r="B115" s="143" t="s">
        <v>351</v>
      </c>
      <c r="C115" s="143" t="s">
        <v>331</v>
      </c>
      <c r="D115" s="143">
        <v>3789</v>
      </c>
      <c r="E115" s="143" t="s">
        <v>396</v>
      </c>
      <c r="F115" s="143" t="s">
        <v>351</v>
      </c>
      <c r="G115" s="144">
        <v>3758.83</v>
      </c>
      <c r="H115" s="144">
        <v>3758.83</v>
      </c>
      <c r="I115" s="144">
        <v>37773.599999999999</v>
      </c>
    </row>
    <row r="116" spans="1:9" x14ac:dyDescent="0.25">
      <c r="A116" s="142" t="s">
        <v>431</v>
      </c>
      <c r="G116" s="145">
        <v>37773.599999999999</v>
      </c>
      <c r="H116" s="145">
        <v>37773.599999999999</v>
      </c>
    </row>
    <row r="117" spans="1:9" x14ac:dyDescent="0.25">
      <c r="A117" s="142" t="s">
        <v>432</v>
      </c>
    </row>
    <row r="118" spans="1:9" x14ac:dyDescent="0.25">
      <c r="B118" s="143" t="s">
        <v>433</v>
      </c>
      <c r="C118" s="143" t="s">
        <v>331</v>
      </c>
      <c r="D118" s="143">
        <v>3417</v>
      </c>
      <c r="E118" s="143" t="s">
        <v>124</v>
      </c>
      <c r="F118" s="143" t="s">
        <v>434</v>
      </c>
      <c r="G118" s="144">
        <v>64814.400000000001</v>
      </c>
      <c r="H118" s="144">
        <v>217.03</v>
      </c>
      <c r="I118" s="144">
        <v>217.03</v>
      </c>
    </row>
    <row r="119" spans="1:9" x14ac:dyDescent="0.25">
      <c r="B119" s="143" t="s">
        <v>435</v>
      </c>
      <c r="C119" s="143" t="s">
        <v>331</v>
      </c>
      <c r="D119" s="143">
        <v>3475</v>
      </c>
      <c r="E119" s="143" t="s">
        <v>124</v>
      </c>
      <c r="F119" s="143" t="s">
        <v>436</v>
      </c>
      <c r="G119" s="144">
        <v>14612.85</v>
      </c>
      <c r="H119" s="144">
        <v>997.16</v>
      </c>
      <c r="I119" s="144">
        <v>1214.19</v>
      </c>
    </row>
    <row r="120" spans="1:9" x14ac:dyDescent="0.25">
      <c r="B120" s="143" t="s">
        <v>437</v>
      </c>
      <c r="C120" s="143" t="s">
        <v>331</v>
      </c>
      <c r="D120" s="143">
        <v>3517</v>
      </c>
      <c r="E120" s="143" t="s">
        <v>124</v>
      </c>
      <c r="F120" s="143" t="s">
        <v>438</v>
      </c>
      <c r="G120" s="144">
        <v>46265.31</v>
      </c>
      <c r="H120" s="144">
        <v>997.16</v>
      </c>
      <c r="I120" s="144">
        <v>2211.35</v>
      </c>
    </row>
    <row r="121" spans="1:9" x14ac:dyDescent="0.25">
      <c r="B121" s="143" t="s">
        <v>437</v>
      </c>
      <c r="C121" s="143" t="s">
        <v>331</v>
      </c>
      <c r="D121" s="143">
        <v>3518</v>
      </c>
      <c r="E121" s="143" t="s">
        <v>124</v>
      </c>
      <c r="F121" s="143" t="s">
        <v>438</v>
      </c>
      <c r="G121" s="144">
        <v>21819.42</v>
      </c>
      <c r="H121" s="144">
        <v>340.2</v>
      </c>
      <c r="I121" s="144">
        <v>2551.5500000000002</v>
      </c>
    </row>
    <row r="122" spans="1:9" x14ac:dyDescent="0.25">
      <c r="B122" s="143" t="s">
        <v>439</v>
      </c>
      <c r="C122" s="143" t="s">
        <v>331</v>
      </c>
      <c r="D122" s="143">
        <v>3693</v>
      </c>
      <c r="E122" s="143" t="s">
        <v>124</v>
      </c>
      <c r="F122" s="143" t="s">
        <v>376</v>
      </c>
      <c r="G122" s="144">
        <v>51674.18</v>
      </c>
      <c r="H122" s="144">
        <v>41674.18</v>
      </c>
      <c r="I122" s="144">
        <v>44225.73</v>
      </c>
    </row>
    <row r="123" spans="1:9" x14ac:dyDescent="0.25">
      <c r="B123" s="143" t="s">
        <v>349</v>
      </c>
      <c r="C123" s="143" t="s">
        <v>331</v>
      </c>
      <c r="D123" s="143">
        <v>3724</v>
      </c>
      <c r="E123" s="143" t="s">
        <v>124</v>
      </c>
      <c r="F123" s="143" t="s">
        <v>440</v>
      </c>
      <c r="G123" s="144">
        <v>9133.43</v>
      </c>
      <c r="H123" s="144">
        <v>9133.43</v>
      </c>
      <c r="I123" s="144">
        <v>53359.16</v>
      </c>
    </row>
    <row r="124" spans="1:9" x14ac:dyDescent="0.25">
      <c r="B124" s="143" t="s">
        <v>349</v>
      </c>
      <c r="C124" s="143" t="s">
        <v>331</v>
      </c>
      <c r="D124" s="143">
        <v>3723</v>
      </c>
      <c r="E124" s="143" t="s">
        <v>124</v>
      </c>
      <c r="F124" s="143" t="s">
        <v>440</v>
      </c>
      <c r="G124" s="144">
        <v>62588.4</v>
      </c>
      <c r="H124" s="144">
        <v>62588.4</v>
      </c>
      <c r="I124" s="144">
        <v>115947.56</v>
      </c>
    </row>
    <row r="125" spans="1:9" x14ac:dyDescent="0.25">
      <c r="B125" s="143" t="s">
        <v>441</v>
      </c>
      <c r="C125" s="143" t="s">
        <v>331</v>
      </c>
      <c r="D125" s="143">
        <v>3790</v>
      </c>
      <c r="E125" s="143" t="s">
        <v>124</v>
      </c>
      <c r="F125" s="143" t="s">
        <v>442</v>
      </c>
      <c r="G125" s="144">
        <v>71061.899999999994</v>
      </c>
      <c r="H125" s="144">
        <v>71061.899999999994</v>
      </c>
      <c r="I125" s="144">
        <v>187009.46</v>
      </c>
    </row>
    <row r="126" spans="1:9" x14ac:dyDescent="0.25">
      <c r="B126" s="143" t="s">
        <v>443</v>
      </c>
      <c r="C126" s="143" t="s">
        <v>430</v>
      </c>
      <c r="D126" s="143"/>
      <c r="E126" s="143" t="s">
        <v>124</v>
      </c>
      <c r="F126" s="143" t="s">
        <v>443</v>
      </c>
      <c r="G126" s="144">
        <v>-4861.58</v>
      </c>
      <c r="H126" s="144">
        <v>-4861.58</v>
      </c>
      <c r="I126" s="144">
        <v>182147.88</v>
      </c>
    </row>
    <row r="127" spans="1:9" x14ac:dyDescent="0.25">
      <c r="B127" s="143" t="s">
        <v>372</v>
      </c>
      <c r="C127" s="143" t="s">
        <v>331</v>
      </c>
      <c r="D127" s="143">
        <v>3803</v>
      </c>
      <c r="E127" s="143" t="s">
        <v>124</v>
      </c>
      <c r="F127" s="143" t="s">
        <v>444</v>
      </c>
      <c r="G127" s="144">
        <v>12625.2</v>
      </c>
      <c r="H127" s="144">
        <v>12625.2</v>
      </c>
      <c r="I127" s="144">
        <v>194773.08</v>
      </c>
    </row>
    <row r="128" spans="1:9" x14ac:dyDescent="0.25">
      <c r="A128" s="142" t="s">
        <v>445</v>
      </c>
      <c r="G128" s="145">
        <v>349733.51</v>
      </c>
      <c r="H128" s="145">
        <v>194773.08</v>
      </c>
    </row>
    <row r="129" spans="1:9" x14ac:dyDescent="0.25">
      <c r="A129" s="142" t="s">
        <v>446</v>
      </c>
    </row>
    <row r="130" spans="1:9" x14ac:dyDescent="0.25">
      <c r="B130" s="143" t="s">
        <v>339</v>
      </c>
      <c r="C130" s="143" t="s">
        <v>447</v>
      </c>
      <c r="D130" s="143"/>
      <c r="E130" s="143"/>
      <c r="F130" s="143" t="s">
        <v>339</v>
      </c>
      <c r="G130" s="144">
        <v>-100000</v>
      </c>
      <c r="H130" s="144">
        <v>-63250</v>
      </c>
      <c r="I130" s="144">
        <v>-63250</v>
      </c>
    </row>
    <row r="131" spans="1:9" x14ac:dyDescent="0.25">
      <c r="A131" s="142" t="s">
        <v>448</v>
      </c>
      <c r="G131" s="145">
        <v>-100000</v>
      </c>
      <c r="H131" s="145">
        <v>-63250</v>
      </c>
    </row>
    <row r="132" spans="1:9" x14ac:dyDescent="0.25">
      <c r="A132" s="142" t="s">
        <v>449</v>
      </c>
    </row>
    <row r="133" spans="1:9" x14ac:dyDescent="0.25">
      <c r="B133" s="143" t="s">
        <v>376</v>
      </c>
      <c r="C133" s="143" t="s">
        <v>331</v>
      </c>
      <c r="D133" s="143">
        <v>3786</v>
      </c>
      <c r="E133" s="143" t="s">
        <v>133</v>
      </c>
      <c r="F133" s="143" t="s">
        <v>378</v>
      </c>
      <c r="G133" s="144">
        <v>4310.7299999999996</v>
      </c>
      <c r="H133" s="144">
        <v>4310.7299999999996</v>
      </c>
      <c r="I133" s="144">
        <v>4310.7299999999996</v>
      </c>
    </row>
    <row r="134" spans="1:9" x14ac:dyDescent="0.25">
      <c r="A134" s="142" t="s">
        <v>450</v>
      </c>
      <c r="G134" s="145">
        <v>4310.7299999999996</v>
      </c>
      <c r="H134" s="145">
        <v>4310.7299999999996</v>
      </c>
    </row>
    <row r="135" spans="1:9" x14ac:dyDescent="0.25">
      <c r="A135" s="142" t="s">
        <v>451</v>
      </c>
    </row>
    <row r="136" spans="1:9" x14ac:dyDescent="0.25">
      <c r="B136" s="143" t="s">
        <v>452</v>
      </c>
      <c r="C136" s="143" t="s">
        <v>453</v>
      </c>
      <c r="D136" s="143" t="s">
        <v>454</v>
      </c>
      <c r="E136" s="143" t="s">
        <v>132</v>
      </c>
      <c r="F136" s="143" t="s">
        <v>452</v>
      </c>
      <c r="G136" s="144">
        <v>-50713.2</v>
      </c>
      <c r="H136" s="144">
        <v>-3976.56</v>
      </c>
      <c r="I136" s="144">
        <v>-3976.56</v>
      </c>
    </row>
    <row r="137" spans="1:9" x14ac:dyDescent="0.25">
      <c r="B137" s="143" t="s">
        <v>455</v>
      </c>
      <c r="C137" s="143" t="s">
        <v>453</v>
      </c>
      <c r="D137" s="143" t="s">
        <v>456</v>
      </c>
      <c r="E137" s="143" t="s">
        <v>132</v>
      </c>
      <c r="F137" s="143" t="s">
        <v>455</v>
      </c>
      <c r="G137" s="144">
        <v>-101661.84</v>
      </c>
      <c r="H137" s="144">
        <v>-0.03</v>
      </c>
      <c r="I137" s="144">
        <v>-3976.59</v>
      </c>
    </row>
    <row r="138" spans="1:9" x14ac:dyDescent="0.25">
      <c r="A138" s="142" t="s">
        <v>457</v>
      </c>
      <c r="G138" s="145">
        <v>-152375.04000000001</v>
      </c>
      <c r="H138" s="145">
        <v>-3976.59</v>
      </c>
    </row>
    <row r="139" spans="1:9" x14ac:dyDescent="0.25">
      <c r="A139" s="142" t="s">
        <v>458</v>
      </c>
    </row>
    <row r="140" spans="1:9" x14ac:dyDescent="0.25">
      <c r="B140" s="143" t="s">
        <v>459</v>
      </c>
      <c r="C140" s="143" t="s">
        <v>331</v>
      </c>
      <c r="D140" s="143">
        <v>3706</v>
      </c>
      <c r="E140" s="143" t="s">
        <v>123</v>
      </c>
      <c r="F140" s="143" t="s">
        <v>460</v>
      </c>
      <c r="G140" s="144">
        <v>38482.879999999997</v>
      </c>
      <c r="H140" s="144">
        <v>38482.879999999997</v>
      </c>
      <c r="I140" s="144">
        <v>38482.879999999997</v>
      </c>
    </row>
    <row r="141" spans="1:9" x14ac:dyDescent="0.25">
      <c r="B141" s="143" t="s">
        <v>461</v>
      </c>
      <c r="C141" s="143" t="s">
        <v>331</v>
      </c>
      <c r="D141" s="143">
        <v>3727</v>
      </c>
      <c r="E141" s="143" t="s">
        <v>123</v>
      </c>
      <c r="F141" s="143" t="s">
        <v>354</v>
      </c>
      <c r="G141" s="144">
        <v>64227.6</v>
      </c>
      <c r="H141" s="144">
        <v>64227.6</v>
      </c>
      <c r="I141" s="144">
        <v>102710.48</v>
      </c>
    </row>
    <row r="142" spans="1:9" x14ac:dyDescent="0.25">
      <c r="B142" s="143" t="s">
        <v>462</v>
      </c>
      <c r="C142" s="143" t="s">
        <v>331</v>
      </c>
      <c r="D142" s="143">
        <v>3737</v>
      </c>
      <c r="E142" s="143" t="s">
        <v>123</v>
      </c>
      <c r="F142" s="143" t="s">
        <v>463</v>
      </c>
      <c r="G142" s="144">
        <v>48886.79</v>
      </c>
      <c r="H142" s="144">
        <v>48886.79</v>
      </c>
      <c r="I142" s="144">
        <v>151597.26999999999</v>
      </c>
    </row>
    <row r="143" spans="1:9" x14ac:dyDescent="0.25">
      <c r="B143" s="143" t="s">
        <v>462</v>
      </c>
      <c r="C143" s="143" t="s">
        <v>331</v>
      </c>
      <c r="D143" s="143">
        <v>3740</v>
      </c>
      <c r="E143" s="143" t="s">
        <v>123</v>
      </c>
      <c r="F143" s="143" t="s">
        <v>463</v>
      </c>
      <c r="G143" s="144">
        <v>64121.99</v>
      </c>
      <c r="H143" s="144">
        <v>64121.99</v>
      </c>
      <c r="I143" s="144">
        <v>215719.26</v>
      </c>
    </row>
    <row r="144" spans="1:9" x14ac:dyDescent="0.25">
      <c r="B144" s="143" t="s">
        <v>462</v>
      </c>
      <c r="C144" s="143" t="s">
        <v>331</v>
      </c>
      <c r="D144" s="143">
        <v>3738</v>
      </c>
      <c r="E144" s="143" t="s">
        <v>123</v>
      </c>
      <c r="F144" s="143" t="s">
        <v>463</v>
      </c>
      <c r="G144" s="144">
        <v>7097.64</v>
      </c>
      <c r="H144" s="144">
        <v>7097.64</v>
      </c>
      <c r="I144" s="144">
        <v>222816.9</v>
      </c>
    </row>
    <row r="145" spans="1:9" x14ac:dyDescent="0.25">
      <c r="B145" s="143" t="s">
        <v>462</v>
      </c>
      <c r="C145" s="143" t="s">
        <v>331</v>
      </c>
      <c r="D145" s="143">
        <v>3741</v>
      </c>
      <c r="E145" s="143" t="s">
        <v>123</v>
      </c>
      <c r="F145" s="143" t="s">
        <v>463</v>
      </c>
      <c r="G145" s="144">
        <v>6327.05</v>
      </c>
      <c r="H145" s="144">
        <v>6327.05</v>
      </c>
      <c r="I145" s="144">
        <v>229143.95</v>
      </c>
    </row>
    <row r="146" spans="1:9" x14ac:dyDescent="0.25">
      <c r="B146" s="143" t="s">
        <v>455</v>
      </c>
      <c r="C146" s="143" t="s">
        <v>331</v>
      </c>
      <c r="D146" s="143">
        <v>3762</v>
      </c>
      <c r="E146" s="143" t="s">
        <v>123</v>
      </c>
      <c r="F146" s="143" t="s">
        <v>464</v>
      </c>
      <c r="G146" s="144">
        <v>147518.76999999999</v>
      </c>
      <c r="H146" s="144">
        <v>147518.76999999999</v>
      </c>
      <c r="I146" s="144">
        <v>376662.72</v>
      </c>
    </row>
    <row r="147" spans="1:9" x14ac:dyDescent="0.25">
      <c r="B147" s="143" t="s">
        <v>455</v>
      </c>
      <c r="C147" s="143" t="s">
        <v>331</v>
      </c>
      <c r="D147" s="143">
        <v>3763</v>
      </c>
      <c r="E147" s="143" t="s">
        <v>123</v>
      </c>
      <c r="F147" s="143" t="s">
        <v>464</v>
      </c>
      <c r="G147" s="144">
        <v>71758.240000000005</v>
      </c>
      <c r="H147" s="144">
        <v>71758.240000000005</v>
      </c>
      <c r="I147" s="144">
        <v>448420.96</v>
      </c>
    </row>
    <row r="148" spans="1:9" x14ac:dyDescent="0.25">
      <c r="B148" s="143" t="s">
        <v>401</v>
      </c>
      <c r="C148" s="143" t="s">
        <v>331</v>
      </c>
      <c r="D148" s="143">
        <v>3785</v>
      </c>
      <c r="E148" s="143" t="s">
        <v>123</v>
      </c>
      <c r="F148" s="143" t="s">
        <v>465</v>
      </c>
      <c r="G148" s="144">
        <v>79113.37</v>
      </c>
      <c r="H148" s="144">
        <v>79113.37</v>
      </c>
      <c r="I148" s="144">
        <v>527534.32999999996</v>
      </c>
    </row>
    <row r="149" spans="1:9" x14ac:dyDescent="0.25">
      <c r="B149" s="143" t="s">
        <v>401</v>
      </c>
      <c r="C149" s="143" t="s">
        <v>331</v>
      </c>
      <c r="D149" s="143">
        <v>3784</v>
      </c>
      <c r="E149" s="143" t="s">
        <v>123</v>
      </c>
      <c r="F149" s="143" t="s">
        <v>465</v>
      </c>
      <c r="G149" s="144">
        <v>1460.1</v>
      </c>
      <c r="H149" s="144">
        <v>1460.1</v>
      </c>
      <c r="I149" s="144">
        <v>528994.43000000005</v>
      </c>
    </row>
    <row r="150" spans="1:9" x14ac:dyDescent="0.25">
      <c r="B150" s="143" t="s">
        <v>441</v>
      </c>
      <c r="C150" s="143" t="s">
        <v>331</v>
      </c>
      <c r="D150" s="143">
        <v>3791</v>
      </c>
      <c r="E150" s="143" t="s">
        <v>123</v>
      </c>
      <c r="F150" s="143" t="s">
        <v>466</v>
      </c>
      <c r="G150" s="144">
        <v>18192.14</v>
      </c>
      <c r="H150" s="144">
        <v>18192.14</v>
      </c>
      <c r="I150" s="144">
        <v>547186.56999999995</v>
      </c>
    </row>
    <row r="151" spans="1:9" x14ac:dyDescent="0.25">
      <c r="B151" s="143" t="s">
        <v>372</v>
      </c>
      <c r="C151" s="143" t="s">
        <v>331</v>
      </c>
      <c r="D151" s="143">
        <v>3805</v>
      </c>
      <c r="E151" s="143" t="s">
        <v>123</v>
      </c>
      <c r="F151" s="143" t="s">
        <v>467</v>
      </c>
      <c r="G151" s="144">
        <v>21043.84</v>
      </c>
      <c r="H151" s="144">
        <v>21043.84</v>
      </c>
      <c r="I151" s="144">
        <v>568230.41</v>
      </c>
    </row>
    <row r="152" spans="1:9" x14ac:dyDescent="0.25">
      <c r="A152" s="142" t="s">
        <v>468</v>
      </c>
      <c r="G152" s="145">
        <v>568230.41</v>
      </c>
      <c r="H152" s="145">
        <v>568230.41</v>
      </c>
    </row>
    <row r="153" spans="1:9" x14ac:dyDescent="0.25">
      <c r="A153" s="142" t="s">
        <v>469</v>
      </c>
    </row>
    <row r="154" spans="1:9" x14ac:dyDescent="0.25">
      <c r="B154" s="143" t="s">
        <v>470</v>
      </c>
      <c r="C154" s="143" t="s">
        <v>331</v>
      </c>
      <c r="D154" s="143">
        <v>3551</v>
      </c>
      <c r="E154" s="143" t="s">
        <v>121</v>
      </c>
      <c r="F154" s="143" t="s">
        <v>471</v>
      </c>
      <c r="G154" s="144">
        <v>3686.55</v>
      </c>
      <c r="H154" s="144">
        <v>1663.05</v>
      </c>
      <c r="I154" s="144">
        <v>1663.05</v>
      </c>
    </row>
    <row r="155" spans="1:9" x14ac:dyDescent="0.25">
      <c r="B155" s="143" t="s">
        <v>426</v>
      </c>
      <c r="C155" s="143" t="s">
        <v>331</v>
      </c>
      <c r="D155" s="143">
        <v>3729</v>
      </c>
      <c r="E155" s="143" t="s">
        <v>121</v>
      </c>
      <c r="F155" s="143" t="s">
        <v>472</v>
      </c>
      <c r="G155" s="144">
        <v>5214.88</v>
      </c>
      <c r="H155" s="144">
        <v>5214.88</v>
      </c>
      <c r="I155" s="144">
        <v>6877.93</v>
      </c>
    </row>
    <row r="156" spans="1:9" x14ac:dyDescent="0.25">
      <c r="B156" s="143" t="s">
        <v>473</v>
      </c>
      <c r="C156" s="143" t="s">
        <v>331</v>
      </c>
      <c r="D156" s="143">
        <v>3756</v>
      </c>
      <c r="E156" s="143" t="s">
        <v>121</v>
      </c>
      <c r="F156" s="143" t="s">
        <v>474</v>
      </c>
      <c r="G156" s="144">
        <v>11010.84</v>
      </c>
      <c r="H156" s="144">
        <v>11010.84</v>
      </c>
      <c r="I156" s="144">
        <v>17888.77</v>
      </c>
    </row>
    <row r="157" spans="1:9" x14ac:dyDescent="0.25">
      <c r="B157" s="143" t="s">
        <v>350</v>
      </c>
      <c r="C157" s="143" t="s">
        <v>331</v>
      </c>
      <c r="D157" s="143">
        <v>3770</v>
      </c>
      <c r="E157" s="143" t="s">
        <v>121</v>
      </c>
      <c r="F157" s="143" t="s">
        <v>475</v>
      </c>
      <c r="G157" s="144">
        <v>7474.24</v>
      </c>
      <c r="H157" s="144">
        <v>7474.24</v>
      </c>
      <c r="I157" s="144">
        <v>25363.01</v>
      </c>
    </row>
    <row r="158" spans="1:9" x14ac:dyDescent="0.25">
      <c r="B158" s="143" t="s">
        <v>476</v>
      </c>
      <c r="C158" s="143" t="s">
        <v>331</v>
      </c>
      <c r="D158" s="143">
        <v>3795</v>
      </c>
      <c r="E158" s="143" t="s">
        <v>121</v>
      </c>
      <c r="F158" s="143" t="s">
        <v>477</v>
      </c>
      <c r="G158" s="144">
        <v>7379.82</v>
      </c>
      <c r="H158" s="144">
        <v>7379.82</v>
      </c>
      <c r="I158" s="144">
        <v>32742.83</v>
      </c>
    </row>
    <row r="159" spans="1:9" x14ac:dyDescent="0.25">
      <c r="A159" s="142" t="s">
        <v>478</v>
      </c>
      <c r="G159" s="145">
        <v>34766.33</v>
      </c>
      <c r="H159" s="145">
        <v>32742.83</v>
      </c>
    </row>
    <row r="160" spans="1:9" x14ac:dyDescent="0.25">
      <c r="A160" s="142" t="s">
        <v>479</v>
      </c>
    </row>
    <row r="161" spans="1:9" x14ac:dyDescent="0.25">
      <c r="B161" s="143" t="s">
        <v>349</v>
      </c>
      <c r="C161" s="143" t="s">
        <v>331</v>
      </c>
      <c r="D161" s="143">
        <v>3725</v>
      </c>
      <c r="E161" s="143" t="s">
        <v>121</v>
      </c>
      <c r="F161" s="143" t="s">
        <v>350</v>
      </c>
      <c r="G161" s="144">
        <v>21483.39</v>
      </c>
      <c r="H161" s="144">
        <v>21483.39</v>
      </c>
      <c r="I161" s="144">
        <v>21483.39</v>
      </c>
    </row>
    <row r="162" spans="1:9" x14ac:dyDescent="0.25">
      <c r="A162" s="142" t="s">
        <v>480</v>
      </c>
      <c r="G162" s="145">
        <v>21483.39</v>
      </c>
      <c r="H162" s="145">
        <v>21483.39</v>
      </c>
    </row>
    <row r="163" spans="1:9" x14ac:dyDescent="0.25">
      <c r="A163" s="142" t="s">
        <v>481</v>
      </c>
    </row>
    <row r="164" spans="1:9" x14ac:dyDescent="0.25">
      <c r="B164" s="143" t="s">
        <v>482</v>
      </c>
      <c r="C164" s="143" t="s">
        <v>331</v>
      </c>
      <c r="D164" s="143" t="s">
        <v>483</v>
      </c>
      <c r="E164" s="143" t="s">
        <v>125</v>
      </c>
      <c r="F164" s="143" t="s">
        <v>484</v>
      </c>
      <c r="G164" s="144">
        <v>12338.19</v>
      </c>
      <c r="H164" s="144">
        <v>12338.19</v>
      </c>
      <c r="I164" s="144">
        <v>12338.19</v>
      </c>
    </row>
    <row r="165" spans="1:9" x14ac:dyDescent="0.25">
      <c r="A165" s="142" t="s">
        <v>485</v>
      </c>
      <c r="G165" s="145">
        <v>12338.19</v>
      </c>
      <c r="H165" s="145">
        <v>12338.19</v>
      </c>
    </row>
    <row r="166" spans="1:9" x14ac:dyDescent="0.25">
      <c r="A166" s="142" t="s">
        <v>486</v>
      </c>
    </row>
    <row r="167" spans="1:9" x14ac:dyDescent="0.25">
      <c r="B167" s="143" t="s">
        <v>487</v>
      </c>
      <c r="C167" s="143" t="s">
        <v>331</v>
      </c>
      <c r="D167" s="143">
        <v>2958</v>
      </c>
      <c r="E167" s="143" t="s">
        <v>121</v>
      </c>
      <c r="F167" s="143" t="s">
        <v>488</v>
      </c>
      <c r="G167" s="144">
        <v>5809.97</v>
      </c>
      <c r="H167" s="144">
        <v>5809.97</v>
      </c>
      <c r="I167" s="144">
        <v>5809.97</v>
      </c>
    </row>
    <row r="168" spans="1:9" x14ac:dyDescent="0.25">
      <c r="A168" s="142" t="s">
        <v>489</v>
      </c>
      <c r="G168" s="145">
        <v>5809.97</v>
      </c>
      <c r="H168" s="145">
        <v>5809.97</v>
      </c>
    </row>
    <row r="169" spans="1:9" x14ac:dyDescent="0.25">
      <c r="A169" s="142" t="s">
        <v>490</v>
      </c>
    </row>
    <row r="170" spans="1:9" x14ac:dyDescent="0.25">
      <c r="B170" s="143" t="s">
        <v>385</v>
      </c>
      <c r="C170" s="143" t="s">
        <v>331</v>
      </c>
      <c r="D170" s="143">
        <v>3089</v>
      </c>
      <c r="E170" s="143" t="s">
        <v>124</v>
      </c>
      <c r="F170" s="143" t="s">
        <v>337</v>
      </c>
      <c r="G170" s="144">
        <v>11415.6</v>
      </c>
      <c r="H170" s="144">
        <v>8834.8799999999992</v>
      </c>
      <c r="I170" s="144">
        <v>8834.8799999999992</v>
      </c>
    </row>
    <row r="171" spans="1:9" x14ac:dyDescent="0.25">
      <c r="A171" s="142" t="s">
        <v>491</v>
      </c>
      <c r="G171" s="145">
        <v>11415.6</v>
      </c>
      <c r="H171" s="145">
        <v>8834.8799999999992</v>
      </c>
    </row>
    <row r="172" spans="1:9" x14ac:dyDescent="0.25">
      <c r="A172" s="142" t="s">
        <v>492</v>
      </c>
    </row>
    <row r="173" spans="1:9" x14ac:dyDescent="0.25">
      <c r="B173" s="143" t="s">
        <v>493</v>
      </c>
      <c r="C173" s="143" t="s">
        <v>453</v>
      </c>
      <c r="D173" s="143"/>
      <c r="E173" s="143" t="s">
        <v>121</v>
      </c>
      <c r="F173" s="143" t="s">
        <v>493</v>
      </c>
      <c r="G173" s="144">
        <v>-2122.9499999999998</v>
      </c>
      <c r="H173" s="144">
        <v>-226.61</v>
      </c>
      <c r="I173" s="144">
        <v>-226.61</v>
      </c>
    </row>
    <row r="174" spans="1:9" x14ac:dyDescent="0.25">
      <c r="A174" s="142" t="s">
        <v>494</v>
      </c>
      <c r="G174" s="145">
        <v>-2122.9499999999998</v>
      </c>
      <c r="H174" s="145">
        <v>-226.61</v>
      </c>
    </row>
    <row r="175" spans="1:9" x14ac:dyDescent="0.25">
      <c r="A175" s="142" t="s">
        <v>495</v>
      </c>
    </row>
    <row r="176" spans="1:9" x14ac:dyDescent="0.25">
      <c r="B176" s="143" t="s">
        <v>496</v>
      </c>
      <c r="C176" s="143" t="s">
        <v>331</v>
      </c>
      <c r="D176" s="143" t="s">
        <v>497</v>
      </c>
      <c r="E176" s="143" t="s">
        <v>124</v>
      </c>
      <c r="F176" s="143" t="s">
        <v>498</v>
      </c>
      <c r="G176" s="144">
        <v>18999.66</v>
      </c>
      <c r="H176" s="144">
        <v>3999.66</v>
      </c>
      <c r="I176" s="144">
        <v>3999.66</v>
      </c>
    </row>
    <row r="177" spans="1:9" x14ac:dyDescent="0.25">
      <c r="B177" s="143" t="s">
        <v>499</v>
      </c>
      <c r="C177" s="143" t="s">
        <v>331</v>
      </c>
      <c r="D177" s="143" t="s">
        <v>500</v>
      </c>
      <c r="E177" s="143" t="s">
        <v>124</v>
      </c>
      <c r="F177" s="143" t="s">
        <v>501</v>
      </c>
      <c r="G177" s="144">
        <v>31452.13</v>
      </c>
      <c r="H177" s="144">
        <v>31452.13</v>
      </c>
      <c r="I177" s="144">
        <v>35451.79</v>
      </c>
    </row>
    <row r="178" spans="1:9" x14ac:dyDescent="0.25">
      <c r="A178" s="142" t="s">
        <v>502</v>
      </c>
      <c r="G178" s="145">
        <v>50451.79</v>
      </c>
      <c r="H178" s="145">
        <v>35451.79</v>
      </c>
    </row>
    <row r="179" spans="1:9" x14ac:dyDescent="0.25">
      <c r="A179" s="142" t="s">
        <v>503</v>
      </c>
    </row>
    <row r="180" spans="1:9" x14ac:dyDescent="0.25">
      <c r="B180" s="143" t="s">
        <v>385</v>
      </c>
      <c r="C180" s="143" t="s">
        <v>331</v>
      </c>
      <c r="D180" s="143">
        <v>3116</v>
      </c>
      <c r="E180" s="143" t="s">
        <v>121</v>
      </c>
      <c r="F180" s="143" t="s">
        <v>337</v>
      </c>
      <c r="G180" s="144">
        <v>83.96</v>
      </c>
      <c r="H180" s="144">
        <v>83.96</v>
      </c>
      <c r="I180" s="144">
        <v>83.96</v>
      </c>
    </row>
    <row r="181" spans="1:9" x14ac:dyDescent="0.25">
      <c r="A181" s="142" t="s">
        <v>504</v>
      </c>
      <c r="G181" s="145">
        <v>83.96</v>
      </c>
      <c r="H181" s="145">
        <v>83.96</v>
      </c>
    </row>
    <row r="182" spans="1:9" x14ac:dyDescent="0.25">
      <c r="A182" s="142" t="s">
        <v>505</v>
      </c>
    </row>
    <row r="183" spans="1:9" x14ac:dyDescent="0.25">
      <c r="B183" s="143" t="s">
        <v>506</v>
      </c>
      <c r="C183" s="143" t="s">
        <v>331</v>
      </c>
      <c r="D183" s="143">
        <v>2827</v>
      </c>
      <c r="E183" s="143" t="s">
        <v>121</v>
      </c>
      <c r="F183" s="143" t="s">
        <v>507</v>
      </c>
      <c r="G183" s="144">
        <v>1715.78</v>
      </c>
      <c r="H183" s="144">
        <v>1715.78</v>
      </c>
      <c r="I183" s="144">
        <v>1715.78</v>
      </c>
    </row>
    <row r="184" spans="1:9" x14ac:dyDescent="0.25">
      <c r="B184" s="143" t="s">
        <v>506</v>
      </c>
      <c r="C184" s="143" t="s">
        <v>331</v>
      </c>
      <c r="D184" s="143">
        <v>2825</v>
      </c>
      <c r="E184" s="143" t="s">
        <v>121</v>
      </c>
      <c r="F184" s="143" t="s">
        <v>507</v>
      </c>
      <c r="G184" s="144">
        <v>6712.65</v>
      </c>
      <c r="H184" s="144">
        <v>6712.65</v>
      </c>
      <c r="I184" s="144">
        <v>8428.43</v>
      </c>
    </row>
    <row r="185" spans="1:9" x14ac:dyDescent="0.25">
      <c r="B185" s="143" t="s">
        <v>508</v>
      </c>
      <c r="C185" s="143" t="s">
        <v>331</v>
      </c>
      <c r="D185" s="143">
        <v>2833</v>
      </c>
      <c r="E185" s="143" t="s">
        <v>121</v>
      </c>
      <c r="F185" s="143" t="s">
        <v>509</v>
      </c>
      <c r="G185" s="144">
        <v>5434.95</v>
      </c>
      <c r="H185" s="144">
        <v>5434.95</v>
      </c>
      <c r="I185" s="144">
        <v>13863.38</v>
      </c>
    </row>
    <row r="186" spans="1:9" x14ac:dyDescent="0.25">
      <c r="B186" s="143" t="s">
        <v>510</v>
      </c>
      <c r="C186" s="143" t="s">
        <v>331</v>
      </c>
      <c r="D186" s="143">
        <v>2992</v>
      </c>
      <c r="E186" s="143" t="s">
        <v>121</v>
      </c>
      <c r="F186" s="143" t="s">
        <v>511</v>
      </c>
      <c r="G186" s="144">
        <v>1464.75</v>
      </c>
      <c r="H186" s="144">
        <v>1464.75</v>
      </c>
      <c r="I186" s="144">
        <v>15328.13</v>
      </c>
    </row>
    <row r="187" spans="1:9" x14ac:dyDescent="0.25">
      <c r="B187" s="143" t="s">
        <v>512</v>
      </c>
      <c r="C187" s="143" t="s">
        <v>331</v>
      </c>
      <c r="D187" s="143">
        <v>3005</v>
      </c>
      <c r="E187" s="143" t="s">
        <v>124</v>
      </c>
      <c r="F187" s="143" t="s">
        <v>513</v>
      </c>
      <c r="G187" s="144">
        <v>4945.5</v>
      </c>
      <c r="H187" s="144">
        <v>4945.5</v>
      </c>
      <c r="I187" s="144">
        <v>20273.63</v>
      </c>
    </row>
    <row r="188" spans="1:9" x14ac:dyDescent="0.25">
      <c r="A188" s="142" t="s">
        <v>514</v>
      </c>
      <c r="G188" s="145">
        <v>20273.63</v>
      </c>
      <c r="H188" s="145">
        <v>20273.63</v>
      </c>
    </row>
    <row r="189" spans="1:9" x14ac:dyDescent="0.25">
      <c r="A189" s="142" t="s">
        <v>515</v>
      </c>
      <c r="G189" s="145">
        <v>1731891.01</v>
      </c>
      <c r="H189" s="145">
        <v>1588076.56</v>
      </c>
    </row>
    <row r="192" spans="1:9" x14ac:dyDescent="0.25">
      <c r="A192" s="146" t="s">
        <v>516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BAEB7-9E0F-4F99-B85A-894741BBFFA8}">
  <dimension ref="A1:I472"/>
  <sheetViews>
    <sheetView workbookViewId="0">
      <selection activeCell="K15" sqref="K15"/>
    </sheetView>
  </sheetViews>
  <sheetFormatPr defaultColWidth="8.85546875" defaultRowHeight="15" x14ac:dyDescent="0.25"/>
  <cols>
    <col min="1" max="1" width="47" style="1" customWidth="1"/>
    <col min="2" max="2" width="9.42578125" style="1" customWidth="1"/>
    <col min="3" max="4" width="18.85546875" style="1" customWidth="1"/>
    <col min="5" max="5" width="7.7109375" style="1" customWidth="1"/>
    <col min="6" max="6" width="9.42578125" style="1" customWidth="1"/>
    <col min="7" max="8" width="12" style="1" customWidth="1"/>
    <col min="9" max="9" width="9.42578125" style="1" customWidth="1"/>
    <col min="10" max="16384" width="8.85546875" style="1"/>
  </cols>
  <sheetData>
    <row r="1" spans="1:9" ht="18" x14ac:dyDescent="0.25">
      <c r="A1" s="139" t="s">
        <v>318</v>
      </c>
    </row>
    <row r="2" spans="1:9" ht="18" x14ac:dyDescent="0.25">
      <c r="A2" s="139" t="s">
        <v>517</v>
      </c>
    </row>
    <row r="3" spans="1:9" x14ac:dyDescent="0.25">
      <c r="A3" s="140" t="s">
        <v>320</v>
      </c>
    </row>
    <row r="5" spans="1:9" ht="24.75" x14ac:dyDescent="0.25">
      <c r="B5" s="141" t="s">
        <v>321</v>
      </c>
      <c r="C5" s="141" t="s">
        <v>322</v>
      </c>
      <c r="D5" s="141" t="s">
        <v>323</v>
      </c>
      <c r="E5" s="141" t="s">
        <v>324</v>
      </c>
      <c r="F5" s="141" t="s">
        <v>325</v>
      </c>
      <c r="G5" s="141" t="s">
        <v>326</v>
      </c>
      <c r="H5" s="141" t="s">
        <v>327</v>
      </c>
      <c r="I5" s="141" t="s">
        <v>328</v>
      </c>
    </row>
    <row r="6" spans="1:9" x14ac:dyDescent="0.25">
      <c r="A6" s="142" t="s">
        <v>518</v>
      </c>
    </row>
    <row r="7" spans="1:9" x14ac:dyDescent="0.25">
      <c r="B7" s="143" t="s">
        <v>519</v>
      </c>
      <c r="C7" s="143" t="s">
        <v>520</v>
      </c>
      <c r="D7" s="143">
        <v>110</v>
      </c>
      <c r="E7" s="143"/>
      <c r="F7" s="143" t="s">
        <v>521</v>
      </c>
      <c r="G7" s="144">
        <v>4249.42</v>
      </c>
      <c r="H7" s="144">
        <v>4249.42</v>
      </c>
      <c r="I7" s="144">
        <v>4249.42</v>
      </c>
    </row>
    <row r="8" spans="1:9" x14ac:dyDescent="0.25">
      <c r="B8" s="143" t="s">
        <v>522</v>
      </c>
      <c r="C8" s="143" t="s">
        <v>520</v>
      </c>
      <c r="D8" s="143">
        <v>127</v>
      </c>
      <c r="E8" s="143"/>
      <c r="F8" s="143" t="s">
        <v>335</v>
      </c>
      <c r="G8" s="144">
        <v>1575</v>
      </c>
      <c r="H8" s="144">
        <v>1575</v>
      </c>
      <c r="I8" s="144">
        <v>5824.42</v>
      </c>
    </row>
    <row r="9" spans="1:9" x14ac:dyDescent="0.25">
      <c r="A9" s="142" t="s">
        <v>523</v>
      </c>
      <c r="G9" s="145">
        <v>5824.42</v>
      </c>
      <c r="H9" s="145">
        <v>5824.42</v>
      </c>
    </row>
    <row r="10" spans="1:9" x14ac:dyDescent="0.25">
      <c r="A10" s="142" t="s">
        <v>524</v>
      </c>
    </row>
    <row r="11" spans="1:9" x14ac:dyDescent="0.25">
      <c r="B11" s="143" t="s">
        <v>525</v>
      </c>
      <c r="C11" s="143" t="s">
        <v>520</v>
      </c>
      <c r="D11" s="143">
        <v>31</v>
      </c>
      <c r="E11" s="143" t="s">
        <v>121</v>
      </c>
      <c r="F11" s="143" t="s">
        <v>526</v>
      </c>
      <c r="G11" s="144">
        <v>148769.57</v>
      </c>
      <c r="H11" s="144">
        <v>103769.57</v>
      </c>
      <c r="I11" s="144">
        <v>103769.57</v>
      </c>
    </row>
    <row r="12" spans="1:9" x14ac:dyDescent="0.25">
      <c r="A12" s="142" t="s">
        <v>527</v>
      </c>
      <c r="G12" s="145">
        <v>148769.57</v>
      </c>
      <c r="H12" s="145">
        <v>103769.57</v>
      </c>
    </row>
    <row r="13" spans="1:9" x14ac:dyDescent="0.25">
      <c r="A13" s="142" t="s">
        <v>528</v>
      </c>
    </row>
    <row r="14" spans="1:9" x14ac:dyDescent="0.25">
      <c r="B14" s="143" t="s">
        <v>529</v>
      </c>
      <c r="C14" s="143" t="s">
        <v>520</v>
      </c>
      <c r="D14" s="143"/>
      <c r="E14" s="143"/>
      <c r="F14" s="143" t="s">
        <v>530</v>
      </c>
      <c r="G14" s="144">
        <v>7717.5</v>
      </c>
      <c r="H14" s="144">
        <v>7717.5</v>
      </c>
      <c r="I14" s="144">
        <v>7717.5</v>
      </c>
    </row>
    <row r="15" spans="1:9" x14ac:dyDescent="0.25">
      <c r="B15" s="143" t="s">
        <v>531</v>
      </c>
      <c r="C15" s="143" t="s">
        <v>357</v>
      </c>
      <c r="D15" s="143" t="s">
        <v>532</v>
      </c>
      <c r="E15" s="143"/>
      <c r="F15" s="143" t="s">
        <v>531</v>
      </c>
      <c r="G15" s="144">
        <v>-10000</v>
      </c>
      <c r="H15" s="144">
        <v>-10000</v>
      </c>
      <c r="I15" s="144">
        <v>-2282.5</v>
      </c>
    </row>
    <row r="16" spans="1:9" x14ac:dyDescent="0.25">
      <c r="A16" s="142" t="s">
        <v>533</v>
      </c>
      <c r="G16" s="145">
        <v>-2282.5</v>
      </c>
      <c r="H16" s="145">
        <v>-2282.5</v>
      </c>
    </row>
    <row r="17" spans="1:9" x14ac:dyDescent="0.25">
      <c r="A17" s="142" t="s">
        <v>534</v>
      </c>
    </row>
    <row r="18" spans="1:9" x14ac:dyDescent="0.25">
      <c r="B18" s="143" t="s">
        <v>535</v>
      </c>
      <c r="C18" s="143" t="s">
        <v>520</v>
      </c>
      <c r="D18" s="143">
        <v>38015</v>
      </c>
      <c r="E18" s="143"/>
      <c r="F18" s="143" t="s">
        <v>536</v>
      </c>
      <c r="G18" s="144">
        <v>3674.95</v>
      </c>
      <c r="H18" s="144">
        <v>0.45</v>
      </c>
      <c r="I18" s="144">
        <v>0.45</v>
      </c>
    </row>
    <row r="19" spans="1:9" x14ac:dyDescent="0.25">
      <c r="B19" s="143" t="s">
        <v>493</v>
      </c>
      <c r="C19" s="143" t="s">
        <v>520</v>
      </c>
      <c r="D19" s="143" t="s">
        <v>537</v>
      </c>
      <c r="E19" s="143"/>
      <c r="F19" s="143" t="s">
        <v>538</v>
      </c>
      <c r="G19" s="144">
        <v>3674.95</v>
      </c>
      <c r="H19" s="144">
        <v>3674.95</v>
      </c>
      <c r="I19" s="144">
        <v>3675.4</v>
      </c>
    </row>
    <row r="20" spans="1:9" x14ac:dyDescent="0.25">
      <c r="B20" s="143" t="s">
        <v>539</v>
      </c>
      <c r="C20" s="143" t="s">
        <v>520</v>
      </c>
      <c r="D20" s="143" t="s">
        <v>540</v>
      </c>
      <c r="E20" s="143"/>
      <c r="F20" s="143" t="s">
        <v>499</v>
      </c>
      <c r="G20" s="144">
        <v>3674.95</v>
      </c>
      <c r="H20" s="144">
        <v>3674.95</v>
      </c>
      <c r="I20" s="144">
        <v>7350.35</v>
      </c>
    </row>
    <row r="21" spans="1:9" x14ac:dyDescent="0.25">
      <c r="B21" s="143" t="s">
        <v>541</v>
      </c>
      <c r="C21" s="143" t="s">
        <v>520</v>
      </c>
      <c r="D21" s="143" t="s">
        <v>542</v>
      </c>
      <c r="E21" s="143"/>
      <c r="F21" s="143" t="s">
        <v>543</v>
      </c>
      <c r="G21" s="144">
        <v>3674.95</v>
      </c>
      <c r="H21" s="144">
        <v>3674.95</v>
      </c>
      <c r="I21" s="144">
        <v>11025.3</v>
      </c>
    </row>
    <row r="22" spans="1:9" x14ac:dyDescent="0.25">
      <c r="B22" s="143" t="s">
        <v>544</v>
      </c>
      <c r="C22" s="143" t="s">
        <v>520</v>
      </c>
      <c r="D22" s="143" t="s">
        <v>545</v>
      </c>
      <c r="E22" s="143" t="s">
        <v>121</v>
      </c>
      <c r="F22" s="143" t="s">
        <v>546</v>
      </c>
      <c r="G22" s="144">
        <v>3674.95</v>
      </c>
      <c r="H22" s="144">
        <v>3674.95</v>
      </c>
      <c r="I22" s="144">
        <v>14700.25</v>
      </c>
    </row>
    <row r="23" spans="1:9" x14ac:dyDescent="0.25">
      <c r="A23" s="142" t="s">
        <v>547</v>
      </c>
      <c r="G23" s="145">
        <v>18374.75</v>
      </c>
      <c r="H23" s="145">
        <v>14700.25</v>
      </c>
    </row>
    <row r="24" spans="1:9" x14ac:dyDescent="0.25">
      <c r="A24" s="142" t="s">
        <v>548</v>
      </c>
    </row>
    <row r="25" spans="1:9" x14ac:dyDescent="0.25">
      <c r="B25" s="143" t="s">
        <v>549</v>
      </c>
      <c r="C25" s="143" t="s">
        <v>520</v>
      </c>
      <c r="D25" s="143" t="s">
        <v>550</v>
      </c>
      <c r="E25" s="143"/>
      <c r="F25" s="143" t="s">
        <v>549</v>
      </c>
      <c r="G25" s="144">
        <v>958361.88</v>
      </c>
      <c r="H25" s="144">
        <v>138343.06</v>
      </c>
      <c r="I25" s="144">
        <v>138343.06</v>
      </c>
    </row>
    <row r="26" spans="1:9" x14ac:dyDescent="0.25">
      <c r="A26" s="142" t="s">
        <v>551</v>
      </c>
      <c r="G26" s="145">
        <v>958361.88</v>
      </c>
      <c r="H26" s="145">
        <v>138343.06</v>
      </c>
    </row>
    <row r="27" spans="1:9" x14ac:dyDescent="0.25">
      <c r="A27" s="142" t="s">
        <v>552</v>
      </c>
    </row>
    <row r="28" spans="1:9" x14ac:dyDescent="0.25">
      <c r="B28" s="143" t="s">
        <v>553</v>
      </c>
      <c r="C28" s="143" t="s">
        <v>520</v>
      </c>
      <c r="D28" s="143">
        <v>2424</v>
      </c>
      <c r="E28" s="143"/>
      <c r="F28" s="143" t="s">
        <v>351</v>
      </c>
      <c r="G28" s="144">
        <v>166.01</v>
      </c>
      <c r="H28" s="144">
        <v>166.01</v>
      </c>
      <c r="I28" s="144">
        <v>166.01</v>
      </c>
    </row>
    <row r="29" spans="1:9" x14ac:dyDescent="0.25">
      <c r="B29" s="143" t="s">
        <v>350</v>
      </c>
      <c r="C29" s="143" t="s">
        <v>520</v>
      </c>
      <c r="D29" s="143">
        <v>2448</v>
      </c>
      <c r="E29" s="143"/>
      <c r="F29" s="143" t="s">
        <v>554</v>
      </c>
      <c r="G29" s="144">
        <v>209.74</v>
      </c>
      <c r="H29" s="144">
        <v>209.74</v>
      </c>
      <c r="I29" s="144">
        <v>375.75</v>
      </c>
    </row>
    <row r="30" spans="1:9" x14ac:dyDescent="0.25">
      <c r="A30" s="142" t="s">
        <v>555</v>
      </c>
      <c r="G30" s="145">
        <v>375.75</v>
      </c>
      <c r="H30" s="145">
        <v>375.75</v>
      </c>
    </row>
    <row r="31" spans="1:9" x14ac:dyDescent="0.25">
      <c r="A31" s="142" t="s">
        <v>556</v>
      </c>
    </row>
    <row r="32" spans="1:9" x14ac:dyDescent="0.25">
      <c r="B32" s="143" t="s">
        <v>338</v>
      </c>
      <c r="C32" s="143" t="s">
        <v>557</v>
      </c>
      <c r="D32" s="143"/>
      <c r="E32" s="143" t="s">
        <v>125</v>
      </c>
      <c r="F32" s="143" t="s">
        <v>338</v>
      </c>
      <c r="G32" s="144">
        <v>-20000</v>
      </c>
      <c r="H32" s="144">
        <v>-2870.82</v>
      </c>
      <c r="I32" s="144">
        <v>-2870.82</v>
      </c>
    </row>
    <row r="33" spans="1:9" x14ac:dyDescent="0.25">
      <c r="B33" s="143" t="s">
        <v>558</v>
      </c>
      <c r="C33" s="143" t="s">
        <v>520</v>
      </c>
      <c r="D33" s="143">
        <v>1557139</v>
      </c>
      <c r="E33" s="143"/>
      <c r="F33" s="143" t="s">
        <v>418</v>
      </c>
      <c r="G33" s="144">
        <v>16535.93</v>
      </c>
      <c r="H33" s="144">
        <v>16535.93</v>
      </c>
      <c r="I33" s="144">
        <v>13665.11</v>
      </c>
    </row>
    <row r="34" spans="1:9" x14ac:dyDescent="0.25">
      <c r="A34" s="142" t="s">
        <v>559</v>
      </c>
      <c r="G34" s="145">
        <v>-3464.07</v>
      </c>
      <c r="H34" s="145">
        <v>13665.11</v>
      </c>
    </row>
    <row r="35" spans="1:9" x14ac:dyDescent="0.25">
      <c r="A35" s="142" t="s">
        <v>560</v>
      </c>
    </row>
    <row r="36" spans="1:9" x14ac:dyDescent="0.25">
      <c r="B36" s="143" t="s">
        <v>561</v>
      </c>
      <c r="C36" s="143" t="s">
        <v>520</v>
      </c>
      <c r="D36" s="143" t="s">
        <v>562</v>
      </c>
      <c r="E36" s="143"/>
      <c r="F36" s="143" t="s">
        <v>563</v>
      </c>
      <c r="G36" s="144">
        <v>850.5</v>
      </c>
      <c r="H36" s="144">
        <v>850.5</v>
      </c>
      <c r="I36" s="144">
        <v>850.5</v>
      </c>
    </row>
    <row r="37" spans="1:9" x14ac:dyDescent="0.25">
      <c r="B37" s="143" t="s">
        <v>530</v>
      </c>
      <c r="C37" s="143" t="s">
        <v>520</v>
      </c>
      <c r="D37" s="143" t="s">
        <v>564</v>
      </c>
      <c r="E37" s="143"/>
      <c r="F37" s="143" t="s">
        <v>565</v>
      </c>
      <c r="G37" s="144">
        <v>771.75</v>
      </c>
      <c r="H37" s="144">
        <v>771.75</v>
      </c>
      <c r="I37" s="144">
        <v>1622.25</v>
      </c>
    </row>
    <row r="38" spans="1:9" x14ac:dyDescent="0.25">
      <c r="B38" s="143" t="s">
        <v>410</v>
      </c>
      <c r="C38" s="143" t="s">
        <v>520</v>
      </c>
      <c r="D38" s="143" t="s">
        <v>566</v>
      </c>
      <c r="E38" s="143"/>
      <c r="F38" s="143" t="s">
        <v>567</v>
      </c>
      <c r="G38" s="144">
        <v>472.5</v>
      </c>
      <c r="H38" s="144">
        <v>472.5</v>
      </c>
      <c r="I38" s="144">
        <v>2094.75</v>
      </c>
    </row>
    <row r="39" spans="1:9" x14ac:dyDescent="0.25">
      <c r="B39" s="143" t="s">
        <v>568</v>
      </c>
      <c r="C39" s="143" t="s">
        <v>520</v>
      </c>
      <c r="D39" s="143" t="s">
        <v>569</v>
      </c>
      <c r="E39" s="143"/>
      <c r="F39" s="143" t="s">
        <v>525</v>
      </c>
      <c r="G39" s="144">
        <v>472.5</v>
      </c>
      <c r="H39" s="144">
        <v>472.5</v>
      </c>
      <c r="I39" s="144">
        <v>2567.25</v>
      </c>
    </row>
    <row r="40" spans="1:9" x14ac:dyDescent="0.25">
      <c r="B40" s="143" t="s">
        <v>429</v>
      </c>
      <c r="C40" s="143" t="s">
        <v>520</v>
      </c>
      <c r="D40" s="143" t="s">
        <v>570</v>
      </c>
      <c r="E40" s="143"/>
      <c r="F40" s="143" t="s">
        <v>571</v>
      </c>
      <c r="G40" s="144">
        <v>288.75</v>
      </c>
      <c r="H40" s="144">
        <v>288.75</v>
      </c>
      <c r="I40" s="144">
        <v>2856</v>
      </c>
    </row>
    <row r="41" spans="1:9" x14ac:dyDescent="0.25">
      <c r="B41" s="143" t="s">
        <v>572</v>
      </c>
      <c r="C41" s="143" t="s">
        <v>520</v>
      </c>
      <c r="D41" s="143" t="s">
        <v>573</v>
      </c>
      <c r="E41" s="143"/>
      <c r="F41" s="143" t="s">
        <v>526</v>
      </c>
      <c r="G41" s="144">
        <v>2315.25</v>
      </c>
      <c r="H41" s="144">
        <v>2315.25</v>
      </c>
      <c r="I41" s="144">
        <v>5171.25</v>
      </c>
    </row>
    <row r="42" spans="1:9" x14ac:dyDescent="0.25">
      <c r="B42" s="143" t="s">
        <v>344</v>
      </c>
      <c r="C42" s="143" t="s">
        <v>520</v>
      </c>
      <c r="D42" s="143" t="s">
        <v>574</v>
      </c>
      <c r="E42" s="143"/>
      <c r="F42" s="143" t="s">
        <v>345</v>
      </c>
      <c r="G42" s="144">
        <v>2031.75</v>
      </c>
      <c r="H42" s="144">
        <v>2031.75</v>
      </c>
      <c r="I42" s="144">
        <v>7203</v>
      </c>
    </row>
    <row r="43" spans="1:9" x14ac:dyDescent="0.25">
      <c r="B43" s="143" t="s">
        <v>575</v>
      </c>
      <c r="C43" s="143" t="s">
        <v>520</v>
      </c>
      <c r="D43" s="143" t="s">
        <v>576</v>
      </c>
      <c r="E43" s="143"/>
      <c r="F43" s="143" t="s">
        <v>577</v>
      </c>
      <c r="G43" s="144">
        <v>288.75</v>
      </c>
      <c r="H43" s="144">
        <v>288.75</v>
      </c>
      <c r="I43" s="144">
        <v>7491.75</v>
      </c>
    </row>
    <row r="44" spans="1:9" x14ac:dyDescent="0.25">
      <c r="B44" s="143" t="s">
        <v>437</v>
      </c>
      <c r="C44" s="143" t="s">
        <v>520</v>
      </c>
      <c r="D44" s="143" t="s">
        <v>578</v>
      </c>
      <c r="E44" s="143"/>
      <c r="F44" s="143" t="s">
        <v>579</v>
      </c>
      <c r="G44" s="144">
        <v>771.75</v>
      </c>
      <c r="H44" s="144">
        <v>771.75</v>
      </c>
      <c r="I44" s="144">
        <v>8263.5</v>
      </c>
    </row>
    <row r="45" spans="1:9" x14ac:dyDescent="0.25">
      <c r="B45" s="143" t="s">
        <v>421</v>
      </c>
      <c r="C45" s="143" t="s">
        <v>520</v>
      </c>
      <c r="D45" s="143" t="s">
        <v>580</v>
      </c>
      <c r="E45" s="143"/>
      <c r="F45" s="143" t="s">
        <v>422</v>
      </c>
      <c r="G45" s="144">
        <v>157.5</v>
      </c>
      <c r="H45" s="144">
        <v>157.5</v>
      </c>
      <c r="I45" s="144">
        <v>8421</v>
      </c>
    </row>
    <row r="46" spans="1:9" x14ac:dyDescent="0.25">
      <c r="B46" s="143" t="s">
        <v>581</v>
      </c>
      <c r="C46" s="143" t="s">
        <v>520</v>
      </c>
      <c r="D46" s="143" t="s">
        <v>582</v>
      </c>
      <c r="E46" s="143"/>
      <c r="F46" s="143" t="s">
        <v>583</v>
      </c>
      <c r="G46" s="144">
        <v>157.5</v>
      </c>
      <c r="H46" s="144">
        <v>157.5</v>
      </c>
      <c r="I46" s="144">
        <v>8578.5</v>
      </c>
    </row>
    <row r="47" spans="1:9" x14ac:dyDescent="0.25">
      <c r="B47" s="143" t="s">
        <v>584</v>
      </c>
      <c r="C47" s="143" t="s">
        <v>520</v>
      </c>
      <c r="D47" s="143" t="s">
        <v>585</v>
      </c>
      <c r="E47" s="143"/>
      <c r="F47" s="143" t="s">
        <v>423</v>
      </c>
      <c r="G47" s="144">
        <v>2315.25</v>
      </c>
      <c r="H47" s="144">
        <v>2315.25</v>
      </c>
      <c r="I47" s="144">
        <v>10893.75</v>
      </c>
    </row>
    <row r="48" spans="1:9" x14ac:dyDescent="0.25">
      <c r="B48" s="143" t="s">
        <v>586</v>
      </c>
      <c r="C48" s="143" t="s">
        <v>520</v>
      </c>
      <c r="D48" s="143" t="s">
        <v>587</v>
      </c>
      <c r="E48" s="143"/>
      <c r="F48" s="143" t="s">
        <v>588</v>
      </c>
      <c r="G48" s="144">
        <v>1543.5</v>
      </c>
      <c r="H48" s="144">
        <v>1543.5</v>
      </c>
      <c r="I48" s="144">
        <v>12437.25</v>
      </c>
    </row>
    <row r="49" spans="1:9" x14ac:dyDescent="0.25">
      <c r="B49" s="143" t="s">
        <v>525</v>
      </c>
      <c r="C49" s="143" t="s">
        <v>520</v>
      </c>
      <c r="D49" s="143" t="s">
        <v>589</v>
      </c>
      <c r="E49" s="143"/>
      <c r="F49" s="143" t="s">
        <v>590</v>
      </c>
      <c r="G49" s="144">
        <v>1543.5</v>
      </c>
      <c r="H49" s="144">
        <v>1543.5</v>
      </c>
      <c r="I49" s="144">
        <v>13980.75</v>
      </c>
    </row>
    <row r="50" spans="1:9" x14ac:dyDescent="0.25">
      <c r="B50" s="143" t="s">
        <v>470</v>
      </c>
      <c r="C50" s="143" t="s">
        <v>520</v>
      </c>
      <c r="D50" s="143" t="s">
        <v>591</v>
      </c>
      <c r="E50" s="143"/>
      <c r="F50" s="143" t="s">
        <v>471</v>
      </c>
      <c r="G50" s="144">
        <v>771.75</v>
      </c>
      <c r="H50" s="144">
        <v>771.75</v>
      </c>
      <c r="I50" s="144">
        <v>14752.5</v>
      </c>
    </row>
    <row r="51" spans="1:9" x14ac:dyDescent="0.25">
      <c r="B51" s="143" t="s">
        <v>592</v>
      </c>
      <c r="C51" s="143" t="s">
        <v>520</v>
      </c>
      <c r="D51" s="143" t="s">
        <v>593</v>
      </c>
      <c r="E51" s="143"/>
      <c r="F51" s="143" t="s">
        <v>594</v>
      </c>
      <c r="G51" s="144">
        <v>771.75</v>
      </c>
      <c r="H51" s="144">
        <v>771.75</v>
      </c>
      <c r="I51" s="144">
        <v>15524.25</v>
      </c>
    </row>
    <row r="52" spans="1:9" x14ac:dyDescent="0.25">
      <c r="B52" s="143" t="s">
        <v>595</v>
      </c>
      <c r="C52" s="143" t="s">
        <v>520</v>
      </c>
      <c r="D52" s="143" t="s">
        <v>596</v>
      </c>
      <c r="E52" s="143"/>
      <c r="F52" s="143" t="s">
        <v>597</v>
      </c>
      <c r="G52" s="144">
        <v>771.75</v>
      </c>
      <c r="H52" s="144">
        <v>771.75</v>
      </c>
      <c r="I52" s="144">
        <v>16296</v>
      </c>
    </row>
    <row r="53" spans="1:9" x14ac:dyDescent="0.25">
      <c r="B53" s="143" t="s">
        <v>598</v>
      </c>
      <c r="C53" s="143" t="s">
        <v>520</v>
      </c>
      <c r="D53" s="143" t="s">
        <v>599</v>
      </c>
      <c r="E53" s="143"/>
      <c r="F53" s="143" t="s">
        <v>600</v>
      </c>
      <c r="G53" s="144">
        <v>288.75</v>
      </c>
      <c r="H53" s="144">
        <v>288.75</v>
      </c>
      <c r="I53" s="144">
        <v>16584.75</v>
      </c>
    </row>
    <row r="54" spans="1:9" x14ac:dyDescent="0.25">
      <c r="B54" s="143" t="s">
        <v>601</v>
      </c>
      <c r="C54" s="143" t="s">
        <v>520</v>
      </c>
      <c r="D54" s="143" t="s">
        <v>602</v>
      </c>
      <c r="E54" s="143"/>
      <c r="F54" s="143" t="s">
        <v>603</v>
      </c>
      <c r="G54" s="144">
        <v>472.5</v>
      </c>
      <c r="H54" s="144">
        <v>472.5</v>
      </c>
      <c r="I54" s="144">
        <v>17057.25</v>
      </c>
    </row>
    <row r="55" spans="1:9" x14ac:dyDescent="0.25">
      <c r="A55" s="142" t="s">
        <v>604</v>
      </c>
      <c r="G55" s="145">
        <v>17057.25</v>
      </c>
      <c r="H55" s="145">
        <v>17057.25</v>
      </c>
    </row>
    <row r="56" spans="1:9" x14ac:dyDescent="0.25">
      <c r="A56" s="142" t="s">
        <v>605</v>
      </c>
    </row>
    <row r="57" spans="1:9" x14ac:dyDescent="0.25">
      <c r="B57" s="143" t="s">
        <v>606</v>
      </c>
      <c r="C57" s="143" t="s">
        <v>520</v>
      </c>
      <c r="D57" s="143">
        <v>20208</v>
      </c>
      <c r="E57" s="143"/>
      <c r="F57" s="143" t="s">
        <v>607</v>
      </c>
      <c r="G57" s="144">
        <v>761.9</v>
      </c>
      <c r="H57" s="144">
        <v>761.9</v>
      </c>
      <c r="I57" s="144">
        <v>761.9</v>
      </c>
    </row>
    <row r="58" spans="1:9" x14ac:dyDescent="0.25">
      <c r="B58" s="143" t="s">
        <v>372</v>
      </c>
      <c r="C58" s="143" t="s">
        <v>520</v>
      </c>
      <c r="D58" s="143" t="s">
        <v>608</v>
      </c>
      <c r="E58" s="143"/>
      <c r="F58" s="143" t="s">
        <v>609</v>
      </c>
      <c r="G58" s="144">
        <v>7341.54</v>
      </c>
      <c r="H58" s="144">
        <v>7341.54</v>
      </c>
      <c r="I58" s="144">
        <v>8103.44</v>
      </c>
    </row>
    <row r="59" spans="1:9" x14ac:dyDescent="0.25">
      <c r="B59" s="143" t="s">
        <v>372</v>
      </c>
      <c r="C59" s="143" t="s">
        <v>520</v>
      </c>
      <c r="D59" s="143">
        <v>20321</v>
      </c>
      <c r="E59" s="143"/>
      <c r="F59" s="143" t="s">
        <v>609</v>
      </c>
      <c r="G59" s="144">
        <v>152.38</v>
      </c>
      <c r="H59" s="144">
        <v>152.38</v>
      </c>
      <c r="I59" s="144">
        <v>8255.82</v>
      </c>
    </row>
    <row r="60" spans="1:9" x14ac:dyDescent="0.25">
      <c r="A60" s="142" t="s">
        <v>610</v>
      </c>
      <c r="G60" s="145">
        <v>8255.82</v>
      </c>
      <c r="H60" s="145">
        <v>8255.82</v>
      </c>
    </row>
    <row r="61" spans="1:9" x14ac:dyDescent="0.25">
      <c r="A61" s="142" t="s">
        <v>611</v>
      </c>
    </row>
    <row r="62" spans="1:9" x14ac:dyDescent="0.25">
      <c r="B62" s="143" t="s">
        <v>612</v>
      </c>
      <c r="C62" s="143" t="s">
        <v>520</v>
      </c>
      <c r="D62" s="143">
        <v>410351</v>
      </c>
      <c r="E62" s="143"/>
      <c r="F62" s="143" t="s">
        <v>612</v>
      </c>
      <c r="G62" s="144">
        <v>4410</v>
      </c>
      <c r="H62" s="144">
        <v>2562.4899999999998</v>
      </c>
      <c r="I62" s="144">
        <v>2562.4899999999998</v>
      </c>
    </row>
    <row r="63" spans="1:9" x14ac:dyDescent="0.25">
      <c r="B63" s="143" t="s">
        <v>426</v>
      </c>
      <c r="C63" s="143" t="s">
        <v>520</v>
      </c>
      <c r="D63" s="143">
        <v>410364</v>
      </c>
      <c r="E63" s="143"/>
      <c r="F63" s="143" t="s">
        <v>426</v>
      </c>
      <c r="G63" s="144">
        <v>2784.92</v>
      </c>
      <c r="H63" s="144">
        <v>2784.92</v>
      </c>
      <c r="I63" s="144">
        <v>5347.41</v>
      </c>
    </row>
    <row r="64" spans="1:9" x14ac:dyDescent="0.25">
      <c r="A64" s="142" t="s">
        <v>613</v>
      </c>
      <c r="G64" s="145">
        <v>7194.92</v>
      </c>
      <c r="H64" s="145">
        <v>5347.41</v>
      </c>
    </row>
    <row r="65" spans="1:9" x14ac:dyDescent="0.25">
      <c r="A65" s="142" t="s">
        <v>614</v>
      </c>
    </row>
    <row r="66" spans="1:9" x14ac:dyDescent="0.25">
      <c r="B66" s="143" t="s">
        <v>353</v>
      </c>
      <c r="C66" s="143" t="s">
        <v>520</v>
      </c>
      <c r="D66" s="143">
        <v>1031</v>
      </c>
      <c r="E66" s="143" t="s">
        <v>121</v>
      </c>
      <c r="F66" s="143" t="s">
        <v>354</v>
      </c>
      <c r="G66" s="144">
        <v>15750</v>
      </c>
      <c r="H66" s="144">
        <v>15750</v>
      </c>
      <c r="I66" s="144">
        <v>15750</v>
      </c>
    </row>
    <row r="67" spans="1:9" x14ac:dyDescent="0.25">
      <c r="B67" s="143" t="s">
        <v>615</v>
      </c>
      <c r="C67" s="143" t="s">
        <v>520</v>
      </c>
      <c r="D67" s="143"/>
      <c r="E67" s="143"/>
      <c r="F67" s="143" t="s">
        <v>616</v>
      </c>
      <c r="G67" s="144">
        <v>957.58</v>
      </c>
      <c r="H67" s="144">
        <v>957.58</v>
      </c>
      <c r="I67" s="144">
        <v>16707.580000000002</v>
      </c>
    </row>
    <row r="68" spans="1:9" x14ac:dyDescent="0.25">
      <c r="A68" s="142" t="s">
        <v>617</v>
      </c>
      <c r="G68" s="145">
        <v>16707.580000000002</v>
      </c>
      <c r="H68" s="145">
        <v>16707.580000000002</v>
      </c>
    </row>
    <row r="69" spans="1:9" x14ac:dyDescent="0.25">
      <c r="A69" s="142" t="s">
        <v>618</v>
      </c>
    </row>
    <row r="70" spans="1:9" x14ac:dyDescent="0.25">
      <c r="B70" s="143" t="s">
        <v>539</v>
      </c>
      <c r="C70" s="143" t="s">
        <v>357</v>
      </c>
      <c r="D70" s="143" t="s">
        <v>619</v>
      </c>
      <c r="E70" s="143"/>
      <c r="F70" s="143" t="s">
        <v>539</v>
      </c>
      <c r="G70" s="144">
        <v>-7500</v>
      </c>
      <c r="H70" s="144">
        <v>-7500</v>
      </c>
      <c r="I70" s="144">
        <v>-7500</v>
      </c>
    </row>
    <row r="71" spans="1:9" x14ac:dyDescent="0.25">
      <c r="B71" s="143" t="s">
        <v>620</v>
      </c>
      <c r="C71" s="143" t="s">
        <v>557</v>
      </c>
      <c r="D71" s="143"/>
      <c r="E71" s="143"/>
      <c r="F71" s="143" t="s">
        <v>620</v>
      </c>
      <c r="G71" s="144">
        <v>-7500</v>
      </c>
      <c r="H71" s="144">
        <v>-7500</v>
      </c>
      <c r="I71" s="144">
        <v>-15000</v>
      </c>
    </row>
    <row r="72" spans="1:9" x14ac:dyDescent="0.25">
      <c r="A72" s="142" t="s">
        <v>621</v>
      </c>
      <c r="G72" s="145">
        <v>-15000</v>
      </c>
      <c r="H72" s="145">
        <v>-15000</v>
      </c>
    </row>
    <row r="73" spans="1:9" x14ac:dyDescent="0.25">
      <c r="A73" s="142" t="s">
        <v>622</v>
      </c>
    </row>
    <row r="74" spans="1:9" x14ac:dyDescent="0.25">
      <c r="B74" s="143" t="s">
        <v>612</v>
      </c>
      <c r="C74" s="143" t="s">
        <v>520</v>
      </c>
      <c r="D74" s="143" t="s">
        <v>623</v>
      </c>
      <c r="E74" s="143"/>
      <c r="F74" s="143" t="s">
        <v>612</v>
      </c>
      <c r="G74" s="144">
        <v>50266.48</v>
      </c>
      <c r="H74" s="144">
        <v>50266.48</v>
      </c>
      <c r="I74" s="144">
        <v>50266.48</v>
      </c>
    </row>
    <row r="75" spans="1:9" x14ac:dyDescent="0.25">
      <c r="B75" s="143" t="s">
        <v>474</v>
      </c>
      <c r="C75" s="143" t="s">
        <v>520</v>
      </c>
      <c r="D75" s="143" t="s">
        <v>624</v>
      </c>
      <c r="E75" s="143"/>
      <c r="F75" s="143" t="s">
        <v>474</v>
      </c>
      <c r="G75" s="144">
        <v>61742.95</v>
      </c>
      <c r="H75" s="144">
        <v>61742.95</v>
      </c>
      <c r="I75" s="144">
        <v>112009.43</v>
      </c>
    </row>
    <row r="76" spans="1:9" x14ac:dyDescent="0.25">
      <c r="A76" s="142" t="s">
        <v>625</v>
      </c>
      <c r="G76" s="145">
        <v>112009.43</v>
      </c>
      <c r="H76" s="145">
        <v>112009.43</v>
      </c>
    </row>
    <row r="77" spans="1:9" x14ac:dyDescent="0.25">
      <c r="A77" s="142" t="s">
        <v>626</v>
      </c>
    </row>
    <row r="78" spans="1:9" x14ac:dyDescent="0.25">
      <c r="B78" s="143" t="s">
        <v>348</v>
      </c>
      <c r="C78" s="143" t="s">
        <v>520</v>
      </c>
      <c r="D78" s="143" t="s">
        <v>627</v>
      </c>
      <c r="E78" s="143"/>
      <c r="F78" s="143" t="s">
        <v>348</v>
      </c>
      <c r="G78" s="144">
        <v>4918.33</v>
      </c>
      <c r="H78" s="144">
        <v>4918.33</v>
      </c>
      <c r="I78" s="144">
        <v>4918.33</v>
      </c>
    </row>
    <row r="79" spans="1:9" x14ac:dyDescent="0.25">
      <c r="B79" s="143" t="s">
        <v>628</v>
      </c>
      <c r="C79" s="143" t="s">
        <v>520</v>
      </c>
      <c r="D79" s="143" t="s">
        <v>629</v>
      </c>
      <c r="E79" s="143" t="s">
        <v>121</v>
      </c>
      <c r="F79" s="143" t="s">
        <v>628</v>
      </c>
      <c r="G79" s="144">
        <v>11173.03</v>
      </c>
      <c r="H79" s="144">
        <v>11173.03</v>
      </c>
      <c r="I79" s="144">
        <v>16091.36</v>
      </c>
    </row>
    <row r="80" spans="1:9" x14ac:dyDescent="0.25">
      <c r="A80" s="142" t="s">
        <v>630</v>
      </c>
      <c r="G80" s="145">
        <v>16091.36</v>
      </c>
      <c r="H80" s="145">
        <v>16091.36</v>
      </c>
    </row>
    <row r="81" spans="1:9" x14ac:dyDescent="0.25">
      <c r="A81" s="142" t="s">
        <v>631</v>
      </c>
    </row>
    <row r="82" spans="1:9" x14ac:dyDescent="0.25">
      <c r="B82" s="143" t="s">
        <v>343</v>
      </c>
      <c r="C82" s="143" t="s">
        <v>357</v>
      </c>
      <c r="D82" s="143" t="s">
        <v>632</v>
      </c>
      <c r="E82" s="143"/>
      <c r="F82" s="143" t="s">
        <v>343</v>
      </c>
      <c r="G82" s="144">
        <v>33070.5</v>
      </c>
      <c r="H82" s="144">
        <v>33070.5</v>
      </c>
      <c r="I82" s="144">
        <v>33070.5</v>
      </c>
    </row>
    <row r="83" spans="1:9" x14ac:dyDescent="0.25">
      <c r="B83" s="143" t="s">
        <v>347</v>
      </c>
      <c r="C83" s="143" t="s">
        <v>357</v>
      </c>
      <c r="D83" s="143" t="s">
        <v>633</v>
      </c>
      <c r="E83" s="143"/>
      <c r="F83" s="143" t="s">
        <v>347</v>
      </c>
      <c r="G83" s="144">
        <v>33070.5</v>
      </c>
      <c r="H83" s="144">
        <v>33070.5</v>
      </c>
      <c r="I83" s="144">
        <v>66141</v>
      </c>
    </row>
    <row r="84" spans="1:9" x14ac:dyDescent="0.25">
      <c r="B84" s="143" t="s">
        <v>634</v>
      </c>
      <c r="C84" s="143" t="s">
        <v>357</v>
      </c>
      <c r="D84" s="143" t="s">
        <v>635</v>
      </c>
      <c r="E84" s="143"/>
      <c r="F84" s="143" t="s">
        <v>634</v>
      </c>
      <c r="G84" s="144">
        <v>11023.5</v>
      </c>
      <c r="H84" s="144">
        <v>11023.5</v>
      </c>
      <c r="I84" s="144">
        <v>77164.5</v>
      </c>
    </row>
    <row r="85" spans="1:9" x14ac:dyDescent="0.25">
      <c r="B85" s="143" t="s">
        <v>553</v>
      </c>
      <c r="C85" s="143" t="s">
        <v>357</v>
      </c>
      <c r="D85" s="143" t="s">
        <v>636</v>
      </c>
      <c r="E85" s="143"/>
      <c r="F85" s="143" t="s">
        <v>553</v>
      </c>
      <c r="G85" s="144">
        <v>11023.5</v>
      </c>
      <c r="H85" s="144">
        <v>11023.5</v>
      </c>
      <c r="I85" s="144">
        <v>88188</v>
      </c>
    </row>
    <row r="86" spans="1:9" x14ac:dyDescent="0.25">
      <c r="A86" s="142" t="s">
        <v>637</v>
      </c>
      <c r="G86" s="145">
        <v>88188</v>
      </c>
      <c r="H86" s="145">
        <v>88188</v>
      </c>
    </row>
    <row r="87" spans="1:9" x14ac:dyDescent="0.25">
      <c r="A87" s="142" t="s">
        <v>638</v>
      </c>
    </row>
    <row r="88" spans="1:9" x14ac:dyDescent="0.25">
      <c r="B88" s="143" t="s">
        <v>639</v>
      </c>
      <c r="C88" s="143" t="s">
        <v>520</v>
      </c>
      <c r="D88" s="143" t="s">
        <v>640</v>
      </c>
      <c r="E88" s="143"/>
      <c r="F88" s="143" t="s">
        <v>641</v>
      </c>
      <c r="G88" s="144">
        <v>97905.58</v>
      </c>
      <c r="H88" s="144">
        <v>29153.91</v>
      </c>
      <c r="I88" s="144">
        <v>29153.91</v>
      </c>
    </row>
    <row r="89" spans="1:9" x14ac:dyDescent="0.25">
      <c r="B89" s="143" t="s">
        <v>642</v>
      </c>
      <c r="C89" s="143" t="s">
        <v>520</v>
      </c>
      <c r="D89" s="143" t="s">
        <v>643</v>
      </c>
      <c r="E89" s="143" t="s">
        <v>121</v>
      </c>
      <c r="F89" s="143" t="s">
        <v>390</v>
      </c>
      <c r="G89" s="144">
        <v>119712.64</v>
      </c>
      <c r="H89" s="144">
        <v>108894.89</v>
      </c>
      <c r="I89" s="144">
        <v>138048.79999999999</v>
      </c>
    </row>
    <row r="90" spans="1:9" x14ac:dyDescent="0.25">
      <c r="B90" s="143" t="s">
        <v>644</v>
      </c>
      <c r="C90" s="143" t="s">
        <v>645</v>
      </c>
      <c r="D90" s="143" t="s">
        <v>646</v>
      </c>
      <c r="E90" s="143"/>
      <c r="F90" s="143"/>
      <c r="G90" s="144">
        <v>-46.21</v>
      </c>
      <c r="H90" s="144">
        <v>-46.21</v>
      </c>
      <c r="I90" s="144">
        <v>138002.59</v>
      </c>
    </row>
    <row r="91" spans="1:9" x14ac:dyDescent="0.25">
      <c r="A91" s="142" t="s">
        <v>647</v>
      </c>
      <c r="G91" s="145">
        <v>217572.01</v>
      </c>
      <c r="H91" s="145">
        <v>138002.59</v>
      </c>
    </row>
    <row r="92" spans="1:9" x14ac:dyDescent="0.25">
      <c r="A92" s="142" t="s">
        <v>648</v>
      </c>
    </row>
    <row r="93" spans="1:9" x14ac:dyDescent="0.25">
      <c r="B93" s="143" t="s">
        <v>634</v>
      </c>
      <c r="C93" s="143" t="s">
        <v>520</v>
      </c>
      <c r="D93" s="143">
        <v>12368</v>
      </c>
      <c r="E93" s="143" t="s">
        <v>125</v>
      </c>
      <c r="F93" s="143" t="s">
        <v>634</v>
      </c>
      <c r="G93" s="144">
        <v>1092</v>
      </c>
      <c r="H93" s="144">
        <v>1092</v>
      </c>
      <c r="I93" s="144">
        <v>1092</v>
      </c>
    </row>
    <row r="94" spans="1:9" x14ac:dyDescent="0.25">
      <c r="A94" s="142" t="s">
        <v>649</v>
      </c>
      <c r="G94" s="145">
        <v>1092</v>
      </c>
      <c r="H94" s="145">
        <v>1092</v>
      </c>
    </row>
    <row r="95" spans="1:9" x14ac:dyDescent="0.25">
      <c r="A95" s="142" t="s">
        <v>650</v>
      </c>
    </row>
    <row r="96" spans="1:9" x14ac:dyDescent="0.25">
      <c r="B96" s="143" t="s">
        <v>651</v>
      </c>
      <c r="C96" s="143" t="s">
        <v>520</v>
      </c>
      <c r="D96" s="143">
        <v>30101</v>
      </c>
      <c r="E96" s="143"/>
      <c r="F96" s="143" t="s">
        <v>652</v>
      </c>
      <c r="G96" s="144">
        <v>252</v>
      </c>
      <c r="H96" s="144">
        <v>252</v>
      </c>
      <c r="I96" s="144">
        <v>252</v>
      </c>
    </row>
    <row r="97" spans="1:9" x14ac:dyDescent="0.25">
      <c r="A97" s="142" t="s">
        <v>653</v>
      </c>
      <c r="G97" s="145">
        <v>252</v>
      </c>
      <c r="H97" s="145">
        <v>252</v>
      </c>
    </row>
    <row r="98" spans="1:9" x14ac:dyDescent="0.25">
      <c r="A98" s="142" t="s">
        <v>654</v>
      </c>
    </row>
    <row r="99" spans="1:9" x14ac:dyDescent="0.25">
      <c r="B99" s="143" t="s">
        <v>347</v>
      </c>
      <c r="C99" s="143" t="s">
        <v>520</v>
      </c>
      <c r="D99" s="143">
        <v>1339</v>
      </c>
      <c r="E99" s="143"/>
      <c r="F99" s="143" t="s">
        <v>348</v>
      </c>
      <c r="G99" s="144">
        <v>678</v>
      </c>
      <c r="H99" s="144">
        <v>678</v>
      </c>
      <c r="I99" s="144">
        <v>678</v>
      </c>
    </row>
    <row r="100" spans="1:9" x14ac:dyDescent="0.25">
      <c r="B100" s="143" t="s">
        <v>347</v>
      </c>
      <c r="C100" s="143" t="s">
        <v>520</v>
      </c>
      <c r="D100" s="143" t="s">
        <v>655</v>
      </c>
      <c r="E100" s="143"/>
      <c r="F100" s="143" t="s">
        <v>348</v>
      </c>
      <c r="G100" s="144">
        <v>678</v>
      </c>
      <c r="H100" s="144">
        <v>678</v>
      </c>
      <c r="I100" s="144">
        <v>1356</v>
      </c>
    </row>
    <row r="101" spans="1:9" x14ac:dyDescent="0.25">
      <c r="B101" s="143" t="s">
        <v>348</v>
      </c>
      <c r="C101" s="143" t="s">
        <v>520</v>
      </c>
      <c r="D101" s="143" t="s">
        <v>656</v>
      </c>
      <c r="E101" s="143"/>
      <c r="F101" s="143" t="s">
        <v>657</v>
      </c>
      <c r="G101" s="144">
        <v>678</v>
      </c>
      <c r="H101" s="144">
        <v>678</v>
      </c>
      <c r="I101" s="144">
        <v>2034</v>
      </c>
    </row>
    <row r="102" spans="1:9" x14ac:dyDescent="0.25">
      <c r="A102" s="142" t="s">
        <v>658</v>
      </c>
      <c r="G102" s="145">
        <v>2034</v>
      </c>
      <c r="H102" s="145">
        <v>2034</v>
      </c>
    </row>
    <row r="103" spans="1:9" x14ac:dyDescent="0.25">
      <c r="A103" s="142" t="s">
        <v>659</v>
      </c>
    </row>
    <row r="104" spans="1:9" x14ac:dyDescent="0.25">
      <c r="B104" s="143" t="s">
        <v>660</v>
      </c>
      <c r="C104" s="143" t="s">
        <v>520</v>
      </c>
      <c r="D104" s="143"/>
      <c r="E104" s="143" t="s">
        <v>121</v>
      </c>
      <c r="F104" s="143" t="s">
        <v>661</v>
      </c>
      <c r="G104" s="144">
        <v>131093.66</v>
      </c>
      <c r="H104" s="144">
        <v>45882.78</v>
      </c>
      <c r="I104" s="144">
        <v>45882.78</v>
      </c>
    </row>
    <row r="105" spans="1:9" x14ac:dyDescent="0.25">
      <c r="A105" s="142" t="s">
        <v>662</v>
      </c>
      <c r="G105" s="145">
        <v>131093.66</v>
      </c>
      <c r="H105" s="145">
        <v>45882.78</v>
      </c>
    </row>
    <row r="106" spans="1:9" x14ac:dyDescent="0.25">
      <c r="A106" s="142" t="s">
        <v>663</v>
      </c>
    </row>
    <row r="107" spans="1:9" x14ac:dyDescent="0.25">
      <c r="B107" s="143" t="s">
        <v>351</v>
      </c>
      <c r="C107" s="143" t="s">
        <v>520</v>
      </c>
      <c r="D107" s="143">
        <v>1</v>
      </c>
      <c r="E107" s="143"/>
      <c r="F107" s="143" t="s">
        <v>664</v>
      </c>
      <c r="G107" s="144">
        <v>52500</v>
      </c>
      <c r="H107" s="144">
        <v>52500</v>
      </c>
      <c r="I107" s="144">
        <v>52500</v>
      </c>
    </row>
    <row r="108" spans="1:9" x14ac:dyDescent="0.25">
      <c r="A108" s="142" t="s">
        <v>665</v>
      </c>
      <c r="G108" s="145">
        <v>52500</v>
      </c>
      <c r="H108" s="145">
        <v>52500</v>
      </c>
    </row>
    <row r="109" spans="1:9" x14ac:dyDescent="0.25">
      <c r="A109" s="142" t="s">
        <v>666</v>
      </c>
    </row>
    <row r="110" spans="1:9" x14ac:dyDescent="0.25">
      <c r="B110" s="143" t="s">
        <v>667</v>
      </c>
      <c r="C110" s="143" t="s">
        <v>520</v>
      </c>
      <c r="D110" s="143" t="s">
        <v>668</v>
      </c>
      <c r="E110" s="143"/>
      <c r="F110" s="143" t="s">
        <v>667</v>
      </c>
      <c r="G110" s="144">
        <v>4945.1499999999996</v>
      </c>
      <c r="H110" s="144">
        <v>4945.1499999999996</v>
      </c>
      <c r="I110" s="144">
        <v>4945.1499999999996</v>
      </c>
    </row>
    <row r="111" spans="1:9" x14ac:dyDescent="0.25">
      <c r="B111" s="143" t="s">
        <v>349</v>
      </c>
      <c r="C111" s="143" t="s">
        <v>520</v>
      </c>
      <c r="D111" s="143" t="s">
        <v>669</v>
      </c>
      <c r="E111" s="143"/>
      <c r="F111" s="143" t="s">
        <v>670</v>
      </c>
      <c r="G111" s="144">
        <v>20617.93</v>
      </c>
      <c r="H111" s="144">
        <v>20617.93</v>
      </c>
      <c r="I111" s="144">
        <v>25563.08</v>
      </c>
    </row>
    <row r="112" spans="1:9" x14ac:dyDescent="0.25">
      <c r="B112" s="143" t="s">
        <v>349</v>
      </c>
      <c r="C112" s="143" t="s">
        <v>520</v>
      </c>
      <c r="D112" s="143" t="s">
        <v>671</v>
      </c>
      <c r="E112" s="143"/>
      <c r="F112" s="143" t="s">
        <v>616</v>
      </c>
      <c r="G112" s="144">
        <v>20617.93</v>
      </c>
      <c r="H112" s="144">
        <v>20617.93</v>
      </c>
      <c r="I112" s="144">
        <v>46181.01</v>
      </c>
    </row>
    <row r="113" spans="1:9" x14ac:dyDescent="0.25">
      <c r="B113" s="143" t="s">
        <v>349</v>
      </c>
      <c r="C113" s="143" t="s">
        <v>520</v>
      </c>
      <c r="D113" s="143" t="s">
        <v>672</v>
      </c>
      <c r="E113" s="143"/>
      <c r="F113" s="143" t="s">
        <v>673</v>
      </c>
      <c r="G113" s="144">
        <v>20617.93</v>
      </c>
      <c r="H113" s="144">
        <v>20617.93</v>
      </c>
      <c r="I113" s="144">
        <v>66798.94</v>
      </c>
    </row>
    <row r="114" spans="1:9" x14ac:dyDescent="0.25">
      <c r="B114" s="143" t="s">
        <v>349</v>
      </c>
      <c r="C114" s="143" t="s">
        <v>520</v>
      </c>
      <c r="D114" s="143" t="s">
        <v>674</v>
      </c>
      <c r="E114" s="143"/>
      <c r="F114" s="143" t="s">
        <v>675</v>
      </c>
      <c r="G114" s="144">
        <v>20617.93</v>
      </c>
      <c r="H114" s="144">
        <v>20617.93</v>
      </c>
      <c r="I114" s="144">
        <v>87416.87</v>
      </c>
    </row>
    <row r="115" spans="1:9" x14ac:dyDescent="0.25">
      <c r="B115" s="143" t="s">
        <v>349</v>
      </c>
      <c r="C115" s="143" t="s">
        <v>520</v>
      </c>
      <c r="D115" s="143" t="s">
        <v>676</v>
      </c>
      <c r="E115" s="143"/>
      <c r="F115" s="143" t="s">
        <v>677</v>
      </c>
      <c r="G115" s="144">
        <v>20617.93</v>
      </c>
      <c r="H115" s="144">
        <v>20617.93</v>
      </c>
      <c r="I115" s="144">
        <v>108034.8</v>
      </c>
    </row>
    <row r="116" spans="1:9" x14ac:dyDescent="0.25">
      <c r="B116" s="143" t="s">
        <v>349</v>
      </c>
      <c r="C116" s="143" t="s">
        <v>520</v>
      </c>
      <c r="D116" s="143" t="s">
        <v>678</v>
      </c>
      <c r="E116" s="143"/>
      <c r="F116" s="143" t="s">
        <v>679</v>
      </c>
      <c r="G116" s="144">
        <v>20617.93</v>
      </c>
      <c r="H116" s="144">
        <v>20617.93</v>
      </c>
      <c r="I116" s="144">
        <v>128652.73</v>
      </c>
    </row>
    <row r="117" spans="1:9" x14ac:dyDescent="0.25">
      <c r="B117" s="143" t="s">
        <v>349</v>
      </c>
      <c r="C117" s="143" t="s">
        <v>520</v>
      </c>
      <c r="D117" s="143" t="s">
        <v>680</v>
      </c>
      <c r="E117" s="143"/>
      <c r="F117" s="143" t="s">
        <v>681</v>
      </c>
      <c r="G117" s="144">
        <v>20617.93</v>
      </c>
      <c r="H117" s="144">
        <v>20617.93</v>
      </c>
      <c r="I117" s="144">
        <v>149270.66</v>
      </c>
    </row>
    <row r="118" spans="1:9" x14ac:dyDescent="0.25">
      <c r="B118" s="143" t="s">
        <v>349</v>
      </c>
      <c r="C118" s="143" t="s">
        <v>520</v>
      </c>
      <c r="D118" s="143" t="s">
        <v>682</v>
      </c>
      <c r="E118" s="143"/>
      <c r="F118" s="143" t="s">
        <v>683</v>
      </c>
      <c r="G118" s="144">
        <v>20617.93</v>
      </c>
      <c r="H118" s="144">
        <v>20617.93</v>
      </c>
      <c r="I118" s="144">
        <v>169888.59</v>
      </c>
    </row>
    <row r="119" spans="1:9" x14ac:dyDescent="0.25">
      <c r="B119" s="143" t="s">
        <v>349</v>
      </c>
      <c r="C119" s="143" t="s">
        <v>520</v>
      </c>
      <c r="D119" s="143" t="s">
        <v>684</v>
      </c>
      <c r="E119" s="143"/>
      <c r="F119" s="143" t="s">
        <v>685</v>
      </c>
      <c r="G119" s="144">
        <v>20617.93</v>
      </c>
      <c r="H119" s="144">
        <v>20617.93</v>
      </c>
      <c r="I119" s="144">
        <v>190506.52</v>
      </c>
    </row>
    <row r="120" spans="1:9" x14ac:dyDescent="0.25">
      <c r="B120" s="143" t="s">
        <v>349</v>
      </c>
      <c r="C120" s="143" t="s">
        <v>520</v>
      </c>
      <c r="D120" s="143" t="s">
        <v>686</v>
      </c>
      <c r="E120" s="143"/>
      <c r="F120" s="143" t="s">
        <v>687</v>
      </c>
      <c r="G120" s="144">
        <v>20617.93</v>
      </c>
      <c r="H120" s="144">
        <v>20617.93</v>
      </c>
      <c r="I120" s="144">
        <v>211124.45</v>
      </c>
    </row>
    <row r="121" spans="1:9" x14ac:dyDescent="0.25">
      <c r="B121" s="143" t="s">
        <v>349</v>
      </c>
      <c r="C121" s="143" t="s">
        <v>520</v>
      </c>
      <c r="D121" s="143" t="s">
        <v>688</v>
      </c>
      <c r="E121" s="143"/>
      <c r="F121" s="143" t="s">
        <v>689</v>
      </c>
      <c r="G121" s="144">
        <v>20617.93</v>
      </c>
      <c r="H121" s="144">
        <v>20617.93</v>
      </c>
      <c r="I121" s="144">
        <v>231742.38</v>
      </c>
    </row>
    <row r="122" spans="1:9" x14ac:dyDescent="0.25">
      <c r="B122" s="143" t="s">
        <v>553</v>
      </c>
      <c r="C122" s="143" t="s">
        <v>520</v>
      </c>
      <c r="D122" s="143" t="s">
        <v>690</v>
      </c>
      <c r="E122" s="143"/>
      <c r="F122" s="143" t="s">
        <v>691</v>
      </c>
      <c r="G122" s="144">
        <v>12502.63</v>
      </c>
      <c r="H122" s="144">
        <v>12502.63</v>
      </c>
      <c r="I122" s="144">
        <v>244245.01</v>
      </c>
    </row>
    <row r="123" spans="1:9" x14ac:dyDescent="0.25">
      <c r="A123" s="142" t="s">
        <v>692</v>
      </c>
      <c r="G123" s="145">
        <v>244245.01</v>
      </c>
      <c r="H123" s="145">
        <v>244245.01</v>
      </c>
    </row>
    <row r="124" spans="1:9" x14ac:dyDescent="0.25">
      <c r="A124" s="142" t="s">
        <v>693</v>
      </c>
    </row>
    <row r="125" spans="1:9" x14ac:dyDescent="0.25">
      <c r="B125" s="143" t="s">
        <v>694</v>
      </c>
      <c r="C125" s="143" t="s">
        <v>520</v>
      </c>
      <c r="D125" s="143" t="s">
        <v>695</v>
      </c>
      <c r="E125" s="143"/>
      <c r="F125" s="143" t="s">
        <v>696</v>
      </c>
      <c r="G125" s="144">
        <v>11226.6</v>
      </c>
      <c r="H125" s="144">
        <v>11226.6</v>
      </c>
      <c r="I125" s="144">
        <v>11226.6</v>
      </c>
    </row>
    <row r="126" spans="1:9" x14ac:dyDescent="0.25">
      <c r="A126" s="142" t="s">
        <v>697</v>
      </c>
      <c r="G126" s="145">
        <v>11226.6</v>
      </c>
      <c r="H126" s="145">
        <v>11226.6</v>
      </c>
    </row>
    <row r="127" spans="1:9" x14ac:dyDescent="0.25">
      <c r="A127" s="142" t="s">
        <v>698</v>
      </c>
    </row>
    <row r="128" spans="1:9" x14ac:dyDescent="0.25">
      <c r="B128" s="143" t="s">
        <v>346</v>
      </c>
      <c r="C128" s="143" t="s">
        <v>520</v>
      </c>
      <c r="D128" s="143">
        <v>32079</v>
      </c>
      <c r="E128" s="143"/>
      <c r="F128" s="143" t="s">
        <v>579</v>
      </c>
      <c r="G128" s="144">
        <v>282.5</v>
      </c>
      <c r="H128" s="144">
        <v>282.5</v>
      </c>
      <c r="I128" s="144">
        <v>282.5</v>
      </c>
    </row>
    <row r="129" spans="1:9" x14ac:dyDescent="0.25">
      <c r="A129" s="142" t="s">
        <v>699</v>
      </c>
      <c r="G129" s="145">
        <v>282.5</v>
      </c>
      <c r="H129" s="145">
        <v>282.5</v>
      </c>
    </row>
    <row r="130" spans="1:9" x14ac:dyDescent="0.25">
      <c r="A130" s="142" t="s">
        <v>700</v>
      </c>
    </row>
    <row r="131" spans="1:9" x14ac:dyDescent="0.25">
      <c r="B131" s="143" t="s">
        <v>701</v>
      </c>
      <c r="C131" s="143" t="s">
        <v>520</v>
      </c>
      <c r="D131" s="143">
        <v>9871</v>
      </c>
      <c r="E131" s="143"/>
      <c r="F131" s="143" t="s">
        <v>701</v>
      </c>
      <c r="G131" s="144">
        <v>27510</v>
      </c>
      <c r="H131" s="144">
        <v>20000</v>
      </c>
      <c r="I131" s="144">
        <v>20000</v>
      </c>
    </row>
    <row r="132" spans="1:9" x14ac:dyDescent="0.25">
      <c r="A132" s="142" t="s">
        <v>702</v>
      </c>
      <c r="G132" s="145">
        <v>27510</v>
      </c>
      <c r="H132" s="145">
        <v>20000</v>
      </c>
    </row>
    <row r="133" spans="1:9" x14ac:dyDescent="0.25">
      <c r="A133" s="142" t="s">
        <v>703</v>
      </c>
    </row>
    <row r="134" spans="1:9" x14ac:dyDescent="0.25">
      <c r="B134" s="143" t="s">
        <v>704</v>
      </c>
      <c r="C134" s="143" t="s">
        <v>520</v>
      </c>
      <c r="D134" s="143" t="s">
        <v>705</v>
      </c>
      <c r="E134" s="143"/>
      <c r="F134" s="143" t="s">
        <v>476</v>
      </c>
      <c r="G134" s="144">
        <v>655.20000000000005</v>
      </c>
      <c r="H134" s="144">
        <v>655.20000000000005</v>
      </c>
      <c r="I134" s="144">
        <v>655.20000000000005</v>
      </c>
    </row>
    <row r="135" spans="1:9" x14ac:dyDescent="0.25">
      <c r="A135" s="142" t="s">
        <v>706</v>
      </c>
      <c r="G135" s="145">
        <v>655.20000000000005</v>
      </c>
      <c r="H135" s="145">
        <v>655.20000000000005</v>
      </c>
    </row>
    <row r="136" spans="1:9" x14ac:dyDescent="0.25">
      <c r="A136" s="142" t="s">
        <v>707</v>
      </c>
    </row>
    <row r="137" spans="1:9" x14ac:dyDescent="0.25">
      <c r="B137" s="143" t="s">
        <v>708</v>
      </c>
      <c r="C137" s="143" t="s">
        <v>520</v>
      </c>
      <c r="D137" s="143">
        <v>18466</v>
      </c>
      <c r="E137" s="143"/>
      <c r="F137" s="143" t="s">
        <v>709</v>
      </c>
      <c r="G137" s="144">
        <v>350</v>
      </c>
      <c r="H137" s="144">
        <v>350</v>
      </c>
      <c r="I137" s="144">
        <v>350</v>
      </c>
    </row>
    <row r="138" spans="1:9" x14ac:dyDescent="0.25">
      <c r="A138" s="142" t="s">
        <v>710</v>
      </c>
      <c r="G138" s="145">
        <v>350</v>
      </c>
      <c r="H138" s="145">
        <v>350</v>
      </c>
    </row>
    <row r="139" spans="1:9" x14ac:dyDescent="0.25">
      <c r="A139" s="142" t="s">
        <v>711</v>
      </c>
    </row>
    <row r="140" spans="1:9" x14ac:dyDescent="0.25">
      <c r="B140" s="143" t="s">
        <v>712</v>
      </c>
      <c r="C140" s="143" t="s">
        <v>713</v>
      </c>
      <c r="D140" s="143" t="s">
        <v>714</v>
      </c>
      <c r="E140" s="143"/>
      <c r="F140" s="143" t="s">
        <v>712</v>
      </c>
      <c r="G140" s="144">
        <v>-2515.8000000000002</v>
      </c>
      <c r="H140" s="144">
        <v>-2515.8000000000002</v>
      </c>
      <c r="I140" s="144">
        <v>-2515.8000000000002</v>
      </c>
    </row>
    <row r="141" spans="1:9" x14ac:dyDescent="0.25">
      <c r="B141" s="143" t="s">
        <v>715</v>
      </c>
      <c r="C141" s="143" t="s">
        <v>520</v>
      </c>
      <c r="D141" s="143">
        <v>325</v>
      </c>
      <c r="E141" s="143"/>
      <c r="F141" s="143" t="s">
        <v>716</v>
      </c>
      <c r="G141" s="144">
        <v>3524.85</v>
      </c>
      <c r="H141" s="144">
        <v>3524.85</v>
      </c>
      <c r="I141" s="144">
        <v>1009.05</v>
      </c>
    </row>
    <row r="142" spans="1:9" x14ac:dyDescent="0.25">
      <c r="B142" s="143" t="s">
        <v>717</v>
      </c>
      <c r="C142" s="143" t="s">
        <v>713</v>
      </c>
      <c r="D142" s="143" t="s">
        <v>718</v>
      </c>
      <c r="E142" s="143"/>
      <c r="F142" s="143" t="s">
        <v>717</v>
      </c>
      <c r="G142" s="144">
        <v>-7000</v>
      </c>
      <c r="H142" s="144">
        <v>-2950</v>
      </c>
      <c r="I142" s="144">
        <v>-1940.95</v>
      </c>
    </row>
    <row r="143" spans="1:9" x14ac:dyDescent="0.25">
      <c r="B143" s="143" t="s">
        <v>719</v>
      </c>
      <c r="C143" s="143" t="s">
        <v>520</v>
      </c>
      <c r="D143" s="143" t="s">
        <v>720</v>
      </c>
      <c r="E143" s="143"/>
      <c r="F143" s="143" t="s">
        <v>397</v>
      </c>
      <c r="G143" s="144">
        <v>18952.5</v>
      </c>
      <c r="H143" s="144">
        <v>18952.5</v>
      </c>
      <c r="I143" s="144">
        <v>17011.55</v>
      </c>
    </row>
    <row r="144" spans="1:9" x14ac:dyDescent="0.25">
      <c r="B144" s="143" t="s">
        <v>721</v>
      </c>
      <c r="C144" s="143" t="s">
        <v>520</v>
      </c>
      <c r="D144" s="143" t="s">
        <v>722</v>
      </c>
      <c r="E144" s="143"/>
      <c r="F144" s="143" t="s">
        <v>526</v>
      </c>
      <c r="G144" s="144">
        <v>11269.88</v>
      </c>
      <c r="H144" s="144">
        <v>11269.88</v>
      </c>
      <c r="I144" s="144">
        <v>28281.43</v>
      </c>
    </row>
    <row r="145" spans="1:9" x14ac:dyDescent="0.25">
      <c r="A145" s="142" t="s">
        <v>723</v>
      </c>
      <c r="G145" s="145">
        <v>24231.43</v>
      </c>
      <c r="H145" s="145">
        <v>28281.43</v>
      </c>
    </row>
    <row r="146" spans="1:9" x14ac:dyDescent="0.25">
      <c r="A146" s="142" t="s">
        <v>724</v>
      </c>
    </row>
    <row r="147" spans="1:9" x14ac:dyDescent="0.25">
      <c r="B147" s="143" t="s">
        <v>349</v>
      </c>
      <c r="C147" s="143" t="s">
        <v>520</v>
      </c>
      <c r="D147" s="143">
        <v>141515</v>
      </c>
      <c r="E147" s="143"/>
      <c r="F147" s="143" t="s">
        <v>725</v>
      </c>
      <c r="G147" s="144">
        <v>1174.1300000000001</v>
      </c>
      <c r="H147" s="144">
        <v>1174.1300000000001</v>
      </c>
      <c r="I147" s="144">
        <v>1174.1300000000001</v>
      </c>
    </row>
    <row r="148" spans="1:9" x14ac:dyDescent="0.25">
      <c r="A148" s="142" t="s">
        <v>726</v>
      </c>
      <c r="G148" s="145">
        <v>1174.1300000000001</v>
      </c>
      <c r="H148" s="145">
        <v>1174.1300000000001</v>
      </c>
    </row>
    <row r="149" spans="1:9" x14ac:dyDescent="0.25">
      <c r="A149" s="142" t="s">
        <v>727</v>
      </c>
    </row>
    <row r="150" spans="1:9" x14ac:dyDescent="0.25">
      <c r="B150" s="143" t="s">
        <v>461</v>
      </c>
      <c r="C150" s="143" t="s">
        <v>520</v>
      </c>
      <c r="D150" s="143">
        <v>20445</v>
      </c>
      <c r="E150" s="143"/>
      <c r="F150" s="143" t="s">
        <v>353</v>
      </c>
      <c r="G150" s="144">
        <v>482</v>
      </c>
      <c r="H150" s="144">
        <v>482</v>
      </c>
      <c r="I150" s="144">
        <v>482</v>
      </c>
    </row>
    <row r="151" spans="1:9" x14ac:dyDescent="0.25">
      <c r="A151" s="142" t="s">
        <v>728</v>
      </c>
      <c r="G151" s="145">
        <v>482</v>
      </c>
      <c r="H151" s="145">
        <v>482</v>
      </c>
    </row>
    <row r="152" spans="1:9" x14ac:dyDescent="0.25">
      <c r="A152" s="142" t="s">
        <v>729</v>
      </c>
    </row>
    <row r="153" spans="1:9" x14ac:dyDescent="0.25">
      <c r="B153" s="143" t="s">
        <v>730</v>
      </c>
      <c r="C153" s="143" t="s">
        <v>520</v>
      </c>
      <c r="D153" s="143">
        <v>70543</v>
      </c>
      <c r="E153" s="143"/>
      <c r="F153" s="143" t="s">
        <v>731</v>
      </c>
      <c r="G153" s="144">
        <v>3299.1</v>
      </c>
      <c r="H153" s="144">
        <v>1429.73</v>
      </c>
      <c r="I153" s="144">
        <v>1429.73</v>
      </c>
    </row>
    <row r="154" spans="1:9" x14ac:dyDescent="0.25">
      <c r="A154" s="142" t="s">
        <v>732</v>
      </c>
      <c r="G154" s="145">
        <v>3299.1</v>
      </c>
      <c r="H154" s="145">
        <v>1429.73</v>
      </c>
    </row>
    <row r="155" spans="1:9" x14ac:dyDescent="0.25">
      <c r="A155" s="142" t="s">
        <v>733</v>
      </c>
    </row>
    <row r="156" spans="1:9" x14ac:dyDescent="0.25">
      <c r="B156" s="143" t="s">
        <v>734</v>
      </c>
      <c r="C156" s="143" t="s">
        <v>520</v>
      </c>
      <c r="D156" s="143"/>
      <c r="E156" s="143"/>
      <c r="F156" s="143" t="s">
        <v>734</v>
      </c>
      <c r="G156" s="144">
        <v>1064.25</v>
      </c>
      <c r="H156" s="144">
        <v>1064.25</v>
      </c>
      <c r="I156" s="144">
        <v>1064.25</v>
      </c>
    </row>
    <row r="157" spans="1:9" x14ac:dyDescent="0.25">
      <c r="A157" s="142" t="s">
        <v>735</v>
      </c>
      <c r="G157" s="145">
        <v>1064.25</v>
      </c>
      <c r="H157" s="145">
        <v>1064.25</v>
      </c>
    </row>
    <row r="158" spans="1:9" x14ac:dyDescent="0.25">
      <c r="A158" s="142" t="s">
        <v>736</v>
      </c>
    </row>
    <row r="159" spans="1:9" x14ac:dyDescent="0.25">
      <c r="B159" s="143" t="s">
        <v>737</v>
      </c>
      <c r="C159" s="143" t="s">
        <v>520</v>
      </c>
      <c r="D159" s="143" t="s">
        <v>738</v>
      </c>
      <c r="E159" s="143"/>
      <c r="F159" s="143" t="s">
        <v>737</v>
      </c>
      <c r="G159" s="144">
        <v>97.11</v>
      </c>
      <c r="H159" s="144">
        <v>97.11</v>
      </c>
      <c r="I159" s="144">
        <v>97.11</v>
      </c>
    </row>
    <row r="160" spans="1:9" x14ac:dyDescent="0.25">
      <c r="B160" s="143" t="s">
        <v>691</v>
      </c>
      <c r="C160" s="143" t="s">
        <v>520</v>
      </c>
      <c r="D160" s="143" t="s">
        <v>739</v>
      </c>
      <c r="E160" s="143"/>
      <c r="F160" s="143" t="s">
        <v>740</v>
      </c>
      <c r="G160" s="144">
        <v>795.34</v>
      </c>
      <c r="H160" s="144">
        <v>795.34</v>
      </c>
      <c r="I160" s="144">
        <v>892.45</v>
      </c>
    </row>
    <row r="161" spans="1:9" x14ac:dyDescent="0.25">
      <c r="B161" s="143" t="s">
        <v>741</v>
      </c>
      <c r="C161" s="143" t="s">
        <v>520</v>
      </c>
      <c r="D161" s="143" t="s">
        <v>742</v>
      </c>
      <c r="E161" s="143" t="s">
        <v>121</v>
      </c>
      <c r="F161" s="143" t="s">
        <v>743</v>
      </c>
      <c r="G161" s="144">
        <v>1228.47</v>
      </c>
      <c r="H161" s="144">
        <v>1228.47</v>
      </c>
      <c r="I161" s="144">
        <v>2120.92</v>
      </c>
    </row>
    <row r="162" spans="1:9" x14ac:dyDescent="0.25">
      <c r="B162" s="143" t="s">
        <v>744</v>
      </c>
      <c r="C162" s="143" t="s">
        <v>520</v>
      </c>
      <c r="D162" s="143" t="s">
        <v>745</v>
      </c>
      <c r="E162" s="143" t="s">
        <v>121</v>
      </c>
      <c r="F162" s="143" t="s">
        <v>463</v>
      </c>
      <c r="G162" s="144">
        <v>2270.98</v>
      </c>
      <c r="H162" s="144">
        <v>2270.98</v>
      </c>
      <c r="I162" s="144">
        <v>4391.8999999999996</v>
      </c>
    </row>
    <row r="163" spans="1:9" x14ac:dyDescent="0.25">
      <c r="B163" s="143" t="s">
        <v>606</v>
      </c>
      <c r="C163" s="143" t="s">
        <v>520</v>
      </c>
      <c r="D163" s="143" t="s">
        <v>746</v>
      </c>
      <c r="E163" s="143" t="s">
        <v>121</v>
      </c>
      <c r="F163" s="143" t="s">
        <v>607</v>
      </c>
      <c r="G163" s="144">
        <v>1013.64</v>
      </c>
      <c r="H163" s="144">
        <v>1013.64</v>
      </c>
      <c r="I163" s="144">
        <v>5405.54</v>
      </c>
    </row>
    <row r="164" spans="1:9" x14ac:dyDescent="0.25">
      <c r="B164" s="143" t="s">
        <v>606</v>
      </c>
      <c r="C164" s="143" t="s">
        <v>520</v>
      </c>
      <c r="D164" s="143" t="s">
        <v>747</v>
      </c>
      <c r="E164" s="143" t="s">
        <v>121</v>
      </c>
      <c r="F164" s="143" t="s">
        <v>607</v>
      </c>
      <c r="G164" s="144">
        <v>341.64</v>
      </c>
      <c r="H164" s="144">
        <v>341.64</v>
      </c>
      <c r="I164" s="144">
        <v>5747.18</v>
      </c>
    </row>
    <row r="165" spans="1:9" x14ac:dyDescent="0.25">
      <c r="B165" s="143" t="s">
        <v>440</v>
      </c>
      <c r="C165" s="143" t="s">
        <v>520</v>
      </c>
      <c r="D165" s="143" t="s">
        <v>748</v>
      </c>
      <c r="E165" s="143" t="s">
        <v>121</v>
      </c>
      <c r="F165" s="143" t="s">
        <v>749</v>
      </c>
      <c r="G165" s="144">
        <v>1349.23</v>
      </c>
      <c r="H165" s="144">
        <v>1349.23</v>
      </c>
      <c r="I165" s="144">
        <v>7096.41</v>
      </c>
    </row>
    <row r="166" spans="1:9" x14ac:dyDescent="0.25">
      <c r="B166" s="143" t="s">
        <v>368</v>
      </c>
      <c r="C166" s="143" t="s">
        <v>520</v>
      </c>
      <c r="D166" s="143" t="s">
        <v>750</v>
      </c>
      <c r="E166" s="143"/>
      <c r="F166" s="143" t="s">
        <v>751</v>
      </c>
      <c r="G166" s="144">
        <v>3001.37</v>
      </c>
      <c r="H166" s="144">
        <v>3001.37</v>
      </c>
      <c r="I166" s="144">
        <v>10097.780000000001</v>
      </c>
    </row>
    <row r="167" spans="1:9" x14ac:dyDescent="0.25">
      <c r="B167" s="143" t="s">
        <v>368</v>
      </c>
      <c r="C167" s="143" t="s">
        <v>520</v>
      </c>
      <c r="D167" s="143" t="s">
        <v>752</v>
      </c>
      <c r="E167" s="143"/>
      <c r="F167" s="143" t="s">
        <v>751</v>
      </c>
      <c r="G167" s="144">
        <v>775.89</v>
      </c>
      <c r="H167" s="144">
        <v>775.89</v>
      </c>
      <c r="I167" s="144">
        <v>10873.67</v>
      </c>
    </row>
    <row r="168" spans="1:9" x14ac:dyDescent="0.25">
      <c r="A168" s="142" t="s">
        <v>753</v>
      </c>
      <c r="G168" s="145">
        <v>10873.67</v>
      </c>
      <c r="H168" s="145">
        <v>10873.67</v>
      </c>
    </row>
    <row r="169" spans="1:9" x14ac:dyDescent="0.25">
      <c r="A169" s="142" t="s">
        <v>754</v>
      </c>
    </row>
    <row r="170" spans="1:9" x14ac:dyDescent="0.25">
      <c r="B170" s="143" t="s">
        <v>667</v>
      </c>
      <c r="C170" s="143" t="s">
        <v>520</v>
      </c>
      <c r="D170" s="143"/>
      <c r="E170" s="143"/>
      <c r="F170" s="143" t="s">
        <v>424</v>
      </c>
      <c r="G170" s="144">
        <v>399.82</v>
      </c>
      <c r="H170" s="144">
        <v>399.82</v>
      </c>
      <c r="I170" s="144">
        <v>399.82</v>
      </c>
    </row>
    <row r="171" spans="1:9" x14ac:dyDescent="0.25">
      <c r="A171" s="142" t="s">
        <v>755</v>
      </c>
      <c r="G171" s="145">
        <v>399.82</v>
      </c>
      <c r="H171" s="145">
        <v>399.82</v>
      </c>
    </row>
    <row r="172" spans="1:9" x14ac:dyDescent="0.25">
      <c r="A172" s="142" t="s">
        <v>756</v>
      </c>
    </row>
    <row r="173" spans="1:9" x14ac:dyDescent="0.25">
      <c r="B173" s="143" t="s">
        <v>757</v>
      </c>
      <c r="C173" s="143" t="s">
        <v>520</v>
      </c>
      <c r="D173" s="143">
        <v>44003132</v>
      </c>
      <c r="E173" s="143"/>
      <c r="F173" s="143" t="s">
        <v>758</v>
      </c>
      <c r="G173" s="144">
        <v>312.26</v>
      </c>
      <c r="H173" s="144">
        <v>312.26</v>
      </c>
      <c r="I173" s="144">
        <v>312.26</v>
      </c>
    </row>
    <row r="174" spans="1:9" x14ac:dyDescent="0.25">
      <c r="B174" s="143" t="s">
        <v>759</v>
      </c>
      <c r="C174" s="143" t="s">
        <v>520</v>
      </c>
      <c r="D174" s="143">
        <v>44272206</v>
      </c>
      <c r="E174" s="143"/>
      <c r="F174" s="143" t="s">
        <v>760</v>
      </c>
      <c r="G174" s="144">
        <v>312.26</v>
      </c>
      <c r="H174" s="144">
        <v>312.26</v>
      </c>
      <c r="I174" s="144">
        <v>624.52</v>
      </c>
    </row>
    <row r="175" spans="1:9" x14ac:dyDescent="0.25">
      <c r="B175" s="143" t="s">
        <v>759</v>
      </c>
      <c r="C175" s="143" t="s">
        <v>520</v>
      </c>
      <c r="D175" s="143">
        <v>44283806</v>
      </c>
      <c r="E175" s="143"/>
      <c r="F175" s="143" t="s">
        <v>760</v>
      </c>
      <c r="G175" s="144">
        <v>77.680000000000007</v>
      </c>
      <c r="H175" s="144">
        <v>77.680000000000007</v>
      </c>
      <c r="I175" s="144">
        <v>702.2</v>
      </c>
    </row>
    <row r="176" spans="1:9" x14ac:dyDescent="0.25">
      <c r="B176" s="143" t="s">
        <v>349</v>
      </c>
      <c r="C176" s="143" t="s">
        <v>520</v>
      </c>
      <c r="D176" s="143">
        <v>44351942</v>
      </c>
      <c r="E176" s="143"/>
      <c r="F176" s="143" t="s">
        <v>400</v>
      </c>
      <c r="G176" s="144">
        <v>1061.46</v>
      </c>
      <c r="H176" s="144">
        <v>1061.46</v>
      </c>
      <c r="I176" s="144">
        <v>1763.66</v>
      </c>
    </row>
    <row r="177" spans="1:9" x14ac:dyDescent="0.25">
      <c r="B177" s="143" t="s">
        <v>472</v>
      </c>
      <c r="C177" s="143" t="s">
        <v>520</v>
      </c>
      <c r="D177" s="143">
        <v>44471531</v>
      </c>
      <c r="E177" s="143"/>
      <c r="F177" s="143" t="s">
        <v>761</v>
      </c>
      <c r="G177" s="144">
        <v>589.91999999999996</v>
      </c>
      <c r="H177" s="144">
        <v>589.91999999999996</v>
      </c>
      <c r="I177" s="144">
        <v>2353.58</v>
      </c>
    </row>
    <row r="178" spans="1:9" x14ac:dyDescent="0.25">
      <c r="B178" s="143" t="s">
        <v>400</v>
      </c>
      <c r="C178" s="143" t="s">
        <v>520</v>
      </c>
      <c r="D178" s="143">
        <v>44503402</v>
      </c>
      <c r="E178" s="143"/>
      <c r="F178" s="143" t="s">
        <v>762</v>
      </c>
      <c r="G178" s="144">
        <v>157.46</v>
      </c>
      <c r="H178" s="144">
        <v>157.46</v>
      </c>
      <c r="I178" s="144">
        <v>2511.04</v>
      </c>
    </row>
    <row r="179" spans="1:9" x14ac:dyDescent="0.25">
      <c r="A179" s="142" t="s">
        <v>763</v>
      </c>
      <c r="G179" s="145">
        <v>2511.04</v>
      </c>
      <c r="H179" s="145">
        <v>2511.04</v>
      </c>
    </row>
    <row r="180" spans="1:9" x14ac:dyDescent="0.25">
      <c r="A180" s="142" t="s">
        <v>764</v>
      </c>
    </row>
    <row r="181" spans="1:9" x14ac:dyDescent="0.25">
      <c r="B181" s="143" t="s">
        <v>765</v>
      </c>
      <c r="C181" s="143" t="s">
        <v>520</v>
      </c>
      <c r="D181" s="143">
        <v>1248</v>
      </c>
      <c r="E181" s="143" t="s">
        <v>121</v>
      </c>
      <c r="F181" s="143" t="s">
        <v>765</v>
      </c>
      <c r="G181" s="144">
        <v>9723.4</v>
      </c>
      <c r="H181" s="144">
        <v>615.54</v>
      </c>
      <c r="I181" s="144">
        <v>615.54</v>
      </c>
    </row>
    <row r="182" spans="1:9" x14ac:dyDescent="0.25">
      <c r="A182" s="142" t="s">
        <v>766</v>
      </c>
      <c r="G182" s="145">
        <v>9723.4</v>
      </c>
      <c r="H182" s="145">
        <v>615.54</v>
      </c>
    </row>
    <row r="183" spans="1:9" x14ac:dyDescent="0.25">
      <c r="A183" s="142" t="s">
        <v>767</v>
      </c>
    </row>
    <row r="184" spans="1:9" x14ac:dyDescent="0.25">
      <c r="B184" s="143" t="s">
        <v>349</v>
      </c>
      <c r="C184" s="143" t="s">
        <v>520</v>
      </c>
      <c r="D184" s="143">
        <v>49266</v>
      </c>
      <c r="E184" s="143"/>
      <c r="F184" s="143" t="s">
        <v>350</v>
      </c>
      <c r="G184" s="144">
        <v>473.03</v>
      </c>
      <c r="H184" s="144">
        <v>473.03</v>
      </c>
      <c r="I184" s="144">
        <v>473.03</v>
      </c>
    </row>
    <row r="185" spans="1:9" x14ac:dyDescent="0.25">
      <c r="A185" s="142" t="s">
        <v>768</v>
      </c>
      <c r="G185" s="145">
        <v>473.03</v>
      </c>
      <c r="H185" s="145">
        <v>473.03</v>
      </c>
    </row>
    <row r="186" spans="1:9" x14ac:dyDescent="0.25">
      <c r="A186" s="142" t="s">
        <v>769</v>
      </c>
    </row>
    <row r="187" spans="1:9" x14ac:dyDescent="0.25">
      <c r="B187" s="143" t="s">
        <v>712</v>
      </c>
      <c r="C187" s="143" t="s">
        <v>520</v>
      </c>
      <c r="D187" s="143" t="s">
        <v>770</v>
      </c>
      <c r="E187" s="143"/>
      <c r="F187" s="143" t="s">
        <v>771</v>
      </c>
      <c r="G187" s="144">
        <v>9135</v>
      </c>
      <c r="H187" s="144">
        <v>9135</v>
      </c>
      <c r="I187" s="144">
        <v>9135</v>
      </c>
    </row>
    <row r="188" spans="1:9" x14ac:dyDescent="0.25">
      <c r="B188" s="143" t="s">
        <v>772</v>
      </c>
      <c r="C188" s="143" t="s">
        <v>520</v>
      </c>
      <c r="D188" s="143" t="s">
        <v>773</v>
      </c>
      <c r="E188" s="143"/>
      <c r="F188" s="143" t="s">
        <v>774</v>
      </c>
      <c r="G188" s="144">
        <v>194.33</v>
      </c>
      <c r="H188" s="144">
        <v>194.33</v>
      </c>
      <c r="I188" s="144">
        <v>9329.33</v>
      </c>
    </row>
    <row r="189" spans="1:9" x14ac:dyDescent="0.25">
      <c r="A189" s="142" t="s">
        <v>775</v>
      </c>
      <c r="G189" s="145">
        <v>9329.33</v>
      </c>
      <c r="H189" s="145">
        <v>9329.33</v>
      </c>
    </row>
    <row r="190" spans="1:9" x14ac:dyDescent="0.25">
      <c r="A190" s="142" t="s">
        <v>776</v>
      </c>
    </row>
    <row r="191" spans="1:9" x14ac:dyDescent="0.25">
      <c r="B191" s="143" t="s">
        <v>777</v>
      </c>
      <c r="C191" s="143" t="s">
        <v>520</v>
      </c>
      <c r="D191" s="143">
        <v>20578</v>
      </c>
      <c r="E191" s="143"/>
      <c r="F191" s="143" t="s">
        <v>425</v>
      </c>
      <c r="G191" s="144">
        <v>2260</v>
      </c>
      <c r="H191" s="144">
        <v>2260</v>
      </c>
      <c r="I191" s="144">
        <v>2260</v>
      </c>
    </row>
    <row r="192" spans="1:9" x14ac:dyDescent="0.25">
      <c r="A192" s="142" t="s">
        <v>778</v>
      </c>
      <c r="G192" s="145">
        <v>2260</v>
      </c>
      <c r="H192" s="145">
        <v>2260</v>
      </c>
    </row>
    <row r="193" spans="1:9" x14ac:dyDescent="0.25">
      <c r="A193" s="142" t="s">
        <v>779</v>
      </c>
    </row>
    <row r="194" spans="1:9" x14ac:dyDescent="0.25">
      <c r="B194" s="143" t="s">
        <v>780</v>
      </c>
      <c r="C194" s="143" t="s">
        <v>520</v>
      </c>
      <c r="D194" s="143" t="s">
        <v>781</v>
      </c>
      <c r="E194" s="143" t="s">
        <v>121</v>
      </c>
      <c r="F194" s="143" t="s">
        <v>521</v>
      </c>
      <c r="G194" s="144">
        <v>480</v>
      </c>
      <c r="H194" s="144">
        <v>480</v>
      </c>
      <c r="I194" s="144">
        <v>480</v>
      </c>
    </row>
    <row r="195" spans="1:9" x14ac:dyDescent="0.25">
      <c r="B195" s="143" t="s">
        <v>782</v>
      </c>
      <c r="C195" s="143" t="s">
        <v>520</v>
      </c>
      <c r="D195" s="143">
        <v>8410</v>
      </c>
      <c r="E195" s="143"/>
      <c r="F195" s="143" t="s">
        <v>783</v>
      </c>
      <c r="G195" s="144">
        <v>480</v>
      </c>
      <c r="H195" s="144">
        <v>480</v>
      </c>
      <c r="I195" s="144">
        <v>960</v>
      </c>
    </row>
    <row r="196" spans="1:9" x14ac:dyDescent="0.25">
      <c r="A196" s="142" t="s">
        <v>784</v>
      </c>
      <c r="G196" s="145">
        <v>960</v>
      </c>
      <c r="H196" s="145">
        <v>960</v>
      </c>
    </row>
    <row r="197" spans="1:9" x14ac:dyDescent="0.25">
      <c r="A197" s="142" t="s">
        <v>785</v>
      </c>
    </row>
    <row r="198" spans="1:9" x14ac:dyDescent="0.25">
      <c r="B198" s="143" t="s">
        <v>786</v>
      </c>
      <c r="C198" s="143" t="s">
        <v>520</v>
      </c>
      <c r="D198" s="143">
        <v>843478</v>
      </c>
      <c r="E198" s="143"/>
      <c r="F198" s="143" t="s">
        <v>787</v>
      </c>
      <c r="G198" s="144">
        <v>5477.53</v>
      </c>
      <c r="H198" s="144">
        <v>5477.53</v>
      </c>
      <c r="I198" s="144">
        <v>5477.53</v>
      </c>
    </row>
    <row r="199" spans="1:9" x14ac:dyDescent="0.25">
      <c r="B199" s="143" t="s">
        <v>529</v>
      </c>
      <c r="C199" s="143" t="s">
        <v>520</v>
      </c>
      <c r="D199" s="143">
        <v>851040</v>
      </c>
      <c r="E199" s="143"/>
      <c r="F199" s="143" t="s">
        <v>788</v>
      </c>
      <c r="G199" s="144">
        <v>7282.34</v>
      </c>
      <c r="H199" s="144">
        <v>7282.34</v>
      </c>
      <c r="I199" s="144">
        <v>12759.87</v>
      </c>
    </row>
    <row r="200" spans="1:9" x14ac:dyDescent="0.25">
      <c r="B200" s="143" t="s">
        <v>652</v>
      </c>
      <c r="C200" s="143" t="s">
        <v>520</v>
      </c>
      <c r="D200" s="143">
        <v>852642</v>
      </c>
      <c r="E200" s="143"/>
      <c r="F200" s="143" t="s">
        <v>788</v>
      </c>
      <c r="G200" s="144">
        <v>1097.25</v>
      </c>
      <c r="H200" s="144">
        <v>1097.25</v>
      </c>
      <c r="I200" s="144">
        <v>13857.12</v>
      </c>
    </row>
    <row r="201" spans="1:9" x14ac:dyDescent="0.25">
      <c r="A201" s="142" t="s">
        <v>789</v>
      </c>
      <c r="G201" s="145">
        <v>13857.12</v>
      </c>
      <c r="H201" s="145">
        <v>13857.12</v>
      </c>
    </row>
    <row r="202" spans="1:9" x14ac:dyDescent="0.25">
      <c r="A202" s="142" t="s">
        <v>790</v>
      </c>
    </row>
    <row r="203" spans="1:9" x14ac:dyDescent="0.25">
      <c r="B203" s="143" t="s">
        <v>791</v>
      </c>
      <c r="C203" s="143" t="s">
        <v>520</v>
      </c>
      <c r="D203" s="143">
        <v>10609651</v>
      </c>
      <c r="E203" s="143" t="s">
        <v>121</v>
      </c>
      <c r="F203" s="143" t="s">
        <v>792</v>
      </c>
      <c r="G203" s="144">
        <v>42941.27</v>
      </c>
      <c r="H203" s="144">
        <v>42941.27</v>
      </c>
      <c r="I203" s="144">
        <v>42941.27</v>
      </c>
    </row>
    <row r="204" spans="1:9" x14ac:dyDescent="0.25">
      <c r="B204" s="143" t="s">
        <v>793</v>
      </c>
      <c r="C204" s="143" t="s">
        <v>520</v>
      </c>
      <c r="D204" s="143">
        <v>10650094</v>
      </c>
      <c r="E204" s="143" t="s">
        <v>121</v>
      </c>
      <c r="F204" s="143" t="s">
        <v>493</v>
      </c>
      <c r="G204" s="144">
        <v>26737.83</v>
      </c>
      <c r="H204" s="144">
        <v>26737.83</v>
      </c>
      <c r="I204" s="144">
        <v>69679.100000000006</v>
      </c>
    </row>
    <row r="205" spans="1:9" x14ac:dyDescent="0.25">
      <c r="B205" s="143" t="s">
        <v>794</v>
      </c>
      <c r="C205" s="143" t="s">
        <v>520</v>
      </c>
      <c r="D205" s="143">
        <v>10676744</v>
      </c>
      <c r="E205" s="143"/>
      <c r="F205" s="143" t="s">
        <v>794</v>
      </c>
      <c r="G205" s="144">
        <v>39846.559999999998</v>
      </c>
      <c r="H205" s="144">
        <v>39846.559999999998</v>
      </c>
      <c r="I205" s="144">
        <v>109525.66</v>
      </c>
    </row>
    <row r="206" spans="1:9" x14ac:dyDescent="0.25">
      <c r="B206" s="143" t="s">
        <v>641</v>
      </c>
      <c r="C206" s="143" t="s">
        <v>520</v>
      </c>
      <c r="D206" s="143">
        <v>10725812</v>
      </c>
      <c r="E206" s="143"/>
      <c r="F206" s="143" t="s">
        <v>641</v>
      </c>
      <c r="G206" s="144">
        <v>13008.4</v>
      </c>
      <c r="H206" s="144">
        <v>13008.4</v>
      </c>
      <c r="I206" s="144">
        <v>122534.06</v>
      </c>
    </row>
    <row r="207" spans="1:9" x14ac:dyDescent="0.25">
      <c r="B207" s="143" t="s">
        <v>795</v>
      </c>
      <c r="C207" s="143" t="s">
        <v>520</v>
      </c>
      <c r="D207" s="143">
        <v>10759153</v>
      </c>
      <c r="E207" s="143" t="s">
        <v>121</v>
      </c>
      <c r="F207" s="143" t="s">
        <v>544</v>
      </c>
      <c r="G207" s="144">
        <v>27256</v>
      </c>
      <c r="H207" s="144">
        <v>27256</v>
      </c>
      <c r="I207" s="144">
        <v>149790.06</v>
      </c>
    </row>
    <row r="208" spans="1:9" x14ac:dyDescent="0.25">
      <c r="B208" s="143" t="s">
        <v>796</v>
      </c>
      <c r="C208" s="143" t="s">
        <v>520</v>
      </c>
      <c r="D208" s="143">
        <v>10815649</v>
      </c>
      <c r="E208" s="143"/>
      <c r="F208" s="143" t="s">
        <v>544</v>
      </c>
      <c r="G208" s="144">
        <v>9371.25</v>
      </c>
      <c r="H208" s="144">
        <v>9371.25</v>
      </c>
      <c r="I208" s="144">
        <v>159161.31</v>
      </c>
    </row>
    <row r="209" spans="1:9" x14ac:dyDescent="0.25">
      <c r="B209" s="143" t="s">
        <v>544</v>
      </c>
      <c r="C209" s="143" t="s">
        <v>520</v>
      </c>
      <c r="D209" s="143" t="s">
        <v>797</v>
      </c>
      <c r="E209" s="143" t="s">
        <v>121</v>
      </c>
      <c r="F209" s="143" t="s">
        <v>546</v>
      </c>
      <c r="G209" s="144">
        <v>6552.02</v>
      </c>
      <c r="H209" s="144">
        <v>6552.02</v>
      </c>
      <c r="I209" s="144">
        <v>165713.32999999999</v>
      </c>
    </row>
    <row r="210" spans="1:9" x14ac:dyDescent="0.25">
      <c r="B210" s="143" t="s">
        <v>798</v>
      </c>
      <c r="C210" s="143" t="s">
        <v>520</v>
      </c>
      <c r="D210" s="143" t="s">
        <v>799</v>
      </c>
      <c r="E210" s="143" t="s">
        <v>121</v>
      </c>
      <c r="F210" s="143" t="s">
        <v>800</v>
      </c>
      <c r="G210" s="144">
        <v>10168.75</v>
      </c>
      <c r="H210" s="144">
        <v>10168.75</v>
      </c>
      <c r="I210" s="144">
        <v>175882.08</v>
      </c>
    </row>
    <row r="211" spans="1:9" x14ac:dyDescent="0.25">
      <c r="B211" s="143" t="s">
        <v>801</v>
      </c>
      <c r="C211" s="143" t="s">
        <v>520</v>
      </c>
      <c r="D211" s="143" t="s">
        <v>802</v>
      </c>
      <c r="E211" s="143"/>
      <c r="F211" s="143" t="s">
        <v>801</v>
      </c>
      <c r="G211" s="144">
        <v>2638.23</v>
      </c>
      <c r="H211" s="144">
        <v>2638.23</v>
      </c>
      <c r="I211" s="144">
        <v>178520.31</v>
      </c>
    </row>
    <row r="212" spans="1:9" x14ac:dyDescent="0.25">
      <c r="B212" s="143" t="s">
        <v>803</v>
      </c>
      <c r="C212" s="143" t="s">
        <v>520</v>
      </c>
      <c r="D212" s="143" t="s">
        <v>804</v>
      </c>
      <c r="E212" s="143"/>
      <c r="F212" s="143" t="s">
        <v>803</v>
      </c>
      <c r="G212" s="144">
        <v>2677.81</v>
      </c>
      <c r="H212" s="144">
        <v>2677.81</v>
      </c>
      <c r="I212" s="144">
        <v>181198.12</v>
      </c>
    </row>
    <row r="213" spans="1:9" x14ac:dyDescent="0.25">
      <c r="B213" s="143" t="s">
        <v>805</v>
      </c>
      <c r="C213" s="143" t="s">
        <v>520</v>
      </c>
      <c r="D213" s="143" t="s">
        <v>806</v>
      </c>
      <c r="E213" s="143"/>
      <c r="F213" s="143" t="s">
        <v>805</v>
      </c>
      <c r="G213" s="144">
        <v>2717.97</v>
      </c>
      <c r="H213" s="144">
        <v>2717.97</v>
      </c>
      <c r="I213" s="144">
        <v>183916.09</v>
      </c>
    </row>
    <row r="214" spans="1:9" x14ac:dyDescent="0.25">
      <c r="B214" s="143" t="s">
        <v>807</v>
      </c>
      <c r="C214" s="143" t="s">
        <v>520</v>
      </c>
      <c r="D214" s="143" t="s">
        <v>808</v>
      </c>
      <c r="E214" s="143"/>
      <c r="F214" s="143" t="s">
        <v>807</v>
      </c>
      <c r="G214" s="144">
        <v>2758.74</v>
      </c>
      <c r="H214" s="144">
        <v>2758.74</v>
      </c>
      <c r="I214" s="144">
        <v>186674.83</v>
      </c>
    </row>
    <row r="215" spans="1:9" x14ac:dyDescent="0.25">
      <c r="B215" s="143" t="s">
        <v>335</v>
      </c>
      <c r="C215" s="143" t="s">
        <v>520</v>
      </c>
      <c r="D215" s="143" t="s">
        <v>809</v>
      </c>
      <c r="E215" s="143"/>
      <c r="F215" s="143" t="s">
        <v>335</v>
      </c>
      <c r="G215" s="144">
        <v>2800.12</v>
      </c>
      <c r="H215" s="144">
        <v>2800.12</v>
      </c>
      <c r="I215" s="144">
        <v>189474.95</v>
      </c>
    </row>
    <row r="216" spans="1:9" x14ac:dyDescent="0.25">
      <c r="B216" s="143" t="s">
        <v>337</v>
      </c>
      <c r="C216" s="143" t="s">
        <v>520</v>
      </c>
      <c r="D216" s="143" t="s">
        <v>810</v>
      </c>
      <c r="E216" s="143"/>
      <c r="F216" s="143" t="s">
        <v>337</v>
      </c>
      <c r="G216" s="144">
        <v>2842.12</v>
      </c>
      <c r="H216" s="144">
        <v>2842.12</v>
      </c>
      <c r="I216" s="144">
        <v>192317.07</v>
      </c>
    </row>
    <row r="217" spans="1:9" x14ac:dyDescent="0.25">
      <c r="B217" s="143" t="s">
        <v>339</v>
      </c>
      <c r="C217" s="143" t="s">
        <v>520</v>
      </c>
      <c r="D217" s="143" t="s">
        <v>811</v>
      </c>
      <c r="E217" s="143" t="s">
        <v>121</v>
      </c>
      <c r="F217" s="143" t="s">
        <v>812</v>
      </c>
      <c r="G217" s="144">
        <v>2884.76</v>
      </c>
      <c r="H217" s="144">
        <v>2884.76</v>
      </c>
      <c r="I217" s="144">
        <v>195201.83</v>
      </c>
    </row>
    <row r="218" spans="1:9" x14ac:dyDescent="0.25">
      <c r="A218" s="142" t="s">
        <v>813</v>
      </c>
      <c r="G218" s="145">
        <v>195201.83</v>
      </c>
      <c r="H218" s="145">
        <v>195201.83</v>
      </c>
    </row>
    <row r="219" spans="1:9" x14ac:dyDescent="0.25">
      <c r="A219" s="142" t="s">
        <v>814</v>
      </c>
    </row>
    <row r="220" spans="1:9" x14ac:dyDescent="0.25">
      <c r="B220" s="143" t="s">
        <v>484</v>
      </c>
      <c r="C220" s="143" t="s">
        <v>520</v>
      </c>
      <c r="D220" s="143" t="s">
        <v>815</v>
      </c>
      <c r="E220" s="143" t="s">
        <v>121</v>
      </c>
      <c r="F220" s="143" t="s">
        <v>484</v>
      </c>
      <c r="G220" s="144">
        <v>45306.85</v>
      </c>
      <c r="H220" s="144">
        <v>22063.26</v>
      </c>
      <c r="I220" s="144">
        <v>22063.26</v>
      </c>
    </row>
    <row r="221" spans="1:9" x14ac:dyDescent="0.25">
      <c r="A221" s="142" t="s">
        <v>816</v>
      </c>
      <c r="G221" s="145">
        <v>45306.85</v>
      </c>
      <c r="H221" s="145">
        <v>22063.26</v>
      </c>
    </row>
    <row r="222" spans="1:9" x14ac:dyDescent="0.25">
      <c r="A222" s="142" t="s">
        <v>817</v>
      </c>
    </row>
    <row r="223" spans="1:9" x14ac:dyDescent="0.25">
      <c r="B223" s="143" t="s">
        <v>818</v>
      </c>
      <c r="C223" s="143" t="s">
        <v>520</v>
      </c>
      <c r="D223" s="143"/>
      <c r="E223" s="143"/>
      <c r="F223" s="143" t="s">
        <v>819</v>
      </c>
      <c r="G223" s="144">
        <v>326.83999999999997</v>
      </c>
      <c r="H223" s="144">
        <v>326.83999999999997</v>
      </c>
      <c r="I223" s="144">
        <v>326.83999999999997</v>
      </c>
    </row>
    <row r="224" spans="1:9" x14ac:dyDescent="0.25">
      <c r="A224" s="142" t="s">
        <v>820</v>
      </c>
      <c r="G224" s="145">
        <v>326.83999999999997</v>
      </c>
      <c r="H224" s="145">
        <v>326.83999999999997</v>
      </c>
    </row>
    <row r="225" spans="1:9" x14ac:dyDescent="0.25">
      <c r="A225" s="142" t="s">
        <v>821</v>
      </c>
    </row>
    <row r="226" spans="1:9" x14ac:dyDescent="0.25">
      <c r="B226" s="143" t="s">
        <v>572</v>
      </c>
      <c r="C226" s="143" t="s">
        <v>520</v>
      </c>
      <c r="D226" s="143">
        <v>381</v>
      </c>
      <c r="E226" s="143"/>
      <c r="F226" s="143" t="s">
        <v>435</v>
      </c>
      <c r="G226" s="144">
        <v>1050</v>
      </c>
      <c r="H226" s="144">
        <v>1050</v>
      </c>
      <c r="I226" s="144">
        <v>1050</v>
      </c>
    </row>
    <row r="227" spans="1:9" x14ac:dyDescent="0.25">
      <c r="A227" s="142" t="s">
        <v>822</v>
      </c>
      <c r="G227" s="145">
        <v>1050</v>
      </c>
      <c r="H227" s="145">
        <v>1050</v>
      </c>
    </row>
    <row r="228" spans="1:9" x14ac:dyDescent="0.25">
      <c r="A228" s="142" t="s">
        <v>823</v>
      </c>
    </row>
    <row r="229" spans="1:9" x14ac:dyDescent="0.25">
      <c r="B229" s="143" t="s">
        <v>339</v>
      </c>
      <c r="C229" s="143" t="s">
        <v>557</v>
      </c>
      <c r="D229" s="143"/>
      <c r="E229" s="143"/>
      <c r="F229" s="143" t="s">
        <v>339</v>
      </c>
      <c r="G229" s="144">
        <v>-2202.6799999999998</v>
      </c>
      <c r="H229" s="144">
        <v>-2202.6799999999998</v>
      </c>
      <c r="I229" s="144">
        <v>-2202.6799999999998</v>
      </c>
    </row>
    <row r="230" spans="1:9" x14ac:dyDescent="0.25">
      <c r="B230" s="143" t="s">
        <v>420</v>
      </c>
      <c r="C230" s="143" t="s">
        <v>520</v>
      </c>
      <c r="D230" s="143">
        <v>90128480</v>
      </c>
      <c r="E230" s="143"/>
      <c r="F230" s="143" t="s">
        <v>824</v>
      </c>
      <c r="G230" s="144">
        <v>482.21</v>
      </c>
      <c r="H230" s="144">
        <v>482.21</v>
      </c>
      <c r="I230" s="144">
        <v>-1720.47</v>
      </c>
    </row>
    <row r="231" spans="1:9" x14ac:dyDescent="0.25">
      <c r="A231" s="142" t="s">
        <v>825</v>
      </c>
      <c r="G231" s="145">
        <v>-1720.47</v>
      </c>
      <c r="H231" s="145">
        <v>-1720.47</v>
      </c>
    </row>
    <row r="232" spans="1:9" x14ac:dyDescent="0.25">
      <c r="A232" s="142" t="s">
        <v>826</v>
      </c>
    </row>
    <row r="233" spans="1:9" x14ac:dyDescent="0.25">
      <c r="B233" s="143" t="s">
        <v>827</v>
      </c>
      <c r="C233" s="143" t="s">
        <v>520</v>
      </c>
      <c r="D233" s="143" t="s">
        <v>828</v>
      </c>
      <c r="E233" s="143"/>
      <c r="F233" s="143" t="s">
        <v>827</v>
      </c>
      <c r="G233" s="144">
        <v>48950</v>
      </c>
      <c r="H233" s="144">
        <v>24475</v>
      </c>
      <c r="I233" s="144">
        <v>24475</v>
      </c>
    </row>
    <row r="234" spans="1:9" x14ac:dyDescent="0.25">
      <c r="B234" s="143" t="s">
        <v>827</v>
      </c>
      <c r="C234" s="143" t="s">
        <v>520</v>
      </c>
      <c r="D234" s="143" t="s">
        <v>829</v>
      </c>
      <c r="E234" s="143"/>
      <c r="F234" s="143" t="s">
        <v>827</v>
      </c>
      <c r="G234" s="144">
        <v>21120</v>
      </c>
      <c r="H234" s="144">
        <v>10560</v>
      </c>
      <c r="I234" s="144">
        <v>35035</v>
      </c>
    </row>
    <row r="235" spans="1:9" x14ac:dyDescent="0.25">
      <c r="A235" s="142" t="s">
        <v>830</v>
      </c>
      <c r="G235" s="145">
        <v>70070</v>
      </c>
      <c r="H235" s="145">
        <v>35035</v>
      </c>
    </row>
    <row r="236" spans="1:9" x14ac:dyDescent="0.25">
      <c r="A236" s="142" t="s">
        <v>831</v>
      </c>
    </row>
    <row r="237" spans="1:9" x14ac:dyDescent="0.25">
      <c r="B237" s="143" t="s">
        <v>832</v>
      </c>
      <c r="C237" s="143" t="s">
        <v>520</v>
      </c>
      <c r="D237" s="143" t="s">
        <v>833</v>
      </c>
      <c r="E237" s="143"/>
      <c r="F237" s="143" t="s">
        <v>834</v>
      </c>
      <c r="G237" s="144">
        <v>12600</v>
      </c>
      <c r="H237" s="144">
        <v>600</v>
      </c>
      <c r="I237" s="144">
        <v>600</v>
      </c>
    </row>
    <row r="238" spans="1:9" x14ac:dyDescent="0.25">
      <c r="A238" s="142" t="s">
        <v>835</v>
      </c>
      <c r="G238" s="145">
        <v>12600</v>
      </c>
      <c r="H238" s="145">
        <v>600</v>
      </c>
    </row>
    <row r="239" spans="1:9" x14ac:dyDescent="0.25">
      <c r="A239" s="142" t="s">
        <v>836</v>
      </c>
    </row>
    <row r="240" spans="1:9" x14ac:dyDescent="0.25">
      <c r="B240" s="143" t="s">
        <v>837</v>
      </c>
      <c r="C240" s="143" t="s">
        <v>520</v>
      </c>
      <c r="D240" s="143">
        <v>1040</v>
      </c>
      <c r="E240" s="143"/>
      <c r="F240" s="143" t="s">
        <v>838</v>
      </c>
      <c r="G240" s="144">
        <v>17500</v>
      </c>
      <c r="H240" s="144">
        <v>17500</v>
      </c>
      <c r="I240" s="144">
        <v>17500</v>
      </c>
    </row>
    <row r="241" spans="1:9" x14ac:dyDescent="0.25">
      <c r="A241" s="142" t="s">
        <v>839</v>
      </c>
      <c r="G241" s="145">
        <v>17500</v>
      </c>
      <c r="H241" s="145">
        <v>17500</v>
      </c>
    </row>
    <row r="242" spans="1:9" x14ac:dyDescent="0.25">
      <c r="A242" s="142" t="s">
        <v>840</v>
      </c>
    </row>
    <row r="243" spans="1:9" x14ac:dyDescent="0.25">
      <c r="B243" s="143" t="s">
        <v>780</v>
      </c>
      <c r="C243" s="143" t="s">
        <v>520</v>
      </c>
      <c r="D243" s="143" t="s">
        <v>841</v>
      </c>
      <c r="E243" s="143" t="s">
        <v>121</v>
      </c>
      <c r="F243" s="143" t="s">
        <v>330</v>
      </c>
      <c r="G243" s="144">
        <v>248735.29</v>
      </c>
      <c r="H243" s="144">
        <v>55551.63</v>
      </c>
      <c r="I243" s="144">
        <v>55551.63</v>
      </c>
    </row>
    <row r="244" spans="1:9" x14ac:dyDescent="0.25">
      <c r="A244" s="142" t="s">
        <v>842</v>
      </c>
      <c r="G244" s="145">
        <v>248735.29</v>
      </c>
      <c r="H244" s="145">
        <v>55551.63</v>
      </c>
    </row>
    <row r="245" spans="1:9" x14ac:dyDescent="0.25">
      <c r="A245" s="142" t="s">
        <v>843</v>
      </c>
    </row>
    <row r="246" spans="1:9" x14ac:dyDescent="0.25">
      <c r="B246" s="143" t="s">
        <v>730</v>
      </c>
      <c r="C246" s="143" t="s">
        <v>520</v>
      </c>
      <c r="D246" s="143">
        <v>555005</v>
      </c>
      <c r="E246" s="143"/>
      <c r="F246" s="143" t="s">
        <v>844</v>
      </c>
      <c r="G246" s="144">
        <v>3098.36</v>
      </c>
      <c r="H246" s="144">
        <v>0.06</v>
      </c>
      <c r="I246" s="144">
        <v>0.06</v>
      </c>
    </row>
    <row r="247" spans="1:9" x14ac:dyDescent="0.25">
      <c r="B247" s="143" t="s">
        <v>845</v>
      </c>
      <c r="C247" s="143" t="s">
        <v>520</v>
      </c>
      <c r="D247" s="143" t="s">
        <v>846</v>
      </c>
      <c r="E247" s="143" t="s">
        <v>121</v>
      </c>
      <c r="F247" s="143" t="s">
        <v>847</v>
      </c>
      <c r="G247" s="144">
        <v>125.49</v>
      </c>
      <c r="H247" s="144">
        <v>125.49</v>
      </c>
      <c r="I247" s="144">
        <v>125.55</v>
      </c>
    </row>
    <row r="248" spans="1:9" x14ac:dyDescent="0.25">
      <c r="B248" s="143" t="s">
        <v>818</v>
      </c>
      <c r="C248" s="143" t="s">
        <v>520</v>
      </c>
      <c r="D248" s="143">
        <v>566251</v>
      </c>
      <c r="E248" s="143"/>
      <c r="F248" s="143" t="s">
        <v>349</v>
      </c>
      <c r="G248" s="144">
        <v>3982.35</v>
      </c>
      <c r="H248" s="144">
        <v>3982.35</v>
      </c>
      <c r="I248" s="144">
        <v>4107.8999999999996</v>
      </c>
    </row>
    <row r="249" spans="1:9" x14ac:dyDescent="0.25">
      <c r="B249" s="143" t="s">
        <v>657</v>
      </c>
      <c r="C249" s="143" t="s">
        <v>520</v>
      </c>
      <c r="D249" s="143">
        <v>568880</v>
      </c>
      <c r="E249" s="143"/>
      <c r="F249" s="143" t="s">
        <v>350</v>
      </c>
      <c r="G249" s="144">
        <v>3461.77</v>
      </c>
      <c r="H249" s="144">
        <v>3461.77</v>
      </c>
      <c r="I249" s="144">
        <v>7569.67</v>
      </c>
    </row>
    <row r="250" spans="1:9" x14ac:dyDescent="0.25">
      <c r="B250" s="143" t="s">
        <v>741</v>
      </c>
      <c r="C250" s="143" t="s">
        <v>520</v>
      </c>
      <c r="D250" s="143">
        <v>572275</v>
      </c>
      <c r="E250" s="143"/>
      <c r="F250" s="143" t="s">
        <v>352</v>
      </c>
      <c r="G250" s="144">
        <v>3164.81</v>
      </c>
      <c r="H250" s="144">
        <v>3164.81</v>
      </c>
      <c r="I250" s="144">
        <v>10734.48</v>
      </c>
    </row>
    <row r="251" spans="1:9" x14ac:dyDescent="0.25">
      <c r="A251" s="142" t="s">
        <v>848</v>
      </c>
      <c r="G251" s="145">
        <v>13832.78</v>
      </c>
      <c r="H251" s="145">
        <v>10734.48</v>
      </c>
    </row>
    <row r="252" spans="1:9" x14ac:dyDescent="0.25">
      <c r="A252" s="142" t="s">
        <v>849</v>
      </c>
    </row>
    <row r="253" spans="1:9" x14ac:dyDescent="0.25">
      <c r="B253" s="143" t="s">
        <v>350</v>
      </c>
      <c r="C253" s="143" t="s">
        <v>520</v>
      </c>
      <c r="D253" s="143">
        <v>42009</v>
      </c>
      <c r="E253" s="143"/>
      <c r="F253" s="143" t="s">
        <v>554</v>
      </c>
      <c r="G253" s="144">
        <v>1161.83</v>
      </c>
      <c r="H253" s="144">
        <v>1161.83</v>
      </c>
      <c r="I253" s="144">
        <v>1161.83</v>
      </c>
    </row>
    <row r="254" spans="1:9" x14ac:dyDescent="0.25">
      <c r="B254" s="143" t="s">
        <v>401</v>
      </c>
      <c r="C254" s="143" t="s">
        <v>520</v>
      </c>
      <c r="D254" s="143">
        <v>42110</v>
      </c>
      <c r="E254" s="143"/>
      <c r="F254" s="143" t="s">
        <v>850</v>
      </c>
      <c r="G254" s="144">
        <v>388.44</v>
      </c>
      <c r="H254" s="144">
        <v>388.44</v>
      </c>
      <c r="I254" s="144">
        <v>1550.27</v>
      </c>
    </row>
    <row r="255" spans="1:9" x14ac:dyDescent="0.25">
      <c r="B255" s="143" t="s">
        <v>441</v>
      </c>
      <c r="C255" s="143" t="s">
        <v>520</v>
      </c>
      <c r="D255" s="143">
        <v>42157</v>
      </c>
      <c r="E255" s="143" t="s">
        <v>121</v>
      </c>
      <c r="F255" s="143" t="s">
        <v>441</v>
      </c>
      <c r="G255" s="144">
        <v>729.02</v>
      </c>
      <c r="H255" s="144">
        <v>729.02</v>
      </c>
      <c r="I255" s="144">
        <v>2279.29</v>
      </c>
    </row>
    <row r="256" spans="1:9" x14ac:dyDescent="0.25">
      <c r="B256" s="143" t="s">
        <v>368</v>
      </c>
      <c r="C256" s="143" t="s">
        <v>520</v>
      </c>
      <c r="D256" s="143">
        <v>42177</v>
      </c>
      <c r="E256" s="143" t="s">
        <v>121</v>
      </c>
      <c r="F256" s="143" t="s">
        <v>851</v>
      </c>
      <c r="G256" s="144">
        <v>498.52</v>
      </c>
      <c r="H256" s="144">
        <v>498.52</v>
      </c>
      <c r="I256" s="144">
        <v>2777.81</v>
      </c>
    </row>
    <row r="257" spans="1:9" x14ac:dyDescent="0.25">
      <c r="A257" s="142" t="s">
        <v>852</v>
      </c>
      <c r="G257" s="145">
        <v>2777.81</v>
      </c>
      <c r="H257" s="145">
        <v>2777.81</v>
      </c>
    </row>
    <row r="258" spans="1:9" x14ac:dyDescent="0.25">
      <c r="A258" s="142" t="s">
        <v>853</v>
      </c>
    </row>
    <row r="259" spans="1:9" x14ac:dyDescent="0.25">
      <c r="B259" s="143" t="s">
        <v>590</v>
      </c>
      <c r="C259" s="143" t="s">
        <v>520</v>
      </c>
      <c r="D259" s="143">
        <v>8837</v>
      </c>
      <c r="E259" s="143" t="s">
        <v>396</v>
      </c>
      <c r="F259" s="143" t="s">
        <v>854</v>
      </c>
      <c r="G259" s="144">
        <v>2367.75</v>
      </c>
      <c r="H259" s="144">
        <v>2367.75</v>
      </c>
      <c r="I259" s="144">
        <v>2367.75</v>
      </c>
    </row>
    <row r="260" spans="1:9" x14ac:dyDescent="0.25">
      <c r="B260" s="143" t="s">
        <v>349</v>
      </c>
      <c r="C260" s="143" t="s">
        <v>520</v>
      </c>
      <c r="D260" s="143" t="s">
        <v>855</v>
      </c>
      <c r="E260" s="143"/>
      <c r="F260" s="143" t="s">
        <v>350</v>
      </c>
      <c r="G260" s="144">
        <v>5460</v>
      </c>
      <c r="H260" s="144">
        <v>5460</v>
      </c>
      <c r="I260" s="144">
        <v>7827.75</v>
      </c>
    </row>
    <row r="261" spans="1:9" x14ac:dyDescent="0.25">
      <c r="A261" s="142" t="s">
        <v>856</v>
      </c>
      <c r="G261" s="145">
        <v>7827.75</v>
      </c>
      <c r="H261" s="145">
        <v>7827.75</v>
      </c>
    </row>
    <row r="262" spans="1:9" x14ac:dyDescent="0.25">
      <c r="A262" s="142" t="s">
        <v>857</v>
      </c>
    </row>
    <row r="263" spans="1:9" x14ac:dyDescent="0.25">
      <c r="B263" s="143" t="s">
        <v>858</v>
      </c>
      <c r="C263" s="143" t="s">
        <v>713</v>
      </c>
      <c r="D263" s="143" t="s">
        <v>859</v>
      </c>
      <c r="E263" s="143"/>
      <c r="F263" s="143" t="s">
        <v>858</v>
      </c>
      <c r="G263" s="144">
        <v>-481.37</v>
      </c>
      <c r="H263" s="144">
        <v>-14.56</v>
      </c>
      <c r="I263" s="144">
        <v>-14.56</v>
      </c>
    </row>
    <row r="264" spans="1:9" x14ac:dyDescent="0.25">
      <c r="B264" s="143" t="s">
        <v>860</v>
      </c>
      <c r="C264" s="143" t="s">
        <v>713</v>
      </c>
      <c r="D264" s="143" t="s">
        <v>861</v>
      </c>
      <c r="E264" s="143"/>
      <c r="F264" s="143" t="s">
        <v>860</v>
      </c>
      <c r="G264" s="144">
        <v>-293.38</v>
      </c>
      <c r="H264" s="144">
        <v>-10</v>
      </c>
      <c r="I264" s="144">
        <v>-24.56</v>
      </c>
    </row>
    <row r="265" spans="1:9" x14ac:dyDescent="0.25">
      <c r="A265" s="142" t="s">
        <v>862</v>
      </c>
      <c r="G265" s="145">
        <v>-774.75</v>
      </c>
      <c r="H265" s="145">
        <v>-24.56</v>
      </c>
    </row>
    <row r="266" spans="1:9" x14ac:dyDescent="0.25">
      <c r="A266" s="142" t="s">
        <v>863</v>
      </c>
    </row>
    <row r="267" spans="1:9" x14ac:dyDescent="0.25">
      <c r="B267" s="143" t="s">
        <v>864</v>
      </c>
      <c r="C267" s="143" t="s">
        <v>357</v>
      </c>
      <c r="D267" s="143" t="s">
        <v>865</v>
      </c>
      <c r="E267" s="143"/>
      <c r="F267" s="143" t="s">
        <v>864</v>
      </c>
      <c r="G267" s="144">
        <v>-8902.66</v>
      </c>
      <c r="H267" s="144">
        <v>-22.5</v>
      </c>
      <c r="I267" s="144">
        <v>-22.5</v>
      </c>
    </row>
    <row r="268" spans="1:9" x14ac:dyDescent="0.25">
      <c r="B268" s="143" t="s">
        <v>866</v>
      </c>
      <c r="C268" s="143" t="s">
        <v>520</v>
      </c>
      <c r="D268" s="143" t="s">
        <v>867</v>
      </c>
      <c r="E268" s="143"/>
      <c r="F268" s="143" t="s">
        <v>704</v>
      </c>
      <c r="G268" s="144">
        <v>8880.16</v>
      </c>
      <c r="H268" s="144">
        <v>8880.16</v>
      </c>
      <c r="I268" s="144">
        <v>8857.66</v>
      </c>
    </row>
    <row r="269" spans="1:9" x14ac:dyDescent="0.25">
      <c r="A269" s="142" t="s">
        <v>868</v>
      </c>
      <c r="G269" s="145">
        <v>-22.5</v>
      </c>
      <c r="H269" s="145">
        <v>8857.66</v>
      </c>
    </row>
    <row r="270" spans="1:9" x14ac:dyDescent="0.25">
      <c r="A270" s="142" t="s">
        <v>869</v>
      </c>
    </row>
    <row r="271" spans="1:9" x14ac:dyDescent="0.25">
      <c r="B271" s="143" t="s">
        <v>870</v>
      </c>
      <c r="C271" s="143" t="s">
        <v>713</v>
      </c>
      <c r="D271" s="143" t="s">
        <v>871</v>
      </c>
      <c r="E271" s="143"/>
      <c r="F271" s="143" t="s">
        <v>870</v>
      </c>
      <c r="G271" s="144">
        <v>-1936.66</v>
      </c>
      <c r="H271" s="144">
        <v>-0.03</v>
      </c>
      <c r="I271" s="144">
        <v>-0.03</v>
      </c>
    </row>
    <row r="272" spans="1:9" x14ac:dyDescent="0.25">
      <c r="B272" s="143" t="s">
        <v>872</v>
      </c>
      <c r="C272" s="143" t="s">
        <v>713</v>
      </c>
      <c r="D272" s="143" t="s">
        <v>873</v>
      </c>
      <c r="E272" s="143"/>
      <c r="F272" s="143" t="s">
        <v>872</v>
      </c>
      <c r="G272" s="144">
        <v>-5837.16</v>
      </c>
      <c r="H272" s="144">
        <v>-0.01</v>
      </c>
      <c r="I272" s="144">
        <v>-0.04</v>
      </c>
    </row>
    <row r="273" spans="1:9" x14ac:dyDescent="0.25">
      <c r="B273" s="143" t="s">
        <v>874</v>
      </c>
      <c r="C273" s="143" t="s">
        <v>713</v>
      </c>
      <c r="D273" s="143" t="s">
        <v>875</v>
      </c>
      <c r="E273" s="143"/>
      <c r="F273" s="143" t="s">
        <v>874</v>
      </c>
      <c r="G273" s="144">
        <v>-1473.35</v>
      </c>
      <c r="H273" s="144">
        <v>-32.07</v>
      </c>
      <c r="I273" s="144">
        <v>-32.11</v>
      </c>
    </row>
    <row r="274" spans="1:9" x14ac:dyDescent="0.25">
      <c r="A274" s="142" t="s">
        <v>876</v>
      </c>
      <c r="G274" s="145">
        <v>-9247.17</v>
      </c>
      <c r="H274" s="145">
        <v>-32.11</v>
      </c>
    </row>
    <row r="275" spans="1:9" x14ac:dyDescent="0.25">
      <c r="A275" s="142" t="s">
        <v>877</v>
      </c>
    </row>
    <row r="276" spans="1:9" x14ac:dyDescent="0.25">
      <c r="B276" s="143" t="s">
        <v>401</v>
      </c>
      <c r="C276" s="143" t="s">
        <v>645</v>
      </c>
      <c r="D276" s="143" t="s">
        <v>878</v>
      </c>
      <c r="E276" s="143"/>
      <c r="F276" s="143"/>
      <c r="G276" s="144">
        <v>-751.86</v>
      </c>
      <c r="H276" s="144">
        <v>-751.86</v>
      </c>
      <c r="I276" s="144">
        <v>-751.86</v>
      </c>
    </row>
    <row r="277" spans="1:9" x14ac:dyDescent="0.25">
      <c r="A277" s="142" t="s">
        <v>879</v>
      </c>
      <c r="G277" s="145">
        <v>-751.86</v>
      </c>
      <c r="H277" s="145">
        <v>-751.86</v>
      </c>
    </row>
    <row r="278" spans="1:9" x14ac:dyDescent="0.25">
      <c r="A278" s="142" t="s">
        <v>880</v>
      </c>
    </row>
    <row r="279" spans="1:9" x14ac:dyDescent="0.25">
      <c r="B279" s="143" t="s">
        <v>881</v>
      </c>
      <c r="C279" s="143" t="s">
        <v>520</v>
      </c>
      <c r="D279" s="143"/>
      <c r="E279" s="143"/>
      <c r="F279" s="143" t="s">
        <v>882</v>
      </c>
      <c r="G279" s="144">
        <v>109550</v>
      </c>
      <c r="H279" s="144">
        <v>23083.22</v>
      </c>
      <c r="I279" s="144">
        <v>23083.22</v>
      </c>
    </row>
    <row r="280" spans="1:9" x14ac:dyDescent="0.25">
      <c r="B280" s="143" t="s">
        <v>535</v>
      </c>
      <c r="C280" s="143" t="s">
        <v>520</v>
      </c>
      <c r="D280" s="143"/>
      <c r="E280" s="143"/>
      <c r="F280" s="143" t="s">
        <v>883</v>
      </c>
      <c r="G280" s="144">
        <v>114868.87</v>
      </c>
      <c r="H280" s="144">
        <v>39868.870000000003</v>
      </c>
      <c r="I280" s="144">
        <v>62952.09</v>
      </c>
    </row>
    <row r="281" spans="1:9" x14ac:dyDescent="0.25">
      <c r="B281" s="143" t="s">
        <v>884</v>
      </c>
      <c r="C281" s="143" t="s">
        <v>520</v>
      </c>
      <c r="D281" s="143"/>
      <c r="E281" s="143"/>
      <c r="F281" s="143" t="s">
        <v>885</v>
      </c>
      <c r="G281" s="144">
        <v>117720.09</v>
      </c>
      <c r="H281" s="144">
        <v>117720.09</v>
      </c>
      <c r="I281" s="144">
        <v>180672.18</v>
      </c>
    </row>
    <row r="282" spans="1:9" x14ac:dyDescent="0.25">
      <c r="B282" s="143" t="s">
        <v>886</v>
      </c>
      <c r="C282" s="143" t="s">
        <v>520</v>
      </c>
      <c r="D282" s="143"/>
      <c r="E282" s="143"/>
      <c r="F282" s="143" t="s">
        <v>887</v>
      </c>
      <c r="G282" s="144">
        <v>117720.09</v>
      </c>
      <c r="H282" s="144">
        <v>42720.09</v>
      </c>
      <c r="I282" s="144">
        <v>223392.27</v>
      </c>
    </row>
    <row r="283" spans="1:9" x14ac:dyDescent="0.25">
      <c r="B283" s="143" t="s">
        <v>888</v>
      </c>
      <c r="C283" s="143" t="s">
        <v>520</v>
      </c>
      <c r="D283" s="143"/>
      <c r="E283" s="143"/>
      <c r="F283" s="143" t="s">
        <v>889</v>
      </c>
      <c r="G283" s="144">
        <v>108212.42</v>
      </c>
      <c r="H283" s="144">
        <v>33212.42</v>
      </c>
      <c r="I283" s="144">
        <v>256604.69</v>
      </c>
    </row>
    <row r="284" spans="1:9" x14ac:dyDescent="0.25">
      <c r="B284" s="143" t="s">
        <v>890</v>
      </c>
      <c r="C284" s="143" t="s">
        <v>520</v>
      </c>
      <c r="D284" s="143"/>
      <c r="E284" s="143"/>
      <c r="F284" s="143" t="s">
        <v>891</v>
      </c>
      <c r="G284" s="144">
        <v>117720.09</v>
      </c>
      <c r="H284" s="144">
        <v>117720.09</v>
      </c>
      <c r="I284" s="144">
        <v>374324.78</v>
      </c>
    </row>
    <row r="285" spans="1:9" x14ac:dyDescent="0.25">
      <c r="B285" s="143" t="s">
        <v>892</v>
      </c>
      <c r="C285" s="143" t="s">
        <v>520</v>
      </c>
      <c r="D285" s="143"/>
      <c r="E285" s="143"/>
      <c r="F285" s="143" t="s">
        <v>893</v>
      </c>
      <c r="G285" s="144">
        <v>117720.09</v>
      </c>
      <c r="H285" s="144">
        <v>117720.09</v>
      </c>
      <c r="I285" s="144">
        <v>492044.87</v>
      </c>
    </row>
    <row r="286" spans="1:9" x14ac:dyDescent="0.25">
      <c r="B286" s="143" t="s">
        <v>894</v>
      </c>
      <c r="C286" s="143" t="s">
        <v>520</v>
      </c>
      <c r="D286" s="143"/>
      <c r="E286" s="143"/>
      <c r="F286" s="143" t="s">
        <v>895</v>
      </c>
      <c r="G286" s="144">
        <v>129650.48</v>
      </c>
      <c r="H286" s="144">
        <v>54650.48</v>
      </c>
      <c r="I286" s="144">
        <v>546695.35</v>
      </c>
    </row>
    <row r="287" spans="1:9" x14ac:dyDescent="0.25">
      <c r="B287" s="143" t="s">
        <v>792</v>
      </c>
      <c r="C287" s="143" t="s">
        <v>520</v>
      </c>
      <c r="D287" s="143"/>
      <c r="E287" s="143"/>
      <c r="F287" s="143" t="s">
        <v>896</v>
      </c>
      <c r="G287" s="144">
        <v>117720.09</v>
      </c>
      <c r="H287" s="144">
        <v>42720.09</v>
      </c>
      <c r="I287" s="144">
        <v>589415.43999999994</v>
      </c>
    </row>
    <row r="288" spans="1:9" x14ac:dyDescent="0.25">
      <c r="B288" s="143" t="s">
        <v>793</v>
      </c>
      <c r="C288" s="143" t="s">
        <v>520</v>
      </c>
      <c r="D288" s="143"/>
      <c r="E288" s="143"/>
      <c r="F288" s="143" t="s">
        <v>897</v>
      </c>
      <c r="G288" s="144">
        <v>117720.09</v>
      </c>
      <c r="H288" s="144">
        <v>117720.09</v>
      </c>
      <c r="I288" s="144">
        <v>707135.53</v>
      </c>
    </row>
    <row r="289" spans="2:9" x14ac:dyDescent="0.25">
      <c r="B289" s="143" t="s">
        <v>493</v>
      </c>
      <c r="C289" s="143" t="s">
        <v>520</v>
      </c>
      <c r="D289" s="143"/>
      <c r="E289" s="143"/>
      <c r="F289" s="143" t="s">
        <v>898</v>
      </c>
      <c r="G289" s="144">
        <v>95308.08</v>
      </c>
      <c r="H289" s="144">
        <v>95308.08</v>
      </c>
      <c r="I289" s="144">
        <v>802443.61</v>
      </c>
    </row>
    <row r="290" spans="2:9" x14ac:dyDescent="0.25">
      <c r="B290" s="143" t="s">
        <v>539</v>
      </c>
      <c r="C290" s="143" t="s">
        <v>520</v>
      </c>
      <c r="D290" s="143"/>
      <c r="E290" s="143"/>
      <c r="F290" s="143" t="s">
        <v>899</v>
      </c>
      <c r="G290" s="144">
        <v>117720.09</v>
      </c>
      <c r="H290" s="144">
        <v>117720.09</v>
      </c>
      <c r="I290" s="144">
        <v>920163.7</v>
      </c>
    </row>
    <row r="291" spans="2:9" x14ac:dyDescent="0.25">
      <c r="B291" s="143" t="s">
        <v>541</v>
      </c>
      <c r="C291" s="143" t="s">
        <v>520</v>
      </c>
      <c r="D291" s="143"/>
      <c r="E291" s="143"/>
      <c r="F291" s="143" t="s">
        <v>900</v>
      </c>
      <c r="G291" s="144">
        <v>117720.09</v>
      </c>
      <c r="H291" s="144">
        <v>117720.09</v>
      </c>
      <c r="I291" s="144">
        <v>1037883.79</v>
      </c>
    </row>
    <row r="292" spans="2:9" x14ac:dyDescent="0.25">
      <c r="B292" s="143" t="s">
        <v>544</v>
      </c>
      <c r="C292" s="143" t="s">
        <v>520</v>
      </c>
      <c r="D292" s="143"/>
      <c r="E292" s="143"/>
      <c r="F292" s="143" t="s">
        <v>901</v>
      </c>
      <c r="G292" s="144">
        <v>71108.850000000006</v>
      </c>
      <c r="H292" s="144">
        <v>71108.850000000006</v>
      </c>
      <c r="I292" s="144">
        <v>1108992.6399999999</v>
      </c>
    </row>
    <row r="293" spans="2:9" x14ac:dyDescent="0.25">
      <c r="B293" s="143" t="s">
        <v>902</v>
      </c>
      <c r="C293" s="143" t="s">
        <v>520</v>
      </c>
      <c r="D293" s="143"/>
      <c r="E293" s="143"/>
      <c r="F293" s="143" t="s">
        <v>903</v>
      </c>
      <c r="G293" s="144">
        <v>117720.09</v>
      </c>
      <c r="H293" s="144">
        <v>117720.09</v>
      </c>
      <c r="I293" s="144">
        <v>1226712.73</v>
      </c>
    </row>
    <row r="294" spans="2:9" x14ac:dyDescent="0.25">
      <c r="B294" s="143" t="s">
        <v>904</v>
      </c>
      <c r="C294" s="143" t="s">
        <v>520</v>
      </c>
      <c r="D294" s="143"/>
      <c r="E294" s="143"/>
      <c r="F294" s="143" t="s">
        <v>905</v>
      </c>
      <c r="G294" s="144">
        <v>117720.09</v>
      </c>
      <c r="H294" s="144">
        <v>117720.09</v>
      </c>
      <c r="I294" s="144">
        <v>1344432.82</v>
      </c>
    </row>
    <row r="295" spans="2:9" x14ac:dyDescent="0.25">
      <c r="B295" s="143" t="s">
        <v>906</v>
      </c>
      <c r="C295" s="143" t="s">
        <v>520</v>
      </c>
      <c r="D295" s="143"/>
      <c r="E295" s="143"/>
      <c r="F295" s="143" t="s">
        <v>907</v>
      </c>
      <c r="G295" s="144">
        <v>198715.83</v>
      </c>
      <c r="H295" s="144">
        <v>198715.83</v>
      </c>
      <c r="I295" s="144">
        <v>1543148.65</v>
      </c>
    </row>
    <row r="296" spans="2:9" x14ac:dyDescent="0.25">
      <c r="B296" s="143" t="s">
        <v>908</v>
      </c>
      <c r="C296" s="143" t="s">
        <v>520</v>
      </c>
      <c r="D296" s="143"/>
      <c r="E296" s="143"/>
      <c r="F296" s="143" t="s">
        <v>909</v>
      </c>
      <c r="G296" s="144">
        <v>117720.09</v>
      </c>
      <c r="H296" s="144">
        <v>117720.09</v>
      </c>
      <c r="I296" s="144">
        <v>1660868.74</v>
      </c>
    </row>
    <row r="297" spans="2:9" x14ac:dyDescent="0.25">
      <c r="B297" s="143" t="s">
        <v>509</v>
      </c>
      <c r="C297" s="143" t="s">
        <v>520</v>
      </c>
      <c r="D297" s="143"/>
      <c r="E297" s="143"/>
      <c r="F297" s="143" t="s">
        <v>910</v>
      </c>
      <c r="G297" s="144">
        <v>117720.09</v>
      </c>
      <c r="H297" s="144">
        <v>117720.09</v>
      </c>
      <c r="I297" s="144">
        <v>1778588.83</v>
      </c>
    </row>
    <row r="298" spans="2:9" x14ac:dyDescent="0.25">
      <c r="B298" s="143" t="s">
        <v>911</v>
      </c>
      <c r="C298" s="143" t="s">
        <v>520</v>
      </c>
      <c r="D298" s="143"/>
      <c r="E298" s="143"/>
      <c r="F298" s="143" t="s">
        <v>912</v>
      </c>
      <c r="G298" s="144">
        <v>115369.38</v>
      </c>
      <c r="H298" s="144">
        <v>115369.38</v>
      </c>
      <c r="I298" s="144">
        <v>1893958.21</v>
      </c>
    </row>
    <row r="299" spans="2:9" x14ac:dyDescent="0.25">
      <c r="B299" s="143" t="s">
        <v>913</v>
      </c>
      <c r="C299" s="143" t="s">
        <v>520</v>
      </c>
      <c r="D299" s="143"/>
      <c r="E299" s="143"/>
      <c r="F299" s="143" t="s">
        <v>914</v>
      </c>
      <c r="G299" s="144">
        <v>109550</v>
      </c>
      <c r="H299" s="144">
        <v>24550</v>
      </c>
      <c r="I299" s="144">
        <v>1918508.21</v>
      </c>
    </row>
    <row r="300" spans="2:9" x14ac:dyDescent="0.25">
      <c r="B300" s="143" t="s">
        <v>522</v>
      </c>
      <c r="C300" s="143" t="s">
        <v>520</v>
      </c>
      <c r="D300" s="143"/>
      <c r="E300" s="143"/>
      <c r="F300" s="143" t="s">
        <v>915</v>
      </c>
      <c r="G300" s="144">
        <v>109550</v>
      </c>
      <c r="H300" s="144">
        <v>24550</v>
      </c>
      <c r="I300" s="144">
        <v>1943058.21</v>
      </c>
    </row>
    <row r="301" spans="2:9" x14ac:dyDescent="0.25">
      <c r="B301" s="143" t="s">
        <v>385</v>
      </c>
      <c r="C301" s="143" t="s">
        <v>520</v>
      </c>
      <c r="D301" s="143"/>
      <c r="E301" s="143"/>
      <c r="F301" s="143" t="s">
        <v>715</v>
      </c>
      <c r="G301" s="144">
        <v>109550</v>
      </c>
      <c r="H301" s="144">
        <v>24550</v>
      </c>
      <c r="I301" s="144">
        <v>1967608.21</v>
      </c>
    </row>
    <row r="302" spans="2:9" x14ac:dyDescent="0.25">
      <c r="B302" s="143" t="s">
        <v>414</v>
      </c>
      <c r="C302" s="143" t="s">
        <v>520</v>
      </c>
      <c r="D302" s="143"/>
      <c r="E302" s="143"/>
      <c r="F302" s="143" t="s">
        <v>860</v>
      </c>
      <c r="G302" s="144">
        <v>109550</v>
      </c>
      <c r="H302" s="144">
        <v>24550</v>
      </c>
      <c r="I302" s="144">
        <v>1992158.21</v>
      </c>
    </row>
    <row r="303" spans="2:9" x14ac:dyDescent="0.25">
      <c r="B303" s="143" t="s">
        <v>812</v>
      </c>
      <c r="C303" s="143" t="s">
        <v>520</v>
      </c>
      <c r="D303" s="143"/>
      <c r="E303" s="143"/>
      <c r="F303" s="143" t="s">
        <v>916</v>
      </c>
      <c r="G303" s="144">
        <v>109550</v>
      </c>
      <c r="H303" s="144">
        <v>24550</v>
      </c>
      <c r="I303" s="144">
        <v>2016708.21</v>
      </c>
    </row>
    <row r="304" spans="2:9" x14ac:dyDescent="0.25">
      <c r="B304" s="143" t="s">
        <v>340</v>
      </c>
      <c r="C304" s="143" t="s">
        <v>520</v>
      </c>
      <c r="D304" s="143"/>
      <c r="E304" s="143"/>
      <c r="F304" s="143" t="s">
        <v>529</v>
      </c>
      <c r="G304" s="144">
        <v>109550</v>
      </c>
      <c r="H304" s="144">
        <v>20550</v>
      </c>
      <c r="I304" s="144">
        <v>2037258.21</v>
      </c>
    </row>
    <row r="305" spans="1:9" x14ac:dyDescent="0.25">
      <c r="B305" s="143" t="s">
        <v>433</v>
      </c>
      <c r="C305" s="143" t="s">
        <v>520</v>
      </c>
      <c r="D305" s="143"/>
      <c r="E305" s="143"/>
      <c r="F305" s="143" t="s">
        <v>420</v>
      </c>
      <c r="G305" s="144">
        <v>109550</v>
      </c>
      <c r="H305" s="144">
        <v>59550</v>
      </c>
      <c r="I305" s="144">
        <v>2096808.21</v>
      </c>
    </row>
    <row r="306" spans="1:9" x14ac:dyDescent="0.25">
      <c r="B306" s="143" t="s">
        <v>435</v>
      </c>
      <c r="C306" s="143" t="s">
        <v>520</v>
      </c>
      <c r="D306" s="143"/>
      <c r="E306" s="143"/>
      <c r="F306" s="143" t="s">
        <v>917</v>
      </c>
      <c r="G306" s="144">
        <v>109550</v>
      </c>
      <c r="H306" s="144">
        <v>59550</v>
      </c>
      <c r="I306" s="144">
        <v>2156358.21</v>
      </c>
    </row>
    <row r="307" spans="1:9" x14ac:dyDescent="0.25">
      <c r="B307" s="143" t="s">
        <v>845</v>
      </c>
      <c r="C307" s="143" t="s">
        <v>520</v>
      </c>
      <c r="D307" s="143"/>
      <c r="E307" s="143"/>
      <c r="F307" s="143" t="s">
        <v>847</v>
      </c>
      <c r="G307" s="144">
        <v>109550</v>
      </c>
      <c r="H307" s="144">
        <v>59550</v>
      </c>
      <c r="I307" s="144">
        <v>2215908.21</v>
      </c>
    </row>
    <row r="308" spans="1:9" x14ac:dyDescent="0.25">
      <c r="B308" s="143" t="s">
        <v>634</v>
      </c>
      <c r="C308" s="143" t="s">
        <v>520</v>
      </c>
      <c r="D308" s="143"/>
      <c r="E308" s="143"/>
      <c r="F308" s="143" t="s">
        <v>918</v>
      </c>
      <c r="G308" s="144">
        <v>109550</v>
      </c>
      <c r="H308" s="144">
        <v>59550</v>
      </c>
      <c r="I308" s="144">
        <v>2275458.21</v>
      </c>
    </row>
    <row r="309" spans="1:9" x14ac:dyDescent="0.25">
      <c r="B309" s="143" t="s">
        <v>553</v>
      </c>
      <c r="C309" s="143" t="s">
        <v>520</v>
      </c>
      <c r="D309" s="143"/>
      <c r="E309" s="143"/>
      <c r="F309" s="143" t="s">
        <v>919</v>
      </c>
      <c r="G309" s="144">
        <v>109550</v>
      </c>
      <c r="H309" s="144">
        <v>70840.320000000007</v>
      </c>
      <c r="I309" s="144">
        <v>2346298.5299999998</v>
      </c>
    </row>
    <row r="310" spans="1:9" x14ac:dyDescent="0.25">
      <c r="B310" s="143" t="s">
        <v>353</v>
      </c>
      <c r="C310" s="143" t="s">
        <v>520</v>
      </c>
      <c r="D310" s="143"/>
      <c r="E310" s="143"/>
      <c r="F310" s="143" t="s">
        <v>606</v>
      </c>
      <c r="G310" s="144">
        <v>109550</v>
      </c>
      <c r="H310" s="144">
        <v>59550</v>
      </c>
      <c r="I310" s="144">
        <v>2405848.5299999998</v>
      </c>
    </row>
    <row r="311" spans="1:9" x14ac:dyDescent="0.25">
      <c r="A311" s="142" t="s">
        <v>920</v>
      </c>
      <c r="G311" s="145">
        <v>3670024.99</v>
      </c>
      <c r="H311" s="145">
        <v>2405848.5299999998</v>
      </c>
    </row>
    <row r="312" spans="1:9" x14ac:dyDescent="0.25">
      <c r="A312" s="142" t="s">
        <v>921</v>
      </c>
    </row>
    <row r="313" spans="1:9" x14ac:dyDescent="0.25">
      <c r="B313" s="143" t="s">
        <v>634</v>
      </c>
      <c r="C313" s="143" t="s">
        <v>357</v>
      </c>
      <c r="D313" s="143" t="s">
        <v>635</v>
      </c>
      <c r="E313" s="143"/>
      <c r="F313" s="143" t="s">
        <v>634</v>
      </c>
      <c r="G313" s="144">
        <v>25000</v>
      </c>
      <c r="H313" s="144">
        <v>25000</v>
      </c>
      <c r="I313" s="144">
        <v>25000</v>
      </c>
    </row>
    <row r="314" spans="1:9" x14ac:dyDescent="0.25">
      <c r="B314" s="143" t="s">
        <v>553</v>
      </c>
      <c r="C314" s="143" t="s">
        <v>357</v>
      </c>
      <c r="D314" s="143" t="s">
        <v>922</v>
      </c>
      <c r="E314" s="143"/>
      <c r="F314" s="143" t="s">
        <v>553</v>
      </c>
      <c r="G314" s="144">
        <v>25000</v>
      </c>
      <c r="H314" s="144">
        <v>25000</v>
      </c>
      <c r="I314" s="144">
        <v>50000</v>
      </c>
    </row>
    <row r="315" spans="1:9" x14ac:dyDescent="0.25">
      <c r="A315" s="142" t="s">
        <v>923</v>
      </c>
      <c r="G315" s="145">
        <v>50000</v>
      </c>
      <c r="H315" s="145">
        <v>50000</v>
      </c>
    </row>
    <row r="316" spans="1:9" x14ac:dyDescent="0.25">
      <c r="A316" s="142" t="s">
        <v>924</v>
      </c>
    </row>
    <row r="317" spans="1:9" x14ac:dyDescent="0.25">
      <c r="B317" s="143" t="s">
        <v>696</v>
      </c>
      <c r="C317" s="143" t="s">
        <v>713</v>
      </c>
      <c r="D317" s="143" t="s">
        <v>925</v>
      </c>
      <c r="E317" s="143"/>
      <c r="F317" s="143" t="s">
        <v>696</v>
      </c>
      <c r="G317" s="144">
        <v>-6388.1</v>
      </c>
      <c r="H317" s="144">
        <v>-0.02</v>
      </c>
      <c r="I317" s="144">
        <v>-0.02</v>
      </c>
    </row>
    <row r="318" spans="1:9" x14ac:dyDescent="0.25">
      <c r="A318" s="142" t="s">
        <v>926</v>
      </c>
      <c r="G318" s="145">
        <v>-6388.1</v>
      </c>
      <c r="H318" s="145">
        <v>-0.02</v>
      </c>
    </row>
    <row r="319" spans="1:9" x14ac:dyDescent="0.25">
      <c r="A319" s="142" t="s">
        <v>927</v>
      </c>
    </row>
    <row r="320" spans="1:9" x14ac:dyDescent="0.25">
      <c r="B320" s="143" t="s">
        <v>928</v>
      </c>
      <c r="C320" s="143" t="s">
        <v>520</v>
      </c>
      <c r="D320" s="143">
        <v>695632</v>
      </c>
      <c r="E320" s="143" t="s">
        <v>396</v>
      </c>
      <c r="F320" s="143" t="s">
        <v>929</v>
      </c>
      <c r="G320" s="144">
        <v>1568.51</v>
      </c>
      <c r="H320" s="144">
        <v>1568.51</v>
      </c>
      <c r="I320" s="144">
        <v>1568.51</v>
      </c>
    </row>
    <row r="321" spans="1:9" x14ac:dyDescent="0.25">
      <c r="A321" s="142" t="s">
        <v>930</v>
      </c>
      <c r="G321" s="145">
        <v>1568.51</v>
      </c>
      <c r="H321" s="145">
        <v>1568.51</v>
      </c>
    </row>
    <row r="322" spans="1:9" x14ac:dyDescent="0.25">
      <c r="A322" s="142" t="s">
        <v>931</v>
      </c>
    </row>
    <row r="323" spans="1:9" x14ac:dyDescent="0.25">
      <c r="B323" s="143" t="s">
        <v>443</v>
      </c>
      <c r="C323" s="143" t="s">
        <v>520</v>
      </c>
      <c r="D323" s="143">
        <v>90328808</v>
      </c>
      <c r="E323" s="143"/>
      <c r="F323" s="143" t="s">
        <v>443</v>
      </c>
      <c r="G323" s="144">
        <v>46.81</v>
      </c>
      <c r="H323" s="144">
        <v>46.81</v>
      </c>
      <c r="I323" s="144">
        <v>46.81</v>
      </c>
    </row>
    <row r="324" spans="1:9" x14ac:dyDescent="0.25">
      <c r="B324" s="143" t="s">
        <v>368</v>
      </c>
      <c r="C324" s="143" t="s">
        <v>520</v>
      </c>
      <c r="D324" s="143">
        <v>62209</v>
      </c>
      <c r="E324" s="143"/>
      <c r="F324" s="143" t="s">
        <v>368</v>
      </c>
      <c r="G324" s="144">
        <v>39.85</v>
      </c>
      <c r="H324" s="144">
        <v>39.85</v>
      </c>
      <c r="I324" s="144">
        <v>86.66</v>
      </c>
    </row>
    <row r="325" spans="1:9" x14ac:dyDescent="0.25">
      <c r="B325" s="143" t="s">
        <v>368</v>
      </c>
      <c r="C325" s="143" t="s">
        <v>520</v>
      </c>
      <c r="D325" s="143" t="s">
        <v>932</v>
      </c>
      <c r="E325" s="143"/>
      <c r="F325" s="143" t="s">
        <v>368</v>
      </c>
      <c r="G325" s="144">
        <v>67.89</v>
      </c>
      <c r="H325" s="144">
        <v>67.89</v>
      </c>
      <c r="I325" s="144">
        <v>154.55000000000001</v>
      </c>
    </row>
    <row r="326" spans="1:9" x14ac:dyDescent="0.25">
      <c r="B326" s="143" t="s">
        <v>372</v>
      </c>
      <c r="C326" s="143" t="s">
        <v>520</v>
      </c>
      <c r="D326" s="143">
        <v>428879</v>
      </c>
      <c r="E326" s="143"/>
      <c r="F326" s="143" t="s">
        <v>372</v>
      </c>
      <c r="G326" s="144">
        <v>75.569999999999993</v>
      </c>
      <c r="H326" s="144">
        <v>75.569999999999993</v>
      </c>
      <c r="I326" s="144">
        <v>230.12</v>
      </c>
    </row>
    <row r="327" spans="1:9" x14ac:dyDescent="0.25">
      <c r="B327" s="143" t="s">
        <v>372</v>
      </c>
      <c r="C327" s="143" t="s">
        <v>520</v>
      </c>
      <c r="D327" s="143">
        <v>27</v>
      </c>
      <c r="E327" s="143"/>
      <c r="F327" s="143" t="s">
        <v>372</v>
      </c>
      <c r="G327" s="144">
        <v>43.47</v>
      </c>
      <c r="H327" s="144">
        <v>43.47</v>
      </c>
      <c r="I327" s="144">
        <v>273.58999999999997</v>
      </c>
    </row>
    <row r="328" spans="1:9" x14ac:dyDescent="0.25">
      <c r="A328" s="142" t="s">
        <v>933</v>
      </c>
      <c r="G328" s="145">
        <v>273.58999999999997</v>
      </c>
      <c r="H328" s="145">
        <v>273.58999999999997</v>
      </c>
    </row>
    <row r="329" spans="1:9" x14ac:dyDescent="0.25">
      <c r="A329" s="142" t="s">
        <v>934</v>
      </c>
    </row>
    <row r="330" spans="1:9" x14ac:dyDescent="0.25">
      <c r="B330" s="143" t="s">
        <v>344</v>
      </c>
      <c r="C330" s="143" t="s">
        <v>520</v>
      </c>
      <c r="D330" s="143" t="s">
        <v>935</v>
      </c>
      <c r="E330" s="143"/>
      <c r="F330" s="143" t="s">
        <v>936</v>
      </c>
      <c r="G330" s="144">
        <v>5460.79</v>
      </c>
      <c r="H330" s="144">
        <v>5460.79</v>
      </c>
      <c r="I330" s="144">
        <v>5460.79</v>
      </c>
    </row>
    <row r="331" spans="1:9" x14ac:dyDescent="0.25">
      <c r="B331" s="143" t="s">
        <v>344</v>
      </c>
      <c r="C331" s="143" t="s">
        <v>520</v>
      </c>
      <c r="D331" s="143" t="s">
        <v>937</v>
      </c>
      <c r="E331" s="143"/>
      <c r="F331" s="143" t="s">
        <v>936</v>
      </c>
      <c r="G331" s="144">
        <v>774.58</v>
      </c>
      <c r="H331" s="144">
        <v>774.58</v>
      </c>
      <c r="I331" s="144">
        <v>6235.37</v>
      </c>
    </row>
    <row r="332" spans="1:9" x14ac:dyDescent="0.25">
      <c r="A332" s="142" t="s">
        <v>938</v>
      </c>
      <c r="G332" s="145">
        <v>6235.37</v>
      </c>
      <c r="H332" s="145">
        <v>6235.37</v>
      </c>
    </row>
    <row r="333" spans="1:9" x14ac:dyDescent="0.25">
      <c r="A333" s="142" t="s">
        <v>939</v>
      </c>
    </row>
    <row r="334" spans="1:9" x14ac:dyDescent="0.25">
      <c r="B334" s="143" t="s">
        <v>439</v>
      </c>
      <c r="C334" s="143" t="s">
        <v>520</v>
      </c>
      <c r="D334" s="143">
        <v>67099557</v>
      </c>
      <c r="E334" s="143"/>
      <c r="F334" s="143" t="s">
        <v>459</v>
      </c>
      <c r="G334" s="144">
        <v>231.01</v>
      </c>
      <c r="H334" s="144">
        <v>231.01</v>
      </c>
      <c r="I334" s="144">
        <v>231.01</v>
      </c>
    </row>
    <row r="335" spans="1:9" x14ac:dyDescent="0.25">
      <c r="B335" s="143" t="s">
        <v>628</v>
      </c>
      <c r="C335" s="143" t="s">
        <v>520</v>
      </c>
      <c r="D335" s="143">
        <v>67470957</v>
      </c>
      <c r="E335" s="143" t="s">
        <v>121</v>
      </c>
      <c r="F335" s="143" t="s">
        <v>369</v>
      </c>
      <c r="G335" s="144">
        <v>313.95</v>
      </c>
      <c r="H335" s="144">
        <v>313.95</v>
      </c>
      <c r="I335" s="144">
        <v>544.96</v>
      </c>
    </row>
    <row r="336" spans="1:9" x14ac:dyDescent="0.25">
      <c r="A336" s="142" t="s">
        <v>940</v>
      </c>
      <c r="G336" s="145">
        <v>544.96</v>
      </c>
      <c r="H336" s="145">
        <v>544.96</v>
      </c>
    </row>
    <row r="337" spans="1:9" x14ac:dyDescent="0.25">
      <c r="A337" s="142" t="s">
        <v>941</v>
      </c>
    </row>
    <row r="338" spans="1:9" x14ac:dyDescent="0.25">
      <c r="B338" s="143" t="s">
        <v>942</v>
      </c>
      <c r="C338" s="143" t="s">
        <v>520</v>
      </c>
      <c r="D338" s="143">
        <v>1010</v>
      </c>
      <c r="E338" s="143" t="s">
        <v>121</v>
      </c>
      <c r="F338" s="143" t="s">
        <v>943</v>
      </c>
      <c r="G338" s="144">
        <v>15750</v>
      </c>
      <c r="H338" s="144">
        <v>8096.28</v>
      </c>
      <c r="I338" s="144">
        <v>8096.28</v>
      </c>
    </row>
    <row r="339" spans="1:9" x14ac:dyDescent="0.25">
      <c r="A339" s="142" t="s">
        <v>944</v>
      </c>
      <c r="G339" s="145">
        <v>15750</v>
      </c>
      <c r="H339" s="145">
        <v>8096.28</v>
      </c>
    </row>
    <row r="340" spans="1:9" x14ac:dyDescent="0.25">
      <c r="A340" s="142" t="s">
        <v>945</v>
      </c>
    </row>
    <row r="341" spans="1:9" x14ac:dyDescent="0.25">
      <c r="B341" s="143" t="s">
        <v>864</v>
      </c>
      <c r="C341" s="143" t="s">
        <v>520</v>
      </c>
      <c r="D341" s="143" t="s">
        <v>946</v>
      </c>
      <c r="E341" s="143"/>
      <c r="F341" s="143" t="s">
        <v>864</v>
      </c>
      <c r="G341" s="144">
        <v>825.68</v>
      </c>
      <c r="H341" s="144">
        <v>825.68</v>
      </c>
      <c r="I341" s="144">
        <v>825.68</v>
      </c>
    </row>
    <row r="342" spans="1:9" x14ac:dyDescent="0.25">
      <c r="B342" s="143" t="s">
        <v>761</v>
      </c>
      <c r="C342" s="143" t="s">
        <v>520</v>
      </c>
      <c r="D342" s="143">
        <v>1127938974</v>
      </c>
      <c r="E342" s="143"/>
      <c r="F342" s="143" t="s">
        <v>761</v>
      </c>
      <c r="G342" s="144">
        <v>791.09</v>
      </c>
      <c r="H342" s="144">
        <v>791.09</v>
      </c>
      <c r="I342" s="144">
        <v>1616.77</v>
      </c>
    </row>
    <row r="343" spans="1:9" x14ac:dyDescent="0.25">
      <c r="B343" s="143" t="s">
        <v>947</v>
      </c>
      <c r="C343" s="143" t="s">
        <v>520</v>
      </c>
      <c r="D343" s="143">
        <v>1139781657</v>
      </c>
      <c r="E343" s="143" t="s">
        <v>121</v>
      </c>
      <c r="F343" s="143" t="s">
        <v>947</v>
      </c>
      <c r="G343" s="144">
        <v>837.36</v>
      </c>
      <c r="H343" s="144">
        <v>837.36</v>
      </c>
      <c r="I343" s="144">
        <v>2454.13</v>
      </c>
    </row>
    <row r="344" spans="1:9" x14ac:dyDescent="0.25">
      <c r="A344" s="142" t="s">
        <v>948</v>
      </c>
      <c r="G344" s="145">
        <v>2454.13</v>
      </c>
      <c r="H344" s="145">
        <v>2454.13</v>
      </c>
    </row>
    <row r="345" spans="1:9" x14ac:dyDescent="0.25">
      <c r="A345" s="142" t="s">
        <v>949</v>
      </c>
    </row>
    <row r="346" spans="1:9" x14ac:dyDescent="0.25">
      <c r="B346" s="143" t="s">
        <v>950</v>
      </c>
      <c r="C346" s="143" t="s">
        <v>520</v>
      </c>
      <c r="D346" s="143">
        <v>1115599811</v>
      </c>
      <c r="E346" s="143"/>
      <c r="F346" s="143" t="s">
        <v>657</v>
      </c>
      <c r="G346" s="144">
        <v>117.24</v>
      </c>
      <c r="H346" s="144">
        <v>117.24</v>
      </c>
      <c r="I346" s="144">
        <v>117.24</v>
      </c>
    </row>
    <row r="347" spans="1:9" x14ac:dyDescent="0.25">
      <c r="B347" s="143" t="s">
        <v>400</v>
      </c>
      <c r="C347" s="143" t="s">
        <v>520</v>
      </c>
      <c r="D347" s="143">
        <v>1125936691</v>
      </c>
      <c r="E347" s="143"/>
      <c r="F347" s="143" t="s">
        <v>401</v>
      </c>
      <c r="G347" s="144">
        <v>114.98</v>
      </c>
      <c r="H347" s="144">
        <v>114.98</v>
      </c>
      <c r="I347" s="144">
        <v>232.22</v>
      </c>
    </row>
    <row r="348" spans="1:9" x14ac:dyDescent="0.25">
      <c r="B348" s="143" t="s">
        <v>664</v>
      </c>
      <c r="C348" s="143" t="s">
        <v>520</v>
      </c>
      <c r="D348" s="143">
        <v>1137347986</v>
      </c>
      <c r="E348" s="143" t="s">
        <v>121</v>
      </c>
      <c r="F348" s="143" t="s">
        <v>951</v>
      </c>
      <c r="G348" s="144">
        <v>117.28</v>
      </c>
      <c r="H348" s="144">
        <v>117.28</v>
      </c>
      <c r="I348" s="144">
        <v>349.5</v>
      </c>
    </row>
    <row r="349" spans="1:9" x14ac:dyDescent="0.25">
      <c r="A349" s="142" t="s">
        <v>952</v>
      </c>
      <c r="G349" s="145">
        <v>349.5</v>
      </c>
      <c r="H349" s="145">
        <v>349.5</v>
      </c>
    </row>
    <row r="350" spans="1:9" x14ac:dyDescent="0.25">
      <c r="A350" s="142" t="s">
        <v>953</v>
      </c>
    </row>
    <row r="351" spans="1:9" x14ac:dyDescent="0.25">
      <c r="B351" s="143" t="s">
        <v>918</v>
      </c>
      <c r="C351" s="143" t="s">
        <v>520</v>
      </c>
      <c r="D351" s="143">
        <v>1117714489</v>
      </c>
      <c r="E351" s="143"/>
      <c r="F351" s="143" t="s">
        <v>918</v>
      </c>
      <c r="G351" s="144">
        <v>1527.01</v>
      </c>
      <c r="H351" s="144">
        <v>1527.01</v>
      </c>
      <c r="I351" s="144">
        <v>1527.01</v>
      </c>
    </row>
    <row r="352" spans="1:9" x14ac:dyDescent="0.25">
      <c r="B352" s="143" t="s">
        <v>919</v>
      </c>
      <c r="C352" s="143" t="s">
        <v>520</v>
      </c>
      <c r="D352" s="143">
        <v>1122779619</v>
      </c>
      <c r="E352" s="143"/>
      <c r="F352" s="143" t="s">
        <v>350</v>
      </c>
      <c r="G352" s="144">
        <v>1483.84</v>
      </c>
      <c r="H352" s="144">
        <v>1483.84</v>
      </c>
      <c r="I352" s="144">
        <v>3010.85</v>
      </c>
    </row>
    <row r="353" spans="1:9" x14ac:dyDescent="0.25">
      <c r="B353" s="143" t="s">
        <v>606</v>
      </c>
      <c r="C353" s="143" t="s">
        <v>520</v>
      </c>
      <c r="D353" s="143">
        <v>1140078205</v>
      </c>
      <c r="E353" s="143" t="s">
        <v>121</v>
      </c>
      <c r="F353" s="143" t="s">
        <v>606</v>
      </c>
      <c r="G353" s="144">
        <v>1528.36</v>
      </c>
      <c r="H353" s="144">
        <v>1528.36</v>
      </c>
      <c r="I353" s="144">
        <v>4539.21</v>
      </c>
    </row>
    <row r="354" spans="1:9" x14ac:dyDescent="0.25">
      <c r="A354" s="142" t="s">
        <v>954</v>
      </c>
      <c r="G354" s="145">
        <v>4539.21</v>
      </c>
      <c r="H354" s="145">
        <v>4539.21</v>
      </c>
    </row>
    <row r="355" spans="1:9" x14ac:dyDescent="0.25">
      <c r="A355" s="142" t="s">
        <v>955</v>
      </c>
    </row>
    <row r="356" spans="1:9" x14ac:dyDescent="0.25">
      <c r="B356" s="143" t="s">
        <v>950</v>
      </c>
      <c r="C356" s="143" t="s">
        <v>520</v>
      </c>
      <c r="D356" s="143">
        <v>1115599876</v>
      </c>
      <c r="E356" s="143"/>
      <c r="F356" s="143" t="s">
        <v>657</v>
      </c>
      <c r="G356" s="144">
        <v>34.82</v>
      </c>
      <c r="H356" s="144">
        <v>34.82</v>
      </c>
      <c r="I356" s="144">
        <v>34.82</v>
      </c>
    </row>
    <row r="357" spans="1:9" x14ac:dyDescent="0.25">
      <c r="B357" s="143" t="s">
        <v>400</v>
      </c>
      <c r="C357" s="143" t="s">
        <v>520</v>
      </c>
      <c r="D357" s="143">
        <v>1125936754</v>
      </c>
      <c r="E357" s="143"/>
      <c r="F357" s="143" t="s">
        <v>401</v>
      </c>
      <c r="G357" s="144">
        <v>32.869999999999997</v>
      </c>
      <c r="H357" s="144">
        <v>32.869999999999997</v>
      </c>
      <c r="I357" s="144">
        <v>67.69</v>
      </c>
    </row>
    <row r="358" spans="1:9" x14ac:dyDescent="0.25">
      <c r="B358" s="143" t="s">
        <v>664</v>
      </c>
      <c r="C358" s="143" t="s">
        <v>520</v>
      </c>
      <c r="D358" s="143">
        <v>1137348050</v>
      </c>
      <c r="E358" s="143" t="s">
        <v>121</v>
      </c>
      <c r="F358" s="143" t="s">
        <v>951</v>
      </c>
      <c r="G358" s="144">
        <v>33.520000000000003</v>
      </c>
      <c r="H358" s="144">
        <v>33.520000000000003</v>
      </c>
      <c r="I358" s="144">
        <v>101.21</v>
      </c>
    </row>
    <row r="359" spans="1:9" x14ac:dyDescent="0.25">
      <c r="A359" s="142" t="s">
        <v>956</v>
      </c>
      <c r="G359" s="145">
        <v>101.21</v>
      </c>
      <c r="H359" s="145">
        <v>101.21</v>
      </c>
    </row>
    <row r="360" spans="1:9" x14ac:dyDescent="0.25">
      <c r="A360" s="142" t="s">
        <v>957</v>
      </c>
    </row>
    <row r="361" spans="1:9" x14ac:dyDescent="0.25">
      <c r="B361" s="143" t="s">
        <v>958</v>
      </c>
      <c r="C361" s="143" t="s">
        <v>520</v>
      </c>
      <c r="D361" s="143"/>
      <c r="E361" s="143"/>
      <c r="F361" s="143" t="s">
        <v>759</v>
      </c>
      <c r="G361" s="144">
        <v>34.97</v>
      </c>
      <c r="H361" s="144">
        <v>34.97</v>
      </c>
      <c r="I361" s="144">
        <v>34.97</v>
      </c>
    </row>
    <row r="362" spans="1:9" x14ac:dyDescent="0.25">
      <c r="B362" s="143" t="s">
        <v>759</v>
      </c>
      <c r="C362" s="143" t="s">
        <v>520</v>
      </c>
      <c r="D362" s="143">
        <v>1122727775</v>
      </c>
      <c r="E362" s="143"/>
      <c r="F362" s="143" t="s">
        <v>725</v>
      </c>
      <c r="G362" s="144">
        <v>34.97</v>
      </c>
      <c r="H362" s="144">
        <v>34.97</v>
      </c>
      <c r="I362" s="144">
        <v>69.94</v>
      </c>
    </row>
    <row r="363" spans="1:9" x14ac:dyDescent="0.25">
      <c r="A363" s="142" t="s">
        <v>959</v>
      </c>
      <c r="G363" s="145">
        <v>69.94</v>
      </c>
      <c r="H363" s="145">
        <v>69.94</v>
      </c>
    </row>
    <row r="364" spans="1:9" x14ac:dyDescent="0.25">
      <c r="A364" s="142" t="s">
        <v>960</v>
      </c>
    </row>
    <row r="365" spans="1:9" x14ac:dyDescent="0.25">
      <c r="B365" s="143" t="s">
        <v>634</v>
      </c>
      <c r="C365" s="143" t="s">
        <v>520</v>
      </c>
      <c r="D365" s="143"/>
      <c r="E365" s="143"/>
      <c r="F365" s="143" t="s">
        <v>349</v>
      </c>
      <c r="G365" s="144">
        <v>2361.4499999999998</v>
      </c>
      <c r="H365" s="144">
        <v>1344.3</v>
      </c>
      <c r="I365" s="144">
        <v>1344.3</v>
      </c>
    </row>
    <row r="366" spans="1:9" x14ac:dyDescent="0.25">
      <c r="B366" s="143" t="s">
        <v>553</v>
      </c>
      <c r="C366" s="143" t="s">
        <v>520</v>
      </c>
      <c r="D366" s="143">
        <v>1123881478</v>
      </c>
      <c r="E366" s="143"/>
      <c r="F366" s="143" t="s">
        <v>351</v>
      </c>
      <c r="G366" s="144">
        <v>3378.6</v>
      </c>
      <c r="H366" s="144">
        <v>3378.6</v>
      </c>
      <c r="I366" s="144">
        <v>4722.8999999999996</v>
      </c>
    </row>
    <row r="367" spans="1:9" x14ac:dyDescent="0.25">
      <c r="B367" s="143" t="s">
        <v>353</v>
      </c>
      <c r="C367" s="143" t="s">
        <v>520</v>
      </c>
      <c r="D367" s="143">
        <v>1135809707</v>
      </c>
      <c r="E367" s="143" t="s">
        <v>121</v>
      </c>
      <c r="F367" s="143" t="s">
        <v>354</v>
      </c>
      <c r="G367" s="144">
        <v>2361.4499999999998</v>
      </c>
      <c r="H367" s="144">
        <v>2361.4499999999998</v>
      </c>
      <c r="I367" s="144">
        <v>7084.35</v>
      </c>
    </row>
    <row r="368" spans="1:9" x14ac:dyDescent="0.25">
      <c r="A368" s="142" t="s">
        <v>961</v>
      </c>
      <c r="G368" s="145">
        <v>8101.5</v>
      </c>
      <c r="H368" s="145">
        <v>7084.35</v>
      </c>
    </row>
    <row r="369" spans="1:9" x14ac:dyDescent="0.25">
      <c r="A369" s="142" t="s">
        <v>962</v>
      </c>
    </row>
    <row r="370" spans="1:9" x14ac:dyDescent="0.25">
      <c r="B370" s="143" t="s">
        <v>963</v>
      </c>
      <c r="C370" s="143" t="s">
        <v>520</v>
      </c>
      <c r="D370" s="143" t="s">
        <v>964</v>
      </c>
      <c r="E370" s="143" t="s">
        <v>123</v>
      </c>
      <c r="F370" s="143" t="s">
        <v>965</v>
      </c>
      <c r="G370" s="144">
        <v>228917.96</v>
      </c>
      <c r="H370" s="144">
        <v>31006</v>
      </c>
      <c r="I370" s="144">
        <v>31006</v>
      </c>
    </row>
    <row r="371" spans="1:9" x14ac:dyDescent="0.25">
      <c r="A371" s="142" t="s">
        <v>966</v>
      </c>
      <c r="G371" s="145">
        <v>228917.96</v>
      </c>
      <c r="H371" s="145">
        <v>31006</v>
      </c>
    </row>
    <row r="372" spans="1:9" x14ac:dyDescent="0.25">
      <c r="A372" s="142" t="s">
        <v>967</v>
      </c>
    </row>
    <row r="373" spans="1:9" x14ac:dyDescent="0.25">
      <c r="B373" s="143" t="s">
        <v>968</v>
      </c>
      <c r="C373" s="143" t="s">
        <v>520</v>
      </c>
      <c r="D373" s="143" t="s">
        <v>969</v>
      </c>
      <c r="E373" s="143" t="s">
        <v>125</v>
      </c>
      <c r="F373" s="143" t="s">
        <v>968</v>
      </c>
      <c r="G373" s="144">
        <v>60769.8</v>
      </c>
      <c r="H373" s="144">
        <v>16831.84</v>
      </c>
      <c r="I373" s="144">
        <v>16831.84</v>
      </c>
    </row>
    <row r="374" spans="1:9" x14ac:dyDescent="0.25">
      <c r="A374" s="142" t="s">
        <v>970</v>
      </c>
      <c r="G374" s="145">
        <v>60769.8</v>
      </c>
      <c r="H374" s="145">
        <v>16831.84</v>
      </c>
    </row>
    <row r="375" spans="1:9" x14ac:dyDescent="0.25">
      <c r="A375" s="142" t="s">
        <v>971</v>
      </c>
    </row>
    <row r="376" spans="1:9" x14ac:dyDescent="0.25">
      <c r="B376" s="143" t="s">
        <v>972</v>
      </c>
      <c r="C376" s="143" t="s">
        <v>520</v>
      </c>
      <c r="D376" s="143">
        <v>2490</v>
      </c>
      <c r="E376" s="143"/>
      <c r="F376" s="143" t="s">
        <v>972</v>
      </c>
      <c r="G376" s="144">
        <v>8134.23</v>
      </c>
      <c r="H376" s="144">
        <v>8134.23</v>
      </c>
      <c r="I376" s="144">
        <v>8134.23</v>
      </c>
    </row>
    <row r="377" spans="1:9" x14ac:dyDescent="0.25">
      <c r="A377" s="142" t="s">
        <v>973</v>
      </c>
      <c r="G377" s="145">
        <v>8134.23</v>
      </c>
      <c r="H377" s="145">
        <v>8134.23</v>
      </c>
    </row>
    <row r="378" spans="1:9" x14ac:dyDescent="0.25">
      <c r="A378" s="142" t="s">
        <v>974</v>
      </c>
    </row>
    <row r="379" spans="1:9" x14ac:dyDescent="0.25">
      <c r="B379" s="143" t="s">
        <v>400</v>
      </c>
      <c r="C379" s="143" t="s">
        <v>520</v>
      </c>
      <c r="D379" s="143" t="s">
        <v>975</v>
      </c>
      <c r="E379" s="143"/>
      <c r="F379" s="143" t="s">
        <v>664</v>
      </c>
      <c r="G379" s="144">
        <v>126</v>
      </c>
      <c r="H379" s="144">
        <v>126</v>
      </c>
      <c r="I379" s="144">
        <v>126</v>
      </c>
    </row>
    <row r="380" spans="1:9" x14ac:dyDescent="0.25">
      <c r="A380" s="142" t="s">
        <v>976</v>
      </c>
      <c r="G380" s="145">
        <v>126</v>
      </c>
      <c r="H380" s="145">
        <v>126</v>
      </c>
    </row>
    <row r="381" spans="1:9" x14ac:dyDescent="0.25">
      <c r="A381" s="142" t="s">
        <v>977</v>
      </c>
    </row>
    <row r="382" spans="1:9" x14ac:dyDescent="0.25">
      <c r="B382" s="143" t="s">
        <v>978</v>
      </c>
      <c r="C382" s="143" t="s">
        <v>520</v>
      </c>
      <c r="D382" s="143" t="s">
        <v>979</v>
      </c>
      <c r="E382" s="143"/>
      <c r="F382" s="143" t="s">
        <v>980</v>
      </c>
      <c r="G382" s="144">
        <v>2415</v>
      </c>
      <c r="H382" s="144">
        <v>2415</v>
      </c>
      <c r="I382" s="144">
        <v>2415</v>
      </c>
    </row>
    <row r="383" spans="1:9" x14ac:dyDescent="0.25">
      <c r="B383" s="143" t="s">
        <v>348</v>
      </c>
      <c r="C383" s="143" t="s">
        <v>520</v>
      </c>
      <c r="D383" s="143" t="s">
        <v>981</v>
      </c>
      <c r="E383" s="143"/>
      <c r="F383" s="143" t="s">
        <v>657</v>
      </c>
      <c r="G383" s="144">
        <v>2825</v>
      </c>
      <c r="H383" s="144">
        <v>2825</v>
      </c>
      <c r="I383" s="144">
        <v>5240</v>
      </c>
    </row>
    <row r="384" spans="1:9" x14ac:dyDescent="0.25">
      <c r="B384" s="143" t="s">
        <v>349</v>
      </c>
      <c r="C384" s="143" t="s">
        <v>520</v>
      </c>
      <c r="D384" s="143" t="s">
        <v>982</v>
      </c>
      <c r="E384" s="143"/>
      <c r="F384" s="143" t="s">
        <v>400</v>
      </c>
      <c r="G384" s="144">
        <v>2825</v>
      </c>
      <c r="H384" s="144">
        <v>2825</v>
      </c>
      <c r="I384" s="144">
        <v>8065</v>
      </c>
    </row>
    <row r="385" spans="1:9" x14ac:dyDescent="0.25">
      <c r="B385" s="143" t="s">
        <v>349</v>
      </c>
      <c r="C385" s="143" t="s">
        <v>520</v>
      </c>
      <c r="D385" s="143" t="s">
        <v>983</v>
      </c>
      <c r="E385" s="143"/>
      <c r="F385" s="143" t="s">
        <v>400</v>
      </c>
      <c r="G385" s="144">
        <v>929.25</v>
      </c>
      <c r="H385" s="144">
        <v>929.25</v>
      </c>
      <c r="I385" s="144">
        <v>8994.25</v>
      </c>
    </row>
    <row r="386" spans="1:9" x14ac:dyDescent="0.25">
      <c r="B386" s="143" t="s">
        <v>657</v>
      </c>
      <c r="C386" s="143" t="s">
        <v>520</v>
      </c>
      <c r="D386" s="143" t="s">
        <v>984</v>
      </c>
      <c r="E386" s="143"/>
      <c r="F386" s="143" t="s">
        <v>985</v>
      </c>
      <c r="G386" s="144">
        <v>1890</v>
      </c>
      <c r="H386" s="144">
        <v>1890</v>
      </c>
      <c r="I386" s="144">
        <v>10884.25</v>
      </c>
    </row>
    <row r="387" spans="1:9" x14ac:dyDescent="0.25">
      <c r="B387" s="143" t="s">
        <v>657</v>
      </c>
      <c r="C387" s="143" t="s">
        <v>520</v>
      </c>
      <c r="D387" s="143" t="s">
        <v>986</v>
      </c>
      <c r="E387" s="143"/>
      <c r="F387" s="143" t="s">
        <v>985</v>
      </c>
      <c r="G387" s="144">
        <v>4294</v>
      </c>
      <c r="H387" s="144">
        <v>4294</v>
      </c>
      <c r="I387" s="144">
        <v>15178.25</v>
      </c>
    </row>
    <row r="388" spans="1:9" x14ac:dyDescent="0.25">
      <c r="B388" s="143" t="s">
        <v>657</v>
      </c>
      <c r="C388" s="143" t="s">
        <v>520</v>
      </c>
      <c r="D388" s="143" t="s">
        <v>987</v>
      </c>
      <c r="E388" s="143"/>
      <c r="F388" s="143" t="s">
        <v>985</v>
      </c>
      <c r="G388" s="144">
        <v>2520</v>
      </c>
      <c r="H388" s="144">
        <v>2520</v>
      </c>
      <c r="I388" s="144">
        <v>17698.25</v>
      </c>
    </row>
    <row r="389" spans="1:9" x14ac:dyDescent="0.25">
      <c r="B389" s="143" t="s">
        <v>734</v>
      </c>
      <c r="C389" s="143" t="s">
        <v>520</v>
      </c>
      <c r="D389" s="143" t="s">
        <v>988</v>
      </c>
      <c r="E389" s="143"/>
      <c r="F389" s="143" t="s">
        <v>704</v>
      </c>
      <c r="G389" s="144">
        <v>1470</v>
      </c>
      <c r="H389" s="144">
        <v>1470</v>
      </c>
      <c r="I389" s="144">
        <v>19168.25</v>
      </c>
    </row>
    <row r="390" spans="1:9" x14ac:dyDescent="0.25">
      <c r="B390" s="143" t="s">
        <v>462</v>
      </c>
      <c r="C390" s="143" t="s">
        <v>520</v>
      </c>
      <c r="D390" s="143" t="s">
        <v>989</v>
      </c>
      <c r="E390" s="143"/>
      <c r="F390" s="143" t="s">
        <v>473</v>
      </c>
      <c r="G390" s="144">
        <v>1034.25</v>
      </c>
      <c r="H390" s="144">
        <v>1034.25</v>
      </c>
      <c r="I390" s="144">
        <v>20202.5</v>
      </c>
    </row>
    <row r="391" spans="1:9" x14ac:dyDescent="0.25">
      <c r="B391" s="143" t="s">
        <v>462</v>
      </c>
      <c r="C391" s="143" t="s">
        <v>520</v>
      </c>
      <c r="D391" s="143" t="s">
        <v>990</v>
      </c>
      <c r="E391" s="143"/>
      <c r="F391" s="143" t="s">
        <v>473</v>
      </c>
      <c r="G391" s="144">
        <v>1769.25</v>
      </c>
      <c r="H391" s="144">
        <v>1769.25</v>
      </c>
      <c r="I391" s="144">
        <v>21971.75</v>
      </c>
    </row>
    <row r="392" spans="1:9" x14ac:dyDescent="0.25">
      <c r="B392" s="143" t="s">
        <v>615</v>
      </c>
      <c r="C392" s="143" t="s">
        <v>520</v>
      </c>
      <c r="D392" s="143" t="s">
        <v>991</v>
      </c>
      <c r="E392" s="143"/>
      <c r="F392" s="143" t="s">
        <v>992</v>
      </c>
      <c r="G392" s="144">
        <v>2310</v>
      </c>
      <c r="H392" s="144">
        <v>2310</v>
      </c>
      <c r="I392" s="144">
        <v>24281.75</v>
      </c>
    </row>
    <row r="393" spans="1:9" x14ac:dyDescent="0.25">
      <c r="B393" s="143" t="s">
        <v>372</v>
      </c>
      <c r="C393" s="143" t="s">
        <v>520</v>
      </c>
      <c r="D393" s="143" t="s">
        <v>993</v>
      </c>
      <c r="E393" s="143"/>
      <c r="F393" s="143" t="s">
        <v>740</v>
      </c>
      <c r="G393" s="144">
        <v>1349.25</v>
      </c>
      <c r="H393" s="144">
        <v>1349.25</v>
      </c>
      <c r="I393" s="144">
        <v>25631</v>
      </c>
    </row>
    <row r="394" spans="1:9" x14ac:dyDescent="0.25">
      <c r="A394" s="142" t="s">
        <v>994</v>
      </c>
      <c r="G394" s="145">
        <v>25631</v>
      </c>
      <c r="H394" s="145">
        <v>25631</v>
      </c>
    </row>
    <row r="395" spans="1:9" x14ac:dyDescent="0.25">
      <c r="A395" s="142" t="s">
        <v>995</v>
      </c>
    </row>
    <row r="396" spans="1:9" x14ac:dyDescent="0.25">
      <c r="B396" s="143" t="s">
        <v>996</v>
      </c>
      <c r="C396" s="143" t="s">
        <v>520</v>
      </c>
      <c r="D396" s="143">
        <v>1031</v>
      </c>
      <c r="E396" s="143"/>
      <c r="F396" s="143" t="s">
        <v>997</v>
      </c>
      <c r="G396" s="144">
        <v>71464.679999999993</v>
      </c>
      <c r="H396" s="144">
        <v>23452.04</v>
      </c>
      <c r="I396" s="144">
        <v>23452.04</v>
      </c>
    </row>
    <row r="397" spans="1:9" x14ac:dyDescent="0.25">
      <c r="B397" s="143" t="s">
        <v>998</v>
      </c>
      <c r="C397" s="143" t="s">
        <v>520</v>
      </c>
      <c r="D397" s="143">
        <v>1033</v>
      </c>
      <c r="E397" s="143"/>
      <c r="F397" s="143" t="s">
        <v>999</v>
      </c>
      <c r="G397" s="144">
        <v>31029.58</v>
      </c>
      <c r="H397" s="144">
        <v>10514.78</v>
      </c>
      <c r="I397" s="144">
        <v>33966.82</v>
      </c>
    </row>
    <row r="398" spans="1:9" x14ac:dyDescent="0.25">
      <c r="B398" s="143" t="s">
        <v>1000</v>
      </c>
      <c r="C398" s="143" t="s">
        <v>520</v>
      </c>
      <c r="D398" s="143">
        <v>1042</v>
      </c>
      <c r="E398" s="143"/>
      <c r="F398" s="143" t="s">
        <v>1001</v>
      </c>
      <c r="G398" s="144">
        <v>105503.11</v>
      </c>
      <c r="H398" s="144">
        <v>74127.33</v>
      </c>
      <c r="I398" s="144">
        <v>108094.15</v>
      </c>
    </row>
    <row r="399" spans="1:9" x14ac:dyDescent="0.25">
      <c r="A399" s="142" t="s">
        <v>1002</v>
      </c>
      <c r="G399" s="145">
        <v>207997.37</v>
      </c>
      <c r="H399" s="145">
        <v>108094.15</v>
      </c>
    </row>
    <row r="400" spans="1:9" x14ac:dyDescent="0.25">
      <c r="A400" s="142" t="s">
        <v>1003</v>
      </c>
    </row>
    <row r="401" spans="1:9" x14ac:dyDescent="0.25">
      <c r="B401" s="143" t="s">
        <v>612</v>
      </c>
      <c r="C401" s="143" t="s">
        <v>520</v>
      </c>
      <c r="D401" s="143">
        <v>14555741</v>
      </c>
      <c r="E401" s="143"/>
      <c r="F401" s="143" t="s">
        <v>1004</v>
      </c>
      <c r="G401" s="144">
        <v>2571.91</v>
      </c>
      <c r="H401" s="144">
        <v>2571.91</v>
      </c>
      <c r="I401" s="144">
        <v>2571.91</v>
      </c>
    </row>
    <row r="402" spans="1:9" x14ac:dyDescent="0.25">
      <c r="B402" s="143" t="s">
        <v>612</v>
      </c>
      <c r="C402" s="143" t="s">
        <v>520</v>
      </c>
      <c r="D402" s="143">
        <v>14555599</v>
      </c>
      <c r="E402" s="143"/>
      <c r="F402" s="143" t="s">
        <v>1004</v>
      </c>
      <c r="G402" s="144">
        <v>860.16</v>
      </c>
      <c r="H402" s="144">
        <v>860.16</v>
      </c>
      <c r="I402" s="144">
        <v>3432.07</v>
      </c>
    </row>
    <row r="403" spans="1:9" x14ac:dyDescent="0.25">
      <c r="B403" s="143" t="s">
        <v>348</v>
      </c>
      <c r="C403" s="143" t="s">
        <v>520</v>
      </c>
      <c r="D403" s="143">
        <v>14588547</v>
      </c>
      <c r="E403" s="143"/>
      <c r="F403" s="143" t="s">
        <v>765</v>
      </c>
      <c r="G403" s="144">
        <v>2879.85</v>
      </c>
      <c r="H403" s="144">
        <v>2879.85</v>
      </c>
      <c r="I403" s="144">
        <v>6311.92</v>
      </c>
    </row>
    <row r="404" spans="1:9" x14ac:dyDescent="0.25">
      <c r="B404" s="143" t="s">
        <v>348</v>
      </c>
      <c r="C404" s="143" t="s">
        <v>520</v>
      </c>
      <c r="D404" s="143">
        <v>14588548</v>
      </c>
      <c r="E404" s="143"/>
      <c r="F404" s="143" t="s">
        <v>765</v>
      </c>
      <c r="G404" s="144">
        <v>2248.5</v>
      </c>
      <c r="H404" s="144">
        <v>2248.5</v>
      </c>
      <c r="I404" s="144">
        <v>8560.42</v>
      </c>
    </row>
    <row r="405" spans="1:9" x14ac:dyDescent="0.25">
      <c r="B405" s="143" t="s">
        <v>553</v>
      </c>
      <c r="C405" s="143" t="s">
        <v>520</v>
      </c>
      <c r="D405" s="143">
        <v>14606539</v>
      </c>
      <c r="E405" s="143"/>
      <c r="F405" s="143" t="s">
        <v>351</v>
      </c>
      <c r="G405" s="144">
        <v>102.38</v>
      </c>
      <c r="H405" s="144">
        <v>102.38</v>
      </c>
      <c r="I405" s="144">
        <v>8662.7999999999993</v>
      </c>
    </row>
    <row r="406" spans="1:9" x14ac:dyDescent="0.25">
      <c r="B406" s="143" t="s">
        <v>553</v>
      </c>
      <c r="C406" s="143" t="s">
        <v>520</v>
      </c>
      <c r="D406" s="143">
        <v>14606540</v>
      </c>
      <c r="E406" s="143"/>
      <c r="F406" s="143" t="s">
        <v>351</v>
      </c>
      <c r="G406" s="144">
        <v>5715.42</v>
      </c>
      <c r="H406" s="144">
        <v>5715.42</v>
      </c>
      <c r="I406" s="144">
        <v>14378.22</v>
      </c>
    </row>
    <row r="407" spans="1:9" x14ac:dyDescent="0.25">
      <c r="B407" s="143" t="s">
        <v>461</v>
      </c>
      <c r="C407" s="143" t="s">
        <v>520</v>
      </c>
      <c r="D407" s="143">
        <v>14607731</v>
      </c>
      <c r="E407" s="143"/>
      <c r="F407" s="143" t="s">
        <v>353</v>
      </c>
      <c r="G407" s="144">
        <v>1317.77</v>
      </c>
      <c r="H407" s="144">
        <v>1317.77</v>
      </c>
      <c r="I407" s="144">
        <v>15695.99</v>
      </c>
    </row>
    <row r="408" spans="1:9" x14ac:dyDescent="0.25">
      <c r="B408" s="143" t="s">
        <v>461</v>
      </c>
      <c r="C408" s="143" t="s">
        <v>520</v>
      </c>
      <c r="D408" s="143">
        <v>14607732</v>
      </c>
      <c r="E408" s="143"/>
      <c r="F408" s="143" t="s">
        <v>353</v>
      </c>
      <c r="G408" s="144">
        <v>121.65</v>
      </c>
      <c r="H408" s="144">
        <v>121.65</v>
      </c>
      <c r="I408" s="144">
        <v>15817.64</v>
      </c>
    </row>
    <row r="409" spans="1:9" x14ac:dyDescent="0.25">
      <c r="B409" s="143" t="s">
        <v>461</v>
      </c>
      <c r="C409" s="143" t="s">
        <v>520</v>
      </c>
      <c r="D409" s="143">
        <v>14607730</v>
      </c>
      <c r="E409" s="143"/>
      <c r="F409" s="143" t="s">
        <v>353</v>
      </c>
      <c r="G409" s="144">
        <v>352.8</v>
      </c>
      <c r="H409" s="144">
        <v>352.8</v>
      </c>
      <c r="I409" s="144">
        <v>16170.44</v>
      </c>
    </row>
    <row r="410" spans="1:9" x14ac:dyDescent="0.25">
      <c r="B410" s="143" t="s">
        <v>400</v>
      </c>
      <c r="C410" s="143" t="s">
        <v>520</v>
      </c>
      <c r="D410" s="143">
        <v>14629408</v>
      </c>
      <c r="E410" s="143"/>
      <c r="F410" s="143" t="s">
        <v>401</v>
      </c>
      <c r="G410" s="144">
        <v>1799.88</v>
      </c>
      <c r="H410" s="144">
        <v>1799.88</v>
      </c>
      <c r="I410" s="144">
        <v>17970.32</v>
      </c>
    </row>
    <row r="411" spans="1:9" x14ac:dyDescent="0.25">
      <c r="B411" s="143" t="s">
        <v>400</v>
      </c>
      <c r="C411" s="143" t="s">
        <v>520</v>
      </c>
      <c r="D411" s="143">
        <v>14623203</v>
      </c>
      <c r="E411" s="143"/>
      <c r="F411" s="143" t="s">
        <v>401</v>
      </c>
      <c r="G411" s="144">
        <v>768.34</v>
      </c>
      <c r="H411" s="144">
        <v>768.34</v>
      </c>
      <c r="I411" s="144">
        <v>18738.66</v>
      </c>
    </row>
    <row r="412" spans="1:9" x14ac:dyDescent="0.25">
      <c r="B412" s="143" t="s">
        <v>606</v>
      </c>
      <c r="C412" s="143" t="s">
        <v>520</v>
      </c>
      <c r="D412" s="143">
        <v>14810704</v>
      </c>
      <c r="E412" s="143" t="s">
        <v>121</v>
      </c>
      <c r="F412" s="143" t="s">
        <v>606</v>
      </c>
      <c r="G412" s="144">
        <v>6638.19</v>
      </c>
      <c r="H412" s="144">
        <v>6638.19</v>
      </c>
      <c r="I412" s="144">
        <v>25376.85</v>
      </c>
    </row>
    <row r="413" spans="1:9" x14ac:dyDescent="0.25">
      <c r="A413" s="142" t="s">
        <v>1005</v>
      </c>
      <c r="G413" s="145">
        <v>25376.85</v>
      </c>
      <c r="H413" s="145">
        <v>25376.85</v>
      </c>
    </row>
    <row r="414" spans="1:9" x14ac:dyDescent="0.25">
      <c r="A414" s="142" t="s">
        <v>1006</v>
      </c>
    </row>
    <row r="415" spans="1:9" x14ac:dyDescent="0.25">
      <c r="B415" s="143" t="s">
        <v>1007</v>
      </c>
      <c r="C415" s="143" t="s">
        <v>520</v>
      </c>
      <c r="D415" s="143" t="s">
        <v>1008</v>
      </c>
      <c r="E415" s="143" t="s">
        <v>121</v>
      </c>
      <c r="F415" s="143" t="s">
        <v>1009</v>
      </c>
      <c r="G415" s="144">
        <v>1148.18</v>
      </c>
      <c r="H415" s="144">
        <v>148.18</v>
      </c>
      <c r="I415" s="144">
        <v>148.18</v>
      </c>
    </row>
    <row r="416" spans="1:9" x14ac:dyDescent="0.25">
      <c r="B416" s="143" t="s">
        <v>1010</v>
      </c>
      <c r="C416" s="143" t="s">
        <v>520</v>
      </c>
      <c r="D416" s="143" t="s">
        <v>1011</v>
      </c>
      <c r="E416" s="143" t="s">
        <v>121</v>
      </c>
      <c r="F416" s="143" t="s">
        <v>1012</v>
      </c>
      <c r="G416" s="144">
        <v>1156.54</v>
      </c>
      <c r="H416" s="144">
        <v>1156.54</v>
      </c>
      <c r="I416" s="144">
        <v>1304.72</v>
      </c>
    </row>
    <row r="417" spans="1:9" x14ac:dyDescent="0.25">
      <c r="B417" s="143" t="s">
        <v>1013</v>
      </c>
      <c r="C417" s="143" t="s">
        <v>520</v>
      </c>
      <c r="D417" s="143" t="s">
        <v>1014</v>
      </c>
      <c r="E417" s="143" t="s">
        <v>121</v>
      </c>
      <c r="F417" s="143" t="s">
        <v>1015</v>
      </c>
      <c r="G417" s="144">
        <v>1371.07</v>
      </c>
      <c r="H417" s="144">
        <v>1371.07</v>
      </c>
      <c r="I417" s="144">
        <v>2675.79</v>
      </c>
    </row>
    <row r="418" spans="1:9" x14ac:dyDescent="0.25">
      <c r="B418" s="143" t="s">
        <v>1016</v>
      </c>
      <c r="C418" s="143" t="s">
        <v>520</v>
      </c>
      <c r="D418" s="143" t="s">
        <v>1017</v>
      </c>
      <c r="E418" s="143"/>
      <c r="F418" s="143" t="s">
        <v>1018</v>
      </c>
      <c r="G418" s="144">
        <v>1299.99</v>
      </c>
      <c r="H418" s="144">
        <v>1299.99</v>
      </c>
      <c r="I418" s="144">
        <v>3975.78</v>
      </c>
    </row>
    <row r="419" spans="1:9" x14ac:dyDescent="0.25">
      <c r="B419" s="143" t="s">
        <v>1019</v>
      </c>
      <c r="C419" s="143" t="s">
        <v>520</v>
      </c>
      <c r="D419" s="143" t="s">
        <v>1020</v>
      </c>
      <c r="E419" s="143"/>
      <c r="F419" s="143" t="s">
        <v>330</v>
      </c>
      <c r="G419" s="144">
        <v>1094.68</v>
      </c>
      <c r="H419" s="144">
        <v>1094.68</v>
      </c>
      <c r="I419" s="144">
        <v>5070.46</v>
      </c>
    </row>
    <row r="420" spans="1:9" x14ac:dyDescent="0.25">
      <c r="B420" s="143" t="s">
        <v>330</v>
      </c>
      <c r="C420" s="143" t="s">
        <v>520</v>
      </c>
      <c r="D420" s="143" t="s">
        <v>1021</v>
      </c>
      <c r="E420" s="143"/>
      <c r="F420" s="143" t="s">
        <v>332</v>
      </c>
      <c r="G420" s="144">
        <v>1125.29</v>
      </c>
      <c r="H420" s="144">
        <v>1125.29</v>
      </c>
      <c r="I420" s="144">
        <v>6195.75</v>
      </c>
    </row>
    <row r="421" spans="1:9" x14ac:dyDescent="0.25">
      <c r="B421" s="143" t="s">
        <v>904</v>
      </c>
      <c r="C421" s="143" t="s">
        <v>520</v>
      </c>
      <c r="D421" s="143" t="s">
        <v>1022</v>
      </c>
      <c r="E421" s="143"/>
      <c r="F421" s="143" t="s">
        <v>1023</v>
      </c>
      <c r="G421" s="144">
        <v>1189.8499999999999</v>
      </c>
      <c r="H421" s="144">
        <v>1189.8499999999999</v>
      </c>
      <c r="I421" s="144">
        <v>7385.6</v>
      </c>
    </row>
    <row r="422" spans="1:9" x14ac:dyDescent="0.25">
      <c r="B422" s="143" t="s">
        <v>1023</v>
      </c>
      <c r="C422" s="143" t="s">
        <v>520</v>
      </c>
      <c r="D422" s="143" t="s">
        <v>1024</v>
      </c>
      <c r="E422" s="143"/>
      <c r="F422" s="143" t="s">
        <v>1025</v>
      </c>
      <c r="G422" s="144">
        <v>1514.59</v>
      </c>
      <c r="H422" s="144">
        <v>1514.59</v>
      </c>
      <c r="I422" s="144">
        <v>8900.19</v>
      </c>
    </row>
    <row r="423" spans="1:9" x14ac:dyDescent="0.25">
      <c r="B423" s="143" t="s">
        <v>1025</v>
      </c>
      <c r="C423" s="143" t="s">
        <v>520</v>
      </c>
      <c r="D423" s="143">
        <v>3907419</v>
      </c>
      <c r="E423" s="143"/>
      <c r="F423" s="143" t="s">
        <v>1026</v>
      </c>
      <c r="G423" s="144">
        <v>1212.54</v>
      </c>
      <c r="H423" s="144">
        <v>1212.54</v>
      </c>
      <c r="I423" s="144">
        <v>10112.73</v>
      </c>
    </row>
    <row r="424" spans="1:9" x14ac:dyDescent="0.25">
      <c r="B424" s="143" t="s">
        <v>1026</v>
      </c>
      <c r="C424" s="143" t="s">
        <v>520</v>
      </c>
      <c r="D424" s="143" t="s">
        <v>1027</v>
      </c>
      <c r="E424" s="143"/>
      <c r="F424" s="143" t="s">
        <v>834</v>
      </c>
      <c r="G424" s="144">
        <v>1238.32</v>
      </c>
      <c r="H424" s="144">
        <v>1238.32</v>
      </c>
      <c r="I424" s="144">
        <v>11351.05</v>
      </c>
    </row>
    <row r="425" spans="1:9" x14ac:dyDescent="0.25">
      <c r="B425" s="143" t="s">
        <v>834</v>
      </c>
      <c r="C425" s="143" t="s">
        <v>520</v>
      </c>
      <c r="D425" s="143" t="s">
        <v>1028</v>
      </c>
      <c r="E425" s="143"/>
      <c r="F425" s="143" t="s">
        <v>1029</v>
      </c>
      <c r="G425" s="144">
        <v>1341.67</v>
      </c>
      <c r="H425" s="144">
        <v>1341.67</v>
      </c>
      <c r="I425" s="144">
        <v>12692.72</v>
      </c>
    </row>
    <row r="426" spans="1:9" x14ac:dyDescent="0.25">
      <c r="B426" s="143" t="s">
        <v>701</v>
      </c>
      <c r="C426" s="143" t="s">
        <v>520</v>
      </c>
      <c r="D426" s="143">
        <v>3914517</v>
      </c>
      <c r="E426" s="143"/>
      <c r="F426" s="143" t="s">
        <v>1030</v>
      </c>
      <c r="G426" s="144">
        <v>1306.8699999999999</v>
      </c>
      <c r="H426" s="144">
        <v>1306.8699999999999</v>
      </c>
      <c r="I426" s="144">
        <v>13999.59</v>
      </c>
    </row>
    <row r="427" spans="1:9" x14ac:dyDescent="0.25">
      <c r="B427" s="143" t="s">
        <v>1030</v>
      </c>
      <c r="C427" s="143" t="s">
        <v>520</v>
      </c>
      <c r="D427" s="143" t="s">
        <v>1031</v>
      </c>
      <c r="E427" s="143"/>
      <c r="F427" s="143" t="s">
        <v>1032</v>
      </c>
      <c r="G427" s="144">
        <v>1257.9000000000001</v>
      </c>
      <c r="H427" s="144">
        <v>1257.9000000000001</v>
      </c>
      <c r="I427" s="144">
        <v>15257.49</v>
      </c>
    </row>
    <row r="428" spans="1:9" x14ac:dyDescent="0.25">
      <c r="B428" s="143" t="s">
        <v>1033</v>
      </c>
      <c r="C428" s="143" t="s">
        <v>520</v>
      </c>
      <c r="D428" s="143">
        <v>3917985</v>
      </c>
      <c r="E428" s="143"/>
      <c r="F428" s="143" t="s">
        <v>1034</v>
      </c>
      <c r="G428" s="144">
        <v>999.01</v>
      </c>
      <c r="H428" s="144">
        <v>999.01</v>
      </c>
      <c r="I428" s="144">
        <v>16256.5</v>
      </c>
    </row>
    <row r="429" spans="1:9" x14ac:dyDescent="0.25">
      <c r="B429" s="143" t="s">
        <v>1034</v>
      </c>
      <c r="C429" s="143" t="s">
        <v>520</v>
      </c>
      <c r="D429" s="143" t="s">
        <v>1035</v>
      </c>
      <c r="E429" s="143"/>
      <c r="F429" s="143" t="s">
        <v>1036</v>
      </c>
      <c r="G429" s="144">
        <v>1147.52</v>
      </c>
      <c r="H429" s="144">
        <v>1147.52</v>
      </c>
      <c r="I429" s="144">
        <v>17404.02</v>
      </c>
    </row>
    <row r="430" spans="1:9" x14ac:dyDescent="0.25">
      <c r="B430" s="143" t="s">
        <v>1036</v>
      </c>
      <c r="C430" s="143" t="s">
        <v>520</v>
      </c>
      <c r="D430" s="143" t="s">
        <v>1037</v>
      </c>
      <c r="E430" s="143"/>
      <c r="F430" s="143" t="s">
        <v>1038</v>
      </c>
      <c r="G430" s="144">
        <v>1205.27</v>
      </c>
      <c r="H430" s="144">
        <v>1205.27</v>
      </c>
      <c r="I430" s="144">
        <v>18609.29</v>
      </c>
    </row>
    <row r="431" spans="1:9" x14ac:dyDescent="0.25">
      <c r="B431" s="143" t="s">
        <v>1039</v>
      </c>
      <c r="C431" s="143" t="s">
        <v>520</v>
      </c>
      <c r="D431" s="143" t="s">
        <v>1040</v>
      </c>
      <c r="E431" s="143"/>
      <c r="F431" s="143" t="s">
        <v>837</v>
      </c>
      <c r="G431" s="144">
        <v>9735.85</v>
      </c>
      <c r="H431" s="144">
        <v>9735.85</v>
      </c>
      <c r="I431" s="144">
        <v>28345.14</v>
      </c>
    </row>
    <row r="432" spans="1:9" x14ac:dyDescent="0.25">
      <c r="A432" s="142" t="s">
        <v>1041</v>
      </c>
      <c r="G432" s="145">
        <v>29345.14</v>
      </c>
      <c r="H432" s="145">
        <v>28345.14</v>
      </c>
    </row>
    <row r="433" spans="1:9" x14ac:dyDescent="0.25">
      <c r="A433" s="142" t="s">
        <v>1042</v>
      </c>
    </row>
    <row r="434" spans="1:9" x14ac:dyDescent="0.25">
      <c r="B434" s="143" t="s">
        <v>1043</v>
      </c>
      <c r="C434" s="143" t="s">
        <v>520</v>
      </c>
      <c r="D434" s="143" t="s">
        <v>1044</v>
      </c>
      <c r="E434" s="143"/>
      <c r="F434" s="143" t="s">
        <v>1043</v>
      </c>
      <c r="G434" s="144">
        <v>550</v>
      </c>
      <c r="H434" s="144">
        <v>550</v>
      </c>
      <c r="I434" s="144">
        <v>550</v>
      </c>
    </row>
    <row r="435" spans="1:9" x14ac:dyDescent="0.25">
      <c r="A435" s="142" t="s">
        <v>1045</v>
      </c>
      <c r="G435" s="145">
        <v>550</v>
      </c>
      <c r="H435" s="145">
        <v>550</v>
      </c>
    </row>
    <row r="436" spans="1:9" x14ac:dyDescent="0.25">
      <c r="A436" s="142" t="s">
        <v>1046</v>
      </c>
    </row>
    <row r="437" spans="1:9" x14ac:dyDescent="0.25">
      <c r="B437" s="143" t="s">
        <v>1047</v>
      </c>
      <c r="C437" s="143" t="s">
        <v>520</v>
      </c>
      <c r="D437" s="143" t="s">
        <v>1048</v>
      </c>
      <c r="E437" s="143"/>
      <c r="F437" s="143" t="s">
        <v>1049</v>
      </c>
      <c r="G437" s="144">
        <v>38368.51</v>
      </c>
      <c r="H437" s="144">
        <v>15724.8</v>
      </c>
      <c r="I437" s="144">
        <v>15724.8</v>
      </c>
    </row>
    <row r="438" spans="1:9" x14ac:dyDescent="0.25">
      <c r="B438" s="143" t="s">
        <v>918</v>
      </c>
      <c r="C438" s="143" t="s">
        <v>520</v>
      </c>
      <c r="D438" s="143" t="s">
        <v>1050</v>
      </c>
      <c r="E438" s="143"/>
      <c r="F438" s="143" t="s">
        <v>854</v>
      </c>
      <c r="G438" s="144">
        <v>697.2</v>
      </c>
      <c r="H438" s="144">
        <v>697.2</v>
      </c>
      <c r="I438" s="144">
        <v>16422</v>
      </c>
    </row>
    <row r="439" spans="1:9" x14ac:dyDescent="0.25">
      <c r="A439" s="142" t="s">
        <v>1051</v>
      </c>
      <c r="G439" s="145">
        <v>39065.71</v>
      </c>
      <c r="H439" s="145">
        <v>16422</v>
      </c>
    </row>
    <row r="440" spans="1:9" x14ac:dyDescent="0.25">
      <c r="A440" s="142" t="s">
        <v>1052</v>
      </c>
    </row>
    <row r="441" spans="1:9" x14ac:dyDescent="0.25">
      <c r="B441" s="143" t="s">
        <v>424</v>
      </c>
      <c r="C441" s="143" t="s">
        <v>520</v>
      </c>
      <c r="D441" s="143">
        <v>1001</v>
      </c>
      <c r="E441" s="143"/>
      <c r="F441" s="143" t="s">
        <v>424</v>
      </c>
      <c r="G441" s="144">
        <v>13900</v>
      </c>
      <c r="H441" s="144">
        <v>13900</v>
      </c>
      <c r="I441" s="144">
        <v>13900</v>
      </c>
    </row>
    <row r="442" spans="1:9" x14ac:dyDescent="0.25">
      <c r="A442" s="142" t="s">
        <v>1053</v>
      </c>
      <c r="G442" s="145">
        <v>13900</v>
      </c>
      <c r="H442" s="145">
        <v>13900</v>
      </c>
    </row>
    <row r="443" spans="1:9" x14ac:dyDescent="0.25">
      <c r="A443" s="142" t="s">
        <v>1054</v>
      </c>
    </row>
    <row r="444" spans="1:9" x14ac:dyDescent="0.25">
      <c r="B444" s="143" t="s">
        <v>1055</v>
      </c>
      <c r="C444" s="143" t="s">
        <v>520</v>
      </c>
      <c r="D444" s="143" t="s">
        <v>1056</v>
      </c>
      <c r="E444" s="143"/>
      <c r="F444" s="143" t="s">
        <v>1055</v>
      </c>
      <c r="G444" s="144">
        <v>76.64</v>
      </c>
      <c r="H444" s="144">
        <v>76.64</v>
      </c>
      <c r="I444" s="144">
        <v>76.64</v>
      </c>
    </row>
    <row r="445" spans="1:9" x14ac:dyDescent="0.25">
      <c r="A445" s="142" t="s">
        <v>1057</v>
      </c>
      <c r="G445" s="145">
        <v>76.64</v>
      </c>
      <c r="H445" s="145">
        <v>76.64</v>
      </c>
    </row>
    <row r="446" spans="1:9" x14ac:dyDescent="0.25">
      <c r="A446" s="142" t="s">
        <v>1058</v>
      </c>
    </row>
    <row r="447" spans="1:9" x14ac:dyDescent="0.25">
      <c r="B447" s="143" t="s">
        <v>1059</v>
      </c>
      <c r="C447" s="143" t="s">
        <v>520</v>
      </c>
      <c r="D447" s="143" t="s">
        <v>1060</v>
      </c>
      <c r="E447" s="143"/>
      <c r="F447" s="143" t="s">
        <v>1061</v>
      </c>
      <c r="G447" s="144">
        <v>427.62</v>
      </c>
      <c r="H447" s="144">
        <v>427.62</v>
      </c>
      <c r="I447" s="144">
        <v>427.62</v>
      </c>
    </row>
    <row r="448" spans="1:9" x14ac:dyDescent="0.25">
      <c r="B448" s="143" t="s">
        <v>1062</v>
      </c>
      <c r="C448" s="143" t="s">
        <v>520</v>
      </c>
      <c r="D448" s="143" t="s">
        <v>1063</v>
      </c>
      <c r="E448" s="143"/>
      <c r="F448" s="143" t="s">
        <v>1064</v>
      </c>
      <c r="G448" s="144">
        <v>227.5</v>
      </c>
      <c r="H448" s="144">
        <v>227.5</v>
      </c>
      <c r="I448" s="144">
        <v>655.12</v>
      </c>
    </row>
    <row r="449" spans="1:9" x14ac:dyDescent="0.25">
      <c r="B449" s="143" t="s">
        <v>788</v>
      </c>
      <c r="C449" s="143" t="s">
        <v>520</v>
      </c>
      <c r="D449" s="143" t="s">
        <v>1065</v>
      </c>
      <c r="E449" s="143"/>
      <c r="F449" s="143" t="s">
        <v>563</v>
      </c>
      <c r="G449" s="144">
        <v>134.18</v>
      </c>
      <c r="H449" s="144">
        <v>134.18</v>
      </c>
      <c r="I449" s="144">
        <v>789.3</v>
      </c>
    </row>
    <row r="450" spans="1:9" x14ac:dyDescent="0.25">
      <c r="B450" s="143" t="s">
        <v>581</v>
      </c>
      <c r="C450" s="143" t="s">
        <v>520</v>
      </c>
      <c r="D450" s="143" t="s">
        <v>1066</v>
      </c>
      <c r="E450" s="143"/>
      <c r="F450" s="143" t="s">
        <v>470</v>
      </c>
      <c r="G450" s="144">
        <v>148.68</v>
      </c>
      <c r="H450" s="144">
        <v>148.68</v>
      </c>
      <c r="I450" s="144">
        <v>937.98</v>
      </c>
    </row>
    <row r="451" spans="1:9" x14ac:dyDescent="0.25">
      <c r="B451" s="143" t="s">
        <v>436</v>
      </c>
      <c r="C451" s="143" t="s">
        <v>520</v>
      </c>
      <c r="D451" s="143" t="s">
        <v>1067</v>
      </c>
      <c r="E451" s="143"/>
      <c r="F451" s="143" t="s">
        <v>777</v>
      </c>
      <c r="G451" s="144">
        <v>171.41</v>
      </c>
      <c r="H451" s="144">
        <v>171.41</v>
      </c>
      <c r="I451" s="144">
        <v>1109.3900000000001</v>
      </c>
    </row>
    <row r="452" spans="1:9" x14ac:dyDescent="0.25">
      <c r="B452" s="143" t="s">
        <v>864</v>
      </c>
      <c r="C452" s="143" t="s">
        <v>520</v>
      </c>
      <c r="D452" s="143" t="s">
        <v>1068</v>
      </c>
      <c r="E452" s="143"/>
      <c r="F452" s="143" t="s">
        <v>864</v>
      </c>
      <c r="G452" s="144">
        <v>181.61</v>
      </c>
      <c r="H452" s="144">
        <v>181.61</v>
      </c>
      <c r="I452" s="144">
        <v>1291</v>
      </c>
    </row>
    <row r="453" spans="1:9" x14ac:dyDescent="0.25">
      <c r="B453" s="143" t="s">
        <v>553</v>
      </c>
      <c r="C453" s="143" t="s">
        <v>520</v>
      </c>
      <c r="D453" s="143" t="s">
        <v>1069</v>
      </c>
      <c r="E453" s="143"/>
      <c r="F453" s="143" t="s">
        <v>353</v>
      </c>
      <c r="G453" s="144">
        <v>176.09</v>
      </c>
      <c r="H453" s="144">
        <v>176.09</v>
      </c>
      <c r="I453" s="144">
        <v>1467.09</v>
      </c>
    </row>
    <row r="454" spans="1:9" x14ac:dyDescent="0.25">
      <c r="A454" s="142" t="s">
        <v>1070</v>
      </c>
      <c r="G454" s="145">
        <v>1467.09</v>
      </c>
      <c r="H454" s="145">
        <v>1467.09</v>
      </c>
    </row>
    <row r="455" spans="1:9" x14ac:dyDescent="0.25">
      <c r="A455" s="142" t="s">
        <v>1071</v>
      </c>
    </row>
    <row r="456" spans="1:9" x14ac:dyDescent="0.25">
      <c r="B456" s="143" t="s">
        <v>980</v>
      </c>
      <c r="C456" s="143" t="s">
        <v>520</v>
      </c>
      <c r="D456" s="143">
        <v>27414149</v>
      </c>
      <c r="E456" s="143"/>
      <c r="F456" s="143" t="s">
        <v>704</v>
      </c>
      <c r="G456" s="144">
        <v>10302.709999999999</v>
      </c>
      <c r="H456" s="144">
        <v>10302.709999999999</v>
      </c>
      <c r="I456" s="144">
        <v>10302.709999999999</v>
      </c>
    </row>
    <row r="457" spans="1:9" x14ac:dyDescent="0.25">
      <c r="B457" s="143" t="s">
        <v>1004</v>
      </c>
      <c r="C457" s="143" t="s">
        <v>520</v>
      </c>
      <c r="D457" s="143">
        <v>27451863</v>
      </c>
      <c r="E457" s="143"/>
      <c r="F457" s="143" t="s">
        <v>1072</v>
      </c>
      <c r="G457" s="144">
        <v>20600</v>
      </c>
      <c r="H457" s="144">
        <v>20600</v>
      </c>
      <c r="I457" s="144">
        <v>30902.71</v>
      </c>
    </row>
    <row r="458" spans="1:9" x14ac:dyDescent="0.25">
      <c r="A458" s="142" t="s">
        <v>1073</v>
      </c>
      <c r="G458" s="145">
        <v>30902.71</v>
      </c>
      <c r="H458" s="145">
        <v>30902.71</v>
      </c>
    </row>
    <row r="459" spans="1:9" x14ac:dyDescent="0.25">
      <c r="A459" s="142" t="s">
        <v>1074</v>
      </c>
    </row>
    <row r="460" spans="1:9" x14ac:dyDescent="0.25">
      <c r="B460" s="143" t="s">
        <v>1075</v>
      </c>
      <c r="C460" s="143" t="s">
        <v>520</v>
      </c>
      <c r="D460" s="143">
        <v>106735</v>
      </c>
      <c r="E460" s="143"/>
      <c r="F460" s="143" t="s">
        <v>424</v>
      </c>
      <c r="G460" s="144">
        <v>1128.49</v>
      </c>
      <c r="H460" s="144">
        <v>1128.49</v>
      </c>
      <c r="I460" s="144">
        <v>1128.49</v>
      </c>
    </row>
    <row r="461" spans="1:9" x14ac:dyDescent="0.25">
      <c r="B461" s="143" t="s">
        <v>1075</v>
      </c>
      <c r="C461" s="143" t="s">
        <v>645</v>
      </c>
      <c r="D461" s="143" t="s">
        <v>1076</v>
      </c>
      <c r="E461" s="143"/>
      <c r="F461" s="143"/>
      <c r="G461" s="144">
        <v>-1470</v>
      </c>
      <c r="H461" s="144">
        <v>-1470</v>
      </c>
      <c r="I461" s="144">
        <v>-341.51</v>
      </c>
    </row>
    <row r="462" spans="1:9" x14ac:dyDescent="0.25">
      <c r="B462" s="143" t="s">
        <v>819</v>
      </c>
      <c r="C462" s="143" t="s">
        <v>520</v>
      </c>
      <c r="D462" s="143">
        <v>106747</v>
      </c>
      <c r="E462" s="143"/>
      <c r="F462" s="143" t="s">
        <v>1077</v>
      </c>
      <c r="G462" s="144">
        <v>597.37</v>
      </c>
      <c r="H462" s="144">
        <v>597.37</v>
      </c>
      <c r="I462" s="144">
        <v>255.86</v>
      </c>
    </row>
    <row r="463" spans="1:9" x14ac:dyDescent="0.25">
      <c r="B463" s="143" t="s">
        <v>426</v>
      </c>
      <c r="C463" s="143" t="s">
        <v>520</v>
      </c>
      <c r="D463" s="143">
        <v>106776</v>
      </c>
      <c r="E463" s="143"/>
      <c r="F463" s="143" t="s">
        <v>455</v>
      </c>
      <c r="G463" s="144">
        <v>141.4</v>
      </c>
      <c r="H463" s="144">
        <v>141.4</v>
      </c>
      <c r="I463" s="144">
        <v>397.26</v>
      </c>
    </row>
    <row r="464" spans="1:9" x14ac:dyDescent="0.25">
      <c r="A464" s="142" t="s">
        <v>1078</v>
      </c>
      <c r="G464" s="145">
        <v>397.26</v>
      </c>
      <c r="H464" s="145">
        <v>397.26</v>
      </c>
    </row>
    <row r="465" spans="1:9" x14ac:dyDescent="0.25">
      <c r="A465" s="142" t="s">
        <v>1079</v>
      </c>
    </row>
    <row r="466" spans="1:9" x14ac:dyDescent="0.25">
      <c r="B466" s="143" t="s">
        <v>588</v>
      </c>
      <c r="C466" s="143" t="s">
        <v>520</v>
      </c>
      <c r="D466" s="143">
        <v>76094</v>
      </c>
      <c r="E466" s="143"/>
      <c r="F466" s="143" t="s">
        <v>594</v>
      </c>
      <c r="G466" s="144">
        <v>41225.629999999997</v>
      </c>
      <c r="H466" s="144">
        <v>263.14</v>
      </c>
      <c r="I466" s="144">
        <v>263.14</v>
      </c>
    </row>
    <row r="467" spans="1:9" x14ac:dyDescent="0.25">
      <c r="B467" s="143" t="s">
        <v>353</v>
      </c>
      <c r="C467" s="143" t="s">
        <v>520</v>
      </c>
      <c r="D467" s="143" t="s">
        <v>1080</v>
      </c>
      <c r="E467" s="143"/>
      <c r="F467" s="143" t="s">
        <v>606</v>
      </c>
      <c r="G467" s="144">
        <v>5.26</v>
      </c>
      <c r="H467" s="144">
        <v>5.26</v>
      </c>
      <c r="I467" s="144">
        <v>268.39999999999998</v>
      </c>
    </row>
    <row r="468" spans="1:9" x14ac:dyDescent="0.25">
      <c r="A468" s="142" t="s">
        <v>1081</v>
      </c>
      <c r="G468" s="145">
        <v>41230.89</v>
      </c>
      <c r="H468" s="145">
        <v>268.39999999999998</v>
      </c>
    </row>
    <row r="469" spans="1:9" x14ac:dyDescent="0.25">
      <c r="A469" s="142" t="s">
        <v>515</v>
      </c>
      <c r="G469" s="145">
        <v>7216141.3200000003</v>
      </c>
      <c r="H469" s="145">
        <v>4262978.41</v>
      </c>
    </row>
    <row r="472" spans="1:9" x14ac:dyDescent="0.25">
      <c r="A472" s="146" t="s">
        <v>1082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2D94-A197-4CB4-8982-A5B397FF90C0}">
  <sheetPr>
    <tabColor rgb="FFFFFF00"/>
  </sheetPr>
  <dimension ref="A1:I133"/>
  <sheetViews>
    <sheetView zoomScaleNormal="100" workbookViewId="0">
      <pane xSplit="1" ySplit="3" topLeftCell="B4" activePane="bottomRight" state="frozen"/>
      <selection activeCell="AX2" sqref="AX2"/>
      <selection pane="topRight" activeCell="AX2" sqref="AX2"/>
      <selection pane="bottomLeft" activeCell="AX2" sqref="AX2"/>
      <selection pane="bottomRight" activeCell="E7" sqref="E7"/>
    </sheetView>
  </sheetViews>
  <sheetFormatPr defaultColWidth="8.85546875" defaultRowHeight="15" outlineLevelCol="2" x14ac:dyDescent="0.25"/>
  <cols>
    <col min="1" max="1" width="43" style="1" bestFit="1" customWidth="1"/>
    <col min="2" max="2" width="11.140625" style="1" customWidth="1" outlineLevel="2"/>
    <col min="3" max="3" width="11" style="1" customWidth="1" outlineLevel="2"/>
    <col min="4" max="16384" width="8.85546875" style="1"/>
  </cols>
  <sheetData>
    <row r="1" spans="1:9" x14ac:dyDescent="0.25">
      <c r="A1" s="4" t="s">
        <v>2</v>
      </c>
    </row>
    <row r="2" spans="1:9" x14ac:dyDescent="0.25">
      <c r="A2" s="13" t="s">
        <v>6</v>
      </c>
      <c r="B2" s="6"/>
      <c r="C2" s="6"/>
    </row>
    <row r="3" spans="1:9" x14ac:dyDescent="0.25">
      <c r="A3" s="147" t="s">
        <v>13</v>
      </c>
      <c r="B3" s="28" t="s">
        <v>61</v>
      </c>
      <c r="C3" s="148">
        <v>45561</v>
      </c>
    </row>
    <row r="4" spans="1:9" x14ac:dyDescent="0.25">
      <c r="A4" s="45" t="s">
        <v>102</v>
      </c>
    </row>
    <row r="5" spans="1:9" x14ac:dyDescent="0.25">
      <c r="A5" s="67" t="s">
        <v>122</v>
      </c>
      <c r="B5" s="69">
        <v>2325340</v>
      </c>
      <c r="C5" s="69">
        <v>925069</v>
      </c>
      <c r="D5" s="82"/>
      <c r="E5" s="82"/>
      <c r="F5" s="82"/>
      <c r="G5" s="82"/>
      <c r="H5" s="82"/>
      <c r="I5" s="82"/>
    </row>
    <row r="6" spans="1:9" x14ac:dyDescent="0.25">
      <c r="A6" s="67" t="s">
        <v>114</v>
      </c>
      <c r="B6" s="69">
        <v>17605</v>
      </c>
      <c r="C6" s="69">
        <v>7028</v>
      </c>
      <c r="D6" s="82"/>
      <c r="E6" s="82"/>
      <c r="F6" s="82"/>
      <c r="G6" s="82"/>
      <c r="H6" s="82"/>
      <c r="I6" s="82"/>
    </row>
    <row r="7" spans="1:9" x14ac:dyDescent="0.25">
      <c r="A7" s="67" t="s">
        <v>116</v>
      </c>
      <c r="B7" s="69">
        <v>136647</v>
      </c>
      <c r="C7" s="69">
        <v>0</v>
      </c>
      <c r="D7" s="82"/>
      <c r="E7" s="82"/>
      <c r="F7" s="82"/>
      <c r="G7" s="82"/>
      <c r="H7" s="82"/>
      <c r="I7" s="82"/>
    </row>
    <row r="8" spans="1:9" x14ac:dyDescent="0.25">
      <c r="A8" s="67" t="s">
        <v>127</v>
      </c>
      <c r="B8" s="69">
        <v>382670</v>
      </c>
      <c r="C8" s="69">
        <v>87872</v>
      </c>
      <c r="D8" s="82"/>
      <c r="E8" s="82"/>
      <c r="F8" s="82"/>
      <c r="G8" s="82"/>
      <c r="H8" s="82"/>
      <c r="I8" s="82"/>
    </row>
    <row r="9" spans="1:9" x14ac:dyDescent="0.25">
      <c r="A9" s="67" t="s">
        <v>129</v>
      </c>
      <c r="B9" s="69">
        <v>-47494</v>
      </c>
      <c r="C9" s="69">
        <v>-60</v>
      </c>
      <c r="D9" s="82"/>
      <c r="E9" s="82"/>
      <c r="F9" s="82"/>
      <c r="G9" s="82"/>
      <c r="H9" s="82"/>
      <c r="I9" s="82"/>
    </row>
    <row r="10" spans="1:9" x14ac:dyDescent="0.25">
      <c r="A10" s="67" t="s">
        <v>131</v>
      </c>
      <c r="B10" s="69">
        <v>-41585</v>
      </c>
      <c r="C10" s="69">
        <v>-13673</v>
      </c>
      <c r="D10" s="82"/>
      <c r="E10" s="82"/>
      <c r="F10" s="82"/>
      <c r="G10" s="82"/>
      <c r="H10" s="82"/>
      <c r="I10" s="82"/>
    </row>
    <row r="11" spans="1:9" x14ac:dyDescent="0.25">
      <c r="A11" s="67" t="s">
        <v>118</v>
      </c>
      <c r="B11" s="85">
        <v>1619</v>
      </c>
      <c r="C11" s="85">
        <v>107</v>
      </c>
      <c r="D11" s="82"/>
      <c r="E11" s="82"/>
      <c r="F11" s="82"/>
      <c r="G11" s="82"/>
      <c r="H11" s="82"/>
      <c r="I11" s="82"/>
    </row>
    <row r="12" spans="1:9" x14ac:dyDescent="0.25">
      <c r="A12" s="9" t="s">
        <v>134</v>
      </c>
      <c r="B12" s="88">
        <f t="shared" ref="B12:C12" si="0">SUM(B5:B11)</f>
        <v>2774802</v>
      </c>
      <c r="C12" s="88">
        <f t="shared" si="0"/>
        <v>1006343</v>
      </c>
      <c r="D12" s="82"/>
      <c r="E12" s="82"/>
      <c r="F12" s="82"/>
      <c r="G12" s="82"/>
      <c r="H12" s="82"/>
      <c r="I12" s="82"/>
    </row>
    <row r="13" spans="1:9" x14ac:dyDescent="0.25">
      <c r="A13" s="67" t="s">
        <v>135</v>
      </c>
      <c r="B13" s="85">
        <v>-1116845</v>
      </c>
      <c r="C13" s="91">
        <f>-(C8+C5)*0.43</f>
        <v>-435564.63</v>
      </c>
      <c r="D13" s="82"/>
      <c r="E13" s="82"/>
      <c r="F13" s="82"/>
      <c r="G13" s="82"/>
      <c r="H13" s="82"/>
      <c r="I13" s="82"/>
    </row>
    <row r="14" spans="1:9" x14ac:dyDescent="0.25">
      <c r="A14" s="9" t="s">
        <v>137</v>
      </c>
      <c r="B14" s="87">
        <f t="shared" ref="B14:C14" si="1">SUM(B12:B13)</f>
        <v>1657957</v>
      </c>
      <c r="C14" s="87">
        <f t="shared" si="1"/>
        <v>570778.37</v>
      </c>
      <c r="D14" s="82"/>
      <c r="E14" s="82"/>
      <c r="F14" s="82"/>
      <c r="G14" s="82"/>
      <c r="H14" s="82"/>
      <c r="I14" s="82"/>
    </row>
    <row r="15" spans="1:9" x14ac:dyDescent="0.25">
      <c r="A15" s="9"/>
      <c r="B15" s="69"/>
      <c r="C15" s="69"/>
      <c r="D15" s="82"/>
      <c r="E15" s="82"/>
      <c r="F15" s="82"/>
      <c r="G15" s="82"/>
      <c r="H15" s="82"/>
      <c r="I15" s="82"/>
    </row>
    <row r="16" spans="1:9" x14ac:dyDescent="0.25">
      <c r="A16" s="9" t="s">
        <v>138</v>
      </c>
      <c r="B16" s="69"/>
      <c r="C16" s="69"/>
      <c r="D16" s="82"/>
      <c r="E16" s="82"/>
      <c r="F16" s="82"/>
      <c r="G16" s="82"/>
      <c r="H16" s="82"/>
      <c r="I16" s="82"/>
    </row>
    <row r="17" spans="1:4" x14ac:dyDescent="0.25">
      <c r="A17" t="s">
        <v>140</v>
      </c>
      <c r="B17" s="69">
        <v>-5130</v>
      </c>
      <c r="C17" s="69">
        <v>0</v>
      </c>
      <c r="D17" s="82"/>
    </row>
    <row r="18" spans="1:4" x14ac:dyDescent="0.25">
      <c r="A18" t="s">
        <v>141</v>
      </c>
      <c r="B18" s="69">
        <v>961</v>
      </c>
      <c r="C18" s="69">
        <v>0</v>
      </c>
      <c r="D18" s="82"/>
    </row>
    <row r="19" spans="1:4" x14ac:dyDescent="0.25">
      <c r="A19" t="s">
        <v>144</v>
      </c>
      <c r="B19" s="69">
        <v>104480</v>
      </c>
      <c r="C19" s="69">
        <v>32165</v>
      </c>
      <c r="D19" s="82"/>
    </row>
    <row r="20" spans="1:4" x14ac:dyDescent="0.25">
      <c r="A20" t="s">
        <v>146</v>
      </c>
      <c r="B20" s="69">
        <v>0</v>
      </c>
      <c r="C20" s="69">
        <v>0</v>
      </c>
      <c r="D20" s="82"/>
    </row>
    <row r="21" spans="1:4" x14ac:dyDescent="0.25">
      <c r="A21" t="s">
        <v>147</v>
      </c>
      <c r="B21" s="69">
        <v>0</v>
      </c>
      <c r="C21" s="69">
        <v>0</v>
      </c>
      <c r="D21" s="82"/>
    </row>
    <row r="22" spans="1:4" x14ac:dyDescent="0.25">
      <c r="A22" t="s">
        <v>148</v>
      </c>
      <c r="B22" s="69">
        <v>37217</v>
      </c>
      <c r="C22" s="69">
        <v>10277</v>
      </c>
      <c r="D22" s="82"/>
    </row>
    <row r="23" spans="1:4" x14ac:dyDescent="0.25">
      <c r="A23" t="s">
        <v>150</v>
      </c>
      <c r="B23" s="69">
        <v>0</v>
      </c>
      <c r="C23" s="69">
        <v>0</v>
      </c>
      <c r="D23" s="82"/>
    </row>
    <row r="24" spans="1:4" x14ac:dyDescent="0.25">
      <c r="A24" t="s">
        <v>152</v>
      </c>
      <c r="B24" s="69">
        <v>175464</v>
      </c>
      <c r="C24" s="69">
        <v>48129</v>
      </c>
      <c r="D24" s="82"/>
    </row>
    <row r="25" spans="1:4" x14ac:dyDescent="0.25">
      <c r="A25" t="s">
        <v>154</v>
      </c>
      <c r="B25" s="69">
        <v>0</v>
      </c>
      <c r="C25" s="69">
        <v>0</v>
      </c>
      <c r="D25" s="82"/>
    </row>
    <row r="26" spans="1:4" x14ac:dyDescent="0.25">
      <c r="A26" t="s">
        <v>156</v>
      </c>
      <c r="B26" s="69">
        <v>33326</v>
      </c>
      <c r="C26" s="69">
        <v>9539</v>
      </c>
      <c r="D26" s="82"/>
    </row>
    <row r="27" spans="1:4" x14ac:dyDescent="0.25">
      <c r="A27" t="s">
        <v>157</v>
      </c>
      <c r="B27" s="69">
        <v>1717</v>
      </c>
      <c r="C27" s="69">
        <v>601</v>
      </c>
      <c r="D27" s="82"/>
    </row>
    <row r="28" spans="1:4" x14ac:dyDescent="0.25">
      <c r="A28" t="s">
        <v>158</v>
      </c>
      <c r="B28" s="69">
        <v>12980</v>
      </c>
      <c r="C28" s="69">
        <v>4271</v>
      </c>
      <c r="D28" s="82"/>
    </row>
    <row r="29" spans="1:4" x14ac:dyDescent="0.25">
      <c r="A29" s="104" t="s">
        <v>160</v>
      </c>
      <c r="B29" s="69">
        <v>0</v>
      </c>
      <c r="C29" s="69">
        <v>0</v>
      </c>
      <c r="D29" s="82"/>
    </row>
    <row r="30" spans="1:4" x14ac:dyDescent="0.25">
      <c r="A30" t="s">
        <v>162</v>
      </c>
      <c r="B30" s="69">
        <v>0</v>
      </c>
      <c r="C30" s="69">
        <v>0</v>
      </c>
      <c r="D30" s="82"/>
    </row>
    <row r="31" spans="1:4" x14ac:dyDescent="0.25">
      <c r="A31" t="s">
        <v>164</v>
      </c>
      <c r="B31" s="69">
        <v>0</v>
      </c>
      <c r="C31" s="69">
        <v>0</v>
      </c>
      <c r="D31" s="82"/>
    </row>
    <row r="32" spans="1:4" x14ac:dyDescent="0.25">
      <c r="A32" t="s">
        <v>138</v>
      </c>
      <c r="B32" s="69">
        <v>0</v>
      </c>
      <c r="C32" s="69">
        <v>0</v>
      </c>
      <c r="D32" s="82"/>
    </row>
    <row r="33" spans="1:4" x14ac:dyDescent="0.25">
      <c r="A33" t="s">
        <v>167</v>
      </c>
      <c r="B33" s="69">
        <v>0</v>
      </c>
      <c r="C33" s="69">
        <v>0</v>
      </c>
      <c r="D33" s="82"/>
    </row>
    <row r="34" spans="1:4" x14ac:dyDescent="0.25">
      <c r="A34" s="109" t="s">
        <v>169</v>
      </c>
      <c r="B34" s="69">
        <v>34185</v>
      </c>
      <c r="C34" s="69">
        <v>4710</v>
      </c>
      <c r="D34" s="82"/>
    </row>
    <row r="35" spans="1:4" x14ac:dyDescent="0.25">
      <c r="A35" t="s">
        <v>170</v>
      </c>
      <c r="B35" s="69">
        <v>25000</v>
      </c>
      <c r="C35" s="69">
        <v>25000</v>
      </c>
      <c r="D35" s="82"/>
    </row>
    <row r="36" spans="1:4" x14ac:dyDescent="0.25">
      <c r="A36" t="s">
        <v>172</v>
      </c>
      <c r="B36" s="69">
        <v>43557</v>
      </c>
      <c r="C36" s="69">
        <v>38859</v>
      </c>
      <c r="D36" s="82"/>
    </row>
    <row r="37" spans="1:4" x14ac:dyDescent="0.25">
      <c r="A37" t="s">
        <v>174</v>
      </c>
      <c r="B37" s="69">
        <v>9668</v>
      </c>
      <c r="C37" s="69">
        <v>351</v>
      </c>
      <c r="D37" s="82"/>
    </row>
    <row r="38" spans="1:4" x14ac:dyDescent="0.25">
      <c r="A38" t="s">
        <v>175</v>
      </c>
      <c r="B38" s="69">
        <v>9469</v>
      </c>
      <c r="C38" s="69">
        <v>6690</v>
      </c>
      <c r="D38" s="82"/>
    </row>
    <row r="39" spans="1:4" x14ac:dyDescent="0.25">
      <c r="A39" t="s">
        <v>176</v>
      </c>
      <c r="B39" s="69">
        <v>0</v>
      </c>
      <c r="C39" s="69">
        <v>0</v>
      </c>
      <c r="D39" s="82"/>
    </row>
    <row r="40" spans="1:4" x14ac:dyDescent="0.25">
      <c r="A40" s="111" t="s">
        <v>177</v>
      </c>
      <c r="B40" s="69">
        <v>1360</v>
      </c>
      <c r="C40" s="69">
        <v>458</v>
      </c>
      <c r="D40" s="82"/>
    </row>
    <row r="41" spans="1:4" x14ac:dyDescent="0.25">
      <c r="A41" t="s">
        <v>178</v>
      </c>
      <c r="B41" s="69">
        <v>48614</v>
      </c>
      <c r="C41" s="69">
        <v>75037</v>
      </c>
      <c r="D41" s="82"/>
    </row>
    <row r="42" spans="1:4" x14ac:dyDescent="0.25">
      <c r="A42" t="s">
        <v>179</v>
      </c>
      <c r="B42" s="69">
        <v>1158343</v>
      </c>
      <c r="C42" s="69">
        <v>1102524</v>
      </c>
      <c r="D42" s="82"/>
    </row>
    <row r="43" spans="1:4" x14ac:dyDescent="0.25">
      <c r="A43" t="s">
        <v>181</v>
      </c>
      <c r="B43" s="69">
        <v>13988</v>
      </c>
      <c r="C43" s="69">
        <v>9259</v>
      </c>
      <c r="D43" s="82"/>
    </row>
    <row r="44" spans="1:4" x14ac:dyDescent="0.25">
      <c r="A44" s="111" t="s">
        <v>182</v>
      </c>
      <c r="B44" s="69">
        <v>41531</v>
      </c>
      <c r="C44" s="69">
        <v>13673</v>
      </c>
      <c r="D44" s="82"/>
    </row>
    <row r="45" spans="1:4" x14ac:dyDescent="0.25">
      <c r="A45" t="s">
        <v>183</v>
      </c>
      <c r="B45" s="69">
        <v>2064</v>
      </c>
      <c r="C45" s="69">
        <v>0</v>
      </c>
      <c r="D45" s="82"/>
    </row>
    <row r="46" spans="1:4" x14ac:dyDescent="0.25">
      <c r="A46" t="s">
        <v>184</v>
      </c>
      <c r="B46" s="69">
        <v>1546</v>
      </c>
      <c r="C46" s="69">
        <v>34766</v>
      </c>
      <c r="D46" s="82"/>
    </row>
    <row r="47" spans="1:4" x14ac:dyDescent="0.25">
      <c r="A47" t="s">
        <v>185</v>
      </c>
      <c r="B47" s="69">
        <v>78858</v>
      </c>
      <c r="C47" s="69">
        <v>0</v>
      </c>
      <c r="D47" s="82"/>
    </row>
    <row r="48" spans="1:4" x14ac:dyDescent="0.25">
      <c r="A48" t="s">
        <v>186</v>
      </c>
      <c r="B48" s="69">
        <v>0</v>
      </c>
      <c r="C48" s="69">
        <v>0</v>
      </c>
      <c r="D48" s="82"/>
    </row>
    <row r="49" spans="1:4" x14ac:dyDescent="0.25">
      <c r="A49" s="114" t="s">
        <v>187</v>
      </c>
      <c r="B49" s="69">
        <v>9530</v>
      </c>
      <c r="C49" s="69">
        <v>14530</v>
      </c>
      <c r="D49" s="82"/>
    </row>
    <row r="50" spans="1:4" x14ac:dyDescent="0.25">
      <c r="A50" t="s">
        <v>188</v>
      </c>
      <c r="B50" s="69">
        <v>1205</v>
      </c>
      <c r="C50" s="69">
        <v>1247</v>
      </c>
      <c r="D50" s="82"/>
    </row>
    <row r="51" spans="1:4" x14ac:dyDescent="0.25">
      <c r="A51" t="s">
        <v>189</v>
      </c>
      <c r="B51" s="69">
        <v>120</v>
      </c>
      <c r="C51" s="69">
        <v>0</v>
      </c>
      <c r="D51" s="82"/>
    </row>
    <row r="52" spans="1:4" x14ac:dyDescent="0.25">
      <c r="A52" t="s">
        <v>190</v>
      </c>
      <c r="B52" s="69">
        <v>0</v>
      </c>
      <c r="C52" s="69">
        <v>0</v>
      </c>
      <c r="D52" s="82"/>
    </row>
    <row r="53" spans="1:4" x14ac:dyDescent="0.25">
      <c r="A53" t="s">
        <v>192</v>
      </c>
      <c r="B53" s="69">
        <v>5810</v>
      </c>
      <c r="C53" s="69">
        <v>11853</v>
      </c>
      <c r="D53" s="82"/>
    </row>
    <row r="54" spans="1:4" x14ac:dyDescent="0.25">
      <c r="A54" t="s">
        <v>193</v>
      </c>
      <c r="B54" s="69">
        <v>78655</v>
      </c>
      <c r="C54" s="69">
        <v>40793</v>
      </c>
      <c r="D54" s="82"/>
    </row>
    <row r="55" spans="1:4" x14ac:dyDescent="0.25">
      <c r="A55" t="s">
        <v>194</v>
      </c>
      <c r="B55" s="69">
        <v>0</v>
      </c>
      <c r="C55" s="69">
        <v>0</v>
      </c>
      <c r="D55" s="82"/>
    </row>
    <row r="56" spans="1:4" x14ac:dyDescent="0.25">
      <c r="A56" t="s">
        <v>195</v>
      </c>
      <c r="B56" s="69">
        <v>0</v>
      </c>
      <c r="C56" s="69">
        <v>72</v>
      </c>
      <c r="D56" s="82"/>
    </row>
    <row r="57" spans="1:4" x14ac:dyDescent="0.25">
      <c r="A57" t="s">
        <v>196</v>
      </c>
      <c r="B57" s="69">
        <v>22909</v>
      </c>
      <c r="C57" s="69">
        <v>39303</v>
      </c>
      <c r="D57" s="82"/>
    </row>
    <row r="58" spans="1:4" x14ac:dyDescent="0.25">
      <c r="A58" t="s">
        <v>197</v>
      </c>
      <c r="B58" s="69">
        <v>188884</v>
      </c>
      <c r="C58" s="69">
        <v>167385</v>
      </c>
      <c r="D58" s="82"/>
    </row>
    <row r="59" spans="1:4" x14ac:dyDescent="0.25">
      <c r="A59" t="s">
        <v>199</v>
      </c>
      <c r="B59" s="69">
        <v>0</v>
      </c>
      <c r="C59" s="69">
        <v>0</v>
      </c>
      <c r="D59" s="82"/>
    </row>
    <row r="60" spans="1:4" x14ac:dyDescent="0.25">
      <c r="A60" t="s">
        <v>200</v>
      </c>
      <c r="B60" s="69">
        <v>153082</v>
      </c>
      <c r="C60" s="69">
        <v>0</v>
      </c>
      <c r="D60" s="82"/>
    </row>
    <row r="61" spans="1:4" x14ac:dyDescent="0.25">
      <c r="A61" s="1" t="s">
        <v>201</v>
      </c>
      <c r="B61" s="69">
        <v>0</v>
      </c>
      <c r="C61" s="69">
        <v>0</v>
      </c>
      <c r="D61" s="82"/>
    </row>
    <row r="62" spans="1:4" x14ac:dyDescent="0.25">
      <c r="A62" s="1" t="s">
        <v>202</v>
      </c>
      <c r="B62" s="69">
        <v>0</v>
      </c>
      <c r="C62" s="69">
        <v>0</v>
      </c>
      <c r="D62" s="82"/>
    </row>
    <row r="63" spans="1:4" x14ac:dyDescent="0.25">
      <c r="A63" s="109" t="s">
        <v>203</v>
      </c>
      <c r="B63" s="69">
        <v>0</v>
      </c>
      <c r="C63" s="69">
        <v>0</v>
      </c>
      <c r="D63" s="82"/>
    </row>
    <row r="64" spans="1:4" x14ac:dyDescent="0.25">
      <c r="A64" t="s">
        <v>204</v>
      </c>
      <c r="B64" s="69">
        <v>0</v>
      </c>
      <c r="C64" s="69">
        <v>0</v>
      </c>
      <c r="D64" s="82"/>
    </row>
    <row r="65" spans="1:4" x14ac:dyDescent="0.25">
      <c r="A65" t="s">
        <v>205</v>
      </c>
      <c r="B65" s="69">
        <v>0</v>
      </c>
      <c r="C65" s="69">
        <v>0</v>
      </c>
      <c r="D65" s="82"/>
    </row>
    <row r="66" spans="1:4" x14ac:dyDescent="0.25">
      <c r="A66" t="s">
        <v>206</v>
      </c>
      <c r="B66" s="69">
        <v>0</v>
      </c>
      <c r="C66" s="69">
        <v>0</v>
      </c>
      <c r="D66" s="82"/>
    </row>
    <row r="67" spans="1:4" x14ac:dyDescent="0.25">
      <c r="A67" t="s">
        <v>207</v>
      </c>
      <c r="B67" s="69">
        <v>0</v>
      </c>
      <c r="C67" s="69">
        <v>0</v>
      </c>
      <c r="D67" s="82"/>
    </row>
    <row r="68" spans="1:4" x14ac:dyDescent="0.25">
      <c r="A68" t="s">
        <v>208</v>
      </c>
      <c r="B68" s="69">
        <v>0</v>
      </c>
      <c r="C68" s="69">
        <v>0</v>
      </c>
      <c r="D68" s="82"/>
    </row>
    <row r="69" spans="1:4" x14ac:dyDescent="0.25">
      <c r="A69" s="116" t="s">
        <v>209</v>
      </c>
      <c r="B69" s="88">
        <f t="shared" ref="B69:C69" si="2">SUM(B17:B68)</f>
        <v>2289393</v>
      </c>
      <c r="C69" s="88">
        <f t="shared" si="2"/>
        <v>1691492</v>
      </c>
      <c r="D69" s="82"/>
    </row>
    <row r="70" spans="1:4" x14ac:dyDescent="0.25">
      <c r="A70" s="67"/>
      <c r="B70" s="69"/>
      <c r="C70" s="69"/>
      <c r="D70" s="82"/>
    </row>
    <row r="71" spans="1:4" x14ac:dyDescent="0.25">
      <c r="A71" s="9" t="s">
        <v>210</v>
      </c>
      <c r="B71" s="82">
        <f t="shared" ref="B71:C71" si="3">B14-B69</f>
        <v>-631436</v>
      </c>
      <c r="C71" s="82">
        <f t="shared" si="3"/>
        <v>-1120713.6299999999</v>
      </c>
      <c r="D71" s="82"/>
    </row>
    <row r="72" spans="1:4" x14ac:dyDescent="0.25">
      <c r="A72" s="67"/>
      <c r="B72" s="69"/>
      <c r="C72" s="69"/>
      <c r="D72" s="82"/>
    </row>
    <row r="73" spans="1:4" x14ac:dyDescent="0.25">
      <c r="A73" s="119" t="s">
        <v>212</v>
      </c>
      <c r="B73" s="69"/>
      <c r="C73" s="69"/>
      <c r="D73" s="82"/>
    </row>
    <row r="74" spans="1:4" x14ac:dyDescent="0.25">
      <c r="A74" s="67" t="s">
        <v>213</v>
      </c>
      <c r="B74" s="69">
        <v>18182</v>
      </c>
      <c r="C74" s="69">
        <v>0</v>
      </c>
      <c r="D74" s="82"/>
    </row>
    <row r="75" spans="1:4" x14ac:dyDescent="0.25">
      <c r="A75" s="67" t="s">
        <v>214</v>
      </c>
      <c r="B75" s="69">
        <v>0</v>
      </c>
      <c r="C75" s="69">
        <v>0</v>
      </c>
      <c r="D75" s="82"/>
    </row>
    <row r="76" spans="1:4" x14ac:dyDescent="0.25">
      <c r="A76" s="67" t="s">
        <v>215</v>
      </c>
      <c r="B76" s="69">
        <v>29921</v>
      </c>
      <c r="C76" s="69">
        <v>16297</v>
      </c>
      <c r="D76" s="82"/>
    </row>
    <row r="77" spans="1:4" x14ac:dyDescent="0.25">
      <c r="A77" s="67" t="s">
        <v>216</v>
      </c>
      <c r="B77" s="69">
        <v>0</v>
      </c>
      <c r="C77" s="69">
        <v>0</v>
      </c>
      <c r="D77" s="82"/>
    </row>
    <row r="78" spans="1:4" x14ac:dyDescent="0.25">
      <c r="A78" s="67" t="s">
        <v>217</v>
      </c>
      <c r="B78" s="69">
        <v>12503</v>
      </c>
      <c r="C78" s="69">
        <v>0</v>
      </c>
      <c r="D78" s="82"/>
    </row>
    <row r="79" spans="1:4" x14ac:dyDescent="0.25">
      <c r="A79" s="67" t="s">
        <v>219</v>
      </c>
      <c r="B79" s="69">
        <v>6251</v>
      </c>
      <c r="C79" s="69">
        <v>6567</v>
      </c>
      <c r="D79" s="82"/>
    </row>
    <row r="80" spans="1:4" x14ac:dyDescent="0.25">
      <c r="A80" s="67" t="s">
        <v>220</v>
      </c>
      <c r="B80" s="69">
        <v>0</v>
      </c>
      <c r="C80" s="69">
        <v>0</v>
      </c>
      <c r="D80" s="82"/>
    </row>
    <row r="81" spans="1:4" x14ac:dyDescent="0.25">
      <c r="A81" s="67" t="s">
        <v>221</v>
      </c>
      <c r="B81" s="69">
        <v>235</v>
      </c>
      <c r="C81" s="69">
        <v>255</v>
      </c>
      <c r="D81" s="82"/>
    </row>
    <row r="82" spans="1:4" x14ac:dyDescent="0.25">
      <c r="A82" s="67" t="s">
        <v>222</v>
      </c>
      <c r="B82" s="69">
        <v>92403</v>
      </c>
      <c r="C82" s="69">
        <v>0</v>
      </c>
      <c r="D82" s="82"/>
    </row>
    <row r="83" spans="1:4" x14ac:dyDescent="0.25">
      <c r="A83" s="67" t="s">
        <v>224</v>
      </c>
      <c r="B83" s="69">
        <v>1280</v>
      </c>
      <c r="C83" s="69">
        <v>328</v>
      </c>
      <c r="D83" s="82"/>
    </row>
    <row r="84" spans="1:4" x14ac:dyDescent="0.25">
      <c r="A84" s="67" t="s">
        <v>225</v>
      </c>
      <c r="B84" s="69">
        <v>49104</v>
      </c>
      <c r="C84" s="69">
        <v>0</v>
      </c>
      <c r="D84" s="82"/>
    </row>
    <row r="85" spans="1:4" x14ac:dyDescent="0.25">
      <c r="A85" s="67" t="s">
        <v>226</v>
      </c>
      <c r="B85" s="69">
        <v>243</v>
      </c>
      <c r="C85" s="69">
        <v>1126</v>
      </c>
      <c r="D85" s="82"/>
    </row>
    <row r="86" spans="1:4" x14ac:dyDescent="0.25">
      <c r="A86" s="67" t="s">
        <v>227</v>
      </c>
      <c r="B86" s="69">
        <v>7271</v>
      </c>
      <c r="C86" s="69">
        <v>7462</v>
      </c>
      <c r="D86" s="82"/>
    </row>
    <row r="87" spans="1:4" x14ac:dyDescent="0.25">
      <c r="A87" s="67" t="s">
        <v>229</v>
      </c>
      <c r="B87" s="69">
        <v>0</v>
      </c>
      <c r="C87" s="69">
        <v>0</v>
      </c>
      <c r="D87" s="82"/>
    </row>
    <row r="88" spans="1:4" x14ac:dyDescent="0.25">
      <c r="A88" s="67" t="s">
        <v>231</v>
      </c>
      <c r="B88" s="69">
        <v>248590</v>
      </c>
      <c r="C88" s="69">
        <v>270545</v>
      </c>
      <c r="D88" s="82"/>
    </row>
    <row r="89" spans="1:4" x14ac:dyDescent="0.25">
      <c r="A89" s="67" t="s">
        <v>233</v>
      </c>
      <c r="B89" s="69">
        <v>0</v>
      </c>
      <c r="C89" s="69">
        <v>0</v>
      </c>
      <c r="D89" s="82"/>
    </row>
    <row r="90" spans="1:4" x14ac:dyDescent="0.25">
      <c r="A90" s="67" t="s">
        <v>235</v>
      </c>
      <c r="B90" s="69">
        <v>0</v>
      </c>
      <c r="C90" s="69">
        <v>0</v>
      </c>
      <c r="D90" s="82"/>
    </row>
    <row r="91" spans="1:4" x14ac:dyDescent="0.25">
      <c r="A91" s="121" t="s">
        <v>236</v>
      </c>
      <c r="B91" s="69">
        <v>50318</v>
      </c>
      <c r="C91" s="69">
        <v>30163</v>
      </c>
      <c r="D91" s="82"/>
    </row>
    <row r="92" spans="1:4" x14ac:dyDescent="0.25">
      <c r="A92" s="121" t="s">
        <v>237</v>
      </c>
      <c r="B92" s="69">
        <v>114480</v>
      </c>
      <c r="C92" s="69">
        <v>55640</v>
      </c>
      <c r="D92" s="82"/>
    </row>
    <row r="93" spans="1:4" x14ac:dyDescent="0.25">
      <c r="A93" s="67" t="s">
        <v>238</v>
      </c>
      <c r="B93" s="69">
        <v>0</v>
      </c>
      <c r="C93" s="69">
        <v>0</v>
      </c>
      <c r="D93" s="82"/>
    </row>
    <row r="94" spans="1:4" x14ac:dyDescent="0.25">
      <c r="A94" s="67" t="s">
        <v>239</v>
      </c>
      <c r="B94" s="69">
        <v>5596</v>
      </c>
      <c r="C94" s="69">
        <v>4521</v>
      </c>
      <c r="D94" s="82"/>
    </row>
    <row r="95" spans="1:4" x14ac:dyDescent="0.25">
      <c r="A95" s="67" t="s">
        <v>240</v>
      </c>
      <c r="B95" s="69">
        <v>1049</v>
      </c>
      <c r="C95" s="69">
        <v>1032</v>
      </c>
      <c r="D95" s="82"/>
    </row>
    <row r="96" spans="1:4" x14ac:dyDescent="0.25">
      <c r="A96" s="67" t="s">
        <v>242</v>
      </c>
      <c r="B96" s="69">
        <v>11612</v>
      </c>
      <c r="C96" s="69">
        <v>2113</v>
      </c>
      <c r="D96" s="82"/>
    </row>
    <row r="97" spans="1:4" x14ac:dyDescent="0.25">
      <c r="A97" s="67" t="s">
        <v>243</v>
      </c>
      <c r="B97" s="69">
        <v>0</v>
      </c>
      <c r="C97" s="69">
        <v>111</v>
      </c>
      <c r="D97" s="82"/>
    </row>
    <row r="98" spans="1:4" x14ac:dyDescent="0.25">
      <c r="A98" s="67" t="s">
        <v>244</v>
      </c>
      <c r="B98" s="85">
        <v>0</v>
      </c>
      <c r="C98" s="85">
        <v>0</v>
      </c>
      <c r="D98" s="82"/>
    </row>
    <row r="99" spans="1:4" x14ac:dyDescent="0.25">
      <c r="A99" s="116" t="s">
        <v>245</v>
      </c>
      <c r="B99" s="87">
        <f t="shared" ref="B99:C99" si="4">SUM(B74:B98)</f>
        <v>649038</v>
      </c>
      <c r="C99" s="87">
        <f t="shared" si="4"/>
        <v>396160</v>
      </c>
      <c r="D99" s="82"/>
    </row>
    <row r="100" spans="1:4" x14ac:dyDescent="0.25">
      <c r="A100" s="67"/>
      <c r="B100" s="69"/>
      <c r="C100" s="69"/>
      <c r="D100" s="82"/>
    </row>
    <row r="101" spans="1:4" x14ac:dyDescent="0.25">
      <c r="A101" s="116" t="s">
        <v>247</v>
      </c>
      <c r="B101" s="82">
        <f t="shared" ref="B101:C101" si="5">B71-B99</f>
        <v>-1280474</v>
      </c>
      <c r="C101" s="82">
        <f t="shared" si="5"/>
        <v>-1516873.63</v>
      </c>
      <c r="D101" s="82"/>
    </row>
    <row r="102" spans="1:4" x14ac:dyDescent="0.25">
      <c r="A102" s="116"/>
      <c r="B102" s="69"/>
      <c r="C102" s="69"/>
      <c r="D102" s="82"/>
    </row>
    <row r="103" spans="1:4" x14ac:dyDescent="0.25">
      <c r="A103" s="124" t="s">
        <v>249</v>
      </c>
      <c r="B103" s="69"/>
      <c r="C103" s="69"/>
      <c r="D103" s="82"/>
    </row>
    <row r="104" spans="1:4" x14ac:dyDescent="0.25">
      <c r="A104" s="67" t="s">
        <v>251</v>
      </c>
      <c r="B104" s="69">
        <v>0</v>
      </c>
      <c r="C104" s="69">
        <v>0</v>
      </c>
      <c r="D104" s="82"/>
    </row>
    <row r="105" spans="1:4" x14ac:dyDescent="0.25">
      <c r="A105" s="67" t="s">
        <v>252</v>
      </c>
      <c r="B105" s="69">
        <v>0</v>
      </c>
      <c r="C105" s="69">
        <v>0</v>
      </c>
      <c r="D105" s="82"/>
    </row>
    <row r="106" spans="1:4" x14ac:dyDescent="0.25">
      <c r="A106" s="67" t="s">
        <v>254</v>
      </c>
      <c r="B106" s="69">
        <v>0</v>
      </c>
      <c r="C106" s="69">
        <v>0</v>
      </c>
      <c r="D106" s="82"/>
    </row>
    <row r="107" spans="1:4" x14ac:dyDescent="0.25">
      <c r="A107" s="67" t="s">
        <v>256</v>
      </c>
      <c r="B107" s="69">
        <v>0</v>
      </c>
      <c r="C107" s="69">
        <v>0</v>
      </c>
      <c r="D107" s="82"/>
    </row>
    <row r="108" spans="1:4" x14ac:dyDescent="0.25">
      <c r="A108" s="67" t="s">
        <v>258</v>
      </c>
      <c r="B108" s="69">
        <v>0</v>
      </c>
      <c r="C108" s="69">
        <v>0</v>
      </c>
      <c r="D108" s="82"/>
    </row>
    <row r="109" spans="1:4" x14ac:dyDescent="0.25">
      <c r="A109" s="67" t="s">
        <v>261</v>
      </c>
      <c r="B109" s="69">
        <v>0</v>
      </c>
      <c r="C109" s="69">
        <v>0</v>
      </c>
      <c r="D109" s="82"/>
    </row>
    <row r="110" spans="1:4" x14ac:dyDescent="0.25">
      <c r="A110" s="67" t="s">
        <v>264</v>
      </c>
      <c r="B110" s="69">
        <v>18041</v>
      </c>
      <c r="C110" s="69">
        <v>2000</v>
      </c>
      <c r="D110" s="82"/>
    </row>
    <row r="111" spans="1:4" x14ac:dyDescent="0.25">
      <c r="A111" s="67" t="s">
        <v>266</v>
      </c>
      <c r="B111" s="69">
        <v>0</v>
      </c>
      <c r="C111" s="69">
        <v>0</v>
      </c>
      <c r="D111" s="82"/>
    </row>
    <row r="112" spans="1:4" x14ac:dyDescent="0.25">
      <c r="A112" s="67" t="s">
        <v>267</v>
      </c>
      <c r="B112" s="85">
        <v>0</v>
      </c>
      <c r="C112" s="85">
        <v>0</v>
      </c>
      <c r="D112" s="82"/>
    </row>
    <row r="113" spans="1:4" x14ac:dyDescent="0.25">
      <c r="A113" s="116" t="s">
        <v>269</v>
      </c>
      <c r="B113" s="129">
        <f t="shared" ref="B113:C113" si="6">SUM(B104:B112)</f>
        <v>18041</v>
      </c>
      <c r="C113" s="129">
        <f t="shared" si="6"/>
        <v>2000</v>
      </c>
      <c r="D113" s="82"/>
    </row>
    <row r="114" spans="1:4" x14ac:dyDescent="0.25">
      <c r="B114" s="69"/>
      <c r="C114" s="69"/>
      <c r="D114" s="82"/>
    </row>
    <row r="115" spans="1:4" x14ac:dyDescent="0.25">
      <c r="A115" s="124" t="s">
        <v>274</v>
      </c>
      <c r="B115" s="87">
        <f t="shared" ref="B115:C115" si="7">B101+B113</f>
        <v>-1262433</v>
      </c>
      <c r="C115" s="87">
        <f t="shared" si="7"/>
        <v>-1514873.63</v>
      </c>
      <c r="D115" s="82"/>
    </row>
    <row r="116" spans="1:4" x14ac:dyDescent="0.25">
      <c r="B116" s="69"/>
      <c r="C116" s="69"/>
      <c r="D116" s="82"/>
    </row>
    <row r="117" spans="1:4" x14ac:dyDescent="0.25">
      <c r="A117" s="67" t="s">
        <v>276</v>
      </c>
      <c r="B117" s="69">
        <v>0</v>
      </c>
      <c r="C117" s="69">
        <v>0</v>
      </c>
      <c r="D117" s="82"/>
    </row>
    <row r="118" spans="1:4" x14ac:dyDescent="0.25">
      <c r="B118" s="69"/>
      <c r="C118" s="69"/>
      <c r="D118" s="82"/>
    </row>
    <row r="119" spans="1:4" ht="15.75" thickBot="1" x14ac:dyDescent="0.3">
      <c r="A119" s="124" t="s">
        <v>278</v>
      </c>
      <c r="B119" s="132">
        <f t="shared" ref="B119:C119" si="8">SUM(B115:B118)</f>
        <v>-1262433</v>
      </c>
      <c r="C119" s="132">
        <f t="shared" si="8"/>
        <v>-1514873.63</v>
      </c>
      <c r="D119" s="82"/>
    </row>
    <row r="120" spans="1:4" ht="15.75" thickTop="1" x14ac:dyDescent="0.25">
      <c r="B120" s="69"/>
      <c r="C120" s="69"/>
      <c r="D120" s="82"/>
    </row>
    <row r="121" spans="1:4" x14ac:dyDescent="0.25">
      <c r="B121" s="69"/>
      <c r="C121" s="69"/>
      <c r="D121" s="82"/>
    </row>
    <row r="122" spans="1:4" x14ac:dyDescent="0.25">
      <c r="B122" s="69"/>
      <c r="C122" s="69"/>
      <c r="D122" s="82"/>
    </row>
    <row r="123" spans="1:4" x14ac:dyDescent="0.25">
      <c r="A123" s="9" t="s">
        <v>279</v>
      </c>
      <c r="B123" s="69"/>
      <c r="C123" s="69"/>
      <c r="D123" s="82"/>
    </row>
    <row r="124" spans="1:4" x14ac:dyDescent="0.25">
      <c r="A124" s="1" t="s">
        <v>280</v>
      </c>
      <c r="B124" s="82">
        <f t="shared" ref="B124:C124" si="9">B60+B74</f>
        <v>171264</v>
      </c>
      <c r="C124" s="82">
        <f t="shared" si="9"/>
        <v>0</v>
      </c>
      <c r="D124" s="82"/>
    </row>
    <row r="125" spans="1:4" x14ac:dyDescent="0.25">
      <c r="A125" s="1" t="s">
        <v>281</v>
      </c>
      <c r="B125" s="82">
        <f t="shared" ref="B125:C125" si="10">B75+B84</f>
        <v>49104</v>
      </c>
      <c r="C125" s="82">
        <f t="shared" si="10"/>
        <v>0</v>
      </c>
      <c r="D125" s="82"/>
    </row>
    <row r="126" spans="1:4" x14ac:dyDescent="0.25">
      <c r="A126" s="1" t="s">
        <v>282</v>
      </c>
      <c r="B126" s="82">
        <f t="shared" ref="B126:C126" si="11">B77</f>
        <v>0</v>
      </c>
      <c r="C126" s="82">
        <f t="shared" si="11"/>
        <v>0</v>
      </c>
      <c r="D126" s="82"/>
    </row>
    <row r="127" spans="1:4" x14ac:dyDescent="0.25">
      <c r="A127" s="1" t="s">
        <v>283</v>
      </c>
      <c r="B127" s="82">
        <f t="shared" ref="B127:C127" si="12">-B108</f>
        <v>0</v>
      </c>
      <c r="C127" s="82">
        <f t="shared" si="12"/>
        <v>0</v>
      </c>
      <c r="D127" s="82"/>
    </row>
    <row r="128" spans="1:4" x14ac:dyDescent="0.25">
      <c r="A128" s="1" t="s">
        <v>285</v>
      </c>
      <c r="B128" s="84">
        <f t="shared" ref="B128:C128" si="13">-B105</f>
        <v>0</v>
      </c>
      <c r="C128" s="84">
        <f t="shared" si="13"/>
        <v>0</v>
      </c>
      <c r="D128" s="82"/>
    </row>
    <row r="129" spans="1:4" x14ac:dyDescent="0.25">
      <c r="A129" s="9" t="s">
        <v>287</v>
      </c>
      <c r="B129" s="82">
        <f t="shared" ref="B129:C129" si="14">SUM(B119:B128)</f>
        <v>-1042065</v>
      </c>
      <c r="C129" s="82">
        <f t="shared" si="14"/>
        <v>-1514873.63</v>
      </c>
      <c r="D129" s="82"/>
    </row>
    <row r="130" spans="1:4" x14ac:dyDescent="0.25">
      <c r="B130" s="69"/>
      <c r="C130" s="69"/>
      <c r="D130" s="82"/>
    </row>
    <row r="131" spans="1:4" x14ac:dyDescent="0.25">
      <c r="B131" s="69"/>
      <c r="C131" s="69"/>
    </row>
    <row r="132" spans="1:4" x14ac:dyDescent="0.25">
      <c r="B132" s="69"/>
      <c r="C132" s="69"/>
    </row>
    <row r="133" spans="1:4" x14ac:dyDescent="0.25">
      <c r="B133" s="69"/>
      <c r="C133" s="69"/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1483D-74F2-4298-A3E9-26C31ED2064B}">
  <sheetPr>
    <tabColor rgb="FFFFFF00"/>
  </sheetPr>
  <dimension ref="A1:I196"/>
  <sheetViews>
    <sheetView workbookViewId="0">
      <selection activeCell="K14" sqref="K14"/>
    </sheetView>
  </sheetViews>
  <sheetFormatPr defaultRowHeight="15" x14ac:dyDescent="0.25"/>
  <cols>
    <col min="1" max="1" width="54.140625" style="1" customWidth="1"/>
    <col min="2" max="2" width="9.42578125" style="1" customWidth="1"/>
    <col min="3" max="3" width="12" style="1" customWidth="1"/>
    <col min="4" max="4" width="18" style="1" customWidth="1"/>
    <col min="5" max="5" width="7.7109375" style="1" customWidth="1"/>
    <col min="6" max="6" width="9.42578125" style="1" customWidth="1"/>
    <col min="7" max="8" width="12" style="1" customWidth="1"/>
    <col min="9" max="9" width="8.5703125" style="1" customWidth="1"/>
    <col min="10" max="16384" width="9.140625" style="1"/>
  </cols>
  <sheetData>
    <row r="1" spans="1:9" ht="18" x14ac:dyDescent="0.25">
      <c r="A1" s="139" t="s">
        <v>318</v>
      </c>
    </row>
    <row r="2" spans="1:9" ht="18" x14ac:dyDescent="0.25">
      <c r="A2" s="139" t="s">
        <v>319</v>
      </c>
    </row>
    <row r="3" spans="1:9" x14ac:dyDescent="0.25">
      <c r="A3" s="140" t="s">
        <v>1083</v>
      </c>
    </row>
    <row r="5" spans="1:9" ht="24.75" x14ac:dyDescent="0.25">
      <c r="B5" s="141" t="s">
        <v>321</v>
      </c>
      <c r="C5" s="141" t="s">
        <v>322</v>
      </c>
      <c r="D5" s="141" t="s">
        <v>323</v>
      </c>
      <c r="E5" s="141" t="s">
        <v>324</v>
      </c>
      <c r="F5" s="141" t="s">
        <v>325</v>
      </c>
      <c r="G5" s="141" t="s">
        <v>326</v>
      </c>
      <c r="H5" s="141" t="s">
        <v>327</v>
      </c>
      <c r="I5" s="141" t="s">
        <v>328</v>
      </c>
    </row>
    <row r="6" spans="1:9" x14ac:dyDescent="0.25">
      <c r="A6" s="142" t="s">
        <v>329</v>
      </c>
    </row>
    <row r="7" spans="1:9" x14ac:dyDescent="0.25">
      <c r="B7" s="143" t="s">
        <v>330</v>
      </c>
      <c r="C7" s="143" t="s">
        <v>331</v>
      </c>
      <c r="D7" s="143">
        <v>2664</v>
      </c>
      <c r="E7" s="143" t="s">
        <v>121</v>
      </c>
      <c r="F7" s="143" t="s">
        <v>332</v>
      </c>
      <c r="G7" s="144">
        <v>2331</v>
      </c>
      <c r="H7" s="144">
        <v>2331</v>
      </c>
      <c r="I7" s="144">
        <v>2331</v>
      </c>
    </row>
    <row r="8" spans="1:9" x14ac:dyDescent="0.25">
      <c r="A8" s="142" t="s">
        <v>333</v>
      </c>
      <c r="G8" s="145">
        <v>2331</v>
      </c>
      <c r="H8" s="145">
        <v>2331</v>
      </c>
    </row>
    <row r="9" spans="1:9" x14ac:dyDescent="0.25">
      <c r="A9" s="142" t="s">
        <v>334</v>
      </c>
    </row>
    <row r="10" spans="1:9" x14ac:dyDescent="0.25">
      <c r="B10" s="143" t="s">
        <v>335</v>
      </c>
      <c r="C10" s="143" t="s">
        <v>331</v>
      </c>
      <c r="D10" s="143">
        <v>3134</v>
      </c>
      <c r="E10" s="143" t="s">
        <v>121</v>
      </c>
      <c r="F10" s="143" t="s">
        <v>336</v>
      </c>
      <c r="G10" s="144">
        <v>2007</v>
      </c>
      <c r="H10" s="144">
        <v>2007</v>
      </c>
      <c r="I10" s="144">
        <v>2007</v>
      </c>
    </row>
    <row r="11" spans="1:9" x14ac:dyDescent="0.25">
      <c r="B11" s="143" t="s">
        <v>337</v>
      </c>
      <c r="C11" s="143" t="s">
        <v>331</v>
      </c>
      <c r="D11" s="143">
        <v>3135</v>
      </c>
      <c r="E11" s="143"/>
      <c r="F11" s="143" t="s">
        <v>338</v>
      </c>
      <c r="G11" s="144">
        <v>21981.8</v>
      </c>
      <c r="H11" s="144">
        <v>21981.8</v>
      </c>
      <c r="I11" s="144">
        <v>23988.799999999999</v>
      </c>
    </row>
    <row r="12" spans="1:9" x14ac:dyDescent="0.25">
      <c r="B12" s="143" t="s">
        <v>339</v>
      </c>
      <c r="C12" s="143" t="s">
        <v>331</v>
      </c>
      <c r="D12" s="143">
        <v>3213</v>
      </c>
      <c r="E12" s="143" t="s">
        <v>121</v>
      </c>
      <c r="F12" s="143" t="s">
        <v>340</v>
      </c>
      <c r="G12" s="144">
        <v>75916.98</v>
      </c>
      <c r="H12" s="144">
        <v>73516.98</v>
      </c>
      <c r="I12" s="144">
        <v>97505.78</v>
      </c>
    </row>
    <row r="13" spans="1:9" x14ac:dyDescent="0.25">
      <c r="B13" s="143" t="s">
        <v>341</v>
      </c>
      <c r="C13" s="143" t="s">
        <v>331</v>
      </c>
      <c r="D13" s="143">
        <v>3226</v>
      </c>
      <c r="E13" s="143"/>
      <c r="F13" s="143" t="s">
        <v>342</v>
      </c>
      <c r="G13" s="144">
        <v>20680.189999999999</v>
      </c>
      <c r="H13" s="144">
        <v>13652.29</v>
      </c>
      <c r="I13" s="144">
        <v>111158.07</v>
      </c>
    </row>
    <row r="14" spans="1:9" x14ac:dyDescent="0.25">
      <c r="B14" s="143" t="s">
        <v>343</v>
      </c>
      <c r="C14" s="143" t="s">
        <v>331</v>
      </c>
      <c r="D14" s="143">
        <v>3323</v>
      </c>
      <c r="E14" s="143"/>
      <c r="F14" s="143" t="s">
        <v>344</v>
      </c>
      <c r="G14" s="144">
        <v>17247.759999999998</v>
      </c>
      <c r="H14" s="144">
        <v>6210.04</v>
      </c>
      <c r="I14" s="144">
        <v>117368.11</v>
      </c>
    </row>
    <row r="15" spans="1:9" x14ac:dyDescent="0.25">
      <c r="B15" s="143" t="s">
        <v>344</v>
      </c>
      <c r="C15" s="143" t="s">
        <v>331</v>
      </c>
      <c r="D15" s="143">
        <v>3419</v>
      </c>
      <c r="E15" s="143"/>
      <c r="F15" s="143" t="s">
        <v>345</v>
      </c>
      <c r="G15" s="144">
        <v>9544.0400000000009</v>
      </c>
      <c r="H15" s="144">
        <v>9544.0400000000009</v>
      </c>
      <c r="I15" s="144">
        <v>126912.15</v>
      </c>
    </row>
    <row r="16" spans="1:9" x14ac:dyDescent="0.25">
      <c r="B16" s="143" t="s">
        <v>346</v>
      </c>
      <c r="C16" s="143" t="s">
        <v>331</v>
      </c>
      <c r="D16" s="143">
        <v>3489</v>
      </c>
      <c r="E16" s="143"/>
      <c r="F16" s="143" t="s">
        <v>347</v>
      </c>
      <c r="G16" s="144">
        <v>12081.72</v>
      </c>
      <c r="H16" s="144">
        <v>12081.72</v>
      </c>
      <c r="I16" s="144">
        <v>138993.87</v>
      </c>
    </row>
    <row r="17" spans="1:9" x14ac:dyDescent="0.25">
      <c r="B17" s="143" t="s">
        <v>347</v>
      </c>
      <c r="C17" s="143" t="s">
        <v>331</v>
      </c>
      <c r="D17" s="143">
        <v>3575</v>
      </c>
      <c r="E17" s="143"/>
      <c r="F17" s="143" t="s">
        <v>348</v>
      </c>
      <c r="G17" s="144">
        <v>11725.84</v>
      </c>
      <c r="H17" s="144">
        <v>11725.84</v>
      </c>
      <c r="I17" s="144">
        <v>150719.71</v>
      </c>
    </row>
    <row r="18" spans="1:9" x14ac:dyDescent="0.25">
      <c r="B18" s="143" t="s">
        <v>349</v>
      </c>
      <c r="C18" s="143" t="s">
        <v>331</v>
      </c>
      <c r="D18" s="143">
        <v>3659</v>
      </c>
      <c r="E18" s="143"/>
      <c r="F18" s="143" t="s">
        <v>350</v>
      </c>
      <c r="G18" s="144">
        <v>18658.46</v>
      </c>
      <c r="H18" s="144">
        <v>18658.46</v>
      </c>
      <c r="I18" s="144">
        <v>169378.17</v>
      </c>
    </row>
    <row r="19" spans="1:9" x14ac:dyDescent="0.25">
      <c r="B19" s="143" t="s">
        <v>351</v>
      </c>
      <c r="C19" s="143" t="s">
        <v>331</v>
      </c>
      <c r="D19" s="143">
        <v>3712</v>
      </c>
      <c r="E19" s="143"/>
      <c r="F19" s="143" t="s">
        <v>352</v>
      </c>
      <c r="G19" s="144">
        <v>31517.49</v>
      </c>
      <c r="H19" s="144">
        <v>31517.49</v>
      </c>
      <c r="I19" s="144">
        <v>200895.66</v>
      </c>
    </row>
    <row r="20" spans="1:9" x14ac:dyDescent="0.25">
      <c r="B20" s="143" t="s">
        <v>353</v>
      </c>
      <c r="C20" s="143" t="s">
        <v>331</v>
      </c>
      <c r="D20" s="143">
        <v>3771</v>
      </c>
      <c r="E20" s="143"/>
      <c r="F20" s="143" t="s">
        <v>354</v>
      </c>
      <c r="G20" s="144">
        <v>2100</v>
      </c>
      <c r="H20" s="144">
        <v>2100</v>
      </c>
      <c r="I20" s="144">
        <v>202995.66</v>
      </c>
    </row>
    <row r="21" spans="1:9" x14ac:dyDescent="0.25">
      <c r="A21" s="142" t="s">
        <v>355</v>
      </c>
      <c r="G21" s="145">
        <v>223461.28</v>
      </c>
      <c r="H21" s="145">
        <v>202995.66</v>
      </c>
    </row>
    <row r="22" spans="1:9" x14ac:dyDescent="0.25">
      <c r="A22" s="142" t="s">
        <v>356</v>
      </c>
    </row>
    <row r="23" spans="1:9" x14ac:dyDescent="0.25">
      <c r="B23" s="143" t="s">
        <v>341</v>
      </c>
      <c r="C23" s="143" t="s">
        <v>357</v>
      </c>
      <c r="D23" s="143" t="s">
        <v>358</v>
      </c>
      <c r="E23" s="143"/>
      <c r="F23" s="143" t="s">
        <v>341</v>
      </c>
      <c r="G23" s="144">
        <v>-13467.84</v>
      </c>
      <c r="H23" s="144">
        <v>-929.45</v>
      </c>
      <c r="I23" s="144">
        <v>-929.45</v>
      </c>
    </row>
    <row r="24" spans="1:9" x14ac:dyDescent="0.25">
      <c r="B24" s="143" t="s">
        <v>343</v>
      </c>
      <c r="C24" s="143" t="s">
        <v>357</v>
      </c>
      <c r="D24" s="143" t="s">
        <v>359</v>
      </c>
      <c r="E24" s="143"/>
      <c r="F24" s="143" t="s">
        <v>343</v>
      </c>
      <c r="G24" s="144">
        <v>-7376.19</v>
      </c>
      <c r="H24" s="144">
        <v>-4374.58</v>
      </c>
      <c r="I24" s="144">
        <v>-5304.03</v>
      </c>
    </row>
    <row r="25" spans="1:9" x14ac:dyDescent="0.25">
      <c r="B25" s="143" t="s">
        <v>347</v>
      </c>
      <c r="C25" s="143" t="s">
        <v>357</v>
      </c>
      <c r="D25" s="143" t="s">
        <v>360</v>
      </c>
      <c r="E25" s="143"/>
      <c r="F25" s="143" t="s">
        <v>347</v>
      </c>
      <c r="G25" s="144">
        <v>-11058.42</v>
      </c>
      <c r="H25" s="144">
        <v>-11058.42</v>
      </c>
      <c r="I25" s="144">
        <v>-16362.45</v>
      </c>
    </row>
    <row r="26" spans="1:9" x14ac:dyDescent="0.25">
      <c r="B26" s="143" t="s">
        <v>349</v>
      </c>
      <c r="C26" s="143" t="s">
        <v>357</v>
      </c>
      <c r="D26" s="143" t="s">
        <v>361</v>
      </c>
      <c r="E26" s="143"/>
      <c r="F26" s="143" t="s">
        <v>349</v>
      </c>
      <c r="G26" s="144">
        <v>-4244.8599999999997</v>
      </c>
      <c r="H26" s="144">
        <v>-4244.8599999999997</v>
      </c>
      <c r="I26" s="144">
        <v>-20607.310000000001</v>
      </c>
    </row>
    <row r="27" spans="1:9" x14ac:dyDescent="0.25">
      <c r="B27" s="143" t="s">
        <v>351</v>
      </c>
      <c r="C27" s="143" t="s">
        <v>357</v>
      </c>
      <c r="D27" s="143" t="s">
        <v>362</v>
      </c>
      <c r="E27" s="143"/>
      <c r="F27" s="143" t="s">
        <v>351</v>
      </c>
      <c r="G27" s="144">
        <v>-4347.8100000000004</v>
      </c>
      <c r="H27" s="144">
        <v>-4347.8100000000004</v>
      </c>
      <c r="I27" s="144">
        <v>-24955.119999999999</v>
      </c>
    </row>
    <row r="28" spans="1:9" x14ac:dyDescent="0.25">
      <c r="A28" s="142" t="s">
        <v>363</v>
      </c>
      <c r="G28" s="145">
        <v>-40495.120000000003</v>
      </c>
      <c r="H28" s="145">
        <v>-24955.119999999999</v>
      </c>
    </row>
    <row r="29" spans="1:9" x14ac:dyDescent="0.25">
      <c r="A29" s="142" t="s">
        <v>364</v>
      </c>
    </row>
    <row r="30" spans="1:9" x14ac:dyDescent="0.25">
      <c r="B30" s="143" t="s">
        <v>365</v>
      </c>
      <c r="C30" s="143" t="s">
        <v>331</v>
      </c>
      <c r="D30" s="143">
        <v>2923</v>
      </c>
      <c r="E30" s="143" t="s">
        <v>121</v>
      </c>
      <c r="F30" s="143" t="s">
        <v>365</v>
      </c>
      <c r="G30" s="144">
        <v>21272.55</v>
      </c>
      <c r="H30" s="144">
        <v>21272.55</v>
      </c>
      <c r="I30" s="144">
        <v>21272.55</v>
      </c>
    </row>
    <row r="31" spans="1:9" x14ac:dyDescent="0.25">
      <c r="A31" s="142" t="s">
        <v>366</v>
      </c>
      <c r="G31" s="145">
        <v>21272.55</v>
      </c>
      <c r="H31" s="145">
        <v>21272.55</v>
      </c>
    </row>
    <row r="32" spans="1:9" x14ac:dyDescent="0.25">
      <c r="A32" s="142" t="s">
        <v>367</v>
      </c>
    </row>
    <row r="33" spans="1:9" x14ac:dyDescent="0.25">
      <c r="B33" s="143" t="s">
        <v>368</v>
      </c>
      <c r="C33" s="143" t="s">
        <v>331</v>
      </c>
      <c r="D33" s="143">
        <v>3801</v>
      </c>
      <c r="E33" s="143" t="s">
        <v>121</v>
      </c>
      <c r="F33" s="143" t="s">
        <v>369</v>
      </c>
      <c r="G33" s="144">
        <v>12165.12</v>
      </c>
      <c r="H33" s="144">
        <v>12165.12</v>
      </c>
      <c r="I33" s="144">
        <v>12165.12</v>
      </c>
    </row>
    <row r="34" spans="1:9" x14ac:dyDescent="0.25">
      <c r="B34" s="143" t="s">
        <v>368</v>
      </c>
      <c r="C34" s="143" t="s">
        <v>331</v>
      </c>
      <c r="D34" s="143">
        <v>3798</v>
      </c>
      <c r="E34" s="143" t="s">
        <v>121</v>
      </c>
      <c r="F34" s="143" t="s">
        <v>369</v>
      </c>
      <c r="G34" s="144">
        <v>24131.4</v>
      </c>
      <c r="H34" s="144">
        <v>24131.4</v>
      </c>
      <c r="I34" s="144">
        <v>36296.519999999997</v>
      </c>
    </row>
    <row r="35" spans="1:9" x14ac:dyDescent="0.25">
      <c r="B35" s="143" t="s">
        <v>368</v>
      </c>
      <c r="C35" s="143" t="s">
        <v>331</v>
      </c>
      <c r="D35" s="143">
        <v>3800</v>
      </c>
      <c r="E35" s="143" t="s">
        <v>121</v>
      </c>
      <c r="F35" s="143" t="s">
        <v>369</v>
      </c>
      <c r="G35" s="144">
        <v>72118.78</v>
      </c>
      <c r="H35" s="144">
        <v>72118.78</v>
      </c>
      <c r="I35" s="144">
        <v>108415.3</v>
      </c>
    </row>
    <row r="36" spans="1:9" x14ac:dyDescent="0.25">
      <c r="B36" s="143" t="s">
        <v>368</v>
      </c>
      <c r="C36" s="143" t="s">
        <v>331</v>
      </c>
      <c r="D36" s="143">
        <v>3797</v>
      </c>
      <c r="E36" s="143" t="s">
        <v>121</v>
      </c>
      <c r="F36" s="143" t="s">
        <v>369</v>
      </c>
      <c r="G36" s="144">
        <v>39397.24</v>
      </c>
      <c r="H36" s="144">
        <v>39397.24</v>
      </c>
      <c r="I36" s="144">
        <v>147812.54</v>
      </c>
    </row>
    <row r="37" spans="1:9" x14ac:dyDescent="0.25">
      <c r="B37" s="143" t="s">
        <v>368</v>
      </c>
      <c r="C37" s="143" t="s">
        <v>331</v>
      </c>
      <c r="D37" s="143">
        <v>3799</v>
      </c>
      <c r="E37" s="143" t="s">
        <v>121</v>
      </c>
      <c r="F37" s="143" t="s">
        <v>369</v>
      </c>
      <c r="G37" s="144">
        <v>72306.44</v>
      </c>
      <c r="H37" s="144">
        <v>72306.44</v>
      </c>
      <c r="I37" s="144">
        <v>220118.98</v>
      </c>
    </row>
    <row r="38" spans="1:9" x14ac:dyDescent="0.25">
      <c r="A38" s="142" t="s">
        <v>370</v>
      </c>
      <c r="G38" s="145">
        <v>220118.98</v>
      </c>
      <c r="H38" s="145">
        <v>220118.98</v>
      </c>
    </row>
    <row r="39" spans="1:9" x14ac:dyDescent="0.25">
      <c r="A39" s="142" t="s">
        <v>371</v>
      </c>
    </row>
    <row r="40" spans="1:9" x14ac:dyDescent="0.25">
      <c r="B40" s="143" t="s">
        <v>372</v>
      </c>
      <c r="C40" s="143" t="s">
        <v>331</v>
      </c>
      <c r="D40" s="143">
        <v>3802</v>
      </c>
      <c r="E40" s="143" t="s">
        <v>125</v>
      </c>
      <c r="F40" s="143" t="s">
        <v>373</v>
      </c>
      <c r="G40" s="144">
        <v>99082.62</v>
      </c>
      <c r="H40" s="144">
        <v>99082.62</v>
      </c>
      <c r="I40" s="144">
        <v>99082.62</v>
      </c>
    </row>
    <row r="41" spans="1:9" x14ac:dyDescent="0.25">
      <c r="A41" s="142" t="s">
        <v>374</v>
      </c>
      <c r="G41" s="145">
        <v>99082.62</v>
      </c>
      <c r="H41" s="145">
        <v>99082.62</v>
      </c>
    </row>
    <row r="42" spans="1:9" x14ac:dyDescent="0.25">
      <c r="A42" s="142" t="s">
        <v>375</v>
      </c>
    </row>
    <row r="43" spans="1:9" x14ac:dyDescent="0.25">
      <c r="B43" s="143" t="s">
        <v>376</v>
      </c>
      <c r="C43" s="143" t="s">
        <v>331</v>
      </c>
      <c r="D43" s="143">
        <v>3780</v>
      </c>
      <c r="E43" s="143" t="s">
        <v>377</v>
      </c>
      <c r="F43" s="143" t="s">
        <v>378</v>
      </c>
      <c r="G43" s="144">
        <v>3543.49</v>
      </c>
      <c r="H43" s="144">
        <v>3543.49</v>
      </c>
      <c r="I43" s="144">
        <v>3543.49</v>
      </c>
    </row>
    <row r="44" spans="1:9" x14ac:dyDescent="0.25">
      <c r="A44" s="142" t="s">
        <v>379</v>
      </c>
      <c r="G44" s="145">
        <v>3543.49</v>
      </c>
      <c r="H44" s="145">
        <v>3543.49</v>
      </c>
    </row>
    <row r="45" spans="1:9" x14ac:dyDescent="0.25">
      <c r="A45" s="142" t="s">
        <v>380</v>
      </c>
    </row>
    <row r="46" spans="1:9" x14ac:dyDescent="0.25">
      <c r="B46" s="143" t="s">
        <v>381</v>
      </c>
      <c r="C46" s="143" t="s">
        <v>331</v>
      </c>
      <c r="D46" s="143">
        <v>2870</v>
      </c>
      <c r="E46" s="143" t="s">
        <v>125</v>
      </c>
      <c r="F46" s="143" t="s">
        <v>381</v>
      </c>
      <c r="G46" s="144">
        <v>2990.79</v>
      </c>
      <c r="H46" s="144">
        <v>2990.79</v>
      </c>
      <c r="I46" s="144">
        <v>2990.79</v>
      </c>
    </row>
    <row r="47" spans="1:9" x14ac:dyDescent="0.25">
      <c r="A47" s="142" t="s">
        <v>382</v>
      </c>
      <c r="G47" s="145">
        <v>2990.79</v>
      </c>
      <c r="H47" s="145">
        <v>2990.79</v>
      </c>
    </row>
    <row r="48" spans="1:9" x14ac:dyDescent="0.25">
      <c r="A48" s="142" t="s">
        <v>383</v>
      </c>
    </row>
    <row r="49" spans="1:9" x14ac:dyDescent="0.25">
      <c r="B49" s="143" t="s">
        <v>384</v>
      </c>
      <c r="C49" s="143" t="s">
        <v>331</v>
      </c>
      <c r="D49" s="143">
        <v>3064</v>
      </c>
      <c r="E49" s="143" t="s">
        <v>121</v>
      </c>
      <c r="F49" s="143" t="s">
        <v>385</v>
      </c>
      <c r="G49" s="144">
        <v>31846.07</v>
      </c>
      <c r="H49" s="144">
        <v>2095.0700000000002</v>
      </c>
      <c r="I49" s="144">
        <v>2095.0700000000002</v>
      </c>
    </row>
    <row r="50" spans="1:9" x14ac:dyDescent="0.25">
      <c r="A50" s="142" t="s">
        <v>386</v>
      </c>
      <c r="G50" s="145">
        <v>31846.07</v>
      </c>
      <c r="H50" s="145">
        <v>2095.0700000000002</v>
      </c>
    </row>
    <row r="51" spans="1:9" x14ac:dyDescent="0.25">
      <c r="A51" s="142" t="s">
        <v>387</v>
      </c>
    </row>
    <row r="52" spans="1:9" ht="23.25" x14ac:dyDescent="0.25">
      <c r="B52" s="143" t="s">
        <v>388</v>
      </c>
      <c r="C52" s="143" t="s">
        <v>331</v>
      </c>
      <c r="D52" s="143" t="s">
        <v>389</v>
      </c>
      <c r="E52" s="143" t="s">
        <v>124</v>
      </c>
      <c r="F52" s="143" t="s">
        <v>390</v>
      </c>
      <c r="G52" s="144">
        <v>47639.87</v>
      </c>
      <c r="H52" s="144">
        <v>4856.71</v>
      </c>
      <c r="I52" s="144">
        <v>4856.71</v>
      </c>
    </row>
    <row r="53" spans="1:9" x14ac:dyDescent="0.25">
      <c r="B53" s="143" t="s">
        <v>391</v>
      </c>
      <c r="C53" s="143" t="s">
        <v>331</v>
      </c>
      <c r="D53" s="143" t="s">
        <v>392</v>
      </c>
      <c r="E53" s="143" t="s">
        <v>124</v>
      </c>
      <c r="F53" s="143" t="s">
        <v>391</v>
      </c>
      <c r="G53" s="144">
        <v>10226.11</v>
      </c>
      <c r="H53" s="144">
        <v>8226.11</v>
      </c>
      <c r="I53" s="144">
        <v>13082.82</v>
      </c>
    </row>
    <row r="54" spans="1:9" x14ac:dyDescent="0.25">
      <c r="A54" s="142" t="s">
        <v>393</v>
      </c>
      <c r="G54" s="145">
        <v>57865.98</v>
      </c>
      <c r="H54" s="145">
        <v>13082.82</v>
      </c>
    </row>
    <row r="55" spans="1:9" x14ac:dyDescent="0.25">
      <c r="A55" s="142" t="s">
        <v>394</v>
      </c>
    </row>
    <row r="56" spans="1:9" x14ac:dyDescent="0.25">
      <c r="B56" s="143" t="s">
        <v>395</v>
      </c>
      <c r="C56" s="143" t="s">
        <v>331</v>
      </c>
      <c r="D56" s="143">
        <v>3184</v>
      </c>
      <c r="E56" s="143" t="s">
        <v>396</v>
      </c>
      <c r="F56" s="143" t="s">
        <v>397</v>
      </c>
      <c r="G56" s="144">
        <v>3568.71</v>
      </c>
      <c r="H56" s="144">
        <v>3568.71</v>
      </c>
      <c r="I56" s="144">
        <v>3568.71</v>
      </c>
    </row>
    <row r="57" spans="1:9" x14ac:dyDescent="0.25">
      <c r="A57" s="142" t="s">
        <v>398</v>
      </c>
      <c r="G57" s="145">
        <v>3568.71</v>
      </c>
      <c r="H57" s="145">
        <v>3568.71</v>
      </c>
    </row>
    <row r="58" spans="1:9" x14ac:dyDescent="0.25">
      <c r="A58" s="142" t="s">
        <v>399</v>
      </c>
    </row>
    <row r="59" spans="1:9" x14ac:dyDescent="0.25">
      <c r="B59" s="143" t="s">
        <v>400</v>
      </c>
      <c r="C59" s="143" t="s">
        <v>331</v>
      </c>
      <c r="D59" s="143">
        <v>3728</v>
      </c>
      <c r="E59" s="143" t="s">
        <v>124</v>
      </c>
      <c r="F59" s="143" t="s">
        <v>401</v>
      </c>
      <c r="G59" s="144">
        <v>145179.4</v>
      </c>
      <c r="H59" s="144">
        <v>130661.46</v>
      </c>
      <c r="I59" s="144">
        <v>130661.46</v>
      </c>
    </row>
    <row r="60" spans="1:9" x14ac:dyDescent="0.25">
      <c r="A60" s="142" t="s">
        <v>402</v>
      </c>
      <c r="G60" s="145">
        <v>145179.4</v>
      </c>
      <c r="H60" s="145">
        <v>130661.46</v>
      </c>
    </row>
    <row r="61" spans="1:9" x14ac:dyDescent="0.25">
      <c r="A61" s="142" t="s">
        <v>1084</v>
      </c>
    </row>
    <row r="62" spans="1:9" x14ac:dyDescent="0.25">
      <c r="B62" s="143" t="s">
        <v>751</v>
      </c>
      <c r="C62" s="143" t="s">
        <v>331</v>
      </c>
      <c r="D62" s="143">
        <v>3806</v>
      </c>
      <c r="E62" s="143"/>
      <c r="F62" s="143" t="s">
        <v>751</v>
      </c>
      <c r="G62" s="144">
        <v>6070.33</v>
      </c>
      <c r="H62" s="144">
        <v>6070.33</v>
      </c>
      <c r="I62" s="144">
        <v>6070.33</v>
      </c>
    </row>
    <row r="63" spans="1:9" x14ac:dyDescent="0.25">
      <c r="A63" s="142" t="s">
        <v>1085</v>
      </c>
      <c r="G63" s="145">
        <v>6070.33</v>
      </c>
      <c r="H63" s="145">
        <v>6070.33</v>
      </c>
    </row>
    <row r="64" spans="1:9" x14ac:dyDescent="0.25">
      <c r="A64" s="142" t="s">
        <v>403</v>
      </c>
    </row>
    <row r="65" spans="1:9" x14ac:dyDescent="0.25">
      <c r="B65" s="143" t="s">
        <v>404</v>
      </c>
      <c r="C65" s="143" t="s">
        <v>331</v>
      </c>
      <c r="D65" s="143" t="s">
        <v>405</v>
      </c>
      <c r="E65" s="143" t="s">
        <v>125</v>
      </c>
      <c r="F65" s="143" t="s">
        <v>404</v>
      </c>
      <c r="G65" s="144">
        <v>8796.74</v>
      </c>
      <c r="H65" s="144">
        <v>8796.74</v>
      </c>
      <c r="I65" s="144">
        <v>8796.74</v>
      </c>
    </row>
    <row r="66" spans="1:9" x14ac:dyDescent="0.25">
      <c r="B66" s="143" t="s">
        <v>406</v>
      </c>
      <c r="C66" s="143" t="s">
        <v>331</v>
      </c>
      <c r="D66" s="143">
        <v>3394</v>
      </c>
      <c r="E66" s="143" t="s">
        <v>125</v>
      </c>
      <c r="F66" s="143" t="s">
        <v>407</v>
      </c>
      <c r="G66" s="144">
        <v>64239.98</v>
      </c>
      <c r="H66" s="144">
        <v>2912.17</v>
      </c>
      <c r="I66" s="144">
        <v>11708.91</v>
      </c>
    </row>
    <row r="67" spans="1:9" x14ac:dyDescent="0.25">
      <c r="A67" s="142" t="s">
        <v>408</v>
      </c>
      <c r="G67" s="145">
        <v>73036.72</v>
      </c>
      <c r="H67" s="145">
        <v>11708.91</v>
      </c>
    </row>
    <row r="68" spans="1:9" x14ac:dyDescent="0.25">
      <c r="A68" s="142" t="s">
        <v>409</v>
      </c>
    </row>
    <row r="69" spans="1:9" x14ac:dyDescent="0.25">
      <c r="B69" s="143" t="s">
        <v>410</v>
      </c>
      <c r="C69" s="143" t="s">
        <v>331</v>
      </c>
      <c r="D69" s="143">
        <v>3393</v>
      </c>
      <c r="E69" s="143"/>
      <c r="F69" s="143" t="s">
        <v>411</v>
      </c>
      <c r="G69" s="144">
        <v>12600</v>
      </c>
      <c r="H69" s="144">
        <v>12600</v>
      </c>
      <c r="I69" s="144">
        <v>12600</v>
      </c>
    </row>
    <row r="70" spans="1:9" x14ac:dyDescent="0.25">
      <c r="A70" s="142" t="s">
        <v>412</v>
      </c>
      <c r="G70" s="145">
        <v>12600</v>
      </c>
      <c r="H70" s="145">
        <v>12600</v>
      </c>
    </row>
    <row r="71" spans="1:9" x14ac:dyDescent="0.25">
      <c r="A71" s="142" t="s">
        <v>413</v>
      </c>
    </row>
    <row r="72" spans="1:9" x14ac:dyDescent="0.25">
      <c r="B72" s="143" t="s">
        <v>385</v>
      </c>
      <c r="C72" s="143" t="s">
        <v>331</v>
      </c>
      <c r="D72" s="143">
        <v>3114</v>
      </c>
      <c r="E72" s="143" t="s">
        <v>128</v>
      </c>
      <c r="F72" s="143" t="s">
        <v>337</v>
      </c>
      <c r="G72" s="144">
        <v>1562.4</v>
      </c>
      <c r="H72" s="144">
        <v>573.34</v>
      </c>
      <c r="I72" s="144">
        <v>573.34</v>
      </c>
    </row>
    <row r="73" spans="1:9" x14ac:dyDescent="0.25">
      <c r="B73" s="143" t="s">
        <v>414</v>
      </c>
      <c r="C73" s="143" t="s">
        <v>331</v>
      </c>
      <c r="D73" s="143">
        <v>3148</v>
      </c>
      <c r="E73" s="143" t="s">
        <v>128</v>
      </c>
      <c r="F73" s="143" t="s">
        <v>339</v>
      </c>
      <c r="G73" s="144">
        <v>113.4</v>
      </c>
      <c r="H73" s="144">
        <v>113.4</v>
      </c>
      <c r="I73" s="144">
        <v>686.74</v>
      </c>
    </row>
    <row r="74" spans="1:9" x14ac:dyDescent="0.25">
      <c r="B74" s="143" t="s">
        <v>415</v>
      </c>
      <c r="C74" s="143" t="s">
        <v>331</v>
      </c>
      <c r="D74" s="143">
        <v>3170</v>
      </c>
      <c r="E74" s="143" t="s">
        <v>128</v>
      </c>
      <c r="F74" s="143" t="s">
        <v>416</v>
      </c>
      <c r="G74" s="144">
        <v>630</v>
      </c>
      <c r="H74" s="144">
        <v>630</v>
      </c>
      <c r="I74" s="144">
        <v>1316.74</v>
      </c>
    </row>
    <row r="75" spans="1:9" x14ac:dyDescent="0.25">
      <c r="B75" s="143" t="s">
        <v>417</v>
      </c>
      <c r="C75" s="143" t="s">
        <v>331</v>
      </c>
      <c r="D75" s="143">
        <v>3195</v>
      </c>
      <c r="E75" s="143" t="s">
        <v>128</v>
      </c>
      <c r="F75" s="143" t="s">
        <v>418</v>
      </c>
      <c r="G75" s="144">
        <v>1222.2</v>
      </c>
      <c r="H75" s="144">
        <v>1222.2</v>
      </c>
      <c r="I75" s="144">
        <v>2538.94</v>
      </c>
    </row>
    <row r="76" spans="1:9" x14ac:dyDescent="0.25">
      <c r="B76" s="143" t="s">
        <v>417</v>
      </c>
      <c r="C76" s="143" t="s">
        <v>331</v>
      </c>
      <c r="D76" s="143">
        <v>3193</v>
      </c>
      <c r="E76" s="143" t="s">
        <v>128</v>
      </c>
      <c r="F76" s="143" t="s">
        <v>418</v>
      </c>
      <c r="G76" s="144">
        <v>504</v>
      </c>
      <c r="H76" s="144">
        <v>504</v>
      </c>
      <c r="I76" s="144">
        <v>3042.94</v>
      </c>
    </row>
    <row r="77" spans="1:9" x14ac:dyDescent="0.25">
      <c r="B77" s="143" t="s">
        <v>419</v>
      </c>
      <c r="C77" s="143" t="s">
        <v>331</v>
      </c>
      <c r="D77" s="143">
        <v>3349</v>
      </c>
      <c r="E77" s="143" t="s">
        <v>128</v>
      </c>
      <c r="F77" s="143" t="s">
        <v>420</v>
      </c>
      <c r="G77" s="144">
        <v>478.8</v>
      </c>
      <c r="H77" s="144">
        <v>478.8</v>
      </c>
      <c r="I77" s="144">
        <v>3521.74</v>
      </c>
    </row>
    <row r="78" spans="1:9" x14ac:dyDescent="0.25">
      <c r="B78" s="143" t="s">
        <v>421</v>
      </c>
      <c r="C78" s="143" t="s">
        <v>331</v>
      </c>
      <c r="D78" s="143">
        <v>3519</v>
      </c>
      <c r="E78" s="143" t="s">
        <v>128</v>
      </c>
      <c r="F78" s="143" t="s">
        <v>422</v>
      </c>
      <c r="G78" s="144">
        <v>869.4</v>
      </c>
      <c r="H78" s="144">
        <v>869.4</v>
      </c>
      <c r="I78" s="144">
        <v>4391.1400000000003</v>
      </c>
    </row>
    <row r="79" spans="1:9" x14ac:dyDescent="0.25">
      <c r="B79" s="143" t="s">
        <v>421</v>
      </c>
      <c r="C79" s="143" t="s">
        <v>331</v>
      </c>
      <c r="D79" s="143">
        <v>3523</v>
      </c>
      <c r="E79" s="143" t="s">
        <v>128</v>
      </c>
      <c r="F79" s="143" t="s">
        <v>422</v>
      </c>
      <c r="G79" s="144">
        <v>749.44</v>
      </c>
      <c r="H79" s="144">
        <v>749.44</v>
      </c>
      <c r="I79" s="144">
        <v>5140.58</v>
      </c>
    </row>
    <row r="80" spans="1:9" x14ac:dyDescent="0.25">
      <c r="B80" s="143" t="s">
        <v>421</v>
      </c>
      <c r="C80" s="143" t="s">
        <v>331</v>
      </c>
      <c r="D80" s="143">
        <v>3521</v>
      </c>
      <c r="E80" s="143" t="s">
        <v>128</v>
      </c>
      <c r="F80" s="143" t="s">
        <v>422</v>
      </c>
      <c r="G80" s="144">
        <v>113.4</v>
      </c>
      <c r="H80" s="144">
        <v>113.4</v>
      </c>
      <c r="I80" s="144">
        <v>5253.98</v>
      </c>
    </row>
    <row r="81" spans="2:9" x14ac:dyDescent="0.25">
      <c r="B81" s="143" t="s">
        <v>421</v>
      </c>
      <c r="C81" s="143" t="s">
        <v>331</v>
      </c>
      <c r="D81" s="143">
        <v>3522</v>
      </c>
      <c r="E81" s="143" t="s">
        <v>128</v>
      </c>
      <c r="F81" s="143" t="s">
        <v>422</v>
      </c>
      <c r="G81" s="144">
        <v>478.8</v>
      </c>
      <c r="H81" s="144">
        <v>478.8</v>
      </c>
      <c r="I81" s="144">
        <v>5732.78</v>
      </c>
    </row>
    <row r="82" spans="2:9" x14ac:dyDescent="0.25">
      <c r="B82" s="143" t="s">
        <v>421</v>
      </c>
      <c r="C82" s="143" t="s">
        <v>331</v>
      </c>
      <c r="D82" s="143">
        <v>3520</v>
      </c>
      <c r="E82" s="143" t="s">
        <v>128</v>
      </c>
      <c r="F82" s="143" t="s">
        <v>422</v>
      </c>
      <c r="G82" s="144">
        <v>860.96</v>
      </c>
      <c r="H82" s="144">
        <v>860.96</v>
      </c>
      <c r="I82" s="144">
        <v>6593.74</v>
      </c>
    </row>
    <row r="83" spans="2:9" x14ac:dyDescent="0.25">
      <c r="B83" s="143" t="s">
        <v>346</v>
      </c>
      <c r="C83" s="143" t="s">
        <v>331</v>
      </c>
      <c r="D83" s="143">
        <v>3579</v>
      </c>
      <c r="E83" s="143" t="s">
        <v>128</v>
      </c>
      <c r="F83" s="143" t="s">
        <v>347</v>
      </c>
      <c r="G83" s="144">
        <v>529.20000000000005</v>
      </c>
      <c r="H83" s="144">
        <v>529.20000000000005</v>
      </c>
      <c r="I83" s="144">
        <v>7122.94</v>
      </c>
    </row>
    <row r="84" spans="2:9" x14ac:dyDescent="0.25">
      <c r="B84" s="143" t="s">
        <v>346</v>
      </c>
      <c r="C84" s="143" t="s">
        <v>331</v>
      </c>
      <c r="D84" s="143">
        <v>3593</v>
      </c>
      <c r="E84" s="143" t="s">
        <v>128</v>
      </c>
      <c r="F84" s="143" t="s">
        <v>347</v>
      </c>
      <c r="G84" s="144">
        <v>302.39999999999998</v>
      </c>
      <c r="H84" s="144">
        <v>302.39999999999998</v>
      </c>
      <c r="I84" s="144">
        <v>7425.34</v>
      </c>
    </row>
    <row r="85" spans="2:9" x14ac:dyDescent="0.25">
      <c r="B85" s="143" t="s">
        <v>346</v>
      </c>
      <c r="C85" s="143" t="s">
        <v>331</v>
      </c>
      <c r="D85" s="143">
        <v>3583</v>
      </c>
      <c r="E85" s="143" t="s">
        <v>128</v>
      </c>
      <c r="F85" s="143" t="s">
        <v>347</v>
      </c>
      <c r="G85" s="144">
        <v>302.39999999999998</v>
      </c>
      <c r="H85" s="144">
        <v>302.39999999999998</v>
      </c>
      <c r="I85" s="144">
        <v>7727.74</v>
      </c>
    </row>
    <row r="86" spans="2:9" x14ac:dyDescent="0.25">
      <c r="B86" s="143" t="s">
        <v>346</v>
      </c>
      <c r="C86" s="143" t="s">
        <v>331</v>
      </c>
      <c r="D86" s="143">
        <v>3580</v>
      </c>
      <c r="E86" s="143" t="s">
        <v>128</v>
      </c>
      <c r="F86" s="143" t="s">
        <v>347</v>
      </c>
      <c r="G86" s="144">
        <v>195.3</v>
      </c>
      <c r="H86" s="144">
        <v>195.3</v>
      </c>
      <c r="I86" s="144">
        <v>7923.04</v>
      </c>
    </row>
    <row r="87" spans="2:9" x14ac:dyDescent="0.25">
      <c r="B87" s="143" t="s">
        <v>423</v>
      </c>
      <c r="C87" s="143" t="s">
        <v>331</v>
      </c>
      <c r="D87" s="143">
        <v>3610</v>
      </c>
      <c r="E87" s="143" t="s">
        <v>128</v>
      </c>
      <c r="F87" s="143" t="s">
        <v>424</v>
      </c>
      <c r="G87" s="144">
        <v>412.65</v>
      </c>
      <c r="H87" s="144">
        <v>412.65</v>
      </c>
      <c r="I87" s="144">
        <v>8335.69</v>
      </c>
    </row>
    <row r="88" spans="2:9" x14ac:dyDescent="0.25">
      <c r="B88" s="143" t="s">
        <v>423</v>
      </c>
      <c r="C88" s="143" t="s">
        <v>331</v>
      </c>
      <c r="D88" s="143">
        <v>3606</v>
      </c>
      <c r="E88" s="143" t="s">
        <v>128</v>
      </c>
      <c r="F88" s="143" t="s">
        <v>424</v>
      </c>
      <c r="G88" s="144">
        <v>586.91</v>
      </c>
      <c r="H88" s="144">
        <v>586.91</v>
      </c>
      <c r="I88" s="144">
        <v>8922.6</v>
      </c>
    </row>
    <row r="89" spans="2:9" x14ac:dyDescent="0.25">
      <c r="B89" s="143" t="s">
        <v>423</v>
      </c>
      <c r="C89" s="143" t="s">
        <v>331</v>
      </c>
      <c r="D89" s="143">
        <v>3611</v>
      </c>
      <c r="E89" s="143" t="s">
        <v>128</v>
      </c>
      <c r="F89" s="143" t="s">
        <v>424</v>
      </c>
      <c r="G89" s="144">
        <v>435.71</v>
      </c>
      <c r="H89" s="144">
        <v>435.71</v>
      </c>
      <c r="I89" s="144">
        <v>9358.31</v>
      </c>
    </row>
    <row r="90" spans="2:9" x14ac:dyDescent="0.25">
      <c r="B90" s="143" t="s">
        <v>423</v>
      </c>
      <c r="C90" s="143" t="s">
        <v>331</v>
      </c>
      <c r="D90" s="143">
        <v>3615</v>
      </c>
      <c r="E90" s="143" t="s">
        <v>128</v>
      </c>
      <c r="F90" s="143" t="s">
        <v>424</v>
      </c>
      <c r="G90" s="144">
        <v>151.19999999999999</v>
      </c>
      <c r="H90" s="144">
        <v>151.19999999999999</v>
      </c>
      <c r="I90" s="144">
        <v>9509.51</v>
      </c>
    </row>
    <row r="91" spans="2:9" x14ac:dyDescent="0.25">
      <c r="B91" s="143" t="s">
        <v>423</v>
      </c>
      <c r="C91" s="143" t="s">
        <v>331</v>
      </c>
      <c r="D91" s="143">
        <v>3617</v>
      </c>
      <c r="E91" s="143" t="s">
        <v>128</v>
      </c>
      <c r="F91" s="143" t="s">
        <v>424</v>
      </c>
      <c r="G91" s="144">
        <v>239.27</v>
      </c>
      <c r="H91" s="144">
        <v>239.27</v>
      </c>
      <c r="I91" s="144">
        <v>9748.7800000000007</v>
      </c>
    </row>
    <row r="92" spans="2:9" x14ac:dyDescent="0.25">
      <c r="B92" s="143" t="s">
        <v>423</v>
      </c>
      <c r="C92" s="143" t="s">
        <v>331</v>
      </c>
      <c r="D92" s="143">
        <v>3618</v>
      </c>
      <c r="E92" s="143" t="s">
        <v>128</v>
      </c>
      <c r="F92" s="143" t="s">
        <v>424</v>
      </c>
      <c r="G92" s="144">
        <v>239.27</v>
      </c>
      <c r="H92" s="144">
        <v>239.27</v>
      </c>
      <c r="I92" s="144">
        <v>9988.0499999999993</v>
      </c>
    </row>
    <row r="93" spans="2:9" x14ac:dyDescent="0.25">
      <c r="B93" s="143" t="s">
        <v>423</v>
      </c>
      <c r="C93" s="143" t="s">
        <v>331</v>
      </c>
      <c r="D93" s="143">
        <v>3607</v>
      </c>
      <c r="E93" s="143" t="s">
        <v>128</v>
      </c>
      <c r="F93" s="143" t="s">
        <v>424</v>
      </c>
      <c r="G93" s="144">
        <v>302.39999999999998</v>
      </c>
      <c r="H93" s="144">
        <v>302.39999999999998</v>
      </c>
      <c r="I93" s="144">
        <v>10290.450000000001</v>
      </c>
    </row>
    <row r="94" spans="2:9" x14ac:dyDescent="0.25">
      <c r="B94" s="143" t="s">
        <v>423</v>
      </c>
      <c r="C94" s="143" t="s">
        <v>331</v>
      </c>
      <c r="D94" s="143">
        <v>3608</v>
      </c>
      <c r="E94" s="143" t="s">
        <v>128</v>
      </c>
      <c r="F94" s="143" t="s">
        <v>424</v>
      </c>
      <c r="G94" s="144">
        <v>302.39999999999998</v>
      </c>
      <c r="H94" s="144">
        <v>302.39999999999998</v>
      </c>
      <c r="I94" s="144">
        <v>10592.85</v>
      </c>
    </row>
    <row r="95" spans="2:9" x14ac:dyDescent="0.25">
      <c r="B95" s="143" t="s">
        <v>423</v>
      </c>
      <c r="C95" s="143" t="s">
        <v>331</v>
      </c>
      <c r="D95" s="143">
        <v>3609</v>
      </c>
      <c r="E95" s="143" t="s">
        <v>128</v>
      </c>
      <c r="F95" s="143" t="s">
        <v>424</v>
      </c>
      <c r="G95" s="144">
        <v>368.55</v>
      </c>
      <c r="H95" s="144">
        <v>368.55</v>
      </c>
      <c r="I95" s="144">
        <v>10961.4</v>
      </c>
    </row>
    <row r="96" spans="2:9" x14ac:dyDescent="0.25">
      <c r="B96" s="143" t="s">
        <v>423</v>
      </c>
      <c r="C96" s="143" t="s">
        <v>331</v>
      </c>
      <c r="D96" s="143">
        <v>3605</v>
      </c>
      <c r="E96" s="143" t="s">
        <v>128</v>
      </c>
      <c r="F96" s="143" t="s">
        <v>424</v>
      </c>
      <c r="G96" s="144">
        <v>435.71</v>
      </c>
      <c r="H96" s="144">
        <v>435.71</v>
      </c>
      <c r="I96" s="144">
        <v>11397.11</v>
      </c>
    </row>
    <row r="97" spans="1:9" x14ac:dyDescent="0.25">
      <c r="B97" s="143" t="s">
        <v>423</v>
      </c>
      <c r="C97" s="143" t="s">
        <v>331</v>
      </c>
      <c r="D97" s="143">
        <v>3612</v>
      </c>
      <c r="E97" s="143" t="s">
        <v>128</v>
      </c>
      <c r="F97" s="143" t="s">
        <v>424</v>
      </c>
      <c r="G97" s="144">
        <v>66.150000000000006</v>
      </c>
      <c r="H97" s="144">
        <v>66.150000000000006</v>
      </c>
      <c r="I97" s="144">
        <v>11463.26</v>
      </c>
    </row>
    <row r="98" spans="1:9" x14ac:dyDescent="0.25">
      <c r="B98" s="143" t="s">
        <v>423</v>
      </c>
      <c r="C98" s="143" t="s">
        <v>331</v>
      </c>
      <c r="D98" s="143">
        <v>3619</v>
      </c>
      <c r="E98" s="143" t="s">
        <v>128</v>
      </c>
      <c r="F98" s="143" t="s">
        <v>424</v>
      </c>
      <c r="G98" s="144">
        <v>113.4</v>
      </c>
      <c r="H98" s="144">
        <v>113.4</v>
      </c>
      <c r="I98" s="144">
        <v>11576.66</v>
      </c>
    </row>
    <row r="99" spans="1:9" x14ac:dyDescent="0.25">
      <c r="B99" s="143" t="s">
        <v>423</v>
      </c>
      <c r="C99" s="143" t="s">
        <v>331</v>
      </c>
      <c r="D99" s="143">
        <v>3616</v>
      </c>
      <c r="E99" s="143" t="s">
        <v>128</v>
      </c>
      <c r="F99" s="143" t="s">
        <v>424</v>
      </c>
      <c r="G99" s="144">
        <v>113.4</v>
      </c>
      <c r="H99" s="144">
        <v>113.4</v>
      </c>
      <c r="I99" s="144">
        <v>11690.06</v>
      </c>
    </row>
    <row r="100" spans="1:9" x14ac:dyDescent="0.25">
      <c r="B100" s="143" t="s">
        <v>423</v>
      </c>
      <c r="C100" s="143" t="s">
        <v>331</v>
      </c>
      <c r="D100" s="143">
        <v>3613</v>
      </c>
      <c r="E100" s="143" t="s">
        <v>128</v>
      </c>
      <c r="F100" s="143" t="s">
        <v>424</v>
      </c>
      <c r="G100" s="144">
        <v>151.19999999999999</v>
      </c>
      <c r="H100" s="144">
        <v>151.19999999999999</v>
      </c>
      <c r="I100" s="144">
        <v>11841.26</v>
      </c>
    </row>
    <row r="101" spans="1:9" x14ac:dyDescent="0.25">
      <c r="B101" s="143" t="s">
        <v>423</v>
      </c>
      <c r="C101" s="143" t="s">
        <v>331</v>
      </c>
      <c r="D101" s="143">
        <v>3614</v>
      </c>
      <c r="E101" s="143" t="s">
        <v>128</v>
      </c>
      <c r="F101" s="143" t="s">
        <v>424</v>
      </c>
      <c r="G101" s="144">
        <v>151.19999999999999</v>
      </c>
      <c r="H101" s="144">
        <v>151.19999999999999</v>
      </c>
      <c r="I101" s="144">
        <v>11992.46</v>
      </c>
    </row>
    <row r="102" spans="1:9" x14ac:dyDescent="0.25">
      <c r="B102" s="143" t="s">
        <v>425</v>
      </c>
      <c r="C102" s="143" t="s">
        <v>331</v>
      </c>
      <c r="D102" s="143">
        <v>3639</v>
      </c>
      <c r="E102" s="143" t="s">
        <v>128</v>
      </c>
      <c r="F102" s="143" t="s">
        <v>426</v>
      </c>
      <c r="G102" s="144">
        <v>333.9</v>
      </c>
      <c r="H102" s="144">
        <v>333.9</v>
      </c>
      <c r="I102" s="144">
        <v>12326.36</v>
      </c>
    </row>
    <row r="103" spans="1:9" x14ac:dyDescent="0.25">
      <c r="A103" s="142" t="s">
        <v>427</v>
      </c>
      <c r="G103" s="145">
        <v>13315.42</v>
      </c>
      <c r="H103" s="145">
        <v>12326.36</v>
      </c>
    </row>
    <row r="104" spans="1:9" x14ac:dyDescent="0.25">
      <c r="A104" s="142" t="s">
        <v>428</v>
      </c>
    </row>
    <row r="105" spans="1:9" x14ac:dyDescent="0.25">
      <c r="B105" s="143" t="s">
        <v>407</v>
      </c>
      <c r="C105" s="143" t="s">
        <v>331</v>
      </c>
      <c r="D105" s="143">
        <v>3392</v>
      </c>
      <c r="E105" s="143"/>
      <c r="F105" s="143" t="s">
        <v>429</v>
      </c>
      <c r="G105" s="144">
        <v>2465.25</v>
      </c>
      <c r="H105" s="144">
        <v>2465.25</v>
      </c>
      <c r="I105" s="144">
        <v>2465.25</v>
      </c>
    </row>
    <row r="106" spans="1:9" x14ac:dyDescent="0.25">
      <c r="B106" s="143" t="s">
        <v>407</v>
      </c>
      <c r="C106" s="143" t="s">
        <v>331</v>
      </c>
      <c r="D106" s="143">
        <v>3391</v>
      </c>
      <c r="E106" s="143" t="s">
        <v>396</v>
      </c>
      <c r="F106" s="143" t="s">
        <v>429</v>
      </c>
      <c r="G106" s="144">
        <v>2832.11</v>
      </c>
      <c r="H106" s="144">
        <v>2832.11</v>
      </c>
      <c r="I106" s="144">
        <v>5297.36</v>
      </c>
    </row>
    <row r="107" spans="1:9" x14ac:dyDescent="0.25">
      <c r="B107" s="143" t="s">
        <v>410</v>
      </c>
      <c r="C107" s="143" t="s">
        <v>430</v>
      </c>
      <c r="D107" s="143">
        <v>3427</v>
      </c>
      <c r="E107" s="143" t="s">
        <v>396</v>
      </c>
      <c r="F107" s="143" t="s">
        <v>410</v>
      </c>
      <c r="G107" s="144">
        <v>-253.76</v>
      </c>
      <c r="H107" s="144">
        <v>-253.76</v>
      </c>
      <c r="I107" s="144">
        <v>5043.6000000000004</v>
      </c>
    </row>
    <row r="108" spans="1:9" x14ac:dyDescent="0.25">
      <c r="B108" s="143" t="s">
        <v>343</v>
      </c>
      <c r="C108" s="143" t="s">
        <v>331</v>
      </c>
      <c r="D108" s="143">
        <v>3699</v>
      </c>
      <c r="E108" s="143" t="s">
        <v>396</v>
      </c>
      <c r="F108" s="143" t="s">
        <v>344</v>
      </c>
      <c r="G108" s="144">
        <v>3822.27</v>
      </c>
      <c r="H108" s="144">
        <v>3822.27</v>
      </c>
      <c r="I108" s="144">
        <v>8865.8700000000008</v>
      </c>
    </row>
    <row r="109" spans="1:9" x14ac:dyDescent="0.25">
      <c r="B109" s="143" t="s">
        <v>344</v>
      </c>
      <c r="C109" s="143" t="s">
        <v>331</v>
      </c>
      <c r="D109" s="143">
        <v>3700</v>
      </c>
      <c r="E109" s="143" t="s">
        <v>396</v>
      </c>
      <c r="F109" s="143" t="s">
        <v>345</v>
      </c>
      <c r="G109" s="144">
        <v>3709.19</v>
      </c>
      <c r="H109" s="144">
        <v>3709.19</v>
      </c>
      <c r="I109" s="144">
        <v>12575.06</v>
      </c>
    </row>
    <row r="110" spans="1:9" x14ac:dyDescent="0.25">
      <c r="B110" s="143" t="s">
        <v>346</v>
      </c>
      <c r="C110" s="143" t="s">
        <v>331</v>
      </c>
      <c r="D110" s="143">
        <v>3701</v>
      </c>
      <c r="E110" s="143" t="s">
        <v>396</v>
      </c>
      <c r="F110" s="143" t="s">
        <v>347</v>
      </c>
      <c r="G110" s="144">
        <v>3369.93</v>
      </c>
      <c r="H110" s="144">
        <v>3369.93</v>
      </c>
      <c r="I110" s="144">
        <v>15944.99</v>
      </c>
    </row>
    <row r="111" spans="1:9" x14ac:dyDescent="0.25">
      <c r="B111" s="143" t="s">
        <v>347</v>
      </c>
      <c r="C111" s="143" t="s">
        <v>331</v>
      </c>
      <c r="D111" s="143">
        <v>3630</v>
      </c>
      <c r="E111" s="143" t="s">
        <v>396</v>
      </c>
      <c r="F111" s="143" t="s">
        <v>348</v>
      </c>
      <c r="G111" s="144">
        <v>642.6</v>
      </c>
      <c r="H111" s="144">
        <v>642.6</v>
      </c>
      <c r="I111" s="144">
        <v>16587.59</v>
      </c>
    </row>
    <row r="112" spans="1:9" x14ac:dyDescent="0.25">
      <c r="B112" s="143" t="s">
        <v>347</v>
      </c>
      <c r="C112" s="143" t="s">
        <v>331</v>
      </c>
      <c r="D112" s="143">
        <v>3702</v>
      </c>
      <c r="E112" s="143" t="s">
        <v>396</v>
      </c>
      <c r="F112" s="143" t="s">
        <v>348</v>
      </c>
      <c r="G112" s="144">
        <v>2623.57</v>
      </c>
      <c r="H112" s="144">
        <v>2623.57</v>
      </c>
      <c r="I112" s="144">
        <v>19211.16</v>
      </c>
    </row>
    <row r="113" spans="1:9" x14ac:dyDescent="0.25">
      <c r="B113" s="143" t="s">
        <v>347</v>
      </c>
      <c r="C113" s="143" t="s">
        <v>331</v>
      </c>
      <c r="D113" s="143">
        <v>3690</v>
      </c>
      <c r="E113" s="143" t="s">
        <v>396</v>
      </c>
      <c r="F113" s="143" t="s">
        <v>348</v>
      </c>
      <c r="G113" s="144">
        <v>3659.04</v>
      </c>
      <c r="H113" s="144">
        <v>3659.04</v>
      </c>
      <c r="I113" s="144">
        <v>22870.2</v>
      </c>
    </row>
    <row r="114" spans="1:9" x14ac:dyDescent="0.25">
      <c r="B114" s="143" t="s">
        <v>349</v>
      </c>
      <c r="C114" s="143" t="s">
        <v>331</v>
      </c>
      <c r="D114" s="143">
        <v>3748</v>
      </c>
      <c r="E114" s="143" t="s">
        <v>396</v>
      </c>
      <c r="F114" s="143" t="s">
        <v>349</v>
      </c>
      <c r="G114" s="144">
        <v>3893.4</v>
      </c>
      <c r="H114" s="144">
        <v>3893.4</v>
      </c>
      <c r="I114" s="144">
        <v>26763.599999999999</v>
      </c>
    </row>
    <row r="115" spans="1:9" x14ac:dyDescent="0.25">
      <c r="B115" s="143" t="s">
        <v>349</v>
      </c>
      <c r="C115" s="143" t="s">
        <v>331</v>
      </c>
      <c r="D115" s="143">
        <v>3746</v>
      </c>
      <c r="E115" s="143" t="s">
        <v>396</v>
      </c>
      <c r="F115" s="143" t="s">
        <v>349</v>
      </c>
      <c r="G115" s="144">
        <v>1831.97</v>
      </c>
      <c r="H115" s="144">
        <v>1831.97</v>
      </c>
      <c r="I115" s="144">
        <v>28595.57</v>
      </c>
    </row>
    <row r="116" spans="1:9" x14ac:dyDescent="0.25">
      <c r="B116" s="143" t="s">
        <v>349</v>
      </c>
      <c r="C116" s="143" t="s">
        <v>331</v>
      </c>
      <c r="D116" s="143">
        <v>3747</v>
      </c>
      <c r="E116" s="143" t="s">
        <v>396</v>
      </c>
      <c r="F116" s="143" t="s">
        <v>349</v>
      </c>
      <c r="G116" s="144">
        <v>3858.63</v>
      </c>
      <c r="H116" s="144">
        <v>3858.63</v>
      </c>
      <c r="I116" s="144">
        <v>32454.2</v>
      </c>
    </row>
    <row r="117" spans="1:9" x14ac:dyDescent="0.25">
      <c r="B117" s="143" t="s">
        <v>351</v>
      </c>
      <c r="C117" s="143" t="s">
        <v>331</v>
      </c>
      <c r="D117" s="143">
        <v>3788</v>
      </c>
      <c r="E117" s="143" t="s">
        <v>396</v>
      </c>
      <c r="F117" s="143" t="s">
        <v>351</v>
      </c>
      <c r="G117" s="144">
        <v>1560.57</v>
      </c>
      <c r="H117" s="144">
        <v>1560.57</v>
      </c>
      <c r="I117" s="144">
        <v>34014.769999999997</v>
      </c>
    </row>
    <row r="118" spans="1:9" x14ac:dyDescent="0.25">
      <c r="B118" s="143" t="s">
        <v>351</v>
      </c>
      <c r="C118" s="143" t="s">
        <v>331</v>
      </c>
      <c r="D118" s="143">
        <v>3789</v>
      </c>
      <c r="E118" s="143" t="s">
        <v>396</v>
      </c>
      <c r="F118" s="143" t="s">
        <v>351</v>
      </c>
      <c r="G118" s="144">
        <v>3758.83</v>
      </c>
      <c r="H118" s="144">
        <v>3758.83</v>
      </c>
      <c r="I118" s="144">
        <v>37773.599999999999</v>
      </c>
    </row>
    <row r="119" spans="1:9" x14ac:dyDescent="0.25">
      <c r="A119" s="142" t="s">
        <v>431</v>
      </c>
      <c r="G119" s="145">
        <v>37773.599999999999</v>
      </c>
      <c r="H119" s="145">
        <v>37773.599999999999</v>
      </c>
    </row>
    <row r="120" spans="1:9" x14ac:dyDescent="0.25">
      <c r="A120" s="142" t="s">
        <v>432</v>
      </c>
    </row>
    <row r="121" spans="1:9" x14ac:dyDescent="0.25">
      <c r="B121" s="143" t="s">
        <v>433</v>
      </c>
      <c r="C121" s="143" t="s">
        <v>331</v>
      </c>
      <c r="D121" s="143">
        <v>3417</v>
      </c>
      <c r="E121" s="143" t="s">
        <v>124</v>
      </c>
      <c r="F121" s="143" t="s">
        <v>434</v>
      </c>
      <c r="G121" s="144">
        <v>64814.400000000001</v>
      </c>
      <c r="H121" s="144">
        <v>217.03</v>
      </c>
      <c r="I121" s="144">
        <v>217.03</v>
      </c>
    </row>
    <row r="122" spans="1:9" x14ac:dyDescent="0.25">
      <c r="B122" s="143" t="s">
        <v>435</v>
      </c>
      <c r="C122" s="143" t="s">
        <v>331</v>
      </c>
      <c r="D122" s="143">
        <v>3475</v>
      </c>
      <c r="E122" s="143" t="s">
        <v>124</v>
      </c>
      <c r="F122" s="143" t="s">
        <v>436</v>
      </c>
      <c r="G122" s="144">
        <v>14612.85</v>
      </c>
      <c r="H122" s="144">
        <v>997.16</v>
      </c>
      <c r="I122" s="144">
        <v>1214.19</v>
      </c>
    </row>
    <row r="123" spans="1:9" x14ac:dyDescent="0.25">
      <c r="B123" s="143" t="s">
        <v>437</v>
      </c>
      <c r="C123" s="143" t="s">
        <v>331</v>
      </c>
      <c r="D123" s="143">
        <v>3517</v>
      </c>
      <c r="E123" s="143" t="s">
        <v>124</v>
      </c>
      <c r="F123" s="143" t="s">
        <v>438</v>
      </c>
      <c r="G123" s="144">
        <v>46265.31</v>
      </c>
      <c r="H123" s="144">
        <v>997.16</v>
      </c>
      <c r="I123" s="144">
        <v>2211.35</v>
      </c>
    </row>
    <row r="124" spans="1:9" x14ac:dyDescent="0.25">
      <c r="B124" s="143" t="s">
        <v>437</v>
      </c>
      <c r="C124" s="143" t="s">
        <v>331</v>
      </c>
      <c r="D124" s="143">
        <v>3518</v>
      </c>
      <c r="E124" s="143" t="s">
        <v>124</v>
      </c>
      <c r="F124" s="143" t="s">
        <v>438</v>
      </c>
      <c r="G124" s="144">
        <v>21819.42</v>
      </c>
      <c r="H124" s="144">
        <v>340.2</v>
      </c>
      <c r="I124" s="144">
        <v>2551.5500000000002</v>
      </c>
    </row>
    <row r="125" spans="1:9" x14ac:dyDescent="0.25">
      <c r="B125" s="143" t="s">
        <v>439</v>
      </c>
      <c r="C125" s="143" t="s">
        <v>331</v>
      </c>
      <c r="D125" s="143">
        <v>3693</v>
      </c>
      <c r="E125" s="143" t="s">
        <v>124</v>
      </c>
      <c r="F125" s="143" t="s">
        <v>376</v>
      </c>
      <c r="G125" s="144">
        <v>51674.18</v>
      </c>
      <c r="H125" s="144">
        <v>41674.18</v>
      </c>
      <c r="I125" s="144">
        <v>44225.73</v>
      </c>
    </row>
    <row r="126" spans="1:9" x14ac:dyDescent="0.25">
      <c r="B126" s="143" t="s">
        <v>349</v>
      </c>
      <c r="C126" s="143" t="s">
        <v>331</v>
      </c>
      <c r="D126" s="143">
        <v>3723</v>
      </c>
      <c r="E126" s="143" t="s">
        <v>124</v>
      </c>
      <c r="F126" s="143" t="s">
        <v>440</v>
      </c>
      <c r="G126" s="144">
        <v>62588.4</v>
      </c>
      <c r="H126" s="144">
        <v>62588.4</v>
      </c>
      <c r="I126" s="144">
        <v>106814.13</v>
      </c>
    </row>
    <row r="127" spans="1:9" x14ac:dyDescent="0.25">
      <c r="B127" s="143" t="s">
        <v>349</v>
      </c>
      <c r="C127" s="143" t="s">
        <v>331</v>
      </c>
      <c r="D127" s="143">
        <v>3724</v>
      </c>
      <c r="E127" s="143" t="s">
        <v>124</v>
      </c>
      <c r="F127" s="143" t="s">
        <v>440</v>
      </c>
      <c r="G127" s="144">
        <v>9133.43</v>
      </c>
      <c r="H127" s="144">
        <v>9133.43</v>
      </c>
      <c r="I127" s="144">
        <v>115947.56</v>
      </c>
    </row>
    <row r="128" spans="1:9" x14ac:dyDescent="0.25">
      <c r="B128" s="143" t="s">
        <v>441</v>
      </c>
      <c r="C128" s="143" t="s">
        <v>331</v>
      </c>
      <c r="D128" s="143">
        <v>3790</v>
      </c>
      <c r="E128" s="143" t="s">
        <v>124</v>
      </c>
      <c r="F128" s="143" t="s">
        <v>442</v>
      </c>
      <c r="G128" s="144">
        <v>71061.899999999994</v>
      </c>
      <c r="H128" s="144">
        <v>71061.899999999994</v>
      </c>
      <c r="I128" s="144">
        <v>187009.46</v>
      </c>
    </row>
    <row r="129" spans="1:9" x14ac:dyDescent="0.25">
      <c r="B129" s="143" t="s">
        <v>443</v>
      </c>
      <c r="C129" s="143" t="s">
        <v>430</v>
      </c>
      <c r="D129" s="143"/>
      <c r="E129" s="143" t="s">
        <v>124</v>
      </c>
      <c r="F129" s="143" t="s">
        <v>443</v>
      </c>
      <c r="G129" s="144">
        <v>-4861.58</v>
      </c>
      <c r="H129" s="144">
        <v>-4861.58</v>
      </c>
      <c r="I129" s="144">
        <v>182147.88</v>
      </c>
    </row>
    <row r="130" spans="1:9" x14ac:dyDescent="0.25">
      <c r="B130" s="143" t="s">
        <v>372</v>
      </c>
      <c r="C130" s="143" t="s">
        <v>331</v>
      </c>
      <c r="D130" s="143">
        <v>3803</v>
      </c>
      <c r="E130" s="143" t="s">
        <v>124</v>
      </c>
      <c r="F130" s="143" t="s">
        <v>444</v>
      </c>
      <c r="G130" s="144">
        <v>12625.2</v>
      </c>
      <c r="H130" s="144">
        <v>12625.2</v>
      </c>
      <c r="I130" s="144">
        <v>194773.08</v>
      </c>
    </row>
    <row r="131" spans="1:9" x14ac:dyDescent="0.25">
      <c r="A131" s="142" t="s">
        <v>445</v>
      </c>
      <c r="G131" s="145">
        <v>349733.51</v>
      </c>
      <c r="H131" s="145">
        <v>194773.08</v>
      </c>
    </row>
    <row r="132" spans="1:9" x14ac:dyDescent="0.25">
      <c r="A132" s="142" t="s">
        <v>446</v>
      </c>
    </row>
    <row r="133" spans="1:9" x14ac:dyDescent="0.25">
      <c r="B133" s="143" t="s">
        <v>339</v>
      </c>
      <c r="C133" s="143" t="s">
        <v>447</v>
      </c>
      <c r="D133" s="143"/>
      <c r="E133" s="143"/>
      <c r="F133" s="143" t="s">
        <v>339</v>
      </c>
      <c r="G133" s="144">
        <v>-100000</v>
      </c>
      <c r="H133" s="144">
        <v>-63250</v>
      </c>
      <c r="I133" s="144">
        <v>-63250</v>
      </c>
    </row>
    <row r="134" spans="1:9" x14ac:dyDescent="0.25">
      <c r="A134" s="142" t="s">
        <v>448</v>
      </c>
      <c r="G134" s="145">
        <v>-100000</v>
      </c>
      <c r="H134" s="145">
        <v>-63250</v>
      </c>
    </row>
    <row r="135" spans="1:9" x14ac:dyDescent="0.25">
      <c r="A135" s="142" t="s">
        <v>449</v>
      </c>
    </row>
    <row r="136" spans="1:9" x14ac:dyDescent="0.25">
      <c r="B136" s="143" t="s">
        <v>376</v>
      </c>
      <c r="C136" s="143" t="s">
        <v>331</v>
      </c>
      <c r="D136" s="143">
        <v>3786</v>
      </c>
      <c r="E136" s="143" t="s">
        <v>133</v>
      </c>
      <c r="F136" s="143" t="s">
        <v>378</v>
      </c>
      <c r="G136" s="144">
        <v>4310.7299999999996</v>
      </c>
      <c r="H136" s="144">
        <v>4310.7299999999996</v>
      </c>
      <c r="I136" s="144">
        <v>4310.7299999999996</v>
      </c>
    </row>
    <row r="137" spans="1:9" x14ac:dyDescent="0.25">
      <c r="A137" s="142" t="s">
        <v>450</v>
      </c>
      <c r="G137" s="145">
        <v>4310.7299999999996</v>
      </c>
      <c r="H137" s="145">
        <v>4310.7299999999996</v>
      </c>
    </row>
    <row r="138" spans="1:9" x14ac:dyDescent="0.25">
      <c r="A138" s="142" t="s">
        <v>451</v>
      </c>
    </row>
    <row r="139" spans="1:9" x14ac:dyDescent="0.25">
      <c r="B139" s="143" t="s">
        <v>452</v>
      </c>
      <c r="C139" s="143" t="s">
        <v>453</v>
      </c>
      <c r="D139" s="143" t="s">
        <v>454</v>
      </c>
      <c r="E139" s="143" t="s">
        <v>132</v>
      </c>
      <c r="F139" s="143" t="s">
        <v>452</v>
      </c>
      <c r="G139" s="144">
        <v>-50713.2</v>
      </c>
      <c r="H139" s="144">
        <v>-3976.56</v>
      </c>
      <c r="I139" s="144">
        <v>-3976.56</v>
      </c>
    </row>
    <row r="140" spans="1:9" x14ac:dyDescent="0.25">
      <c r="B140" s="143" t="s">
        <v>455</v>
      </c>
      <c r="C140" s="143" t="s">
        <v>453</v>
      </c>
      <c r="D140" s="143" t="s">
        <v>456</v>
      </c>
      <c r="E140" s="143" t="s">
        <v>132</v>
      </c>
      <c r="F140" s="143" t="s">
        <v>455</v>
      </c>
      <c r="G140" s="144">
        <v>-101661.84</v>
      </c>
      <c r="H140" s="144">
        <v>-0.03</v>
      </c>
      <c r="I140" s="144">
        <v>-3976.59</v>
      </c>
    </row>
    <row r="141" spans="1:9" x14ac:dyDescent="0.25">
      <c r="A141" s="142" t="s">
        <v>457</v>
      </c>
      <c r="G141" s="145">
        <v>-152375.04000000001</v>
      </c>
      <c r="H141" s="145">
        <v>-3976.59</v>
      </c>
    </row>
    <row r="142" spans="1:9" x14ac:dyDescent="0.25">
      <c r="A142" s="142" t="s">
        <v>458</v>
      </c>
    </row>
    <row r="143" spans="1:9" x14ac:dyDescent="0.25">
      <c r="B143" s="143" t="s">
        <v>459</v>
      </c>
      <c r="C143" s="143" t="s">
        <v>331</v>
      </c>
      <c r="D143" s="143">
        <v>3706</v>
      </c>
      <c r="E143" s="143" t="s">
        <v>123</v>
      </c>
      <c r="F143" s="143" t="s">
        <v>460</v>
      </c>
      <c r="G143" s="144">
        <v>38482.879999999997</v>
      </c>
      <c r="H143" s="144">
        <v>38482.879999999997</v>
      </c>
      <c r="I143" s="144">
        <v>38482.879999999997</v>
      </c>
    </row>
    <row r="144" spans="1:9" x14ac:dyDescent="0.25">
      <c r="B144" s="143" t="s">
        <v>461</v>
      </c>
      <c r="C144" s="143" t="s">
        <v>331</v>
      </c>
      <c r="D144" s="143">
        <v>3727</v>
      </c>
      <c r="E144" s="143" t="s">
        <v>123</v>
      </c>
      <c r="F144" s="143" t="s">
        <v>354</v>
      </c>
      <c r="G144" s="144">
        <v>64227.6</v>
      </c>
      <c r="H144" s="144">
        <v>64227.6</v>
      </c>
      <c r="I144" s="144">
        <v>102710.48</v>
      </c>
    </row>
    <row r="145" spans="1:9" x14ac:dyDescent="0.25">
      <c r="B145" s="143" t="s">
        <v>462</v>
      </c>
      <c r="C145" s="143" t="s">
        <v>331</v>
      </c>
      <c r="D145" s="143">
        <v>3740</v>
      </c>
      <c r="E145" s="143" t="s">
        <v>123</v>
      </c>
      <c r="F145" s="143" t="s">
        <v>463</v>
      </c>
      <c r="G145" s="144">
        <v>64121.99</v>
      </c>
      <c r="H145" s="144">
        <v>64121.99</v>
      </c>
      <c r="I145" s="144">
        <v>166832.47</v>
      </c>
    </row>
    <row r="146" spans="1:9" x14ac:dyDescent="0.25">
      <c r="B146" s="143" t="s">
        <v>462</v>
      </c>
      <c r="C146" s="143" t="s">
        <v>331</v>
      </c>
      <c r="D146" s="143">
        <v>3741</v>
      </c>
      <c r="E146" s="143" t="s">
        <v>123</v>
      </c>
      <c r="F146" s="143" t="s">
        <v>463</v>
      </c>
      <c r="G146" s="144">
        <v>6327.05</v>
      </c>
      <c r="H146" s="144">
        <v>6327.05</v>
      </c>
      <c r="I146" s="144">
        <v>173159.52</v>
      </c>
    </row>
    <row r="147" spans="1:9" x14ac:dyDescent="0.25">
      <c r="B147" s="143" t="s">
        <v>462</v>
      </c>
      <c r="C147" s="143" t="s">
        <v>331</v>
      </c>
      <c r="D147" s="143">
        <v>3737</v>
      </c>
      <c r="E147" s="143" t="s">
        <v>123</v>
      </c>
      <c r="F147" s="143" t="s">
        <v>463</v>
      </c>
      <c r="G147" s="144">
        <v>48886.79</v>
      </c>
      <c r="H147" s="144">
        <v>48886.79</v>
      </c>
      <c r="I147" s="144">
        <v>222046.31</v>
      </c>
    </row>
    <row r="148" spans="1:9" x14ac:dyDescent="0.25">
      <c r="B148" s="143" t="s">
        <v>462</v>
      </c>
      <c r="C148" s="143" t="s">
        <v>331</v>
      </c>
      <c r="D148" s="143">
        <v>3738</v>
      </c>
      <c r="E148" s="143" t="s">
        <v>123</v>
      </c>
      <c r="F148" s="143" t="s">
        <v>463</v>
      </c>
      <c r="G148" s="144">
        <v>7097.64</v>
      </c>
      <c r="H148" s="144">
        <v>7097.64</v>
      </c>
      <c r="I148" s="144">
        <v>229143.95</v>
      </c>
    </row>
    <row r="149" spans="1:9" x14ac:dyDescent="0.25">
      <c r="B149" s="143" t="s">
        <v>455</v>
      </c>
      <c r="C149" s="143" t="s">
        <v>331</v>
      </c>
      <c r="D149" s="143">
        <v>3763</v>
      </c>
      <c r="E149" s="143" t="s">
        <v>123</v>
      </c>
      <c r="F149" s="143" t="s">
        <v>464</v>
      </c>
      <c r="G149" s="144">
        <v>71758.240000000005</v>
      </c>
      <c r="H149" s="144">
        <v>71758.240000000005</v>
      </c>
      <c r="I149" s="144">
        <v>300902.19</v>
      </c>
    </row>
    <row r="150" spans="1:9" x14ac:dyDescent="0.25">
      <c r="B150" s="143" t="s">
        <v>455</v>
      </c>
      <c r="C150" s="143" t="s">
        <v>331</v>
      </c>
      <c r="D150" s="143">
        <v>3762</v>
      </c>
      <c r="E150" s="143" t="s">
        <v>123</v>
      </c>
      <c r="F150" s="143" t="s">
        <v>464</v>
      </c>
      <c r="G150" s="144">
        <v>147518.76999999999</v>
      </c>
      <c r="H150" s="144">
        <v>147518.76999999999</v>
      </c>
      <c r="I150" s="144">
        <v>448420.96</v>
      </c>
    </row>
    <row r="151" spans="1:9" x14ac:dyDescent="0.25">
      <c r="B151" s="143" t="s">
        <v>401</v>
      </c>
      <c r="C151" s="143" t="s">
        <v>331</v>
      </c>
      <c r="D151" s="143">
        <v>3784</v>
      </c>
      <c r="E151" s="143" t="s">
        <v>123</v>
      </c>
      <c r="F151" s="143" t="s">
        <v>465</v>
      </c>
      <c r="G151" s="144">
        <v>1460.1</v>
      </c>
      <c r="H151" s="144">
        <v>1460.1</v>
      </c>
      <c r="I151" s="144">
        <v>449881.06</v>
      </c>
    </row>
    <row r="152" spans="1:9" x14ac:dyDescent="0.25">
      <c r="B152" s="143" t="s">
        <v>401</v>
      </c>
      <c r="C152" s="143" t="s">
        <v>331</v>
      </c>
      <c r="D152" s="143">
        <v>3785</v>
      </c>
      <c r="E152" s="143" t="s">
        <v>123</v>
      </c>
      <c r="F152" s="143" t="s">
        <v>465</v>
      </c>
      <c r="G152" s="144">
        <v>79113.37</v>
      </c>
      <c r="H152" s="144">
        <v>79113.37</v>
      </c>
      <c r="I152" s="144">
        <v>528994.43000000005</v>
      </c>
    </row>
    <row r="153" spans="1:9" x14ac:dyDescent="0.25">
      <c r="B153" s="143" t="s">
        <v>441</v>
      </c>
      <c r="C153" s="143" t="s">
        <v>331</v>
      </c>
      <c r="D153" s="143">
        <v>3791</v>
      </c>
      <c r="E153" s="143" t="s">
        <v>123</v>
      </c>
      <c r="F153" s="143" t="s">
        <v>466</v>
      </c>
      <c r="G153" s="144">
        <v>18192.14</v>
      </c>
      <c r="H153" s="144">
        <v>18192.14</v>
      </c>
      <c r="I153" s="144">
        <v>547186.56999999995</v>
      </c>
    </row>
    <row r="154" spans="1:9" x14ac:dyDescent="0.25">
      <c r="B154" s="143" t="s">
        <v>372</v>
      </c>
      <c r="C154" s="143" t="s">
        <v>331</v>
      </c>
      <c r="D154" s="143">
        <v>3805</v>
      </c>
      <c r="E154" s="143" t="s">
        <v>123</v>
      </c>
      <c r="F154" s="143" t="s">
        <v>467</v>
      </c>
      <c r="G154" s="144">
        <v>21043.84</v>
      </c>
      <c r="H154" s="144">
        <v>21043.84</v>
      </c>
      <c r="I154" s="144">
        <v>568230.41</v>
      </c>
    </row>
    <row r="155" spans="1:9" x14ac:dyDescent="0.25">
      <c r="B155" s="143" t="s">
        <v>992</v>
      </c>
      <c r="C155" s="143" t="s">
        <v>331</v>
      </c>
      <c r="D155" s="143">
        <v>3804</v>
      </c>
      <c r="E155" s="143" t="s">
        <v>123</v>
      </c>
      <c r="F155" s="143" t="s">
        <v>1086</v>
      </c>
      <c r="G155" s="144">
        <v>39433.629999999997</v>
      </c>
      <c r="H155" s="144">
        <v>39433.629999999997</v>
      </c>
      <c r="I155" s="144">
        <v>607664.04</v>
      </c>
    </row>
    <row r="156" spans="1:9" x14ac:dyDescent="0.25">
      <c r="A156" s="142" t="s">
        <v>468</v>
      </c>
      <c r="G156" s="145">
        <v>607664.04</v>
      </c>
      <c r="H156" s="145">
        <v>607664.04</v>
      </c>
    </row>
    <row r="157" spans="1:9" x14ac:dyDescent="0.25">
      <c r="A157" s="142" t="s">
        <v>469</v>
      </c>
    </row>
    <row r="158" spans="1:9" x14ac:dyDescent="0.25">
      <c r="B158" s="143" t="s">
        <v>470</v>
      </c>
      <c r="C158" s="143" t="s">
        <v>331</v>
      </c>
      <c r="D158" s="143">
        <v>3551</v>
      </c>
      <c r="E158" s="143" t="s">
        <v>121</v>
      </c>
      <c r="F158" s="143" t="s">
        <v>471</v>
      </c>
      <c r="G158" s="144">
        <v>3686.55</v>
      </c>
      <c r="H158" s="144">
        <v>1663.05</v>
      </c>
      <c r="I158" s="144">
        <v>1663.05</v>
      </c>
    </row>
    <row r="159" spans="1:9" x14ac:dyDescent="0.25">
      <c r="B159" s="143" t="s">
        <v>426</v>
      </c>
      <c r="C159" s="143" t="s">
        <v>331</v>
      </c>
      <c r="D159" s="143">
        <v>3729</v>
      </c>
      <c r="E159" s="143" t="s">
        <v>121</v>
      </c>
      <c r="F159" s="143" t="s">
        <v>472</v>
      </c>
      <c r="G159" s="144">
        <v>5214.88</v>
      </c>
      <c r="H159" s="144">
        <v>5214.88</v>
      </c>
      <c r="I159" s="144">
        <v>6877.93</v>
      </c>
    </row>
    <row r="160" spans="1:9" x14ac:dyDescent="0.25">
      <c r="B160" s="143" t="s">
        <v>473</v>
      </c>
      <c r="C160" s="143" t="s">
        <v>331</v>
      </c>
      <c r="D160" s="143">
        <v>3756</v>
      </c>
      <c r="E160" s="143" t="s">
        <v>121</v>
      </c>
      <c r="F160" s="143" t="s">
        <v>474</v>
      </c>
      <c r="G160" s="144">
        <v>11010.84</v>
      </c>
      <c r="H160" s="144">
        <v>11010.84</v>
      </c>
      <c r="I160" s="144">
        <v>17888.77</v>
      </c>
    </row>
    <row r="161" spans="1:9" x14ac:dyDescent="0.25">
      <c r="B161" s="143" t="s">
        <v>350</v>
      </c>
      <c r="C161" s="143" t="s">
        <v>331</v>
      </c>
      <c r="D161" s="143">
        <v>3770</v>
      </c>
      <c r="E161" s="143" t="s">
        <v>121</v>
      </c>
      <c r="F161" s="143" t="s">
        <v>475</v>
      </c>
      <c r="G161" s="144">
        <v>7474.24</v>
      </c>
      <c r="H161" s="144">
        <v>7474.24</v>
      </c>
      <c r="I161" s="144">
        <v>25363.01</v>
      </c>
    </row>
    <row r="162" spans="1:9" x14ac:dyDescent="0.25">
      <c r="B162" s="143" t="s">
        <v>476</v>
      </c>
      <c r="C162" s="143" t="s">
        <v>331</v>
      </c>
      <c r="D162" s="143">
        <v>3795</v>
      </c>
      <c r="E162" s="143" t="s">
        <v>121</v>
      </c>
      <c r="F162" s="143" t="s">
        <v>477</v>
      </c>
      <c r="G162" s="144">
        <v>7379.82</v>
      </c>
      <c r="H162" s="144">
        <v>7379.82</v>
      </c>
      <c r="I162" s="144">
        <v>32742.83</v>
      </c>
    </row>
    <row r="163" spans="1:9" x14ac:dyDescent="0.25">
      <c r="A163" s="142" t="s">
        <v>478</v>
      </c>
      <c r="G163" s="145">
        <v>34766.33</v>
      </c>
      <c r="H163" s="145">
        <v>32742.83</v>
      </c>
    </row>
    <row r="164" spans="1:9" x14ac:dyDescent="0.25">
      <c r="A164" s="142" t="s">
        <v>479</v>
      </c>
    </row>
    <row r="165" spans="1:9" x14ac:dyDescent="0.25">
      <c r="B165" s="143" t="s">
        <v>349</v>
      </c>
      <c r="C165" s="143" t="s">
        <v>331</v>
      </c>
      <c r="D165" s="143">
        <v>3725</v>
      </c>
      <c r="E165" s="143" t="s">
        <v>121</v>
      </c>
      <c r="F165" s="143" t="s">
        <v>350</v>
      </c>
      <c r="G165" s="144">
        <v>21483.39</v>
      </c>
      <c r="H165" s="144">
        <v>21483.39</v>
      </c>
      <c r="I165" s="144">
        <v>21483.39</v>
      </c>
    </row>
    <row r="166" spans="1:9" x14ac:dyDescent="0.25">
      <c r="A166" s="142" t="s">
        <v>480</v>
      </c>
      <c r="G166" s="145">
        <v>21483.39</v>
      </c>
      <c r="H166" s="145">
        <v>21483.39</v>
      </c>
    </row>
    <row r="167" spans="1:9" x14ac:dyDescent="0.25">
      <c r="A167" s="142" t="s">
        <v>481</v>
      </c>
    </row>
    <row r="168" spans="1:9" x14ac:dyDescent="0.25">
      <c r="B168" s="143" t="s">
        <v>482</v>
      </c>
      <c r="C168" s="143" t="s">
        <v>331</v>
      </c>
      <c r="D168" s="143" t="s">
        <v>483</v>
      </c>
      <c r="E168" s="143" t="s">
        <v>125</v>
      </c>
      <c r="F168" s="143" t="s">
        <v>484</v>
      </c>
      <c r="G168" s="144">
        <v>12338.19</v>
      </c>
      <c r="H168" s="144">
        <v>12338.19</v>
      </c>
      <c r="I168" s="144">
        <v>12338.19</v>
      </c>
    </row>
    <row r="169" spans="1:9" x14ac:dyDescent="0.25">
      <c r="A169" s="142" t="s">
        <v>485</v>
      </c>
      <c r="G169" s="145">
        <v>12338.19</v>
      </c>
      <c r="H169" s="145">
        <v>12338.19</v>
      </c>
    </row>
    <row r="170" spans="1:9" x14ac:dyDescent="0.25">
      <c r="A170" s="142" t="s">
        <v>486</v>
      </c>
    </row>
    <row r="171" spans="1:9" x14ac:dyDescent="0.25">
      <c r="B171" s="143" t="s">
        <v>487</v>
      </c>
      <c r="C171" s="143" t="s">
        <v>331</v>
      </c>
      <c r="D171" s="143">
        <v>2958</v>
      </c>
      <c r="E171" s="143" t="s">
        <v>121</v>
      </c>
      <c r="F171" s="143" t="s">
        <v>488</v>
      </c>
      <c r="G171" s="144">
        <v>5809.97</v>
      </c>
      <c r="H171" s="144">
        <v>5809.97</v>
      </c>
      <c r="I171" s="144">
        <v>5809.97</v>
      </c>
    </row>
    <row r="172" spans="1:9" x14ac:dyDescent="0.25">
      <c r="A172" s="142" t="s">
        <v>489</v>
      </c>
      <c r="G172" s="145">
        <v>5809.97</v>
      </c>
      <c r="H172" s="145">
        <v>5809.97</v>
      </c>
    </row>
    <row r="173" spans="1:9" x14ac:dyDescent="0.25">
      <c r="A173" s="142" t="s">
        <v>490</v>
      </c>
    </row>
    <row r="174" spans="1:9" x14ac:dyDescent="0.25">
      <c r="B174" s="143" t="s">
        <v>385</v>
      </c>
      <c r="C174" s="143" t="s">
        <v>331</v>
      </c>
      <c r="D174" s="143">
        <v>3089</v>
      </c>
      <c r="E174" s="143" t="s">
        <v>124</v>
      </c>
      <c r="F174" s="143" t="s">
        <v>337</v>
      </c>
      <c r="G174" s="144">
        <v>11415.6</v>
      </c>
      <c r="H174" s="144">
        <v>8834.8799999999992</v>
      </c>
      <c r="I174" s="144">
        <v>8834.8799999999992</v>
      </c>
    </row>
    <row r="175" spans="1:9" x14ac:dyDescent="0.25">
      <c r="A175" s="142" t="s">
        <v>491</v>
      </c>
      <c r="G175" s="145">
        <v>11415.6</v>
      </c>
      <c r="H175" s="145">
        <v>8834.8799999999992</v>
      </c>
    </row>
    <row r="176" spans="1:9" x14ac:dyDescent="0.25">
      <c r="A176" s="142" t="s">
        <v>492</v>
      </c>
    </row>
    <row r="177" spans="1:9" x14ac:dyDescent="0.25">
      <c r="B177" s="143" t="s">
        <v>493</v>
      </c>
      <c r="C177" s="143" t="s">
        <v>453</v>
      </c>
      <c r="D177" s="143"/>
      <c r="E177" s="143" t="s">
        <v>121</v>
      </c>
      <c r="F177" s="143" t="s">
        <v>493</v>
      </c>
      <c r="G177" s="144">
        <v>-2122.9499999999998</v>
      </c>
      <c r="H177" s="144">
        <v>-226.61</v>
      </c>
      <c r="I177" s="144">
        <v>-226.61</v>
      </c>
    </row>
    <row r="178" spans="1:9" x14ac:dyDescent="0.25">
      <c r="A178" s="142" t="s">
        <v>494</v>
      </c>
      <c r="G178" s="145">
        <v>-2122.9499999999998</v>
      </c>
      <c r="H178" s="145">
        <v>-226.61</v>
      </c>
    </row>
    <row r="179" spans="1:9" x14ac:dyDescent="0.25">
      <c r="A179" s="142" t="s">
        <v>495</v>
      </c>
    </row>
    <row r="180" spans="1:9" x14ac:dyDescent="0.25">
      <c r="B180" s="143" t="s">
        <v>496</v>
      </c>
      <c r="C180" s="143" t="s">
        <v>331</v>
      </c>
      <c r="D180" s="143" t="s">
        <v>497</v>
      </c>
      <c r="E180" s="143" t="s">
        <v>124</v>
      </c>
      <c r="F180" s="143" t="s">
        <v>498</v>
      </c>
      <c r="G180" s="144">
        <v>18999.66</v>
      </c>
      <c r="H180" s="144">
        <v>3999.66</v>
      </c>
      <c r="I180" s="144">
        <v>3999.66</v>
      </c>
    </row>
    <row r="181" spans="1:9" x14ac:dyDescent="0.25">
      <c r="B181" s="143" t="s">
        <v>499</v>
      </c>
      <c r="C181" s="143" t="s">
        <v>331</v>
      </c>
      <c r="D181" s="143" t="s">
        <v>500</v>
      </c>
      <c r="E181" s="143" t="s">
        <v>124</v>
      </c>
      <c r="F181" s="143" t="s">
        <v>501</v>
      </c>
      <c r="G181" s="144">
        <v>31452.13</v>
      </c>
      <c r="H181" s="144">
        <v>31452.13</v>
      </c>
      <c r="I181" s="144">
        <v>35451.79</v>
      </c>
    </row>
    <row r="182" spans="1:9" x14ac:dyDescent="0.25">
      <c r="A182" s="142" t="s">
        <v>502</v>
      </c>
      <c r="G182" s="145">
        <v>50451.79</v>
      </c>
      <c r="H182" s="145">
        <v>35451.79</v>
      </c>
    </row>
    <row r="183" spans="1:9" x14ac:dyDescent="0.25">
      <c r="A183" s="142" t="s">
        <v>503</v>
      </c>
    </row>
    <row r="184" spans="1:9" x14ac:dyDescent="0.25">
      <c r="B184" s="143" t="s">
        <v>385</v>
      </c>
      <c r="C184" s="143" t="s">
        <v>331</v>
      </c>
      <c r="D184" s="143">
        <v>3116</v>
      </c>
      <c r="E184" s="143" t="s">
        <v>121</v>
      </c>
      <c r="F184" s="143" t="s">
        <v>337</v>
      </c>
      <c r="G184" s="144">
        <v>83.96</v>
      </c>
      <c r="H184" s="144">
        <v>83.96</v>
      </c>
      <c r="I184" s="144">
        <v>83.96</v>
      </c>
    </row>
    <row r="185" spans="1:9" x14ac:dyDescent="0.25">
      <c r="A185" s="142" t="s">
        <v>504</v>
      </c>
      <c r="G185" s="145">
        <v>83.96</v>
      </c>
      <c r="H185" s="145">
        <v>83.96</v>
      </c>
    </row>
    <row r="186" spans="1:9" x14ac:dyDescent="0.25">
      <c r="A186" s="142" t="s">
        <v>505</v>
      </c>
    </row>
    <row r="187" spans="1:9" x14ac:dyDescent="0.25">
      <c r="B187" s="143" t="s">
        <v>506</v>
      </c>
      <c r="C187" s="143" t="s">
        <v>331</v>
      </c>
      <c r="D187" s="143">
        <v>2827</v>
      </c>
      <c r="E187" s="143" t="s">
        <v>121</v>
      </c>
      <c r="F187" s="143" t="s">
        <v>507</v>
      </c>
      <c r="G187" s="144">
        <v>1715.78</v>
      </c>
      <c r="H187" s="144">
        <v>1715.78</v>
      </c>
      <c r="I187" s="144">
        <v>1715.78</v>
      </c>
    </row>
    <row r="188" spans="1:9" x14ac:dyDescent="0.25">
      <c r="B188" s="143" t="s">
        <v>506</v>
      </c>
      <c r="C188" s="143" t="s">
        <v>331</v>
      </c>
      <c r="D188" s="143">
        <v>2825</v>
      </c>
      <c r="E188" s="143" t="s">
        <v>121</v>
      </c>
      <c r="F188" s="143" t="s">
        <v>507</v>
      </c>
      <c r="G188" s="144">
        <v>6712.65</v>
      </c>
      <c r="H188" s="144">
        <v>6712.65</v>
      </c>
      <c r="I188" s="144">
        <v>8428.43</v>
      </c>
    </row>
    <row r="189" spans="1:9" x14ac:dyDescent="0.25">
      <c r="B189" s="143" t="s">
        <v>508</v>
      </c>
      <c r="C189" s="143" t="s">
        <v>331</v>
      </c>
      <c r="D189" s="143">
        <v>2833</v>
      </c>
      <c r="E189" s="143" t="s">
        <v>121</v>
      </c>
      <c r="F189" s="143" t="s">
        <v>509</v>
      </c>
      <c r="G189" s="144">
        <v>5434.95</v>
      </c>
      <c r="H189" s="144">
        <v>5434.95</v>
      </c>
      <c r="I189" s="144">
        <v>13863.38</v>
      </c>
    </row>
    <row r="190" spans="1:9" x14ac:dyDescent="0.25">
      <c r="B190" s="143" t="s">
        <v>510</v>
      </c>
      <c r="C190" s="143" t="s">
        <v>331</v>
      </c>
      <c r="D190" s="143">
        <v>2992</v>
      </c>
      <c r="E190" s="143" t="s">
        <v>121</v>
      </c>
      <c r="F190" s="143" t="s">
        <v>511</v>
      </c>
      <c r="G190" s="144">
        <v>1464.75</v>
      </c>
      <c r="H190" s="144">
        <v>1464.75</v>
      </c>
      <c r="I190" s="144">
        <v>15328.13</v>
      </c>
    </row>
    <row r="191" spans="1:9" x14ac:dyDescent="0.25">
      <c r="B191" s="143" t="s">
        <v>512</v>
      </c>
      <c r="C191" s="143" t="s">
        <v>331</v>
      </c>
      <c r="D191" s="143">
        <v>3005</v>
      </c>
      <c r="E191" s="143" t="s">
        <v>124</v>
      </c>
      <c r="F191" s="143" t="s">
        <v>513</v>
      </c>
      <c r="G191" s="144">
        <v>4945.5</v>
      </c>
      <c r="H191" s="144">
        <v>4945.5</v>
      </c>
      <c r="I191" s="144">
        <v>20273.63</v>
      </c>
    </row>
    <row r="192" spans="1:9" x14ac:dyDescent="0.25">
      <c r="A192" s="142" t="s">
        <v>514</v>
      </c>
      <c r="G192" s="145">
        <v>20273.63</v>
      </c>
      <c r="H192" s="145">
        <v>20273.63</v>
      </c>
    </row>
    <row r="193" spans="1:8" x14ac:dyDescent="0.25">
      <c r="A193" s="142" t="s">
        <v>515</v>
      </c>
      <c r="G193" s="145">
        <v>1777394.97</v>
      </c>
      <c r="H193" s="145">
        <v>1633580.52</v>
      </c>
    </row>
    <row r="196" spans="1:8" x14ac:dyDescent="0.25">
      <c r="A196" s="146" t="s">
        <v>1087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6F1D4-6C54-4CC7-A572-18A7143864CD}">
  <sheetPr>
    <tabColor rgb="FFFFFF00"/>
  </sheetPr>
  <dimension ref="A1:I507"/>
  <sheetViews>
    <sheetView workbookViewId="0">
      <selection activeCell="A5" sqref="A5"/>
    </sheetView>
  </sheetViews>
  <sheetFormatPr defaultRowHeight="15" x14ac:dyDescent="0.25"/>
  <cols>
    <col min="1" max="1" width="61" style="1" customWidth="1"/>
    <col min="2" max="2" width="9.42578125" style="1" customWidth="1"/>
    <col min="3" max="4" width="18.85546875" style="1" customWidth="1"/>
    <col min="5" max="5" width="7.7109375" style="1" customWidth="1"/>
    <col min="6" max="6" width="9.42578125" style="1" customWidth="1"/>
    <col min="7" max="8" width="12" style="1" customWidth="1"/>
    <col min="9" max="9" width="9.42578125" style="1" customWidth="1"/>
    <col min="10" max="16384" width="9.140625" style="1"/>
  </cols>
  <sheetData>
    <row r="1" spans="1:9" ht="18" x14ac:dyDescent="0.25">
      <c r="A1" s="139" t="s">
        <v>318</v>
      </c>
    </row>
    <row r="2" spans="1:9" ht="18" x14ac:dyDescent="0.25">
      <c r="A2" s="139" t="s">
        <v>517</v>
      </c>
    </row>
    <row r="3" spans="1:9" x14ac:dyDescent="0.25">
      <c r="A3" s="140" t="s">
        <v>1083</v>
      </c>
    </row>
    <row r="5" spans="1:9" ht="24.75" x14ac:dyDescent="0.25">
      <c r="B5" s="141" t="s">
        <v>321</v>
      </c>
      <c r="C5" s="141" t="s">
        <v>322</v>
      </c>
      <c r="D5" s="141" t="s">
        <v>323</v>
      </c>
      <c r="E5" s="141" t="s">
        <v>324</v>
      </c>
      <c r="F5" s="141" t="s">
        <v>325</v>
      </c>
      <c r="G5" s="141" t="s">
        <v>326</v>
      </c>
      <c r="H5" s="141" t="s">
        <v>327</v>
      </c>
      <c r="I5" s="141" t="s">
        <v>328</v>
      </c>
    </row>
    <row r="6" spans="1:9" x14ac:dyDescent="0.25">
      <c r="A6" s="142" t="s">
        <v>518</v>
      </c>
    </row>
    <row r="7" spans="1:9" x14ac:dyDescent="0.25">
      <c r="B7" s="143" t="s">
        <v>519</v>
      </c>
      <c r="C7" s="143" t="s">
        <v>520</v>
      </c>
      <c r="D7" s="143">
        <v>110</v>
      </c>
      <c r="E7" s="143"/>
      <c r="F7" s="143" t="s">
        <v>521</v>
      </c>
      <c r="G7" s="144">
        <v>4249.42</v>
      </c>
      <c r="H7" s="144">
        <v>4249.42</v>
      </c>
      <c r="I7" s="144">
        <v>4249.42</v>
      </c>
    </row>
    <row r="8" spans="1:9" x14ac:dyDescent="0.25">
      <c r="B8" s="143" t="s">
        <v>522</v>
      </c>
      <c r="C8" s="143" t="s">
        <v>520</v>
      </c>
      <c r="D8" s="143">
        <v>127</v>
      </c>
      <c r="E8" s="143"/>
      <c r="F8" s="143" t="s">
        <v>335</v>
      </c>
      <c r="G8" s="144">
        <v>1575</v>
      </c>
      <c r="H8" s="144">
        <v>1575</v>
      </c>
      <c r="I8" s="144">
        <v>5824.42</v>
      </c>
    </row>
    <row r="9" spans="1:9" x14ac:dyDescent="0.25">
      <c r="A9" s="142" t="s">
        <v>523</v>
      </c>
      <c r="G9" s="145">
        <v>5824.42</v>
      </c>
      <c r="H9" s="145">
        <v>5824.42</v>
      </c>
    </row>
    <row r="10" spans="1:9" x14ac:dyDescent="0.25">
      <c r="A10" s="142" t="s">
        <v>524</v>
      </c>
    </row>
    <row r="11" spans="1:9" x14ac:dyDescent="0.25">
      <c r="B11" s="143" t="s">
        <v>525</v>
      </c>
      <c r="C11" s="143" t="s">
        <v>520</v>
      </c>
      <c r="D11" s="143">
        <v>31</v>
      </c>
      <c r="E11" s="143" t="s">
        <v>121</v>
      </c>
      <c r="F11" s="143" t="s">
        <v>526</v>
      </c>
      <c r="G11" s="144">
        <v>148769.57</v>
      </c>
      <c r="H11" s="144">
        <v>103769.57</v>
      </c>
      <c r="I11" s="144">
        <v>103769.57</v>
      </c>
    </row>
    <row r="12" spans="1:9" x14ac:dyDescent="0.25">
      <c r="A12" s="142" t="s">
        <v>527</v>
      </c>
      <c r="G12" s="145">
        <v>148769.57</v>
      </c>
      <c r="H12" s="145">
        <v>103769.57</v>
      </c>
    </row>
    <row r="13" spans="1:9" x14ac:dyDescent="0.25">
      <c r="A13" s="142" t="s">
        <v>528</v>
      </c>
    </row>
    <row r="14" spans="1:9" x14ac:dyDescent="0.25">
      <c r="B14" s="143" t="s">
        <v>529</v>
      </c>
      <c r="C14" s="143" t="s">
        <v>520</v>
      </c>
      <c r="D14" s="143"/>
      <c r="E14" s="143"/>
      <c r="F14" s="143" t="s">
        <v>530</v>
      </c>
      <c r="G14" s="144">
        <v>7717.5</v>
      </c>
      <c r="H14" s="144">
        <v>7717.5</v>
      </c>
      <c r="I14" s="144">
        <v>7717.5</v>
      </c>
    </row>
    <row r="15" spans="1:9" x14ac:dyDescent="0.25">
      <c r="B15" s="143" t="s">
        <v>531</v>
      </c>
      <c r="C15" s="143" t="s">
        <v>357</v>
      </c>
      <c r="D15" s="143" t="s">
        <v>532</v>
      </c>
      <c r="E15" s="143"/>
      <c r="F15" s="143" t="s">
        <v>531</v>
      </c>
      <c r="G15" s="144">
        <v>-10000</v>
      </c>
      <c r="H15" s="144">
        <v>-10000</v>
      </c>
      <c r="I15" s="144">
        <v>-2282.5</v>
      </c>
    </row>
    <row r="16" spans="1:9" x14ac:dyDescent="0.25">
      <c r="A16" s="142" t="s">
        <v>533</v>
      </c>
      <c r="G16" s="145">
        <v>-2282.5</v>
      </c>
      <c r="H16" s="145">
        <v>-2282.5</v>
      </c>
    </row>
    <row r="17" spans="1:9" x14ac:dyDescent="0.25">
      <c r="A17" s="142" t="s">
        <v>534</v>
      </c>
    </row>
    <row r="18" spans="1:9" x14ac:dyDescent="0.25">
      <c r="B18" s="143" t="s">
        <v>535</v>
      </c>
      <c r="C18" s="143" t="s">
        <v>520</v>
      </c>
      <c r="D18" s="143">
        <v>38015</v>
      </c>
      <c r="E18" s="143"/>
      <c r="F18" s="143" t="s">
        <v>536</v>
      </c>
      <c r="G18" s="144">
        <v>3674.95</v>
      </c>
      <c r="H18" s="144">
        <v>0.45</v>
      </c>
      <c r="I18" s="144">
        <v>0.45</v>
      </c>
    </row>
    <row r="19" spans="1:9" x14ac:dyDescent="0.25">
      <c r="B19" s="143" t="s">
        <v>493</v>
      </c>
      <c r="C19" s="143" t="s">
        <v>520</v>
      </c>
      <c r="D19" s="143" t="s">
        <v>537</v>
      </c>
      <c r="E19" s="143"/>
      <c r="F19" s="143" t="s">
        <v>538</v>
      </c>
      <c r="G19" s="144">
        <v>3674.95</v>
      </c>
      <c r="H19" s="144">
        <v>3674.95</v>
      </c>
      <c r="I19" s="144">
        <v>3675.4</v>
      </c>
    </row>
    <row r="20" spans="1:9" x14ac:dyDescent="0.25">
      <c r="B20" s="143" t="s">
        <v>539</v>
      </c>
      <c r="C20" s="143" t="s">
        <v>520</v>
      </c>
      <c r="D20" s="143" t="s">
        <v>540</v>
      </c>
      <c r="E20" s="143"/>
      <c r="F20" s="143" t="s">
        <v>499</v>
      </c>
      <c r="G20" s="144">
        <v>3674.95</v>
      </c>
      <c r="H20" s="144">
        <v>3674.95</v>
      </c>
      <c r="I20" s="144">
        <v>7350.35</v>
      </c>
    </row>
    <row r="21" spans="1:9" x14ac:dyDescent="0.25">
      <c r="B21" s="143" t="s">
        <v>541</v>
      </c>
      <c r="C21" s="143" t="s">
        <v>520</v>
      </c>
      <c r="D21" s="143" t="s">
        <v>542</v>
      </c>
      <c r="E21" s="143"/>
      <c r="F21" s="143" t="s">
        <v>543</v>
      </c>
      <c r="G21" s="144">
        <v>3674.95</v>
      </c>
      <c r="H21" s="144">
        <v>3674.95</v>
      </c>
      <c r="I21" s="144">
        <v>11025.3</v>
      </c>
    </row>
    <row r="22" spans="1:9" x14ac:dyDescent="0.25">
      <c r="B22" s="143" t="s">
        <v>544</v>
      </c>
      <c r="C22" s="143" t="s">
        <v>520</v>
      </c>
      <c r="D22" s="143" t="s">
        <v>545</v>
      </c>
      <c r="E22" s="143" t="s">
        <v>121</v>
      </c>
      <c r="F22" s="143" t="s">
        <v>546</v>
      </c>
      <c r="G22" s="144">
        <v>3674.95</v>
      </c>
      <c r="H22" s="144">
        <v>3674.95</v>
      </c>
      <c r="I22" s="144">
        <v>14700.25</v>
      </c>
    </row>
    <row r="23" spans="1:9" x14ac:dyDescent="0.25">
      <c r="A23" s="142" t="s">
        <v>547</v>
      </c>
      <c r="G23" s="145">
        <v>18374.75</v>
      </c>
      <c r="H23" s="145">
        <v>14700.25</v>
      </c>
    </row>
    <row r="24" spans="1:9" x14ac:dyDescent="0.25">
      <c r="A24" s="142" t="s">
        <v>1088</v>
      </c>
    </row>
    <row r="25" spans="1:9" x14ac:dyDescent="0.25">
      <c r="B25" s="143" t="s">
        <v>1089</v>
      </c>
      <c r="C25" s="143" t="s">
        <v>520</v>
      </c>
      <c r="D25" s="143">
        <v>29700</v>
      </c>
      <c r="E25" s="143"/>
      <c r="F25" s="143" t="s">
        <v>1090</v>
      </c>
      <c r="G25" s="144">
        <v>990.68</v>
      </c>
      <c r="H25" s="144">
        <v>990.68</v>
      </c>
      <c r="I25" s="144">
        <v>990.68</v>
      </c>
    </row>
    <row r="26" spans="1:9" x14ac:dyDescent="0.25">
      <c r="A26" s="142" t="s">
        <v>1091</v>
      </c>
      <c r="G26" s="145">
        <v>990.68</v>
      </c>
      <c r="H26" s="145">
        <v>990.68</v>
      </c>
    </row>
    <row r="27" spans="1:9" x14ac:dyDescent="0.25">
      <c r="A27" s="142" t="s">
        <v>1092</v>
      </c>
    </row>
    <row r="28" spans="1:9" x14ac:dyDescent="0.25">
      <c r="B28" s="143" t="s">
        <v>460</v>
      </c>
      <c r="C28" s="143" t="s">
        <v>520</v>
      </c>
      <c r="D28" s="143"/>
      <c r="E28" s="143"/>
      <c r="F28" s="143" t="s">
        <v>1093</v>
      </c>
      <c r="G28" s="144">
        <v>492.45</v>
      </c>
      <c r="H28" s="144">
        <v>492.45</v>
      </c>
      <c r="I28" s="144">
        <v>492.45</v>
      </c>
    </row>
    <row r="29" spans="1:9" x14ac:dyDescent="0.25">
      <c r="A29" s="142" t="s">
        <v>1094</v>
      </c>
      <c r="G29" s="145">
        <v>492.45</v>
      </c>
      <c r="H29" s="145">
        <v>492.45</v>
      </c>
    </row>
    <row r="30" spans="1:9" x14ac:dyDescent="0.25">
      <c r="A30" s="142" t="s">
        <v>548</v>
      </c>
    </row>
    <row r="31" spans="1:9" x14ac:dyDescent="0.25">
      <c r="B31" s="143" t="s">
        <v>549</v>
      </c>
      <c r="C31" s="143" t="s">
        <v>520</v>
      </c>
      <c r="D31" s="143" t="s">
        <v>550</v>
      </c>
      <c r="E31" s="143"/>
      <c r="F31" s="143" t="s">
        <v>549</v>
      </c>
      <c r="G31" s="144">
        <v>958361.88</v>
      </c>
      <c r="H31" s="144">
        <v>138343.06</v>
      </c>
      <c r="I31" s="144">
        <v>138343.06</v>
      </c>
    </row>
    <row r="32" spans="1:9" x14ac:dyDescent="0.25">
      <c r="A32" s="142" t="s">
        <v>551</v>
      </c>
      <c r="G32" s="145">
        <v>958361.88</v>
      </c>
      <c r="H32" s="145">
        <v>138343.06</v>
      </c>
    </row>
    <row r="33" spans="1:9" x14ac:dyDescent="0.25">
      <c r="A33" s="142" t="s">
        <v>552</v>
      </c>
    </row>
    <row r="34" spans="1:9" x14ac:dyDescent="0.25">
      <c r="B34" s="143" t="s">
        <v>553</v>
      </c>
      <c r="C34" s="143" t="s">
        <v>520</v>
      </c>
      <c r="D34" s="143">
        <v>2424</v>
      </c>
      <c r="E34" s="143"/>
      <c r="F34" s="143" t="s">
        <v>351</v>
      </c>
      <c r="G34" s="144">
        <v>166.01</v>
      </c>
      <c r="H34" s="144">
        <v>166.01</v>
      </c>
      <c r="I34" s="144">
        <v>166.01</v>
      </c>
    </row>
    <row r="35" spans="1:9" x14ac:dyDescent="0.25">
      <c r="B35" s="143" t="s">
        <v>350</v>
      </c>
      <c r="C35" s="143" t="s">
        <v>520</v>
      </c>
      <c r="D35" s="143">
        <v>2448</v>
      </c>
      <c r="E35" s="143"/>
      <c r="F35" s="143" t="s">
        <v>554</v>
      </c>
      <c r="G35" s="144">
        <v>209.74</v>
      </c>
      <c r="H35" s="144">
        <v>209.74</v>
      </c>
      <c r="I35" s="144">
        <v>375.75</v>
      </c>
    </row>
    <row r="36" spans="1:9" x14ac:dyDescent="0.25">
      <c r="A36" s="142" t="s">
        <v>555</v>
      </c>
      <c r="G36" s="145">
        <v>375.75</v>
      </c>
      <c r="H36" s="145">
        <v>375.75</v>
      </c>
    </row>
    <row r="37" spans="1:9" x14ac:dyDescent="0.25">
      <c r="A37" s="142" t="s">
        <v>556</v>
      </c>
    </row>
    <row r="38" spans="1:9" x14ac:dyDescent="0.25">
      <c r="B38" s="143" t="s">
        <v>338</v>
      </c>
      <c r="C38" s="143" t="s">
        <v>557</v>
      </c>
      <c r="D38" s="143"/>
      <c r="E38" s="143" t="s">
        <v>125</v>
      </c>
      <c r="F38" s="143" t="s">
        <v>338</v>
      </c>
      <c r="G38" s="144">
        <v>-20000</v>
      </c>
      <c r="H38" s="144">
        <v>-2870.82</v>
      </c>
      <c r="I38" s="144">
        <v>-2870.82</v>
      </c>
    </row>
    <row r="39" spans="1:9" x14ac:dyDescent="0.25">
      <c r="B39" s="143" t="s">
        <v>558</v>
      </c>
      <c r="C39" s="143" t="s">
        <v>520</v>
      </c>
      <c r="D39" s="143">
        <v>1557139</v>
      </c>
      <c r="E39" s="143"/>
      <c r="F39" s="143" t="s">
        <v>418</v>
      </c>
      <c r="G39" s="144">
        <v>16535.93</v>
      </c>
      <c r="H39" s="144">
        <v>16535.93</v>
      </c>
      <c r="I39" s="144">
        <v>13665.11</v>
      </c>
    </row>
    <row r="40" spans="1:9" x14ac:dyDescent="0.25">
      <c r="A40" s="142" t="s">
        <v>559</v>
      </c>
      <c r="G40" s="145">
        <v>-3464.07</v>
      </c>
      <c r="H40" s="145">
        <v>13665.11</v>
      </c>
    </row>
    <row r="41" spans="1:9" x14ac:dyDescent="0.25">
      <c r="A41" s="142" t="s">
        <v>560</v>
      </c>
    </row>
    <row r="42" spans="1:9" x14ac:dyDescent="0.25">
      <c r="B42" s="143" t="s">
        <v>561</v>
      </c>
      <c r="C42" s="143" t="s">
        <v>520</v>
      </c>
      <c r="D42" s="143" t="s">
        <v>562</v>
      </c>
      <c r="E42" s="143"/>
      <c r="F42" s="143" t="s">
        <v>563</v>
      </c>
      <c r="G42" s="144">
        <v>850.5</v>
      </c>
      <c r="H42" s="144">
        <v>850.5</v>
      </c>
      <c r="I42" s="144">
        <v>850.5</v>
      </c>
    </row>
    <row r="43" spans="1:9" x14ac:dyDescent="0.25">
      <c r="B43" s="143" t="s">
        <v>530</v>
      </c>
      <c r="C43" s="143" t="s">
        <v>520</v>
      </c>
      <c r="D43" s="143" t="s">
        <v>564</v>
      </c>
      <c r="E43" s="143"/>
      <c r="F43" s="143" t="s">
        <v>565</v>
      </c>
      <c r="G43" s="144">
        <v>771.75</v>
      </c>
      <c r="H43" s="144">
        <v>771.75</v>
      </c>
      <c r="I43" s="144">
        <v>1622.25</v>
      </c>
    </row>
    <row r="44" spans="1:9" x14ac:dyDescent="0.25">
      <c r="B44" s="143" t="s">
        <v>410</v>
      </c>
      <c r="C44" s="143" t="s">
        <v>520</v>
      </c>
      <c r="D44" s="143" t="s">
        <v>566</v>
      </c>
      <c r="E44" s="143"/>
      <c r="F44" s="143" t="s">
        <v>567</v>
      </c>
      <c r="G44" s="144">
        <v>472.5</v>
      </c>
      <c r="H44" s="144">
        <v>472.5</v>
      </c>
      <c r="I44" s="144">
        <v>2094.75</v>
      </c>
    </row>
    <row r="45" spans="1:9" x14ac:dyDescent="0.25">
      <c r="B45" s="143" t="s">
        <v>568</v>
      </c>
      <c r="C45" s="143" t="s">
        <v>520</v>
      </c>
      <c r="D45" s="143" t="s">
        <v>569</v>
      </c>
      <c r="E45" s="143"/>
      <c r="F45" s="143" t="s">
        <v>525</v>
      </c>
      <c r="G45" s="144">
        <v>472.5</v>
      </c>
      <c r="H45" s="144">
        <v>472.5</v>
      </c>
      <c r="I45" s="144">
        <v>2567.25</v>
      </c>
    </row>
    <row r="46" spans="1:9" x14ac:dyDescent="0.25">
      <c r="B46" s="143" t="s">
        <v>429</v>
      </c>
      <c r="C46" s="143" t="s">
        <v>520</v>
      </c>
      <c r="D46" s="143" t="s">
        <v>570</v>
      </c>
      <c r="E46" s="143"/>
      <c r="F46" s="143" t="s">
        <v>571</v>
      </c>
      <c r="G46" s="144">
        <v>288.75</v>
      </c>
      <c r="H46" s="144">
        <v>288.75</v>
      </c>
      <c r="I46" s="144">
        <v>2856</v>
      </c>
    </row>
    <row r="47" spans="1:9" x14ac:dyDescent="0.25">
      <c r="B47" s="143" t="s">
        <v>572</v>
      </c>
      <c r="C47" s="143" t="s">
        <v>520</v>
      </c>
      <c r="D47" s="143" t="s">
        <v>573</v>
      </c>
      <c r="E47" s="143"/>
      <c r="F47" s="143" t="s">
        <v>526</v>
      </c>
      <c r="G47" s="144">
        <v>2315.25</v>
      </c>
      <c r="H47" s="144">
        <v>2315.25</v>
      </c>
      <c r="I47" s="144">
        <v>5171.25</v>
      </c>
    </row>
    <row r="48" spans="1:9" x14ac:dyDescent="0.25">
      <c r="B48" s="143" t="s">
        <v>344</v>
      </c>
      <c r="C48" s="143" t="s">
        <v>520</v>
      </c>
      <c r="D48" s="143" t="s">
        <v>574</v>
      </c>
      <c r="E48" s="143"/>
      <c r="F48" s="143" t="s">
        <v>345</v>
      </c>
      <c r="G48" s="144">
        <v>2031.75</v>
      </c>
      <c r="H48" s="144">
        <v>2031.75</v>
      </c>
      <c r="I48" s="144">
        <v>7203</v>
      </c>
    </row>
    <row r="49" spans="1:9" x14ac:dyDescent="0.25">
      <c r="B49" s="143" t="s">
        <v>575</v>
      </c>
      <c r="C49" s="143" t="s">
        <v>520</v>
      </c>
      <c r="D49" s="143" t="s">
        <v>576</v>
      </c>
      <c r="E49" s="143"/>
      <c r="F49" s="143" t="s">
        <v>577</v>
      </c>
      <c r="G49" s="144">
        <v>288.75</v>
      </c>
      <c r="H49" s="144">
        <v>288.75</v>
      </c>
      <c r="I49" s="144">
        <v>7491.75</v>
      </c>
    </row>
    <row r="50" spans="1:9" x14ac:dyDescent="0.25">
      <c r="B50" s="143" t="s">
        <v>437</v>
      </c>
      <c r="C50" s="143" t="s">
        <v>520</v>
      </c>
      <c r="D50" s="143" t="s">
        <v>578</v>
      </c>
      <c r="E50" s="143"/>
      <c r="F50" s="143" t="s">
        <v>579</v>
      </c>
      <c r="G50" s="144">
        <v>771.75</v>
      </c>
      <c r="H50" s="144">
        <v>771.75</v>
      </c>
      <c r="I50" s="144">
        <v>8263.5</v>
      </c>
    </row>
    <row r="51" spans="1:9" x14ac:dyDescent="0.25">
      <c r="B51" s="143" t="s">
        <v>421</v>
      </c>
      <c r="C51" s="143" t="s">
        <v>520</v>
      </c>
      <c r="D51" s="143" t="s">
        <v>580</v>
      </c>
      <c r="E51" s="143"/>
      <c r="F51" s="143" t="s">
        <v>422</v>
      </c>
      <c r="G51" s="144">
        <v>157.5</v>
      </c>
      <c r="H51" s="144">
        <v>157.5</v>
      </c>
      <c r="I51" s="144">
        <v>8421</v>
      </c>
    </row>
    <row r="52" spans="1:9" x14ac:dyDescent="0.25">
      <c r="B52" s="143" t="s">
        <v>581</v>
      </c>
      <c r="C52" s="143" t="s">
        <v>520</v>
      </c>
      <c r="D52" s="143" t="s">
        <v>582</v>
      </c>
      <c r="E52" s="143"/>
      <c r="F52" s="143" t="s">
        <v>583</v>
      </c>
      <c r="G52" s="144">
        <v>157.5</v>
      </c>
      <c r="H52" s="144">
        <v>157.5</v>
      </c>
      <c r="I52" s="144">
        <v>8578.5</v>
      </c>
    </row>
    <row r="53" spans="1:9" x14ac:dyDescent="0.25">
      <c r="B53" s="143" t="s">
        <v>584</v>
      </c>
      <c r="C53" s="143" t="s">
        <v>520</v>
      </c>
      <c r="D53" s="143" t="s">
        <v>585</v>
      </c>
      <c r="E53" s="143"/>
      <c r="F53" s="143" t="s">
        <v>423</v>
      </c>
      <c r="G53" s="144">
        <v>2315.25</v>
      </c>
      <c r="H53" s="144">
        <v>2315.25</v>
      </c>
      <c r="I53" s="144">
        <v>10893.75</v>
      </c>
    </row>
    <row r="54" spans="1:9" x14ac:dyDescent="0.25">
      <c r="B54" s="143" t="s">
        <v>586</v>
      </c>
      <c r="C54" s="143" t="s">
        <v>520</v>
      </c>
      <c r="D54" s="143" t="s">
        <v>587</v>
      </c>
      <c r="E54" s="143"/>
      <c r="F54" s="143" t="s">
        <v>588</v>
      </c>
      <c r="G54" s="144">
        <v>1543.5</v>
      </c>
      <c r="H54" s="144">
        <v>1543.5</v>
      </c>
      <c r="I54" s="144">
        <v>12437.25</v>
      </c>
    </row>
    <row r="55" spans="1:9" x14ac:dyDescent="0.25">
      <c r="B55" s="143" t="s">
        <v>525</v>
      </c>
      <c r="C55" s="143" t="s">
        <v>520</v>
      </c>
      <c r="D55" s="143" t="s">
        <v>589</v>
      </c>
      <c r="E55" s="143"/>
      <c r="F55" s="143" t="s">
        <v>590</v>
      </c>
      <c r="G55" s="144">
        <v>1543.5</v>
      </c>
      <c r="H55" s="144">
        <v>1543.5</v>
      </c>
      <c r="I55" s="144">
        <v>13980.75</v>
      </c>
    </row>
    <row r="56" spans="1:9" x14ac:dyDescent="0.25">
      <c r="B56" s="143" t="s">
        <v>470</v>
      </c>
      <c r="C56" s="143" t="s">
        <v>520</v>
      </c>
      <c r="D56" s="143" t="s">
        <v>591</v>
      </c>
      <c r="E56" s="143"/>
      <c r="F56" s="143" t="s">
        <v>471</v>
      </c>
      <c r="G56" s="144">
        <v>771.75</v>
      </c>
      <c r="H56" s="144">
        <v>771.75</v>
      </c>
      <c r="I56" s="144">
        <v>14752.5</v>
      </c>
    </row>
    <row r="57" spans="1:9" x14ac:dyDescent="0.25">
      <c r="B57" s="143" t="s">
        <v>592</v>
      </c>
      <c r="C57" s="143" t="s">
        <v>520</v>
      </c>
      <c r="D57" s="143" t="s">
        <v>593</v>
      </c>
      <c r="E57" s="143"/>
      <c r="F57" s="143" t="s">
        <v>594</v>
      </c>
      <c r="G57" s="144">
        <v>771.75</v>
      </c>
      <c r="H57" s="144">
        <v>771.75</v>
      </c>
      <c r="I57" s="144">
        <v>15524.25</v>
      </c>
    </row>
    <row r="58" spans="1:9" x14ac:dyDescent="0.25">
      <c r="B58" s="143" t="s">
        <v>595</v>
      </c>
      <c r="C58" s="143" t="s">
        <v>520</v>
      </c>
      <c r="D58" s="143" t="s">
        <v>596</v>
      </c>
      <c r="E58" s="143"/>
      <c r="F58" s="143" t="s">
        <v>597</v>
      </c>
      <c r="G58" s="144">
        <v>771.75</v>
      </c>
      <c r="H58" s="144">
        <v>771.75</v>
      </c>
      <c r="I58" s="144">
        <v>16296</v>
      </c>
    </row>
    <row r="59" spans="1:9" x14ac:dyDescent="0.25">
      <c r="B59" s="143" t="s">
        <v>598</v>
      </c>
      <c r="C59" s="143" t="s">
        <v>520</v>
      </c>
      <c r="D59" s="143" t="s">
        <v>599</v>
      </c>
      <c r="E59" s="143"/>
      <c r="F59" s="143" t="s">
        <v>600</v>
      </c>
      <c r="G59" s="144">
        <v>288.75</v>
      </c>
      <c r="H59" s="144">
        <v>288.75</v>
      </c>
      <c r="I59" s="144">
        <v>16584.75</v>
      </c>
    </row>
    <row r="60" spans="1:9" x14ac:dyDescent="0.25">
      <c r="B60" s="143" t="s">
        <v>601</v>
      </c>
      <c r="C60" s="143" t="s">
        <v>520</v>
      </c>
      <c r="D60" s="143" t="s">
        <v>602</v>
      </c>
      <c r="E60" s="143"/>
      <c r="F60" s="143" t="s">
        <v>603</v>
      </c>
      <c r="G60" s="144">
        <v>472.5</v>
      </c>
      <c r="H60" s="144">
        <v>472.5</v>
      </c>
      <c r="I60" s="144">
        <v>17057.25</v>
      </c>
    </row>
    <row r="61" spans="1:9" x14ac:dyDescent="0.25">
      <c r="A61" s="142" t="s">
        <v>604</v>
      </c>
      <c r="G61" s="145">
        <v>17057.25</v>
      </c>
      <c r="H61" s="145">
        <v>17057.25</v>
      </c>
    </row>
    <row r="62" spans="1:9" x14ac:dyDescent="0.25">
      <c r="A62" s="142" t="s">
        <v>1095</v>
      </c>
    </row>
    <row r="63" spans="1:9" x14ac:dyDescent="0.25">
      <c r="B63" s="143" t="s">
        <v>460</v>
      </c>
      <c r="C63" s="143" t="s">
        <v>520</v>
      </c>
      <c r="D63" s="143"/>
      <c r="E63" s="143" t="s">
        <v>121</v>
      </c>
      <c r="F63" s="143" t="s">
        <v>460</v>
      </c>
      <c r="G63" s="144">
        <v>38399.26</v>
      </c>
      <c r="H63" s="144">
        <v>38399.26</v>
      </c>
      <c r="I63" s="144">
        <v>38399.26</v>
      </c>
    </row>
    <row r="64" spans="1:9" x14ac:dyDescent="0.25">
      <c r="A64" s="142" t="s">
        <v>1096</v>
      </c>
      <c r="G64" s="145">
        <v>38399.26</v>
      </c>
      <c r="H64" s="145">
        <v>38399.26</v>
      </c>
    </row>
    <row r="65" spans="1:9" x14ac:dyDescent="0.25">
      <c r="A65" s="142" t="s">
        <v>605</v>
      </c>
    </row>
    <row r="66" spans="1:9" x14ac:dyDescent="0.25">
      <c r="B66" s="143" t="s">
        <v>606</v>
      </c>
      <c r="C66" s="143" t="s">
        <v>520</v>
      </c>
      <c r="D66" s="143">
        <v>20208</v>
      </c>
      <c r="E66" s="143"/>
      <c r="F66" s="143" t="s">
        <v>607</v>
      </c>
      <c r="G66" s="144">
        <v>761.9</v>
      </c>
      <c r="H66" s="144">
        <v>761.9</v>
      </c>
      <c r="I66" s="144">
        <v>761.9</v>
      </c>
    </row>
    <row r="67" spans="1:9" x14ac:dyDescent="0.25">
      <c r="B67" s="143" t="s">
        <v>372</v>
      </c>
      <c r="C67" s="143" t="s">
        <v>520</v>
      </c>
      <c r="D67" s="143" t="s">
        <v>608</v>
      </c>
      <c r="E67" s="143"/>
      <c r="F67" s="143" t="s">
        <v>609</v>
      </c>
      <c r="G67" s="144">
        <v>7341.54</v>
      </c>
      <c r="H67" s="144">
        <v>7341.54</v>
      </c>
      <c r="I67" s="144">
        <v>8103.44</v>
      </c>
    </row>
    <row r="68" spans="1:9" x14ac:dyDescent="0.25">
      <c r="B68" s="143" t="s">
        <v>372</v>
      </c>
      <c r="C68" s="143" t="s">
        <v>520</v>
      </c>
      <c r="D68" s="143">
        <v>20321</v>
      </c>
      <c r="E68" s="143"/>
      <c r="F68" s="143" t="s">
        <v>609</v>
      </c>
      <c r="G68" s="144">
        <v>152.38</v>
      </c>
      <c r="H68" s="144">
        <v>152.38</v>
      </c>
      <c r="I68" s="144">
        <v>8255.82</v>
      </c>
    </row>
    <row r="69" spans="1:9" x14ac:dyDescent="0.25">
      <c r="A69" s="142" t="s">
        <v>610</v>
      </c>
      <c r="G69" s="145">
        <v>8255.82</v>
      </c>
      <c r="H69" s="145">
        <v>8255.82</v>
      </c>
    </row>
    <row r="70" spans="1:9" x14ac:dyDescent="0.25">
      <c r="A70" s="142" t="s">
        <v>611</v>
      </c>
    </row>
    <row r="71" spans="1:9" x14ac:dyDescent="0.25">
      <c r="B71" s="143" t="s">
        <v>612</v>
      </c>
      <c r="C71" s="143" t="s">
        <v>520</v>
      </c>
      <c r="D71" s="143">
        <v>410351</v>
      </c>
      <c r="E71" s="143"/>
      <c r="F71" s="143" t="s">
        <v>612</v>
      </c>
      <c r="G71" s="144">
        <v>4410</v>
      </c>
      <c r="H71" s="144">
        <v>2562.4899999999998</v>
      </c>
      <c r="I71" s="144">
        <v>2562.4899999999998</v>
      </c>
    </row>
    <row r="72" spans="1:9" x14ac:dyDescent="0.25">
      <c r="B72" s="143" t="s">
        <v>426</v>
      </c>
      <c r="C72" s="143" t="s">
        <v>520</v>
      </c>
      <c r="D72" s="143">
        <v>410364</v>
      </c>
      <c r="E72" s="143"/>
      <c r="F72" s="143" t="s">
        <v>426</v>
      </c>
      <c r="G72" s="144">
        <v>2784.92</v>
      </c>
      <c r="H72" s="144">
        <v>2784.92</v>
      </c>
      <c r="I72" s="144">
        <v>5347.41</v>
      </c>
    </row>
    <row r="73" spans="1:9" x14ac:dyDescent="0.25">
      <c r="B73" s="143" t="s">
        <v>1089</v>
      </c>
      <c r="C73" s="143" t="s">
        <v>520</v>
      </c>
      <c r="D73" s="143">
        <v>410644</v>
      </c>
      <c r="E73" s="143"/>
      <c r="F73" s="143" t="s">
        <v>1089</v>
      </c>
      <c r="G73" s="144">
        <v>2468.4499999999998</v>
      </c>
      <c r="H73" s="144">
        <v>2468.4499999999998</v>
      </c>
      <c r="I73" s="144">
        <v>7815.86</v>
      </c>
    </row>
    <row r="74" spans="1:9" x14ac:dyDescent="0.25">
      <c r="B74" s="143" t="s">
        <v>460</v>
      </c>
      <c r="C74" s="143" t="s">
        <v>520</v>
      </c>
      <c r="D74" s="143">
        <v>410667</v>
      </c>
      <c r="E74" s="143"/>
      <c r="F74" s="143" t="s">
        <v>460</v>
      </c>
      <c r="G74" s="144">
        <v>1282.77</v>
      </c>
      <c r="H74" s="144">
        <v>1282.77</v>
      </c>
      <c r="I74" s="144">
        <v>9098.6299999999992</v>
      </c>
    </row>
    <row r="75" spans="1:9" x14ac:dyDescent="0.25">
      <c r="B75" s="143" t="s">
        <v>992</v>
      </c>
      <c r="C75" s="143" t="s">
        <v>520</v>
      </c>
      <c r="D75" s="143">
        <v>410674</v>
      </c>
      <c r="E75" s="143"/>
      <c r="F75" s="143" t="s">
        <v>992</v>
      </c>
      <c r="G75" s="144">
        <v>970.2</v>
      </c>
      <c r="H75" s="144">
        <v>970.2</v>
      </c>
      <c r="I75" s="144">
        <v>10068.83</v>
      </c>
    </row>
    <row r="76" spans="1:9" x14ac:dyDescent="0.25">
      <c r="A76" s="142" t="s">
        <v>613</v>
      </c>
      <c r="G76" s="145">
        <v>11916.34</v>
      </c>
      <c r="H76" s="145">
        <v>10068.83</v>
      </c>
    </row>
    <row r="77" spans="1:9" x14ac:dyDescent="0.25">
      <c r="A77" s="142" t="s">
        <v>614</v>
      </c>
    </row>
    <row r="78" spans="1:9" x14ac:dyDescent="0.25">
      <c r="B78" s="143" t="s">
        <v>353</v>
      </c>
      <c r="C78" s="143" t="s">
        <v>520</v>
      </c>
      <c r="D78" s="143">
        <v>1031</v>
      </c>
      <c r="E78" s="143" t="s">
        <v>121</v>
      </c>
      <c r="F78" s="143" t="s">
        <v>354</v>
      </c>
      <c r="G78" s="144">
        <v>15750</v>
      </c>
      <c r="H78" s="144">
        <v>15750</v>
      </c>
      <c r="I78" s="144">
        <v>15750</v>
      </c>
    </row>
    <row r="79" spans="1:9" x14ac:dyDescent="0.25">
      <c r="B79" s="143" t="s">
        <v>615</v>
      </c>
      <c r="C79" s="143" t="s">
        <v>520</v>
      </c>
      <c r="D79" s="143"/>
      <c r="E79" s="143"/>
      <c r="F79" s="143" t="s">
        <v>616</v>
      </c>
      <c r="G79" s="144">
        <v>957.58</v>
      </c>
      <c r="H79" s="144">
        <v>957.58</v>
      </c>
      <c r="I79" s="144">
        <v>16707.580000000002</v>
      </c>
    </row>
    <row r="80" spans="1:9" x14ac:dyDescent="0.25">
      <c r="A80" s="142" t="s">
        <v>617</v>
      </c>
      <c r="G80" s="145">
        <v>16707.580000000002</v>
      </c>
      <c r="H80" s="145">
        <v>16707.580000000002</v>
      </c>
    </row>
    <row r="81" spans="1:9" x14ac:dyDescent="0.25">
      <c r="A81" s="142" t="s">
        <v>618</v>
      </c>
    </row>
    <row r="82" spans="1:9" x14ac:dyDescent="0.25">
      <c r="B82" s="143" t="s">
        <v>539</v>
      </c>
      <c r="C82" s="143" t="s">
        <v>357</v>
      </c>
      <c r="D82" s="143" t="s">
        <v>619</v>
      </c>
      <c r="E82" s="143"/>
      <c r="F82" s="143" t="s">
        <v>539</v>
      </c>
      <c r="G82" s="144">
        <v>-7500</v>
      </c>
      <c r="H82" s="144">
        <v>-7500</v>
      </c>
      <c r="I82" s="144">
        <v>-7500</v>
      </c>
    </row>
    <row r="83" spans="1:9" x14ac:dyDescent="0.25">
      <c r="B83" s="143" t="s">
        <v>620</v>
      </c>
      <c r="C83" s="143" t="s">
        <v>557</v>
      </c>
      <c r="D83" s="143"/>
      <c r="E83" s="143"/>
      <c r="F83" s="143" t="s">
        <v>620</v>
      </c>
      <c r="G83" s="144">
        <v>-7500</v>
      </c>
      <c r="H83" s="144">
        <v>-7500</v>
      </c>
      <c r="I83" s="144">
        <v>-15000</v>
      </c>
    </row>
    <row r="84" spans="1:9" x14ac:dyDescent="0.25">
      <c r="A84" s="142" t="s">
        <v>621</v>
      </c>
      <c r="G84" s="145">
        <v>-15000</v>
      </c>
      <c r="H84" s="145">
        <v>-15000</v>
      </c>
    </row>
    <row r="85" spans="1:9" x14ac:dyDescent="0.25">
      <c r="A85" s="142" t="s">
        <v>622</v>
      </c>
    </row>
    <row r="86" spans="1:9" x14ac:dyDescent="0.25">
      <c r="B86" s="143" t="s">
        <v>612</v>
      </c>
      <c r="C86" s="143" t="s">
        <v>520</v>
      </c>
      <c r="D86" s="143" t="s">
        <v>623</v>
      </c>
      <c r="E86" s="143"/>
      <c r="F86" s="143" t="s">
        <v>612</v>
      </c>
      <c r="G86" s="144">
        <v>50266.48</v>
      </c>
      <c r="H86" s="144">
        <v>50266.48</v>
      </c>
      <c r="I86" s="144">
        <v>50266.48</v>
      </c>
    </row>
    <row r="87" spans="1:9" x14ac:dyDescent="0.25">
      <c r="B87" s="143" t="s">
        <v>474</v>
      </c>
      <c r="C87" s="143" t="s">
        <v>520</v>
      </c>
      <c r="D87" s="143" t="s">
        <v>624</v>
      </c>
      <c r="E87" s="143"/>
      <c r="F87" s="143" t="s">
        <v>474</v>
      </c>
      <c r="G87" s="144">
        <v>61742.95</v>
      </c>
      <c r="H87" s="144">
        <v>61742.95</v>
      </c>
      <c r="I87" s="144">
        <v>112009.43</v>
      </c>
    </row>
    <row r="88" spans="1:9" x14ac:dyDescent="0.25">
      <c r="A88" s="142" t="s">
        <v>625</v>
      </c>
      <c r="G88" s="145">
        <v>112009.43</v>
      </c>
      <c r="H88" s="145">
        <v>112009.43</v>
      </c>
    </row>
    <row r="89" spans="1:9" x14ac:dyDescent="0.25">
      <c r="A89" s="142" t="s">
        <v>626</v>
      </c>
    </row>
    <row r="90" spans="1:9" x14ac:dyDescent="0.25">
      <c r="B90" s="143" t="s">
        <v>348</v>
      </c>
      <c r="C90" s="143" t="s">
        <v>520</v>
      </c>
      <c r="D90" s="143" t="s">
        <v>627</v>
      </c>
      <c r="E90" s="143"/>
      <c r="F90" s="143" t="s">
        <v>348</v>
      </c>
      <c r="G90" s="144">
        <v>4918.33</v>
      </c>
      <c r="H90" s="144">
        <v>4918.33</v>
      </c>
      <c r="I90" s="144">
        <v>4918.33</v>
      </c>
    </row>
    <row r="91" spans="1:9" x14ac:dyDescent="0.25">
      <c r="B91" s="143" t="s">
        <v>628</v>
      </c>
      <c r="C91" s="143" t="s">
        <v>520</v>
      </c>
      <c r="D91" s="143" t="s">
        <v>629</v>
      </c>
      <c r="E91" s="143" t="s">
        <v>121</v>
      </c>
      <c r="F91" s="143" t="s">
        <v>628</v>
      </c>
      <c r="G91" s="144">
        <v>11173.03</v>
      </c>
      <c r="H91" s="144">
        <v>11173.03</v>
      </c>
      <c r="I91" s="144">
        <v>16091.36</v>
      </c>
    </row>
    <row r="92" spans="1:9" x14ac:dyDescent="0.25">
      <c r="A92" s="142" t="s">
        <v>630</v>
      </c>
      <c r="G92" s="145">
        <v>16091.36</v>
      </c>
      <c r="H92" s="145">
        <v>16091.36</v>
      </c>
    </row>
    <row r="93" spans="1:9" x14ac:dyDescent="0.25">
      <c r="A93" s="142" t="s">
        <v>631</v>
      </c>
    </row>
    <row r="94" spans="1:9" x14ac:dyDescent="0.25">
      <c r="B94" s="143" t="s">
        <v>343</v>
      </c>
      <c r="C94" s="143" t="s">
        <v>357</v>
      </c>
      <c r="D94" s="143" t="s">
        <v>632</v>
      </c>
      <c r="E94" s="143"/>
      <c r="F94" s="143" t="s">
        <v>343</v>
      </c>
      <c r="G94" s="144">
        <v>33070.5</v>
      </c>
      <c r="H94" s="144">
        <v>33070.5</v>
      </c>
      <c r="I94" s="144">
        <v>33070.5</v>
      </c>
    </row>
    <row r="95" spans="1:9" x14ac:dyDescent="0.25">
      <c r="B95" s="143" t="s">
        <v>347</v>
      </c>
      <c r="C95" s="143" t="s">
        <v>357</v>
      </c>
      <c r="D95" s="143" t="s">
        <v>633</v>
      </c>
      <c r="E95" s="143"/>
      <c r="F95" s="143" t="s">
        <v>347</v>
      </c>
      <c r="G95" s="144">
        <v>33070.5</v>
      </c>
      <c r="H95" s="144">
        <v>33070.5</v>
      </c>
      <c r="I95" s="144">
        <v>66141</v>
      </c>
    </row>
    <row r="96" spans="1:9" x14ac:dyDescent="0.25">
      <c r="B96" s="143" t="s">
        <v>634</v>
      </c>
      <c r="C96" s="143" t="s">
        <v>357</v>
      </c>
      <c r="D96" s="143" t="s">
        <v>635</v>
      </c>
      <c r="E96" s="143"/>
      <c r="F96" s="143" t="s">
        <v>634</v>
      </c>
      <c r="G96" s="144">
        <v>11023.5</v>
      </c>
      <c r="H96" s="144">
        <v>11023.5</v>
      </c>
      <c r="I96" s="144">
        <v>77164.5</v>
      </c>
    </row>
    <row r="97" spans="1:9" x14ac:dyDescent="0.25">
      <c r="B97" s="143" t="s">
        <v>553</v>
      </c>
      <c r="C97" s="143" t="s">
        <v>357</v>
      </c>
      <c r="D97" s="143" t="s">
        <v>636</v>
      </c>
      <c r="E97" s="143"/>
      <c r="F97" s="143" t="s">
        <v>553</v>
      </c>
      <c r="G97" s="144">
        <v>11023.5</v>
      </c>
      <c r="H97" s="144">
        <v>11023.5</v>
      </c>
      <c r="I97" s="144">
        <v>88188</v>
      </c>
    </row>
    <row r="98" spans="1:9" x14ac:dyDescent="0.25">
      <c r="A98" s="142" t="s">
        <v>637</v>
      </c>
      <c r="G98" s="145">
        <v>88188</v>
      </c>
      <c r="H98" s="145">
        <v>88188</v>
      </c>
    </row>
    <row r="99" spans="1:9" x14ac:dyDescent="0.25">
      <c r="A99" s="142" t="s">
        <v>638</v>
      </c>
    </row>
    <row r="100" spans="1:9" x14ac:dyDescent="0.25">
      <c r="B100" s="143" t="s">
        <v>639</v>
      </c>
      <c r="C100" s="143" t="s">
        <v>520</v>
      </c>
      <c r="D100" s="143" t="s">
        <v>640</v>
      </c>
      <c r="E100" s="143"/>
      <c r="F100" s="143" t="s">
        <v>641</v>
      </c>
      <c r="G100" s="144">
        <v>97905.58</v>
      </c>
      <c r="H100" s="144">
        <v>29153.91</v>
      </c>
      <c r="I100" s="144">
        <v>29153.91</v>
      </c>
    </row>
    <row r="101" spans="1:9" x14ac:dyDescent="0.25">
      <c r="B101" s="143" t="s">
        <v>642</v>
      </c>
      <c r="C101" s="143" t="s">
        <v>520</v>
      </c>
      <c r="D101" s="143" t="s">
        <v>643</v>
      </c>
      <c r="E101" s="143" t="s">
        <v>121</v>
      </c>
      <c r="F101" s="143" t="s">
        <v>390</v>
      </c>
      <c r="G101" s="144">
        <v>119712.64</v>
      </c>
      <c r="H101" s="144">
        <v>108894.89</v>
      </c>
      <c r="I101" s="144">
        <v>138048.79999999999</v>
      </c>
    </row>
    <row r="102" spans="1:9" x14ac:dyDescent="0.25">
      <c r="B102" s="143" t="s">
        <v>644</v>
      </c>
      <c r="C102" s="143" t="s">
        <v>645</v>
      </c>
      <c r="D102" s="143" t="s">
        <v>646</v>
      </c>
      <c r="E102" s="143"/>
      <c r="F102" s="143"/>
      <c r="G102" s="144">
        <v>-46.21</v>
      </c>
      <c r="H102" s="144">
        <v>-46.21</v>
      </c>
      <c r="I102" s="144">
        <v>138002.59</v>
      </c>
    </row>
    <row r="103" spans="1:9" x14ac:dyDescent="0.25">
      <c r="A103" s="142" t="s">
        <v>647</v>
      </c>
      <c r="G103" s="145">
        <v>217572.01</v>
      </c>
      <c r="H103" s="145">
        <v>138002.59</v>
      </c>
    </row>
    <row r="104" spans="1:9" x14ac:dyDescent="0.25">
      <c r="A104" s="142" t="s">
        <v>648</v>
      </c>
    </row>
    <row r="105" spans="1:9" x14ac:dyDescent="0.25">
      <c r="B105" s="143" t="s">
        <v>634</v>
      </c>
      <c r="C105" s="143" t="s">
        <v>520</v>
      </c>
      <c r="D105" s="143">
        <v>12368</v>
      </c>
      <c r="E105" s="143" t="s">
        <v>125</v>
      </c>
      <c r="F105" s="143" t="s">
        <v>634</v>
      </c>
      <c r="G105" s="144">
        <v>1092</v>
      </c>
      <c r="H105" s="144">
        <v>1092</v>
      </c>
      <c r="I105" s="144">
        <v>1092</v>
      </c>
    </row>
    <row r="106" spans="1:9" x14ac:dyDescent="0.25">
      <c r="A106" s="142" t="s">
        <v>649</v>
      </c>
      <c r="G106" s="145">
        <v>1092</v>
      </c>
      <c r="H106" s="145">
        <v>1092</v>
      </c>
    </row>
    <row r="107" spans="1:9" x14ac:dyDescent="0.25">
      <c r="A107" s="142" t="s">
        <v>650</v>
      </c>
    </row>
    <row r="108" spans="1:9" x14ac:dyDescent="0.25">
      <c r="B108" s="143" t="s">
        <v>651</v>
      </c>
      <c r="C108" s="143" t="s">
        <v>520</v>
      </c>
      <c r="D108" s="143">
        <v>30101</v>
      </c>
      <c r="E108" s="143"/>
      <c r="F108" s="143" t="s">
        <v>652</v>
      </c>
      <c r="G108" s="144">
        <v>252</v>
      </c>
      <c r="H108" s="144">
        <v>252</v>
      </c>
      <c r="I108" s="144">
        <v>252</v>
      </c>
    </row>
    <row r="109" spans="1:9" x14ac:dyDescent="0.25">
      <c r="A109" s="142" t="s">
        <v>653</v>
      </c>
      <c r="G109" s="145">
        <v>252</v>
      </c>
      <c r="H109" s="145">
        <v>252</v>
      </c>
    </row>
    <row r="110" spans="1:9" x14ac:dyDescent="0.25">
      <c r="A110" s="142" t="s">
        <v>1097</v>
      </c>
    </row>
    <row r="111" spans="1:9" x14ac:dyDescent="0.25">
      <c r="B111" s="143" t="s">
        <v>460</v>
      </c>
      <c r="C111" s="143" t="s">
        <v>520</v>
      </c>
      <c r="D111" s="143">
        <v>56</v>
      </c>
      <c r="E111" s="143" t="s">
        <v>125</v>
      </c>
      <c r="F111" s="143" t="s">
        <v>460</v>
      </c>
      <c r="G111" s="144">
        <v>55440</v>
      </c>
      <c r="H111" s="144">
        <v>55440</v>
      </c>
      <c r="I111" s="144">
        <v>55440</v>
      </c>
    </row>
    <row r="112" spans="1:9" x14ac:dyDescent="0.25">
      <c r="A112" s="142" t="s">
        <v>1098</v>
      </c>
      <c r="G112" s="145">
        <v>55440</v>
      </c>
      <c r="H112" s="145">
        <v>55440</v>
      </c>
    </row>
    <row r="113" spans="1:9" x14ac:dyDescent="0.25">
      <c r="A113" s="142" t="s">
        <v>654</v>
      </c>
    </row>
    <row r="114" spans="1:9" x14ac:dyDescent="0.25">
      <c r="B114" s="143" t="s">
        <v>347</v>
      </c>
      <c r="C114" s="143" t="s">
        <v>520</v>
      </c>
      <c r="D114" s="143" t="s">
        <v>655</v>
      </c>
      <c r="E114" s="143"/>
      <c r="F114" s="143" t="s">
        <v>348</v>
      </c>
      <c r="G114" s="144">
        <v>678</v>
      </c>
      <c r="H114" s="144">
        <v>678</v>
      </c>
      <c r="I114" s="144">
        <v>678</v>
      </c>
    </row>
    <row r="115" spans="1:9" x14ac:dyDescent="0.25">
      <c r="B115" s="143" t="s">
        <v>347</v>
      </c>
      <c r="C115" s="143" t="s">
        <v>520</v>
      </c>
      <c r="D115" s="143">
        <v>1339</v>
      </c>
      <c r="E115" s="143"/>
      <c r="F115" s="143" t="s">
        <v>348</v>
      </c>
      <c r="G115" s="144">
        <v>678</v>
      </c>
      <c r="H115" s="144">
        <v>678</v>
      </c>
      <c r="I115" s="144">
        <v>1356</v>
      </c>
    </row>
    <row r="116" spans="1:9" x14ac:dyDescent="0.25">
      <c r="B116" s="143" t="s">
        <v>348</v>
      </c>
      <c r="C116" s="143" t="s">
        <v>520</v>
      </c>
      <c r="D116" s="143" t="s">
        <v>656</v>
      </c>
      <c r="E116" s="143"/>
      <c r="F116" s="143" t="s">
        <v>657</v>
      </c>
      <c r="G116" s="144">
        <v>678</v>
      </c>
      <c r="H116" s="144">
        <v>678</v>
      </c>
      <c r="I116" s="144">
        <v>2034</v>
      </c>
    </row>
    <row r="117" spans="1:9" x14ac:dyDescent="0.25">
      <c r="A117" s="142" t="s">
        <v>658</v>
      </c>
      <c r="G117" s="145">
        <v>2034</v>
      </c>
      <c r="H117" s="145">
        <v>2034</v>
      </c>
    </row>
    <row r="118" spans="1:9" x14ac:dyDescent="0.25">
      <c r="A118" s="142" t="s">
        <v>659</v>
      </c>
    </row>
    <row r="119" spans="1:9" x14ac:dyDescent="0.25">
      <c r="B119" s="143" t="s">
        <v>660</v>
      </c>
      <c r="C119" s="143" t="s">
        <v>520</v>
      </c>
      <c r="D119" s="143"/>
      <c r="E119" s="143" t="s">
        <v>121</v>
      </c>
      <c r="F119" s="143" t="s">
        <v>661</v>
      </c>
      <c r="G119" s="144">
        <v>131093.66</v>
      </c>
      <c r="H119" s="144">
        <v>45882.78</v>
      </c>
      <c r="I119" s="144">
        <v>45882.78</v>
      </c>
    </row>
    <row r="120" spans="1:9" x14ac:dyDescent="0.25">
      <c r="A120" s="142" t="s">
        <v>662</v>
      </c>
      <c r="G120" s="145">
        <v>131093.66</v>
      </c>
      <c r="H120" s="145">
        <v>45882.78</v>
      </c>
    </row>
    <row r="121" spans="1:9" x14ac:dyDescent="0.25">
      <c r="A121" s="142" t="s">
        <v>663</v>
      </c>
    </row>
    <row r="122" spans="1:9" x14ac:dyDescent="0.25">
      <c r="B122" s="143" t="s">
        <v>351</v>
      </c>
      <c r="C122" s="143" t="s">
        <v>520</v>
      </c>
      <c r="D122" s="143">
        <v>1</v>
      </c>
      <c r="E122" s="143"/>
      <c r="F122" s="143" t="s">
        <v>664</v>
      </c>
      <c r="G122" s="144">
        <v>52500</v>
      </c>
      <c r="H122" s="144">
        <v>52500</v>
      </c>
      <c r="I122" s="144">
        <v>52500</v>
      </c>
    </row>
    <row r="123" spans="1:9" x14ac:dyDescent="0.25">
      <c r="B123" s="143" t="s">
        <v>352</v>
      </c>
      <c r="C123" s="143" t="s">
        <v>520</v>
      </c>
      <c r="D123" s="143">
        <v>2</v>
      </c>
      <c r="E123" s="143"/>
      <c r="F123" s="143" t="s">
        <v>951</v>
      </c>
      <c r="G123" s="144">
        <v>52500</v>
      </c>
      <c r="H123" s="144">
        <v>52500</v>
      </c>
      <c r="I123" s="144">
        <v>105000</v>
      </c>
    </row>
    <row r="124" spans="1:9" x14ac:dyDescent="0.25">
      <c r="A124" s="142" t="s">
        <v>665</v>
      </c>
      <c r="G124" s="145">
        <v>105000</v>
      </c>
      <c r="H124" s="145">
        <v>105000</v>
      </c>
    </row>
    <row r="125" spans="1:9" x14ac:dyDescent="0.25">
      <c r="A125" s="142" t="s">
        <v>666</v>
      </c>
    </row>
    <row r="126" spans="1:9" x14ac:dyDescent="0.25">
      <c r="B126" s="143" t="s">
        <v>667</v>
      </c>
      <c r="C126" s="143" t="s">
        <v>520</v>
      </c>
      <c r="D126" s="143" t="s">
        <v>668</v>
      </c>
      <c r="E126" s="143"/>
      <c r="F126" s="143" t="s">
        <v>667</v>
      </c>
      <c r="G126" s="144">
        <v>4945.1499999999996</v>
      </c>
      <c r="H126" s="144">
        <v>4945.1499999999996</v>
      </c>
      <c r="I126" s="144">
        <v>4945.1499999999996</v>
      </c>
    </row>
    <row r="127" spans="1:9" x14ac:dyDescent="0.25">
      <c r="B127" s="143" t="s">
        <v>349</v>
      </c>
      <c r="C127" s="143" t="s">
        <v>520</v>
      </c>
      <c r="D127" s="143" t="s">
        <v>678</v>
      </c>
      <c r="E127" s="143"/>
      <c r="F127" s="143" t="s">
        <v>679</v>
      </c>
      <c r="G127" s="144">
        <v>20617.93</v>
      </c>
      <c r="H127" s="144">
        <v>20617.93</v>
      </c>
      <c r="I127" s="144">
        <v>25563.08</v>
      </c>
    </row>
    <row r="128" spans="1:9" x14ac:dyDescent="0.25">
      <c r="B128" s="143" t="s">
        <v>349</v>
      </c>
      <c r="C128" s="143" t="s">
        <v>520</v>
      </c>
      <c r="D128" s="143" t="s">
        <v>688</v>
      </c>
      <c r="E128" s="143"/>
      <c r="F128" s="143" t="s">
        <v>689</v>
      </c>
      <c r="G128" s="144">
        <v>20617.93</v>
      </c>
      <c r="H128" s="144">
        <v>20617.93</v>
      </c>
      <c r="I128" s="144">
        <v>46181.01</v>
      </c>
    </row>
    <row r="129" spans="1:9" x14ac:dyDescent="0.25">
      <c r="B129" s="143" t="s">
        <v>349</v>
      </c>
      <c r="C129" s="143" t="s">
        <v>520</v>
      </c>
      <c r="D129" s="143" t="s">
        <v>686</v>
      </c>
      <c r="E129" s="143"/>
      <c r="F129" s="143" t="s">
        <v>687</v>
      </c>
      <c r="G129" s="144">
        <v>20617.93</v>
      </c>
      <c r="H129" s="144">
        <v>20617.93</v>
      </c>
      <c r="I129" s="144">
        <v>66798.94</v>
      </c>
    </row>
    <row r="130" spans="1:9" x14ac:dyDescent="0.25">
      <c r="B130" s="143" t="s">
        <v>349</v>
      </c>
      <c r="C130" s="143" t="s">
        <v>520</v>
      </c>
      <c r="D130" s="143" t="s">
        <v>684</v>
      </c>
      <c r="E130" s="143"/>
      <c r="F130" s="143" t="s">
        <v>685</v>
      </c>
      <c r="G130" s="144">
        <v>20617.93</v>
      </c>
      <c r="H130" s="144">
        <v>20617.93</v>
      </c>
      <c r="I130" s="144">
        <v>87416.87</v>
      </c>
    </row>
    <row r="131" spans="1:9" x14ac:dyDescent="0.25">
      <c r="B131" s="143" t="s">
        <v>349</v>
      </c>
      <c r="C131" s="143" t="s">
        <v>520</v>
      </c>
      <c r="D131" s="143" t="s">
        <v>669</v>
      </c>
      <c r="E131" s="143"/>
      <c r="F131" s="143" t="s">
        <v>670</v>
      </c>
      <c r="G131" s="144">
        <v>20617.93</v>
      </c>
      <c r="H131" s="144">
        <v>20617.93</v>
      </c>
      <c r="I131" s="144">
        <v>108034.8</v>
      </c>
    </row>
    <row r="132" spans="1:9" x14ac:dyDescent="0.25">
      <c r="B132" s="143" t="s">
        <v>349</v>
      </c>
      <c r="C132" s="143" t="s">
        <v>520</v>
      </c>
      <c r="D132" s="143" t="s">
        <v>682</v>
      </c>
      <c r="E132" s="143"/>
      <c r="F132" s="143" t="s">
        <v>683</v>
      </c>
      <c r="G132" s="144">
        <v>20617.93</v>
      </c>
      <c r="H132" s="144">
        <v>20617.93</v>
      </c>
      <c r="I132" s="144">
        <v>128652.73</v>
      </c>
    </row>
    <row r="133" spans="1:9" x14ac:dyDescent="0.25">
      <c r="B133" s="143" t="s">
        <v>349</v>
      </c>
      <c r="C133" s="143" t="s">
        <v>520</v>
      </c>
      <c r="D133" s="143" t="s">
        <v>680</v>
      </c>
      <c r="E133" s="143"/>
      <c r="F133" s="143" t="s">
        <v>681</v>
      </c>
      <c r="G133" s="144">
        <v>20617.93</v>
      </c>
      <c r="H133" s="144">
        <v>20617.93</v>
      </c>
      <c r="I133" s="144">
        <v>149270.66</v>
      </c>
    </row>
    <row r="134" spans="1:9" x14ac:dyDescent="0.25">
      <c r="B134" s="143" t="s">
        <v>349</v>
      </c>
      <c r="C134" s="143" t="s">
        <v>520</v>
      </c>
      <c r="D134" s="143" t="s">
        <v>676</v>
      </c>
      <c r="E134" s="143"/>
      <c r="F134" s="143" t="s">
        <v>677</v>
      </c>
      <c r="G134" s="144">
        <v>20617.93</v>
      </c>
      <c r="H134" s="144">
        <v>20617.93</v>
      </c>
      <c r="I134" s="144">
        <v>169888.59</v>
      </c>
    </row>
    <row r="135" spans="1:9" x14ac:dyDescent="0.25">
      <c r="B135" s="143" t="s">
        <v>349</v>
      </c>
      <c r="C135" s="143" t="s">
        <v>520</v>
      </c>
      <c r="D135" s="143" t="s">
        <v>674</v>
      </c>
      <c r="E135" s="143"/>
      <c r="F135" s="143" t="s">
        <v>675</v>
      </c>
      <c r="G135" s="144">
        <v>20617.93</v>
      </c>
      <c r="H135" s="144">
        <v>20617.93</v>
      </c>
      <c r="I135" s="144">
        <v>190506.52</v>
      </c>
    </row>
    <row r="136" spans="1:9" x14ac:dyDescent="0.25">
      <c r="B136" s="143" t="s">
        <v>349</v>
      </c>
      <c r="C136" s="143" t="s">
        <v>520</v>
      </c>
      <c r="D136" s="143" t="s">
        <v>672</v>
      </c>
      <c r="E136" s="143"/>
      <c r="F136" s="143" t="s">
        <v>673</v>
      </c>
      <c r="G136" s="144">
        <v>20617.93</v>
      </c>
      <c r="H136" s="144">
        <v>20617.93</v>
      </c>
      <c r="I136" s="144">
        <v>211124.45</v>
      </c>
    </row>
    <row r="137" spans="1:9" x14ac:dyDescent="0.25">
      <c r="B137" s="143" t="s">
        <v>349</v>
      </c>
      <c r="C137" s="143" t="s">
        <v>520</v>
      </c>
      <c r="D137" s="143" t="s">
        <v>671</v>
      </c>
      <c r="E137" s="143"/>
      <c r="F137" s="143" t="s">
        <v>616</v>
      </c>
      <c r="G137" s="144">
        <v>20617.93</v>
      </c>
      <c r="H137" s="144">
        <v>20617.93</v>
      </c>
      <c r="I137" s="144">
        <v>231742.38</v>
      </c>
    </row>
    <row r="138" spans="1:9" x14ac:dyDescent="0.25">
      <c r="B138" s="143" t="s">
        <v>553</v>
      </c>
      <c r="C138" s="143" t="s">
        <v>520</v>
      </c>
      <c r="D138" s="143" t="s">
        <v>690</v>
      </c>
      <c r="E138" s="143"/>
      <c r="F138" s="143" t="s">
        <v>691</v>
      </c>
      <c r="G138" s="144">
        <v>12502.63</v>
      </c>
      <c r="H138" s="144">
        <v>12502.63</v>
      </c>
      <c r="I138" s="144">
        <v>244245.01</v>
      </c>
    </row>
    <row r="139" spans="1:9" x14ac:dyDescent="0.25">
      <c r="A139" s="142" t="s">
        <v>692</v>
      </c>
      <c r="G139" s="145">
        <v>244245.01</v>
      </c>
      <c r="H139" s="145">
        <v>244245.01</v>
      </c>
    </row>
    <row r="140" spans="1:9" x14ac:dyDescent="0.25">
      <c r="A140" s="142" t="s">
        <v>693</v>
      </c>
    </row>
    <row r="141" spans="1:9" x14ac:dyDescent="0.25">
      <c r="B141" s="143" t="s">
        <v>694</v>
      </c>
      <c r="C141" s="143" t="s">
        <v>520</v>
      </c>
      <c r="D141" s="143" t="s">
        <v>695</v>
      </c>
      <c r="E141" s="143"/>
      <c r="F141" s="143" t="s">
        <v>696</v>
      </c>
      <c r="G141" s="144">
        <v>11226.6</v>
      </c>
      <c r="H141" s="144">
        <v>11226.6</v>
      </c>
      <c r="I141" s="144">
        <v>11226.6</v>
      </c>
    </row>
    <row r="142" spans="1:9" x14ac:dyDescent="0.25">
      <c r="A142" s="142" t="s">
        <v>697</v>
      </c>
      <c r="G142" s="145">
        <v>11226.6</v>
      </c>
      <c r="H142" s="145">
        <v>11226.6</v>
      </c>
    </row>
    <row r="143" spans="1:9" x14ac:dyDescent="0.25">
      <c r="A143" s="142" t="s">
        <v>698</v>
      </c>
    </row>
    <row r="144" spans="1:9" x14ac:dyDescent="0.25">
      <c r="B144" s="143" t="s">
        <v>346</v>
      </c>
      <c r="C144" s="143" t="s">
        <v>520</v>
      </c>
      <c r="D144" s="143">
        <v>32079</v>
      </c>
      <c r="E144" s="143"/>
      <c r="F144" s="143" t="s">
        <v>579</v>
      </c>
      <c r="G144" s="144">
        <v>282.5</v>
      </c>
      <c r="H144" s="144">
        <v>282.5</v>
      </c>
      <c r="I144" s="144">
        <v>282.5</v>
      </c>
    </row>
    <row r="145" spans="1:9" x14ac:dyDescent="0.25">
      <c r="A145" s="142" t="s">
        <v>699</v>
      </c>
      <c r="G145" s="145">
        <v>282.5</v>
      </c>
      <c r="H145" s="145">
        <v>282.5</v>
      </c>
    </row>
    <row r="146" spans="1:9" x14ac:dyDescent="0.25">
      <c r="A146" s="142" t="s">
        <v>700</v>
      </c>
    </row>
    <row r="147" spans="1:9" x14ac:dyDescent="0.25">
      <c r="B147" s="143" t="s">
        <v>701</v>
      </c>
      <c r="C147" s="143" t="s">
        <v>520</v>
      </c>
      <c r="D147" s="143">
        <v>9871</v>
      </c>
      <c r="E147" s="143"/>
      <c r="F147" s="143" t="s">
        <v>701</v>
      </c>
      <c r="G147" s="144">
        <v>27510</v>
      </c>
      <c r="H147" s="144">
        <v>20000</v>
      </c>
      <c r="I147" s="144">
        <v>20000</v>
      </c>
    </row>
    <row r="148" spans="1:9" x14ac:dyDescent="0.25">
      <c r="A148" s="142" t="s">
        <v>702</v>
      </c>
      <c r="G148" s="145">
        <v>27510</v>
      </c>
      <c r="H148" s="145">
        <v>20000</v>
      </c>
    </row>
    <row r="149" spans="1:9" x14ac:dyDescent="0.25">
      <c r="A149" s="142" t="s">
        <v>703</v>
      </c>
    </row>
    <row r="150" spans="1:9" x14ac:dyDescent="0.25">
      <c r="B150" s="143" t="s">
        <v>704</v>
      </c>
      <c r="C150" s="143" t="s">
        <v>520</v>
      </c>
      <c r="D150" s="143" t="s">
        <v>705</v>
      </c>
      <c r="E150" s="143"/>
      <c r="F150" s="143" t="s">
        <v>476</v>
      </c>
      <c r="G150" s="144">
        <v>655.20000000000005</v>
      </c>
      <c r="H150" s="144">
        <v>655.20000000000005</v>
      </c>
      <c r="I150" s="144">
        <v>655.20000000000005</v>
      </c>
    </row>
    <row r="151" spans="1:9" x14ac:dyDescent="0.25">
      <c r="A151" s="142" t="s">
        <v>706</v>
      </c>
      <c r="G151" s="145">
        <v>655.20000000000005</v>
      </c>
      <c r="H151" s="145">
        <v>655.20000000000005</v>
      </c>
    </row>
    <row r="152" spans="1:9" x14ac:dyDescent="0.25">
      <c r="A152" s="142" t="s">
        <v>707</v>
      </c>
    </row>
    <row r="153" spans="1:9" x14ac:dyDescent="0.25">
      <c r="B153" s="143" t="s">
        <v>708</v>
      </c>
      <c r="C153" s="143" t="s">
        <v>520</v>
      </c>
      <c r="D153" s="143">
        <v>18466</v>
      </c>
      <c r="E153" s="143"/>
      <c r="F153" s="143" t="s">
        <v>709</v>
      </c>
      <c r="G153" s="144">
        <v>350</v>
      </c>
      <c r="H153" s="144">
        <v>350</v>
      </c>
      <c r="I153" s="144">
        <v>350</v>
      </c>
    </row>
    <row r="154" spans="1:9" x14ac:dyDescent="0.25">
      <c r="A154" s="142" t="s">
        <v>710</v>
      </c>
      <c r="G154" s="145">
        <v>350</v>
      </c>
      <c r="H154" s="145">
        <v>350</v>
      </c>
    </row>
    <row r="155" spans="1:9" x14ac:dyDescent="0.25">
      <c r="A155" s="142" t="s">
        <v>711</v>
      </c>
    </row>
    <row r="156" spans="1:9" x14ac:dyDescent="0.25">
      <c r="B156" s="143" t="s">
        <v>712</v>
      </c>
      <c r="C156" s="143" t="s">
        <v>713</v>
      </c>
      <c r="D156" s="143" t="s">
        <v>714</v>
      </c>
      <c r="E156" s="143"/>
      <c r="F156" s="143" t="s">
        <v>712</v>
      </c>
      <c r="G156" s="144">
        <v>-2515.8000000000002</v>
      </c>
      <c r="H156" s="144">
        <v>-2515.8000000000002</v>
      </c>
      <c r="I156" s="144">
        <v>-2515.8000000000002</v>
      </c>
    </row>
    <row r="157" spans="1:9" x14ac:dyDescent="0.25">
      <c r="B157" s="143" t="s">
        <v>715</v>
      </c>
      <c r="C157" s="143" t="s">
        <v>520</v>
      </c>
      <c r="D157" s="143">
        <v>325</v>
      </c>
      <c r="E157" s="143"/>
      <c r="F157" s="143" t="s">
        <v>716</v>
      </c>
      <c r="G157" s="144">
        <v>3524.85</v>
      </c>
      <c r="H157" s="144">
        <v>3524.85</v>
      </c>
      <c r="I157" s="144">
        <v>1009.05</v>
      </c>
    </row>
    <row r="158" spans="1:9" x14ac:dyDescent="0.25">
      <c r="B158" s="143" t="s">
        <v>717</v>
      </c>
      <c r="C158" s="143" t="s">
        <v>713</v>
      </c>
      <c r="D158" s="143" t="s">
        <v>718</v>
      </c>
      <c r="E158" s="143"/>
      <c r="F158" s="143" t="s">
        <v>717</v>
      </c>
      <c r="G158" s="144">
        <v>-7000</v>
      </c>
      <c r="H158" s="144">
        <v>-2950</v>
      </c>
      <c r="I158" s="144">
        <v>-1940.95</v>
      </c>
    </row>
    <row r="159" spans="1:9" x14ac:dyDescent="0.25">
      <c r="B159" s="143" t="s">
        <v>719</v>
      </c>
      <c r="C159" s="143" t="s">
        <v>520</v>
      </c>
      <c r="D159" s="143" t="s">
        <v>720</v>
      </c>
      <c r="E159" s="143"/>
      <c r="F159" s="143" t="s">
        <v>397</v>
      </c>
      <c r="G159" s="144">
        <v>18952.5</v>
      </c>
      <c r="H159" s="144">
        <v>18952.5</v>
      </c>
      <c r="I159" s="144">
        <v>17011.55</v>
      </c>
    </row>
    <row r="160" spans="1:9" x14ac:dyDescent="0.25">
      <c r="B160" s="143" t="s">
        <v>721</v>
      </c>
      <c r="C160" s="143" t="s">
        <v>520</v>
      </c>
      <c r="D160" s="143" t="s">
        <v>722</v>
      </c>
      <c r="E160" s="143"/>
      <c r="F160" s="143" t="s">
        <v>526</v>
      </c>
      <c r="G160" s="144">
        <v>11269.88</v>
      </c>
      <c r="H160" s="144">
        <v>11269.88</v>
      </c>
      <c r="I160" s="144">
        <v>28281.43</v>
      </c>
    </row>
    <row r="161" spans="1:9" x14ac:dyDescent="0.25">
      <c r="A161" s="142" t="s">
        <v>723</v>
      </c>
      <c r="G161" s="145">
        <v>24231.43</v>
      </c>
      <c r="H161" s="145">
        <v>28281.43</v>
      </c>
    </row>
    <row r="162" spans="1:9" x14ac:dyDescent="0.25">
      <c r="A162" s="142" t="s">
        <v>724</v>
      </c>
    </row>
    <row r="163" spans="1:9" x14ac:dyDescent="0.25">
      <c r="B163" s="143" t="s">
        <v>349</v>
      </c>
      <c r="C163" s="143" t="s">
        <v>520</v>
      </c>
      <c r="D163" s="143">
        <v>141515</v>
      </c>
      <c r="E163" s="143"/>
      <c r="F163" s="143" t="s">
        <v>725</v>
      </c>
      <c r="G163" s="144">
        <v>1174.1300000000001</v>
      </c>
      <c r="H163" s="144">
        <v>1174.1300000000001</v>
      </c>
      <c r="I163" s="144">
        <v>1174.1300000000001</v>
      </c>
    </row>
    <row r="164" spans="1:9" x14ac:dyDescent="0.25">
      <c r="A164" s="142" t="s">
        <v>726</v>
      </c>
      <c r="G164" s="145">
        <v>1174.1300000000001</v>
      </c>
      <c r="H164" s="145">
        <v>1174.1300000000001</v>
      </c>
    </row>
    <row r="165" spans="1:9" x14ac:dyDescent="0.25">
      <c r="A165" s="142" t="s">
        <v>727</v>
      </c>
    </row>
    <row r="166" spans="1:9" x14ac:dyDescent="0.25">
      <c r="B166" s="143" t="s">
        <v>461</v>
      </c>
      <c r="C166" s="143" t="s">
        <v>520</v>
      </c>
      <c r="D166" s="143">
        <v>20445</v>
      </c>
      <c r="E166" s="143"/>
      <c r="F166" s="143" t="s">
        <v>353</v>
      </c>
      <c r="G166" s="144">
        <v>482</v>
      </c>
      <c r="H166" s="144">
        <v>482</v>
      </c>
      <c r="I166" s="144">
        <v>482</v>
      </c>
    </row>
    <row r="167" spans="1:9" x14ac:dyDescent="0.25">
      <c r="A167" s="142" t="s">
        <v>728</v>
      </c>
      <c r="G167" s="145">
        <v>482</v>
      </c>
      <c r="H167" s="145">
        <v>482</v>
      </c>
    </row>
    <row r="168" spans="1:9" x14ac:dyDescent="0.25">
      <c r="A168" s="142" t="s">
        <v>729</v>
      </c>
    </row>
    <row r="169" spans="1:9" x14ac:dyDescent="0.25">
      <c r="B169" s="143" t="s">
        <v>730</v>
      </c>
      <c r="C169" s="143" t="s">
        <v>520</v>
      </c>
      <c r="D169" s="143">
        <v>70543</v>
      </c>
      <c r="E169" s="143"/>
      <c r="F169" s="143" t="s">
        <v>731</v>
      </c>
      <c r="G169" s="144">
        <v>3299.1</v>
      </c>
      <c r="H169" s="144">
        <v>1429.73</v>
      </c>
      <c r="I169" s="144">
        <v>1429.73</v>
      </c>
    </row>
    <row r="170" spans="1:9" x14ac:dyDescent="0.25">
      <c r="A170" s="142" t="s">
        <v>732</v>
      </c>
      <c r="G170" s="145">
        <v>3299.1</v>
      </c>
      <c r="H170" s="145">
        <v>1429.73</v>
      </c>
    </row>
    <row r="171" spans="1:9" x14ac:dyDescent="0.25">
      <c r="A171" s="142" t="s">
        <v>733</v>
      </c>
    </row>
    <row r="172" spans="1:9" x14ac:dyDescent="0.25">
      <c r="B172" s="143" t="s">
        <v>734</v>
      </c>
      <c r="C172" s="143" t="s">
        <v>520</v>
      </c>
      <c r="D172" s="143"/>
      <c r="E172" s="143"/>
      <c r="F172" s="143" t="s">
        <v>734</v>
      </c>
      <c r="G172" s="144">
        <v>1064.25</v>
      </c>
      <c r="H172" s="144">
        <v>1064.25</v>
      </c>
      <c r="I172" s="144">
        <v>1064.25</v>
      </c>
    </row>
    <row r="173" spans="1:9" x14ac:dyDescent="0.25">
      <c r="A173" s="142" t="s">
        <v>735</v>
      </c>
      <c r="G173" s="145">
        <v>1064.25</v>
      </c>
      <c r="H173" s="145">
        <v>1064.25</v>
      </c>
    </row>
    <row r="174" spans="1:9" x14ac:dyDescent="0.25">
      <c r="A174" s="142" t="s">
        <v>736</v>
      </c>
    </row>
    <row r="175" spans="1:9" x14ac:dyDescent="0.25">
      <c r="B175" s="143" t="s">
        <v>737</v>
      </c>
      <c r="C175" s="143" t="s">
        <v>520</v>
      </c>
      <c r="D175" s="143" t="s">
        <v>738</v>
      </c>
      <c r="E175" s="143"/>
      <c r="F175" s="143" t="s">
        <v>737</v>
      </c>
      <c r="G175" s="144">
        <v>97.11</v>
      </c>
      <c r="H175" s="144">
        <v>97.11</v>
      </c>
      <c r="I175" s="144">
        <v>97.11</v>
      </c>
    </row>
    <row r="176" spans="1:9" x14ac:dyDescent="0.25">
      <c r="B176" s="143" t="s">
        <v>691</v>
      </c>
      <c r="C176" s="143" t="s">
        <v>520</v>
      </c>
      <c r="D176" s="143" t="s">
        <v>739</v>
      </c>
      <c r="E176" s="143"/>
      <c r="F176" s="143" t="s">
        <v>740</v>
      </c>
      <c r="G176" s="144">
        <v>795.34</v>
      </c>
      <c r="H176" s="144">
        <v>795.34</v>
      </c>
      <c r="I176" s="144">
        <v>892.45</v>
      </c>
    </row>
    <row r="177" spans="1:9" x14ac:dyDescent="0.25">
      <c r="B177" s="143" t="s">
        <v>741</v>
      </c>
      <c r="C177" s="143" t="s">
        <v>520</v>
      </c>
      <c r="D177" s="143" t="s">
        <v>742</v>
      </c>
      <c r="E177" s="143" t="s">
        <v>121</v>
      </c>
      <c r="F177" s="143" t="s">
        <v>743</v>
      </c>
      <c r="G177" s="144">
        <v>1228.47</v>
      </c>
      <c r="H177" s="144">
        <v>1228.47</v>
      </c>
      <c r="I177" s="144">
        <v>2120.92</v>
      </c>
    </row>
    <row r="178" spans="1:9" x14ac:dyDescent="0.25">
      <c r="B178" s="143" t="s">
        <v>744</v>
      </c>
      <c r="C178" s="143" t="s">
        <v>520</v>
      </c>
      <c r="D178" s="143" t="s">
        <v>745</v>
      </c>
      <c r="E178" s="143" t="s">
        <v>121</v>
      </c>
      <c r="F178" s="143" t="s">
        <v>463</v>
      </c>
      <c r="G178" s="144">
        <v>2270.98</v>
      </c>
      <c r="H178" s="144">
        <v>2270.98</v>
      </c>
      <c r="I178" s="144">
        <v>4391.8999999999996</v>
      </c>
    </row>
    <row r="179" spans="1:9" x14ac:dyDescent="0.25">
      <c r="B179" s="143" t="s">
        <v>606</v>
      </c>
      <c r="C179" s="143" t="s">
        <v>520</v>
      </c>
      <c r="D179" s="143" t="s">
        <v>747</v>
      </c>
      <c r="E179" s="143" t="s">
        <v>121</v>
      </c>
      <c r="F179" s="143" t="s">
        <v>607</v>
      </c>
      <c r="G179" s="144">
        <v>341.64</v>
      </c>
      <c r="H179" s="144">
        <v>341.64</v>
      </c>
      <c r="I179" s="144">
        <v>4733.54</v>
      </c>
    </row>
    <row r="180" spans="1:9" x14ac:dyDescent="0.25">
      <c r="B180" s="143" t="s">
        <v>606</v>
      </c>
      <c r="C180" s="143" t="s">
        <v>520</v>
      </c>
      <c r="D180" s="143" t="s">
        <v>746</v>
      </c>
      <c r="E180" s="143" t="s">
        <v>121</v>
      </c>
      <c r="F180" s="143" t="s">
        <v>607</v>
      </c>
      <c r="G180" s="144">
        <v>1013.64</v>
      </c>
      <c r="H180" s="144">
        <v>1013.64</v>
      </c>
      <c r="I180" s="144">
        <v>5747.18</v>
      </c>
    </row>
    <row r="181" spans="1:9" x14ac:dyDescent="0.25">
      <c r="B181" s="143" t="s">
        <v>440</v>
      </c>
      <c r="C181" s="143" t="s">
        <v>520</v>
      </c>
      <c r="D181" s="143" t="s">
        <v>748</v>
      </c>
      <c r="E181" s="143" t="s">
        <v>121</v>
      </c>
      <c r="F181" s="143" t="s">
        <v>749</v>
      </c>
      <c r="G181" s="144">
        <v>1349.23</v>
      </c>
      <c r="H181" s="144">
        <v>1349.23</v>
      </c>
      <c r="I181" s="144">
        <v>7096.41</v>
      </c>
    </row>
    <row r="182" spans="1:9" x14ac:dyDescent="0.25">
      <c r="B182" s="143" t="s">
        <v>368</v>
      </c>
      <c r="C182" s="143" t="s">
        <v>520</v>
      </c>
      <c r="D182" s="143" t="s">
        <v>752</v>
      </c>
      <c r="E182" s="143"/>
      <c r="F182" s="143" t="s">
        <v>751</v>
      </c>
      <c r="G182" s="144">
        <v>775.89</v>
      </c>
      <c r="H182" s="144">
        <v>775.89</v>
      </c>
      <c r="I182" s="144">
        <v>7872.3</v>
      </c>
    </row>
    <row r="183" spans="1:9" x14ac:dyDescent="0.25">
      <c r="B183" s="143" t="s">
        <v>368</v>
      </c>
      <c r="C183" s="143" t="s">
        <v>520</v>
      </c>
      <c r="D183" s="143" t="s">
        <v>750</v>
      </c>
      <c r="E183" s="143"/>
      <c r="F183" s="143" t="s">
        <v>751</v>
      </c>
      <c r="G183" s="144">
        <v>3001.37</v>
      </c>
      <c r="H183" s="144">
        <v>3001.37</v>
      </c>
      <c r="I183" s="144">
        <v>10873.67</v>
      </c>
    </row>
    <row r="184" spans="1:9" x14ac:dyDescent="0.25">
      <c r="B184" s="143" t="s">
        <v>460</v>
      </c>
      <c r="C184" s="143" t="s">
        <v>520</v>
      </c>
      <c r="D184" s="143" t="s">
        <v>1099</v>
      </c>
      <c r="E184" s="143"/>
      <c r="F184" s="143" t="s">
        <v>460</v>
      </c>
      <c r="G184" s="144">
        <v>1081.44</v>
      </c>
      <c r="H184" s="144">
        <v>1081.44</v>
      </c>
      <c r="I184" s="144">
        <v>11955.11</v>
      </c>
    </row>
    <row r="185" spans="1:9" x14ac:dyDescent="0.25">
      <c r="B185" s="143" t="s">
        <v>992</v>
      </c>
      <c r="C185" s="143" t="s">
        <v>520</v>
      </c>
      <c r="D185" s="143" t="s">
        <v>1100</v>
      </c>
      <c r="E185" s="143" t="s">
        <v>121</v>
      </c>
      <c r="F185" s="143" t="s">
        <v>992</v>
      </c>
      <c r="G185" s="144">
        <v>871.87</v>
      </c>
      <c r="H185" s="144">
        <v>871.87</v>
      </c>
      <c r="I185" s="144">
        <v>12826.98</v>
      </c>
    </row>
    <row r="186" spans="1:9" x14ac:dyDescent="0.25">
      <c r="A186" s="142" t="s">
        <v>753</v>
      </c>
      <c r="G186" s="145">
        <v>12826.98</v>
      </c>
      <c r="H186" s="145">
        <v>12826.98</v>
      </c>
    </row>
    <row r="187" spans="1:9" x14ac:dyDescent="0.25">
      <c r="A187" s="142" t="s">
        <v>754</v>
      </c>
    </row>
    <row r="188" spans="1:9" x14ac:dyDescent="0.25">
      <c r="B188" s="143" t="s">
        <v>667</v>
      </c>
      <c r="C188" s="143" t="s">
        <v>520</v>
      </c>
      <c r="D188" s="143"/>
      <c r="E188" s="143"/>
      <c r="F188" s="143" t="s">
        <v>424</v>
      </c>
      <c r="G188" s="144">
        <v>399.82</v>
      </c>
      <c r="H188" s="144">
        <v>399.82</v>
      </c>
      <c r="I188" s="144">
        <v>399.82</v>
      </c>
    </row>
    <row r="189" spans="1:9" x14ac:dyDescent="0.25">
      <c r="A189" s="142" t="s">
        <v>755</v>
      </c>
      <c r="G189" s="145">
        <v>399.82</v>
      </c>
      <c r="H189" s="145">
        <v>399.82</v>
      </c>
    </row>
    <row r="190" spans="1:9" x14ac:dyDescent="0.25">
      <c r="A190" s="142" t="s">
        <v>756</v>
      </c>
    </row>
    <row r="191" spans="1:9" x14ac:dyDescent="0.25">
      <c r="B191" s="143" t="s">
        <v>757</v>
      </c>
      <c r="C191" s="143" t="s">
        <v>520</v>
      </c>
      <c r="D191" s="143">
        <v>44003132</v>
      </c>
      <c r="E191" s="143"/>
      <c r="F191" s="143" t="s">
        <v>758</v>
      </c>
      <c r="G191" s="144">
        <v>312.26</v>
      </c>
      <c r="H191" s="144">
        <v>312.26</v>
      </c>
      <c r="I191" s="144">
        <v>312.26</v>
      </c>
    </row>
    <row r="192" spans="1:9" x14ac:dyDescent="0.25">
      <c r="B192" s="143" t="s">
        <v>759</v>
      </c>
      <c r="C192" s="143" t="s">
        <v>520</v>
      </c>
      <c r="D192" s="143">
        <v>44272206</v>
      </c>
      <c r="E192" s="143"/>
      <c r="F192" s="143" t="s">
        <v>760</v>
      </c>
      <c r="G192" s="144">
        <v>312.26</v>
      </c>
      <c r="H192" s="144">
        <v>312.26</v>
      </c>
      <c r="I192" s="144">
        <v>624.52</v>
      </c>
    </row>
    <row r="193" spans="1:9" x14ac:dyDescent="0.25">
      <c r="B193" s="143" t="s">
        <v>759</v>
      </c>
      <c r="C193" s="143" t="s">
        <v>520</v>
      </c>
      <c r="D193" s="143">
        <v>44283806</v>
      </c>
      <c r="E193" s="143"/>
      <c r="F193" s="143" t="s">
        <v>760</v>
      </c>
      <c r="G193" s="144">
        <v>77.680000000000007</v>
      </c>
      <c r="H193" s="144">
        <v>77.680000000000007</v>
      </c>
      <c r="I193" s="144">
        <v>702.2</v>
      </c>
    </row>
    <row r="194" spans="1:9" x14ac:dyDescent="0.25">
      <c r="B194" s="143" t="s">
        <v>349</v>
      </c>
      <c r="C194" s="143" t="s">
        <v>520</v>
      </c>
      <c r="D194" s="143">
        <v>44351942</v>
      </c>
      <c r="E194" s="143"/>
      <c r="F194" s="143" t="s">
        <v>400</v>
      </c>
      <c r="G194" s="144">
        <v>1061.46</v>
      </c>
      <c r="H194" s="144">
        <v>1061.46</v>
      </c>
      <c r="I194" s="144">
        <v>1763.66</v>
      </c>
    </row>
    <row r="195" spans="1:9" x14ac:dyDescent="0.25">
      <c r="B195" s="143" t="s">
        <v>472</v>
      </c>
      <c r="C195" s="143" t="s">
        <v>520</v>
      </c>
      <c r="D195" s="143">
        <v>44471531</v>
      </c>
      <c r="E195" s="143"/>
      <c r="F195" s="143" t="s">
        <v>761</v>
      </c>
      <c r="G195" s="144">
        <v>589.91999999999996</v>
      </c>
      <c r="H195" s="144">
        <v>589.91999999999996</v>
      </c>
      <c r="I195" s="144">
        <v>2353.58</v>
      </c>
    </row>
    <row r="196" spans="1:9" x14ac:dyDescent="0.25">
      <c r="B196" s="143" t="s">
        <v>400</v>
      </c>
      <c r="C196" s="143" t="s">
        <v>520</v>
      </c>
      <c r="D196" s="143">
        <v>44503402</v>
      </c>
      <c r="E196" s="143"/>
      <c r="F196" s="143" t="s">
        <v>762</v>
      </c>
      <c r="G196" s="144">
        <v>157.46</v>
      </c>
      <c r="H196" s="144">
        <v>157.46</v>
      </c>
      <c r="I196" s="144">
        <v>2511.04</v>
      </c>
    </row>
    <row r="197" spans="1:9" x14ac:dyDescent="0.25">
      <c r="A197" s="142" t="s">
        <v>763</v>
      </c>
      <c r="G197" s="145">
        <v>2511.04</v>
      </c>
      <c r="H197" s="145">
        <v>2511.04</v>
      </c>
    </row>
    <row r="198" spans="1:9" x14ac:dyDescent="0.25">
      <c r="A198" s="142" t="s">
        <v>764</v>
      </c>
    </row>
    <row r="199" spans="1:9" x14ac:dyDescent="0.25">
      <c r="B199" s="143" t="s">
        <v>765</v>
      </c>
      <c r="C199" s="143" t="s">
        <v>520</v>
      </c>
      <c r="D199" s="143">
        <v>1248</v>
      </c>
      <c r="E199" s="143" t="s">
        <v>121</v>
      </c>
      <c r="F199" s="143" t="s">
        <v>765</v>
      </c>
      <c r="G199" s="144">
        <v>9723.4</v>
      </c>
      <c r="H199" s="144">
        <v>615.54</v>
      </c>
      <c r="I199" s="144">
        <v>615.54</v>
      </c>
    </row>
    <row r="200" spans="1:9" x14ac:dyDescent="0.25">
      <c r="B200" s="143" t="s">
        <v>460</v>
      </c>
      <c r="C200" s="143" t="s">
        <v>520</v>
      </c>
      <c r="D200" s="143">
        <v>1263</v>
      </c>
      <c r="E200" s="143" t="s">
        <v>121</v>
      </c>
      <c r="F200" s="143" t="s">
        <v>460</v>
      </c>
      <c r="G200" s="144">
        <v>23625.41</v>
      </c>
      <c r="H200" s="144">
        <v>23625.41</v>
      </c>
      <c r="I200" s="144">
        <v>24240.95</v>
      </c>
    </row>
    <row r="201" spans="1:9" x14ac:dyDescent="0.25">
      <c r="A201" s="142" t="s">
        <v>766</v>
      </c>
      <c r="G201" s="145">
        <v>33348.81</v>
      </c>
      <c r="H201" s="145">
        <v>24240.95</v>
      </c>
    </row>
    <row r="202" spans="1:9" x14ac:dyDescent="0.25">
      <c r="A202" s="142" t="s">
        <v>767</v>
      </c>
    </row>
    <row r="203" spans="1:9" x14ac:dyDescent="0.25">
      <c r="B203" s="143" t="s">
        <v>349</v>
      </c>
      <c r="C203" s="143" t="s">
        <v>520</v>
      </c>
      <c r="D203" s="143">
        <v>49266</v>
      </c>
      <c r="E203" s="143"/>
      <c r="F203" s="143" t="s">
        <v>350</v>
      </c>
      <c r="G203" s="144">
        <v>473.03</v>
      </c>
      <c r="H203" s="144">
        <v>473.03</v>
      </c>
      <c r="I203" s="144">
        <v>473.03</v>
      </c>
    </row>
    <row r="204" spans="1:9" x14ac:dyDescent="0.25">
      <c r="A204" s="142" t="s">
        <v>768</v>
      </c>
      <c r="G204" s="145">
        <v>473.03</v>
      </c>
      <c r="H204" s="145">
        <v>473.03</v>
      </c>
    </row>
    <row r="205" spans="1:9" x14ac:dyDescent="0.25">
      <c r="A205" s="142" t="s">
        <v>769</v>
      </c>
    </row>
    <row r="206" spans="1:9" x14ac:dyDescent="0.25">
      <c r="B206" s="143" t="s">
        <v>712</v>
      </c>
      <c r="C206" s="143" t="s">
        <v>520</v>
      </c>
      <c r="D206" s="143" t="s">
        <v>770</v>
      </c>
      <c r="E206" s="143"/>
      <c r="F206" s="143" t="s">
        <v>771</v>
      </c>
      <c r="G206" s="144">
        <v>9135</v>
      </c>
      <c r="H206" s="144">
        <v>9135</v>
      </c>
      <c r="I206" s="144">
        <v>9135</v>
      </c>
    </row>
    <row r="207" spans="1:9" x14ac:dyDescent="0.25">
      <c r="B207" s="143" t="s">
        <v>772</v>
      </c>
      <c r="C207" s="143" t="s">
        <v>520</v>
      </c>
      <c r="D207" s="143" t="s">
        <v>773</v>
      </c>
      <c r="E207" s="143"/>
      <c r="F207" s="143" t="s">
        <v>774</v>
      </c>
      <c r="G207" s="144">
        <v>194.33</v>
      </c>
      <c r="H207" s="144">
        <v>194.33</v>
      </c>
      <c r="I207" s="144">
        <v>9329.33</v>
      </c>
    </row>
    <row r="208" spans="1:9" x14ac:dyDescent="0.25">
      <c r="A208" s="142" t="s">
        <v>775</v>
      </c>
      <c r="G208" s="145">
        <v>9329.33</v>
      </c>
      <c r="H208" s="145">
        <v>9329.33</v>
      </c>
    </row>
    <row r="209" spans="1:9" x14ac:dyDescent="0.25">
      <c r="A209" s="142" t="s">
        <v>776</v>
      </c>
    </row>
    <row r="210" spans="1:9" x14ac:dyDescent="0.25">
      <c r="B210" s="143" t="s">
        <v>777</v>
      </c>
      <c r="C210" s="143" t="s">
        <v>520</v>
      </c>
      <c r="D210" s="143">
        <v>20578</v>
      </c>
      <c r="E210" s="143"/>
      <c r="F210" s="143" t="s">
        <v>425</v>
      </c>
      <c r="G210" s="144">
        <v>2260</v>
      </c>
      <c r="H210" s="144">
        <v>2260</v>
      </c>
      <c r="I210" s="144">
        <v>2260</v>
      </c>
    </row>
    <row r="211" spans="1:9" x14ac:dyDescent="0.25">
      <c r="A211" s="142" t="s">
        <v>778</v>
      </c>
      <c r="G211" s="145">
        <v>2260</v>
      </c>
      <c r="H211" s="145">
        <v>2260</v>
      </c>
    </row>
    <row r="212" spans="1:9" x14ac:dyDescent="0.25">
      <c r="A212" s="142" t="s">
        <v>779</v>
      </c>
    </row>
    <row r="213" spans="1:9" x14ac:dyDescent="0.25">
      <c r="B213" s="143" t="s">
        <v>780</v>
      </c>
      <c r="C213" s="143" t="s">
        <v>520</v>
      </c>
      <c r="D213" s="143" t="s">
        <v>781</v>
      </c>
      <c r="E213" s="143" t="s">
        <v>121</v>
      </c>
      <c r="F213" s="143" t="s">
        <v>521</v>
      </c>
      <c r="G213" s="144">
        <v>480</v>
      </c>
      <c r="H213" s="144">
        <v>480</v>
      </c>
      <c r="I213" s="144">
        <v>480</v>
      </c>
    </row>
    <row r="214" spans="1:9" x14ac:dyDescent="0.25">
      <c r="B214" s="143" t="s">
        <v>782</v>
      </c>
      <c r="C214" s="143" t="s">
        <v>520</v>
      </c>
      <c r="D214" s="143">
        <v>8410</v>
      </c>
      <c r="E214" s="143"/>
      <c r="F214" s="143" t="s">
        <v>783</v>
      </c>
      <c r="G214" s="144">
        <v>480</v>
      </c>
      <c r="H214" s="144">
        <v>480</v>
      </c>
      <c r="I214" s="144">
        <v>960</v>
      </c>
    </row>
    <row r="215" spans="1:9" x14ac:dyDescent="0.25">
      <c r="A215" s="142" t="s">
        <v>784</v>
      </c>
      <c r="G215" s="145">
        <v>960</v>
      </c>
      <c r="H215" s="145">
        <v>960</v>
      </c>
    </row>
    <row r="216" spans="1:9" x14ac:dyDescent="0.25">
      <c r="A216" s="142" t="s">
        <v>785</v>
      </c>
    </row>
    <row r="217" spans="1:9" x14ac:dyDescent="0.25">
      <c r="B217" s="143" t="s">
        <v>786</v>
      </c>
      <c r="C217" s="143" t="s">
        <v>520</v>
      </c>
      <c r="D217" s="143">
        <v>843478</v>
      </c>
      <c r="E217" s="143"/>
      <c r="F217" s="143" t="s">
        <v>787</v>
      </c>
      <c r="G217" s="144">
        <v>5477.53</v>
      </c>
      <c r="H217" s="144">
        <v>5477.53</v>
      </c>
      <c r="I217" s="144">
        <v>5477.53</v>
      </c>
    </row>
    <row r="218" spans="1:9" x14ac:dyDescent="0.25">
      <c r="B218" s="143" t="s">
        <v>529</v>
      </c>
      <c r="C218" s="143" t="s">
        <v>520</v>
      </c>
      <c r="D218" s="143">
        <v>851040</v>
      </c>
      <c r="E218" s="143"/>
      <c r="F218" s="143" t="s">
        <v>788</v>
      </c>
      <c r="G218" s="144">
        <v>7282.34</v>
      </c>
      <c r="H218" s="144">
        <v>7282.34</v>
      </c>
      <c r="I218" s="144">
        <v>12759.87</v>
      </c>
    </row>
    <row r="219" spans="1:9" x14ac:dyDescent="0.25">
      <c r="B219" s="143" t="s">
        <v>652</v>
      </c>
      <c r="C219" s="143" t="s">
        <v>520</v>
      </c>
      <c r="D219" s="143">
        <v>852642</v>
      </c>
      <c r="E219" s="143"/>
      <c r="F219" s="143" t="s">
        <v>788</v>
      </c>
      <c r="G219" s="144">
        <v>1097.25</v>
      </c>
      <c r="H219" s="144">
        <v>1097.25</v>
      </c>
      <c r="I219" s="144">
        <v>13857.12</v>
      </c>
    </row>
    <row r="220" spans="1:9" x14ac:dyDescent="0.25">
      <c r="A220" s="142" t="s">
        <v>789</v>
      </c>
      <c r="G220" s="145">
        <v>13857.12</v>
      </c>
      <c r="H220" s="145">
        <v>13857.12</v>
      </c>
    </row>
    <row r="221" spans="1:9" x14ac:dyDescent="0.25">
      <c r="A221" s="142" t="s">
        <v>1101</v>
      </c>
    </row>
    <row r="222" spans="1:9" x14ac:dyDescent="0.25">
      <c r="B222" s="143" t="s">
        <v>1089</v>
      </c>
      <c r="C222" s="143" t="s">
        <v>520</v>
      </c>
      <c r="D222" s="143">
        <v>140</v>
      </c>
      <c r="E222" s="143" t="s">
        <v>396</v>
      </c>
      <c r="F222" s="143" t="s">
        <v>1089</v>
      </c>
      <c r="G222" s="144">
        <v>73300.5</v>
      </c>
      <c r="H222" s="144">
        <v>73300.5</v>
      </c>
      <c r="I222" s="144">
        <v>73300.5</v>
      </c>
    </row>
    <row r="223" spans="1:9" x14ac:dyDescent="0.25">
      <c r="A223" s="142" t="s">
        <v>1102</v>
      </c>
      <c r="G223" s="145">
        <v>73300.5</v>
      </c>
      <c r="H223" s="145">
        <v>73300.5</v>
      </c>
    </row>
    <row r="224" spans="1:9" x14ac:dyDescent="0.25">
      <c r="A224" s="142" t="s">
        <v>790</v>
      </c>
    </row>
    <row r="225" spans="1:9" x14ac:dyDescent="0.25">
      <c r="B225" s="143" t="s">
        <v>791</v>
      </c>
      <c r="C225" s="143" t="s">
        <v>520</v>
      </c>
      <c r="D225" s="143">
        <v>10609651</v>
      </c>
      <c r="E225" s="143" t="s">
        <v>121</v>
      </c>
      <c r="F225" s="143" t="s">
        <v>792</v>
      </c>
      <c r="G225" s="144">
        <v>42941.27</v>
      </c>
      <c r="H225" s="144">
        <v>42941.27</v>
      </c>
      <c r="I225" s="144">
        <v>42941.27</v>
      </c>
    </row>
    <row r="226" spans="1:9" x14ac:dyDescent="0.25">
      <c r="B226" s="143" t="s">
        <v>793</v>
      </c>
      <c r="C226" s="143" t="s">
        <v>520</v>
      </c>
      <c r="D226" s="143">
        <v>10650094</v>
      </c>
      <c r="E226" s="143" t="s">
        <v>121</v>
      </c>
      <c r="F226" s="143" t="s">
        <v>493</v>
      </c>
      <c r="G226" s="144">
        <v>26737.83</v>
      </c>
      <c r="H226" s="144">
        <v>26737.83</v>
      </c>
      <c r="I226" s="144">
        <v>69679.100000000006</v>
      </c>
    </row>
    <row r="227" spans="1:9" x14ac:dyDescent="0.25">
      <c r="B227" s="143" t="s">
        <v>794</v>
      </c>
      <c r="C227" s="143" t="s">
        <v>520</v>
      </c>
      <c r="D227" s="143">
        <v>10676744</v>
      </c>
      <c r="E227" s="143"/>
      <c r="F227" s="143" t="s">
        <v>794</v>
      </c>
      <c r="G227" s="144">
        <v>39846.559999999998</v>
      </c>
      <c r="H227" s="144">
        <v>39846.559999999998</v>
      </c>
      <c r="I227" s="144">
        <v>109525.66</v>
      </c>
    </row>
    <row r="228" spans="1:9" x14ac:dyDescent="0.25">
      <c r="B228" s="143" t="s">
        <v>641</v>
      </c>
      <c r="C228" s="143" t="s">
        <v>520</v>
      </c>
      <c r="D228" s="143">
        <v>10725812</v>
      </c>
      <c r="E228" s="143"/>
      <c r="F228" s="143" t="s">
        <v>641</v>
      </c>
      <c r="G228" s="144">
        <v>13008.4</v>
      </c>
      <c r="H228" s="144">
        <v>13008.4</v>
      </c>
      <c r="I228" s="144">
        <v>122534.06</v>
      </c>
    </row>
    <row r="229" spans="1:9" x14ac:dyDescent="0.25">
      <c r="B229" s="143" t="s">
        <v>795</v>
      </c>
      <c r="C229" s="143" t="s">
        <v>520</v>
      </c>
      <c r="D229" s="143">
        <v>10759153</v>
      </c>
      <c r="E229" s="143" t="s">
        <v>121</v>
      </c>
      <c r="F229" s="143" t="s">
        <v>544</v>
      </c>
      <c r="G229" s="144">
        <v>27256</v>
      </c>
      <c r="H229" s="144">
        <v>27256</v>
      </c>
      <c r="I229" s="144">
        <v>149790.06</v>
      </c>
    </row>
    <row r="230" spans="1:9" x14ac:dyDescent="0.25">
      <c r="B230" s="143" t="s">
        <v>796</v>
      </c>
      <c r="C230" s="143" t="s">
        <v>520</v>
      </c>
      <c r="D230" s="143">
        <v>10815649</v>
      </c>
      <c r="E230" s="143"/>
      <c r="F230" s="143" t="s">
        <v>544</v>
      </c>
      <c r="G230" s="144">
        <v>9371.25</v>
      </c>
      <c r="H230" s="144">
        <v>9371.25</v>
      </c>
      <c r="I230" s="144">
        <v>159161.31</v>
      </c>
    </row>
    <row r="231" spans="1:9" x14ac:dyDescent="0.25">
      <c r="B231" s="143" t="s">
        <v>544</v>
      </c>
      <c r="C231" s="143" t="s">
        <v>520</v>
      </c>
      <c r="D231" s="143" t="s">
        <v>797</v>
      </c>
      <c r="E231" s="143" t="s">
        <v>121</v>
      </c>
      <c r="F231" s="143" t="s">
        <v>546</v>
      </c>
      <c r="G231" s="144">
        <v>6552.02</v>
      </c>
      <c r="H231" s="144">
        <v>6552.02</v>
      </c>
      <c r="I231" s="144">
        <v>165713.32999999999</v>
      </c>
    </row>
    <row r="232" spans="1:9" x14ac:dyDescent="0.25">
      <c r="B232" s="143" t="s">
        <v>798</v>
      </c>
      <c r="C232" s="143" t="s">
        <v>520</v>
      </c>
      <c r="D232" s="143" t="s">
        <v>799</v>
      </c>
      <c r="E232" s="143" t="s">
        <v>121</v>
      </c>
      <c r="F232" s="143" t="s">
        <v>800</v>
      </c>
      <c r="G232" s="144">
        <v>10168.75</v>
      </c>
      <c r="H232" s="144">
        <v>10168.75</v>
      </c>
      <c r="I232" s="144">
        <v>175882.08</v>
      </c>
    </row>
    <row r="233" spans="1:9" x14ac:dyDescent="0.25">
      <c r="B233" s="143" t="s">
        <v>801</v>
      </c>
      <c r="C233" s="143" t="s">
        <v>520</v>
      </c>
      <c r="D233" s="143" t="s">
        <v>802</v>
      </c>
      <c r="E233" s="143"/>
      <c r="F233" s="143" t="s">
        <v>801</v>
      </c>
      <c r="G233" s="144">
        <v>2638.23</v>
      </c>
      <c r="H233" s="144">
        <v>2638.23</v>
      </c>
      <c r="I233" s="144">
        <v>178520.31</v>
      </c>
    </row>
    <row r="234" spans="1:9" x14ac:dyDescent="0.25">
      <c r="B234" s="143" t="s">
        <v>803</v>
      </c>
      <c r="C234" s="143" t="s">
        <v>520</v>
      </c>
      <c r="D234" s="143" t="s">
        <v>804</v>
      </c>
      <c r="E234" s="143"/>
      <c r="F234" s="143" t="s">
        <v>803</v>
      </c>
      <c r="G234" s="144">
        <v>2677.81</v>
      </c>
      <c r="H234" s="144">
        <v>2677.81</v>
      </c>
      <c r="I234" s="144">
        <v>181198.12</v>
      </c>
    </row>
    <row r="235" spans="1:9" x14ac:dyDescent="0.25">
      <c r="B235" s="143" t="s">
        <v>805</v>
      </c>
      <c r="C235" s="143" t="s">
        <v>520</v>
      </c>
      <c r="D235" s="143" t="s">
        <v>806</v>
      </c>
      <c r="E235" s="143"/>
      <c r="F235" s="143" t="s">
        <v>805</v>
      </c>
      <c r="G235" s="144">
        <v>2717.97</v>
      </c>
      <c r="H235" s="144">
        <v>2717.97</v>
      </c>
      <c r="I235" s="144">
        <v>183916.09</v>
      </c>
    </row>
    <row r="236" spans="1:9" x14ac:dyDescent="0.25">
      <c r="B236" s="143" t="s">
        <v>807</v>
      </c>
      <c r="C236" s="143" t="s">
        <v>520</v>
      </c>
      <c r="D236" s="143" t="s">
        <v>808</v>
      </c>
      <c r="E236" s="143"/>
      <c r="F236" s="143" t="s">
        <v>807</v>
      </c>
      <c r="G236" s="144">
        <v>2758.74</v>
      </c>
      <c r="H236" s="144">
        <v>2758.74</v>
      </c>
      <c r="I236" s="144">
        <v>186674.83</v>
      </c>
    </row>
    <row r="237" spans="1:9" x14ac:dyDescent="0.25">
      <c r="B237" s="143" t="s">
        <v>335</v>
      </c>
      <c r="C237" s="143" t="s">
        <v>520</v>
      </c>
      <c r="D237" s="143" t="s">
        <v>809</v>
      </c>
      <c r="E237" s="143"/>
      <c r="F237" s="143" t="s">
        <v>335</v>
      </c>
      <c r="G237" s="144">
        <v>2800.12</v>
      </c>
      <c r="H237" s="144">
        <v>2800.12</v>
      </c>
      <c r="I237" s="144">
        <v>189474.95</v>
      </c>
    </row>
    <row r="238" spans="1:9" x14ac:dyDescent="0.25">
      <c r="B238" s="143" t="s">
        <v>337</v>
      </c>
      <c r="C238" s="143" t="s">
        <v>520</v>
      </c>
      <c r="D238" s="143" t="s">
        <v>810</v>
      </c>
      <c r="E238" s="143"/>
      <c r="F238" s="143" t="s">
        <v>337</v>
      </c>
      <c r="G238" s="144">
        <v>2842.12</v>
      </c>
      <c r="H238" s="144">
        <v>2842.12</v>
      </c>
      <c r="I238" s="144">
        <v>192317.07</v>
      </c>
    </row>
    <row r="239" spans="1:9" x14ac:dyDescent="0.25">
      <c r="B239" s="143" t="s">
        <v>339</v>
      </c>
      <c r="C239" s="143" t="s">
        <v>520</v>
      </c>
      <c r="D239" s="143" t="s">
        <v>811</v>
      </c>
      <c r="E239" s="143" t="s">
        <v>121</v>
      </c>
      <c r="F239" s="143" t="s">
        <v>812</v>
      </c>
      <c r="G239" s="144">
        <v>2884.76</v>
      </c>
      <c r="H239" s="144">
        <v>2884.76</v>
      </c>
      <c r="I239" s="144">
        <v>195201.83</v>
      </c>
    </row>
    <row r="240" spans="1:9" x14ac:dyDescent="0.25">
      <c r="A240" s="142" t="s">
        <v>813</v>
      </c>
      <c r="G240" s="145">
        <v>195201.83</v>
      </c>
      <c r="H240" s="145">
        <v>195201.83</v>
      </c>
    </row>
    <row r="241" spans="1:9" x14ac:dyDescent="0.25">
      <c r="A241" s="142" t="s">
        <v>814</v>
      </c>
    </row>
    <row r="242" spans="1:9" x14ac:dyDescent="0.25">
      <c r="B242" s="143" t="s">
        <v>484</v>
      </c>
      <c r="C242" s="143" t="s">
        <v>520</v>
      </c>
      <c r="D242" s="143" t="s">
        <v>815</v>
      </c>
      <c r="E242" s="143" t="s">
        <v>121</v>
      </c>
      <c r="F242" s="143" t="s">
        <v>484</v>
      </c>
      <c r="G242" s="144">
        <v>45306.85</v>
      </c>
      <c r="H242" s="144">
        <v>22063.26</v>
      </c>
      <c r="I242" s="144">
        <v>22063.26</v>
      </c>
    </row>
    <row r="243" spans="1:9" x14ac:dyDescent="0.25">
      <c r="A243" s="142" t="s">
        <v>816</v>
      </c>
      <c r="G243" s="145">
        <v>45306.85</v>
      </c>
      <c r="H243" s="145">
        <v>22063.26</v>
      </c>
    </row>
    <row r="244" spans="1:9" x14ac:dyDescent="0.25">
      <c r="A244" s="142" t="s">
        <v>817</v>
      </c>
    </row>
    <row r="245" spans="1:9" x14ac:dyDescent="0.25">
      <c r="B245" s="143" t="s">
        <v>818</v>
      </c>
      <c r="C245" s="143" t="s">
        <v>520</v>
      </c>
      <c r="D245" s="143"/>
      <c r="E245" s="143"/>
      <c r="F245" s="143" t="s">
        <v>819</v>
      </c>
      <c r="G245" s="144">
        <v>326.83999999999997</v>
      </c>
      <c r="H245" s="144">
        <v>326.83999999999997</v>
      </c>
      <c r="I245" s="144">
        <v>326.83999999999997</v>
      </c>
    </row>
    <row r="246" spans="1:9" x14ac:dyDescent="0.25">
      <c r="A246" s="142" t="s">
        <v>820</v>
      </c>
      <c r="G246" s="145">
        <v>326.83999999999997</v>
      </c>
      <c r="H246" s="145">
        <v>326.83999999999997</v>
      </c>
    </row>
    <row r="247" spans="1:9" x14ac:dyDescent="0.25">
      <c r="A247" s="142" t="s">
        <v>821</v>
      </c>
    </row>
    <row r="248" spans="1:9" x14ac:dyDescent="0.25">
      <c r="B248" s="143" t="s">
        <v>572</v>
      </c>
      <c r="C248" s="143" t="s">
        <v>520</v>
      </c>
      <c r="D248" s="143">
        <v>381</v>
      </c>
      <c r="E248" s="143"/>
      <c r="F248" s="143" t="s">
        <v>435</v>
      </c>
      <c r="G248" s="144">
        <v>1050</v>
      </c>
      <c r="H248" s="144">
        <v>1050</v>
      </c>
      <c r="I248" s="144">
        <v>1050</v>
      </c>
    </row>
    <row r="249" spans="1:9" x14ac:dyDescent="0.25">
      <c r="A249" s="142" t="s">
        <v>822</v>
      </c>
      <c r="G249" s="145">
        <v>1050</v>
      </c>
      <c r="H249" s="145">
        <v>1050</v>
      </c>
    </row>
    <row r="250" spans="1:9" x14ac:dyDescent="0.25">
      <c r="A250" s="142" t="s">
        <v>823</v>
      </c>
    </row>
    <row r="251" spans="1:9" x14ac:dyDescent="0.25">
      <c r="B251" s="143" t="s">
        <v>339</v>
      </c>
      <c r="C251" s="143" t="s">
        <v>557</v>
      </c>
      <c r="D251" s="143"/>
      <c r="E251" s="143"/>
      <c r="F251" s="143" t="s">
        <v>339</v>
      </c>
      <c r="G251" s="144">
        <v>-2202.6799999999998</v>
      </c>
      <c r="H251" s="144">
        <v>-2202.6799999999998</v>
      </c>
      <c r="I251" s="144">
        <v>-2202.6799999999998</v>
      </c>
    </row>
    <row r="252" spans="1:9" x14ac:dyDescent="0.25">
      <c r="B252" s="143" t="s">
        <v>420</v>
      </c>
      <c r="C252" s="143" t="s">
        <v>520</v>
      </c>
      <c r="D252" s="143">
        <v>90128480</v>
      </c>
      <c r="E252" s="143"/>
      <c r="F252" s="143" t="s">
        <v>824</v>
      </c>
      <c r="G252" s="144">
        <v>482.21</v>
      </c>
      <c r="H252" s="144">
        <v>482.21</v>
      </c>
      <c r="I252" s="144">
        <v>-1720.47</v>
      </c>
    </row>
    <row r="253" spans="1:9" x14ac:dyDescent="0.25">
      <c r="A253" s="142" t="s">
        <v>825</v>
      </c>
      <c r="G253" s="145">
        <v>-1720.47</v>
      </c>
      <c r="H253" s="145">
        <v>-1720.47</v>
      </c>
    </row>
    <row r="254" spans="1:9" x14ac:dyDescent="0.25">
      <c r="A254" s="142" t="s">
        <v>826</v>
      </c>
    </row>
    <row r="255" spans="1:9" x14ac:dyDescent="0.25">
      <c r="B255" s="143" t="s">
        <v>827</v>
      </c>
      <c r="C255" s="143" t="s">
        <v>520</v>
      </c>
      <c r="D255" s="143" t="s">
        <v>829</v>
      </c>
      <c r="E255" s="143"/>
      <c r="F255" s="143" t="s">
        <v>827</v>
      </c>
      <c r="G255" s="144">
        <v>21120</v>
      </c>
      <c r="H255" s="144">
        <v>10560</v>
      </c>
      <c r="I255" s="144">
        <v>10560</v>
      </c>
    </row>
    <row r="256" spans="1:9" x14ac:dyDescent="0.25">
      <c r="B256" s="143" t="s">
        <v>827</v>
      </c>
      <c r="C256" s="143" t="s">
        <v>520</v>
      </c>
      <c r="D256" s="143" t="s">
        <v>828</v>
      </c>
      <c r="E256" s="143"/>
      <c r="F256" s="143" t="s">
        <v>827</v>
      </c>
      <c r="G256" s="144">
        <v>48950</v>
      </c>
      <c r="H256" s="144">
        <v>24475</v>
      </c>
      <c r="I256" s="144">
        <v>35035</v>
      </c>
    </row>
    <row r="257" spans="1:9" x14ac:dyDescent="0.25">
      <c r="A257" s="142" t="s">
        <v>830</v>
      </c>
      <c r="G257" s="145">
        <v>70070</v>
      </c>
      <c r="H257" s="145">
        <v>35035</v>
      </c>
    </row>
    <row r="258" spans="1:9" x14ac:dyDescent="0.25">
      <c r="A258" s="142" t="s">
        <v>831</v>
      </c>
    </row>
    <row r="259" spans="1:9" x14ac:dyDescent="0.25">
      <c r="B259" s="143" t="s">
        <v>832</v>
      </c>
      <c r="C259" s="143" t="s">
        <v>520</v>
      </c>
      <c r="D259" s="143" t="s">
        <v>833</v>
      </c>
      <c r="E259" s="143"/>
      <c r="F259" s="143" t="s">
        <v>834</v>
      </c>
      <c r="G259" s="144">
        <v>12600</v>
      </c>
      <c r="H259" s="144">
        <v>600</v>
      </c>
      <c r="I259" s="144">
        <v>600</v>
      </c>
    </row>
    <row r="260" spans="1:9" x14ac:dyDescent="0.25">
      <c r="A260" s="142" t="s">
        <v>835</v>
      </c>
      <c r="G260" s="145">
        <v>12600</v>
      </c>
      <c r="H260" s="145">
        <v>600</v>
      </c>
    </row>
    <row r="261" spans="1:9" x14ac:dyDescent="0.25">
      <c r="A261" s="142" t="s">
        <v>836</v>
      </c>
    </row>
    <row r="262" spans="1:9" x14ac:dyDescent="0.25">
      <c r="B262" s="143" t="s">
        <v>837</v>
      </c>
      <c r="C262" s="143" t="s">
        <v>520</v>
      </c>
      <c r="D262" s="143">
        <v>1040</v>
      </c>
      <c r="E262" s="143"/>
      <c r="F262" s="143" t="s">
        <v>838</v>
      </c>
      <c r="G262" s="144">
        <v>17500</v>
      </c>
      <c r="H262" s="144">
        <v>17500</v>
      </c>
      <c r="I262" s="144">
        <v>17500</v>
      </c>
    </row>
    <row r="263" spans="1:9" x14ac:dyDescent="0.25">
      <c r="A263" s="142" t="s">
        <v>839</v>
      </c>
      <c r="G263" s="145">
        <v>17500</v>
      </c>
      <c r="H263" s="145">
        <v>17500</v>
      </c>
    </row>
    <row r="264" spans="1:9" x14ac:dyDescent="0.25">
      <c r="A264" s="142" t="s">
        <v>1103</v>
      </c>
    </row>
    <row r="265" spans="1:9" x14ac:dyDescent="0.25">
      <c r="B265" s="143" t="s">
        <v>751</v>
      </c>
      <c r="C265" s="143" t="s">
        <v>520</v>
      </c>
      <c r="D265" s="143">
        <v>118</v>
      </c>
      <c r="E265" s="143" t="s">
        <v>121</v>
      </c>
      <c r="F265" s="143" t="s">
        <v>751</v>
      </c>
      <c r="G265" s="144">
        <v>3150</v>
      </c>
      <c r="H265" s="144">
        <v>3150</v>
      </c>
      <c r="I265" s="144">
        <v>3150</v>
      </c>
    </row>
    <row r="266" spans="1:9" x14ac:dyDescent="0.25">
      <c r="A266" s="142" t="s">
        <v>1104</v>
      </c>
      <c r="G266" s="145">
        <v>3150</v>
      </c>
      <c r="H266" s="145">
        <v>3150</v>
      </c>
    </row>
    <row r="267" spans="1:9" x14ac:dyDescent="0.25">
      <c r="A267" s="142" t="s">
        <v>840</v>
      </c>
    </row>
    <row r="268" spans="1:9" x14ac:dyDescent="0.25">
      <c r="B268" s="143" t="s">
        <v>780</v>
      </c>
      <c r="C268" s="143" t="s">
        <v>520</v>
      </c>
      <c r="D268" s="143" t="s">
        <v>841</v>
      </c>
      <c r="E268" s="143" t="s">
        <v>121</v>
      </c>
      <c r="F268" s="143" t="s">
        <v>330</v>
      </c>
      <c r="G268" s="144">
        <v>248735.29</v>
      </c>
      <c r="H268" s="144">
        <v>55551.63</v>
      </c>
      <c r="I268" s="144">
        <v>55551.63</v>
      </c>
    </row>
    <row r="269" spans="1:9" x14ac:dyDescent="0.25">
      <c r="A269" s="142" t="s">
        <v>842</v>
      </c>
      <c r="G269" s="145">
        <v>248735.29</v>
      </c>
      <c r="H269" s="145">
        <v>55551.63</v>
      </c>
    </row>
    <row r="270" spans="1:9" x14ac:dyDescent="0.25">
      <c r="A270" s="142" t="s">
        <v>843</v>
      </c>
    </row>
    <row r="271" spans="1:9" x14ac:dyDescent="0.25">
      <c r="B271" s="143" t="s">
        <v>730</v>
      </c>
      <c r="C271" s="143" t="s">
        <v>520</v>
      </c>
      <c r="D271" s="143">
        <v>555005</v>
      </c>
      <c r="E271" s="143"/>
      <c r="F271" s="143" t="s">
        <v>844</v>
      </c>
      <c r="G271" s="144">
        <v>3098.36</v>
      </c>
      <c r="H271" s="144">
        <v>0.06</v>
      </c>
      <c r="I271" s="144">
        <v>0.06</v>
      </c>
    </row>
    <row r="272" spans="1:9" x14ac:dyDescent="0.25">
      <c r="B272" s="143" t="s">
        <v>845</v>
      </c>
      <c r="C272" s="143" t="s">
        <v>520</v>
      </c>
      <c r="D272" s="143" t="s">
        <v>846</v>
      </c>
      <c r="E272" s="143" t="s">
        <v>121</v>
      </c>
      <c r="F272" s="143" t="s">
        <v>847</v>
      </c>
      <c r="G272" s="144">
        <v>125.49</v>
      </c>
      <c r="H272" s="144">
        <v>125.49</v>
      </c>
      <c r="I272" s="144">
        <v>125.55</v>
      </c>
    </row>
    <row r="273" spans="1:9" x14ac:dyDescent="0.25">
      <c r="B273" s="143" t="s">
        <v>818</v>
      </c>
      <c r="C273" s="143" t="s">
        <v>520</v>
      </c>
      <c r="D273" s="143">
        <v>566251</v>
      </c>
      <c r="E273" s="143"/>
      <c r="F273" s="143" t="s">
        <v>349</v>
      </c>
      <c r="G273" s="144">
        <v>3982.35</v>
      </c>
      <c r="H273" s="144">
        <v>3982.35</v>
      </c>
      <c r="I273" s="144">
        <v>4107.8999999999996</v>
      </c>
    </row>
    <row r="274" spans="1:9" x14ac:dyDescent="0.25">
      <c r="B274" s="143" t="s">
        <v>657</v>
      </c>
      <c r="C274" s="143" t="s">
        <v>520</v>
      </c>
      <c r="D274" s="143">
        <v>568880</v>
      </c>
      <c r="E274" s="143"/>
      <c r="F274" s="143" t="s">
        <v>350</v>
      </c>
      <c r="G274" s="144">
        <v>3461.77</v>
      </c>
      <c r="H274" s="144">
        <v>3461.77</v>
      </c>
      <c r="I274" s="144">
        <v>7569.67</v>
      </c>
    </row>
    <row r="275" spans="1:9" x14ac:dyDescent="0.25">
      <c r="B275" s="143" t="s">
        <v>741</v>
      </c>
      <c r="C275" s="143" t="s">
        <v>520</v>
      </c>
      <c r="D275" s="143">
        <v>572275</v>
      </c>
      <c r="E275" s="143"/>
      <c r="F275" s="143" t="s">
        <v>352</v>
      </c>
      <c r="G275" s="144">
        <v>3164.81</v>
      </c>
      <c r="H275" s="144">
        <v>3164.81</v>
      </c>
      <c r="I275" s="144">
        <v>10734.48</v>
      </c>
    </row>
    <row r="276" spans="1:9" x14ac:dyDescent="0.25">
      <c r="A276" s="142" t="s">
        <v>848</v>
      </c>
      <c r="G276" s="145">
        <v>13832.78</v>
      </c>
      <c r="H276" s="145">
        <v>10734.48</v>
      </c>
    </row>
    <row r="277" spans="1:9" x14ac:dyDescent="0.25">
      <c r="A277" s="142" t="s">
        <v>849</v>
      </c>
    </row>
    <row r="278" spans="1:9" x14ac:dyDescent="0.25">
      <c r="B278" s="143" t="s">
        <v>350</v>
      </c>
      <c r="C278" s="143" t="s">
        <v>520</v>
      </c>
      <c r="D278" s="143">
        <v>42009</v>
      </c>
      <c r="E278" s="143"/>
      <c r="F278" s="143" t="s">
        <v>554</v>
      </c>
      <c r="G278" s="144">
        <v>1161.83</v>
      </c>
      <c r="H278" s="144">
        <v>1161.83</v>
      </c>
      <c r="I278" s="144">
        <v>1161.83</v>
      </c>
    </row>
    <row r="279" spans="1:9" x14ac:dyDescent="0.25">
      <c r="B279" s="143" t="s">
        <v>401</v>
      </c>
      <c r="C279" s="143" t="s">
        <v>520</v>
      </c>
      <c r="D279" s="143">
        <v>42110</v>
      </c>
      <c r="E279" s="143"/>
      <c r="F279" s="143" t="s">
        <v>850</v>
      </c>
      <c r="G279" s="144">
        <v>388.44</v>
      </c>
      <c r="H279" s="144">
        <v>388.44</v>
      </c>
      <c r="I279" s="144">
        <v>1550.27</v>
      </c>
    </row>
    <row r="280" spans="1:9" x14ac:dyDescent="0.25">
      <c r="B280" s="143" t="s">
        <v>441</v>
      </c>
      <c r="C280" s="143" t="s">
        <v>520</v>
      </c>
      <c r="D280" s="143">
        <v>42157</v>
      </c>
      <c r="E280" s="143" t="s">
        <v>121</v>
      </c>
      <c r="F280" s="143" t="s">
        <v>441</v>
      </c>
      <c r="G280" s="144">
        <v>729.02</v>
      </c>
      <c r="H280" s="144">
        <v>729.02</v>
      </c>
      <c r="I280" s="144">
        <v>2279.29</v>
      </c>
    </row>
    <row r="281" spans="1:9" x14ac:dyDescent="0.25">
      <c r="B281" s="143" t="s">
        <v>368</v>
      </c>
      <c r="C281" s="143" t="s">
        <v>520</v>
      </c>
      <c r="D281" s="143">
        <v>42177</v>
      </c>
      <c r="E281" s="143" t="s">
        <v>121</v>
      </c>
      <c r="F281" s="143" t="s">
        <v>851</v>
      </c>
      <c r="G281" s="144">
        <v>498.52</v>
      </c>
      <c r="H281" s="144">
        <v>498.52</v>
      </c>
      <c r="I281" s="144">
        <v>2777.81</v>
      </c>
    </row>
    <row r="282" spans="1:9" x14ac:dyDescent="0.25">
      <c r="A282" s="142" t="s">
        <v>852</v>
      </c>
      <c r="G282" s="145">
        <v>2777.81</v>
      </c>
      <c r="H282" s="145">
        <v>2777.81</v>
      </c>
    </row>
    <row r="283" spans="1:9" x14ac:dyDescent="0.25">
      <c r="A283" s="142" t="s">
        <v>853</v>
      </c>
    </row>
    <row r="284" spans="1:9" x14ac:dyDescent="0.25">
      <c r="B284" s="143" t="s">
        <v>590</v>
      </c>
      <c r="C284" s="143" t="s">
        <v>520</v>
      </c>
      <c r="D284" s="143">
        <v>8837</v>
      </c>
      <c r="E284" s="143" t="s">
        <v>396</v>
      </c>
      <c r="F284" s="143" t="s">
        <v>854</v>
      </c>
      <c r="G284" s="144">
        <v>2367.75</v>
      </c>
      <c r="H284" s="144">
        <v>2367.75</v>
      </c>
      <c r="I284" s="144">
        <v>2367.75</v>
      </c>
    </row>
    <row r="285" spans="1:9" x14ac:dyDescent="0.25">
      <c r="B285" s="143" t="s">
        <v>349</v>
      </c>
      <c r="C285" s="143" t="s">
        <v>520</v>
      </c>
      <c r="D285" s="143" t="s">
        <v>855</v>
      </c>
      <c r="E285" s="143"/>
      <c r="F285" s="143" t="s">
        <v>350</v>
      </c>
      <c r="G285" s="144">
        <v>5460</v>
      </c>
      <c r="H285" s="144">
        <v>5460</v>
      </c>
      <c r="I285" s="144">
        <v>7827.75</v>
      </c>
    </row>
    <row r="286" spans="1:9" x14ac:dyDescent="0.25">
      <c r="A286" s="142" t="s">
        <v>856</v>
      </c>
      <c r="G286" s="145">
        <v>7827.75</v>
      </c>
      <c r="H286" s="145">
        <v>7827.75</v>
      </c>
    </row>
    <row r="287" spans="1:9" x14ac:dyDescent="0.25">
      <c r="A287" s="142" t="s">
        <v>857</v>
      </c>
    </row>
    <row r="288" spans="1:9" x14ac:dyDescent="0.25">
      <c r="B288" s="143" t="s">
        <v>858</v>
      </c>
      <c r="C288" s="143" t="s">
        <v>713</v>
      </c>
      <c r="D288" s="143" t="s">
        <v>859</v>
      </c>
      <c r="E288" s="143"/>
      <c r="F288" s="143" t="s">
        <v>858</v>
      </c>
      <c r="G288" s="144">
        <v>-481.37</v>
      </c>
      <c r="H288" s="144">
        <v>-14.56</v>
      </c>
      <c r="I288" s="144">
        <v>-14.56</v>
      </c>
    </row>
    <row r="289" spans="1:9" x14ac:dyDescent="0.25">
      <c r="B289" s="143" t="s">
        <v>860</v>
      </c>
      <c r="C289" s="143" t="s">
        <v>713</v>
      </c>
      <c r="D289" s="143" t="s">
        <v>861</v>
      </c>
      <c r="E289" s="143"/>
      <c r="F289" s="143" t="s">
        <v>860</v>
      </c>
      <c r="G289" s="144">
        <v>-293.38</v>
      </c>
      <c r="H289" s="144">
        <v>-10</v>
      </c>
      <c r="I289" s="144">
        <v>-24.56</v>
      </c>
    </row>
    <row r="290" spans="1:9" x14ac:dyDescent="0.25">
      <c r="A290" s="142" t="s">
        <v>862</v>
      </c>
      <c r="G290" s="145">
        <v>-774.75</v>
      </c>
      <c r="H290" s="145">
        <v>-24.56</v>
      </c>
    </row>
    <row r="291" spans="1:9" x14ac:dyDescent="0.25">
      <c r="A291" s="142" t="s">
        <v>863</v>
      </c>
    </row>
    <row r="292" spans="1:9" x14ac:dyDescent="0.25">
      <c r="B292" s="143" t="s">
        <v>864</v>
      </c>
      <c r="C292" s="143" t="s">
        <v>357</v>
      </c>
      <c r="D292" s="143" t="s">
        <v>865</v>
      </c>
      <c r="E292" s="143"/>
      <c r="F292" s="143" t="s">
        <v>864</v>
      </c>
      <c r="G292" s="144">
        <v>-8902.66</v>
      </c>
      <c r="H292" s="144">
        <v>-22.5</v>
      </c>
      <c r="I292" s="144">
        <v>-22.5</v>
      </c>
    </row>
    <row r="293" spans="1:9" x14ac:dyDescent="0.25">
      <c r="B293" s="143" t="s">
        <v>866</v>
      </c>
      <c r="C293" s="143" t="s">
        <v>520</v>
      </c>
      <c r="D293" s="143" t="s">
        <v>867</v>
      </c>
      <c r="E293" s="143"/>
      <c r="F293" s="143" t="s">
        <v>704</v>
      </c>
      <c r="G293" s="144">
        <v>8880.16</v>
      </c>
      <c r="H293" s="144">
        <v>8880.16</v>
      </c>
      <c r="I293" s="144">
        <v>8857.66</v>
      </c>
    </row>
    <row r="294" spans="1:9" x14ac:dyDescent="0.25">
      <c r="B294" s="143" t="s">
        <v>1105</v>
      </c>
      <c r="C294" s="143" t="s">
        <v>520</v>
      </c>
      <c r="D294" s="143">
        <v>118</v>
      </c>
      <c r="E294" s="143" t="s">
        <v>121</v>
      </c>
      <c r="F294" s="143" t="s">
        <v>1105</v>
      </c>
      <c r="G294" s="144">
        <v>8902.66</v>
      </c>
      <c r="H294" s="144">
        <v>8902.66</v>
      </c>
      <c r="I294" s="144">
        <v>17760.32</v>
      </c>
    </row>
    <row r="295" spans="1:9" x14ac:dyDescent="0.25">
      <c r="A295" s="142" t="s">
        <v>868</v>
      </c>
      <c r="G295" s="145">
        <v>8880.16</v>
      </c>
      <c r="H295" s="145">
        <v>17760.32</v>
      </c>
    </row>
    <row r="296" spans="1:9" x14ac:dyDescent="0.25">
      <c r="A296" s="142" t="s">
        <v>869</v>
      </c>
    </row>
    <row r="297" spans="1:9" x14ac:dyDescent="0.25">
      <c r="B297" s="143" t="s">
        <v>870</v>
      </c>
      <c r="C297" s="143" t="s">
        <v>713</v>
      </c>
      <c r="D297" s="143" t="s">
        <v>871</v>
      </c>
      <c r="E297" s="143"/>
      <c r="F297" s="143" t="s">
        <v>870</v>
      </c>
      <c r="G297" s="144">
        <v>-1936.66</v>
      </c>
      <c r="H297" s="144">
        <v>-0.03</v>
      </c>
      <c r="I297" s="144">
        <v>-0.03</v>
      </c>
    </row>
    <row r="298" spans="1:9" x14ac:dyDescent="0.25">
      <c r="B298" s="143" t="s">
        <v>872</v>
      </c>
      <c r="C298" s="143" t="s">
        <v>713</v>
      </c>
      <c r="D298" s="143" t="s">
        <v>873</v>
      </c>
      <c r="E298" s="143"/>
      <c r="F298" s="143" t="s">
        <v>872</v>
      </c>
      <c r="G298" s="144">
        <v>-5837.16</v>
      </c>
      <c r="H298" s="144">
        <v>-0.01</v>
      </c>
      <c r="I298" s="144">
        <v>-0.04</v>
      </c>
    </row>
    <row r="299" spans="1:9" x14ac:dyDescent="0.25">
      <c r="B299" s="143" t="s">
        <v>874</v>
      </c>
      <c r="C299" s="143" t="s">
        <v>713</v>
      </c>
      <c r="D299" s="143" t="s">
        <v>875</v>
      </c>
      <c r="E299" s="143"/>
      <c r="F299" s="143" t="s">
        <v>874</v>
      </c>
      <c r="G299" s="144">
        <v>-1473.35</v>
      </c>
      <c r="H299" s="144">
        <v>-32.07</v>
      </c>
      <c r="I299" s="144">
        <v>-32.11</v>
      </c>
    </row>
    <row r="300" spans="1:9" x14ac:dyDescent="0.25">
      <c r="B300" s="143" t="s">
        <v>1089</v>
      </c>
      <c r="C300" s="143" t="s">
        <v>520</v>
      </c>
      <c r="D300" s="143"/>
      <c r="E300" s="143" t="s">
        <v>396</v>
      </c>
      <c r="F300" s="143" t="s">
        <v>369</v>
      </c>
      <c r="G300" s="144">
        <v>180.62</v>
      </c>
      <c r="H300" s="144">
        <v>180.62</v>
      </c>
      <c r="I300" s="144">
        <v>148.51</v>
      </c>
    </row>
    <row r="301" spans="1:9" x14ac:dyDescent="0.25">
      <c r="A301" s="142" t="s">
        <v>876</v>
      </c>
      <c r="G301" s="145">
        <v>-9066.5499999999993</v>
      </c>
      <c r="H301" s="145">
        <v>148.51</v>
      </c>
    </row>
    <row r="302" spans="1:9" x14ac:dyDescent="0.25">
      <c r="A302" s="142" t="s">
        <v>877</v>
      </c>
    </row>
    <row r="303" spans="1:9" x14ac:dyDescent="0.25">
      <c r="B303" s="143" t="s">
        <v>401</v>
      </c>
      <c r="C303" s="143" t="s">
        <v>645</v>
      </c>
      <c r="D303" s="143" t="s">
        <v>878</v>
      </c>
      <c r="E303" s="143"/>
      <c r="F303" s="143"/>
      <c r="G303" s="144">
        <v>-751.86</v>
      </c>
      <c r="H303" s="144">
        <v>-751.86</v>
      </c>
      <c r="I303" s="144">
        <v>-751.86</v>
      </c>
    </row>
    <row r="304" spans="1:9" x14ac:dyDescent="0.25">
      <c r="A304" s="142" t="s">
        <v>879</v>
      </c>
      <c r="G304" s="145">
        <v>-751.86</v>
      </c>
      <c r="H304" s="145">
        <v>-751.86</v>
      </c>
    </row>
    <row r="305" spans="1:9" x14ac:dyDescent="0.25">
      <c r="A305" s="142" t="s">
        <v>880</v>
      </c>
    </row>
    <row r="306" spans="1:9" x14ac:dyDescent="0.25">
      <c r="B306" s="143" t="s">
        <v>881</v>
      </c>
      <c r="C306" s="143" t="s">
        <v>520</v>
      </c>
      <c r="D306" s="143"/>
      <c r="E306" s="143"/>
      <c r="F306" s="143" t="s">
        <v>882</v>
      </c>
      <c r="G306" s="144">
        <v>109550</v>
      </c>
      <c r="H306" s="144">
        <v>23083.22</v>
      </c>
      <c r="I306" s="144">
        <v>23083.22</v>
      </c>
    </row>
    <row r="307" spans="1:9" x14ac:dyDescent="0.25">
      <c r="B307" s="143" t="s">
        <v>535</v>
      </c>
      <c r="C307" s="143" t="s">
        <v>520</v>
      </c>
      <c r="D307" s="143"/>
      <c r="E307" s="143"/>
      <c r="F307" s="143" t="s">
        <v>883</v>
      </c>
      <c r="G307" s="144">
        <v>114868.87</v>
      </c>
      <c r="H307" s="144">
        <v>39868.870000000003</v>
      </c>
      <c r="I307" s="144">
        <v>62952.09</v>
      </c>
    </row>
    <row r="308" spans="1:9" x14ac:dyDescent="0.25">
      <c r="B308" s="143" t="s">
        <v>884</v>
      </c>
      <c r="C308" s="143" t="s">
        <v>520</v>
      </c>
      <c r="D308" s="143"/>
      <c r="E308" s="143"/>
      <c r="F308" s="143" t="s">
        <v>885</v>
      </c>
      <c r="G308" s="144">
        <v>117720.09</v>
      </c>
      <c r="H308" s="144">
        <v>117720.09</v>
      </c>
      <c r="I308" s="144">
        <v>180672.18</v>
      </c>
    </row>
    <row r="309" spans="1:9" x14ac:dyDescent="0.25">
      <c r="B309" s="143" t="s">
        <v>886</v>
      </c>
      <c r="C309" s="143" t="s">
        <v>520</v>
      </c>
      <c r="D309" s="143"/>
      <c r="E309" s="143"/>
      <c r="F309" s="143" t="s">
        <v>887</v>
      </c>
      <c r="G309" s="144">
        <v>117720.09</v>
      </c>
      <c r="H309" s="144">
        <v>42720.09</v>
      </c>
      <c r="I309" s="144">
        <v>223392.27</v>
      </c>
    </row>
    <row r="310" spans="1:9" x14ac:dyDescent="0.25">
      <c r="B310" s="143" t="s">
        <v>888</v>
      </c>
      <c r="C310" s="143" t="s">
        <v>520</v>
      </c>
      <c r="D310" s="143"/>
      <c r="E310" s="143"/>
      <c r="F310" s="143" t="s">
        <v>889</v>
      </c>
      <c r="G310" s="144">
        <v>108212.42</v>
      </c>
      <c r="H310" s="144">
        <v>33212.42</v>
      </c>
      <c r="I310" s="144">
        <v>256604.69</v>
      </c>
    </row>
    <row r="311" spans="1:9" x14ac:dyDescent="0.25">
      <c r="B311" s="143" t="s">
        <v>890</v>
      </c>
      <c r="C311" s="143" t="s">
        <v>520</v>
      </c>
      <c r="D311" s="143"/>
      <c r="E311" s="143"/>
      <c r="F311" s="143" t="s">
        <v>891</v>
      </c>
      <c r="G311" s="144">
        <v>117720.09</v>
      </c>
      <c r="H311" s="144">
        <v>117720.09</v>
      </c>
      <c r="I311" s="144">
        <v>374324.78</v>
      </c>
    </row>
    <row r="312" spans="1:9" x14ac:dyDescent="0.25">
      <c r="B312" s="143" t="s">
        <v>892</v>
      </c>
      <c r="C312" s="143" t="s">
        <v>520</v>
      </c>
      <c r="D312" s="143"/>
      <c r="E312" s="143"/>
      <c r="F312" s="143" t="s">
        <v>893</v>
      </c>
      <c r="G312" s="144">
        <v>117720.09</v>
      </c>
      <c r="H312" s="144">
        <v>117720.09</v>
      </c>
      <c r="I312" s="144">
        <v>492044.87</v>
      </c>
    </row>
    <row r="313" spans="1:9" x14ac:dyDescent="0.25">
      <c r="B313" s="143" t="s">
        <v>894</v>
      </c>
      <c r="C313" s="143" t="s">
        <v>520</v>
      </c>
      <c r="D313" s="143"/>
      <c r="E313" s="143"/>
      <c r="F313" s="143" t="s">
        <v>895</v>
      </c>
      <c r="G313" s="144">
        <v>129650.48</v>
      </c>
      <c r="H313" s="144">
        <v>54650.48</v>
      </c>
      <c r="I313" s="144">
        <v>546695.35</v>
      </c>
    </row>
    <row r="314" spans="1:9" x14ac:dyDescent="0.25">
      <c r="B314" s="143" t="s">
        <v>792</v>
      </c>
      <c r="C314" s="143" t="s">
        <v>520</v>
      </c>
      <c r="D314" s="143"/>
      <c r="E314" s="143"/>
      <c r="F314" s="143" t="s">
        <v>896</v>
      </c>
      <c r="G314" s="144">
        <v>117720.09</v>
      </c>
      <c r="H314" s="144">
        <v>42720.09</v>
      </c>
      <c r="I314" s="144">
        <v>589415.43999999994</v>
      </c>
    </row>
    <row r="315" spans="1:9" x14ac:dyDescent="0.25">
      <c r="B315" s="143" t="s">
        <v>793</v>
      </c>
      <c r="C315" s="143" t="s">
        <v>520</v>
      </c>
      <c r="D315" s="143"/>
      <c r="E315" s="143"/>
      <c r="F315" s="143" t="s">
        <v>897</v>
      </c>
      <c r="G315" s="144">
        <v>117720.09</v>
      </c>
      <c r="H315" s="144">
        <v>117720.09</v>
      </c>
      <c r="I315" s="144">
        <v>707135.53</v>
      </c>
    </row>
    <row r="316" spans="1:9" x14ac:dyDescent="0.25">
      <c r="B316" s="143" t="s">
        <v>493</v>
      </c>
      <c r="C316" s="143" t="s">
        <v>520</v>
      </c>
      <c r="D316" s="143"/>
      <c r="E316" s="143"/>
      <c r="F316" s="143" t="s">
        <v>898</v>
      </c>
      <c r="G316" s="144">
        <v>95308.08</v>
      </c>
      <c r="H316" s="144">
        <v>95308.08</v>
      </c>
      <c r="I316" s="144">
        <v>802443.61</v>
      </c>
    </row>
    <row r="317" spans="1:9" x14ac:dyDescent="0.25">
      <c r="B317" s="143" t="s">
        <v>539</v>
      </c>
      <c r="C317" s="143" t="s">
        <v>520</v>
      </c>
      <c r="D317" s="143"/>
      <c r="E317" s="143"/>
      <c r="F317" s="143" t="s">
        <v>899</v>
      </c>
      <c r="G317" s="144">
        <v>117720.09</v>
      </c>
      <c r="H317" s="144">
        <v>117720.09</v>
      </c>
      <c r="I317" s="144">
        <v>920163.7</v>
      </c>
    </row>
    <row r="318" spans="1:9" x14ac:dyDescent="0.25">
      <c r="B318" s="143" t="s">
        <v>541</v>
      </c>
      <c r="C318" s="143" t="s">
        <v>520</v>
      </c>
      <c r="D318" s="143"/>
      <c r="E318" s="143"/>
      <c r="F318" s="143" t="s">
        <v>900</v>
      </c>
      <c r="G318" s="144">
        <v>117720.09</v>
      </c>
      <c r="H318" s="144">
        <v>117720.09</v>
      </c>
      <c r="I318" s="144">
        <v>1037883.79</v>
      </c>
    </row>
    <row r="319" spans="1:9" x14ac:dyDescent="0.25">
      <c r="B319" s="143" t="s">
        <v>544</v>
      </c>
      <c r="C319" s="143" t="s">
        <v>520</v>
      </c>
      <c r="D319" s="143"/>
      <c r="E319" s="143"/>
      <c r="F319" s="143" t="s">
        <v>901</v>
      </c>
      <c r="G319" s="144">
        <v>71108.850000000006</v>
      </c>
      <c r="H319" s="144">
        <v>71108.850000000006</v>
      </c>
      <c r="I319" s="144">
        <v>1108992.6399999999</v>
      </c>
    </row>
    <row r="320" spans="1:9" x14ac:dyDescent="0.25">
      <c r="B320" s="143" t="s">
        <v>902</v>
      </c>
      <c r="C320" s="143" t="s">
        <v>520</v>
      </c>
      <c r="D320" s="143"/>
      <c r="E320" s="143"/>
      <c r="F320" s="143" t="s">
        <v>903</v>
      </c>
      <c r="G320" s="144">
        <v>117720.09</v>
      </c>
      <c r="H320" s="144">
        <v>117720.09</v>
      </c>
      <c r="I320" s="144">
        <v>1226712.73</v>
      </c>
    </row>
    <row r="321" spans="2:9" x14ac:dyDescent="0.25">
      <c r="B321" s="143" t="s">
        <v>904</v>
      </c>
      <c r="C321" s="143" t="s">
        <v>520</v>
      </c>
      <c r="D321" s="143"/>
      <c r="E321" s="143"/>
      <c r="F321" s="143" t="s">
        <v>905</v>
      </c>
      <c r="G321" s="144">
        <v>117720.09</v>
      </c>
      <c r="H321" s="144">
        <v>117720.09</v>
      </c>
      <c r="I321" s="144">
        <v>1344432.82</v>
      </c>
    </row>
    <row r="322" spans="2:9" x14ac:dyDescent="0.25">
      <c r="B322" s="143" t="s">
        <v>906</v>
      </c>
      <c r="C322" s="143" t="s">
        <v>520</v>
      </c>
      <c r="D322" s="143"/>
      <c r="E322" s="143"/>
      <c r="F322" s="143" t="s">
        <v>907</v>
      </c>
      <c r="G322" s="144">
        <v>198715.83</v>
      </c>
      <c r="H322" s="144">
        <v>198715.83</v>
      </c>
      <c r="I322" s="144">
        <v>1543148.65</v>
      </c>
    </row>
    <row r="323" spans="2:9" x14ac:dyDescent="0.25">
      <c r="B323" s="143" t="s">
        <v>908</v>
      </c>
      <c r="C323" s="143" t="s">
        <v>520</v>
      </c>
      <c r="D323" s="143"/>
      <c r="E323" s="143"/>
      <c r="F323" s="143" t="s">
        <v>909</v>
      </c>
      <c r="G323" s="144">
        <v>117720.09</v>
      </c>
      <c r="H323" s="144">
        <v>117720.09</v>
      </c>
      <c r="I323" s="144">
        <v>1660868.74</v>
      </c>
    </row>
    <row r="324" spans="2:9" x14ac:dyDescent="0.25">
      <c r="B324" s="143" t="s">
        <v>509</v>
      </c>
      <c r="C324" s="143" t="s">
        <v>520</v>
      </c>
      <c r="D324" s="143"/>
      <c r="E324" s="143"/>
      <c r="F324" s="143" t="s">
        <v>910</v>
      </c>
      <c r="G324" s="144">
        <v>117720.09</v>
      </c>
      <c r="H324" s="144">
        <v>117720.09</v>
      </c>
      <c r="I324" s="144">
        <v>1778588.83</v>
      </c>
    </row>
    <row r="325" spans="2:9" x14ac:dyDescent="0.25">
      <c r="B325" s="143" t="s">
        <v>911</v>
      </c>
      <c r="C325" s="143" t="s">
        <v>520</v>
      </c>
      <c r="D325" s="143"/>
      <c r="E325" s="143"/>
      <c r="F325" s="143" t="s">
        <v>912</v>
      </c>
      <c r="G325" s="144">
        <v>115369.38</v>
      </c>
      <c r="H325" s="144">
        <v>115369.38</v>
      </c>
      <c r="I325" s="144">
        <v>1893958.21</v>
      </c>
    </row>
    <row r="326" spans="2:9" x14ac:dyDescent="0.25">
      <c r="B326" s="143" t="s">
        <v>913</v>
      </c>
      <c r="C326" s="143" t="s">
        <v>520</v>
      </c>
      <c r="D326" s="143"/>
      <c r="E326" s="143"/>
      <c r="F326" s="143" t="s">
        <v>914</v>
      </c>
      <c r="G326" s="144">
        <v>109550</v>
      </c>
      <c r="H326" s="144">
        <v>24550</v>
      </c>
      <c r="I326" s="144">
        <v>1918508.21</v>
      </c>
    </row>
    <row r="327" spans="2:9" x14ac:dyDescent="0.25">
      <c r="B327" s="143" t="s">
        <v>522</v>
      </c>
      <c r="C327" s="143" t="s">
        <v>520</v>
      </c>
      <c r="D327" s="143"/>
      <c r="E327" s="143"/>
      <c r="F327" s="143" t="s">
        <v>915</v>
      </c>
      <c r="G327" s="144">
        <v>109550</v>
      </c>
      <c r="H327" s="144">
        <v>24550</v>
      </c>
      <c r="I327" s="144">
        <v>1943058.21</v>
      </c>
    </row>
    <row r="328" spans="2:9" x14ac:dyDescent="0.25">
      <c r="B328" s="143" t="s">
        <v>385</v>
      </c>
      <c r="C328" s="143" t="s">
        <v>520</v>
      </c>
      <c r="D328" s="143"/>
      <c r="E328" s="143"/>
      <c r="F328" s="143" t="s">
        <v>715</v>
      </c>
      <c r="G328" s="144">
        <v>109550</v>
      </c>
      <c r="H328" s="144">
        <v>24550</v>
      </c>
      <c r="I328" s="144">
        <v>1967608.21</v>
      </c>
    </row>
    <row r="329" spans="2:9" x14ac:dyDescent="0.25">
      <c r="B329" s="143" t="s">
        <v>414</v>
      </c>
      <c r="C329" s="143" t="s">
        <v>520</v>
      </c>
      <c r="D329" s="143"/>
      <c r="E329" s="143"/>
      <c r="F329" s="143" t="s">
        <v>860</v>
      </c>
      <c r="G329" s="144">
        <v>109550</v>
      </c>
      <c r="H329" s="144">
        <v>24550</v>
      </c>
      <c r="I329" s="144">
        <v>1992158.21</v>
      </c>
    </row>
    <row r="330" spans="2:9" x14ac:dyDescent="0.25">
      <c r="B330" s="143" t="s">
        <v>812</v>
      </c>
      <c r="C330" s="143" t="s">
        <v>520</v>
      </c>
      <c r="D330" s="143"/>
      <c r="E330" s="143"/>
      <c r="F330" s="143" t="s">
        <v>916</v>
      </c>
      <c r="G330" s="144">
        <v>109550</v>
      </c>
      <c r="H330" s="144">
        <v>24550</v>
      </c>
      <c r="I330" s="144">
        <v>2016708.21</v>
      </c>
    </row>
    <row r="331" spans="2:9" x14ac:dyDescent="0.25">
      <c r="B331" s="143" t="s">
        <v>340</v>
      </c>
      <c r="C331" s="143" t="s">
        <v>520</v>
      </c>
      <c r="D331" s="143"/>
      <c r="E331" s="143"/>
      <c r="F331" s="143" t="s">
        <v>529</v>
      </c>
      <c r="G331" s="144">
        <v>109550</v>
      </c>
      <c r="H331" s="144">
        <v>20550</v>
      </c>
      <c r="I331" s="144">
        <v>2037258.21</v>
      </c>
    </row>
    <row r="332" spans="2:9" x14ac:dyDescent="0.25">
      <c r="B332" s="143" t="s">
        <v>433</v>
      </c>
      <c r="C332" s="143" t="s">
        <v>520</v>
      </c>
      <c r="D332" s="143"/>
      <c r="E332" s="143"/>
      <c r="F332" s="143" t="s">
        <v>420</v>
      </c>
      <c r="G332" s="144">
        <v>109550</v>
      </c>
      <c r="H332" s="144">
        <v>59550</v>
      </c>
      <c r="I332" s="144">
        <v>2096808.21</v>
      </c>
    </row>
    <row r="333" spans="2:9" x14ac:dyDescent="0.25">
      <c r="B333" s="143" t="s">
        <v>435</v>
      </c>
      <c r="C333" s="143" t="s">
        <v>520</v>
      </c>
      <c r="D333" s="143"/>
      <c r="E333" s="143"/>
      <c r="F333" s="143" t="s">
        <v>917</v>
      </c>
      <c r="G333" s="144">
        <v>109550</v>
      </c>
      <c r="H333" s="144">
        <v>59550</v>
      </c>
      <c r="I333" s="144">
        <v>2156358.21</v>
      </c>
    </row>
    <row r="334" spans="2:9" x14ac:dyDescent="0.25">
      <c r="B334" s="143" t="s">
        <v>845</v>
      </c>
      <c r="C334" s="143" t="s">
        <v>520</v>
      </c>
      <c r="D334" s="143"/>
      <c r="E334" s="143"/>
      <c r="F334" s="143" t="s">
        <v>847</v>
      </c>
      <c r="G334" s="144">
        <v>109550</v>
      </c>
      <c r="H334" s="144">
        <v>59550</v>
      </c>
      <c r="I334" s="144">
        <v>2215908.21</v>
      </c>
    </row>
    <row r="335" spans="2:9" x14ac:dyDescent="0.25">
      <c r="B335" s="143" t="s">
        <v>634</v>
      </c>
      <c r="C335" s="143" t="s">
        <v>520</v>
      </c>
      <c r="D335" s="143"/>
      <c r="E335" s="143"/>
      <c r="F335" s="143" t="s">
        <v>918</v>
      </c>
      <c r="G335" s="144">
        <v>109550</v>
      </c>
      <c r="H335" s="144">
        <v>59550</v>
      </c>
      <c r="I335" s="144">
        <v>2275458.21</v>
      </c>
    </row>
    <row r="336" spans="2:9" x14ac:dyDescent="0.25">
      <c r="B336" s="143" t="s">
        <v>553</v>
      </c>
      <c r="C336" s="143" t="s">
        <v>520</v>
      </c>
      <c r="D336" s="143"/>
      <c r="E336" s="143"/>
      <c r="F336" s="143" t="s">
        <v>919</v>
      </c>
      <c r="G336" s="144">
        <v>109550</v>
      </c>
      <c r="H336" s="144">
        <v>70840.320000000007</v>
      </c>
      <c r="I336" s="144">
        <v>2346298.5299999998</v>
      </c>
    </row>
    <row r="337" spans="1:9" x14ac:dyDescent="0.25">
      <c r="B337" s="143" t="s">
        <v>353</v>
      </c>
      <c r="C337" s="143" t="s">
        <v>520</v>
      </c>
      <c r="D337" s="143"/>
      <c r="E337" s="143"/>
      <c r="F337" s="143" t="s">
        <v>606</v>
      </c>
      <c r="G337" s="144">
        <v>109550</v>
      </c>
      <c r="H337" s="144">
        <v>59550</v>
      </c>
      <c r="I337" s="144">
        <v>2405848.5299999998</v>
      </c>
    </row>
    <row r="338" spans="1:9" x14ac:dyDescent="0.25">
      <c r="A338" s="142" t="s">
        <v>920</v>
      </c>
      <c r="G338" s="145">
        <v>3670024.99</v>
      </c>
      <c r="H338" s="145">
        <v>2405848.5299999998</v>
      </c>
    </row>
    <row r="339" spans="1:9" x14ac:dyDescent="0.25">
      <c r="A339" s="142" t="s">
        <v>921</v>
      </c>
    </row>
    <row r="340" spans="1:9" x14ac:dyDescent="0.25">
      <c r="B340" s="143" t="s">
        <v>634</v>
      </c>
      <c r="C340" s="143" t="s">
        <v>357</v>
      </c>
      <c r="D340" s="143" t="s">
        <v>635</v>
      </c>
      <c r="E340" s="143"/>
      <c r="F340" s="143" t="s">
        <v>634</v>
      </c>
      <c r="G340" s="144">
        <v>25000</v>
      </c>
      <c r="H340" s="144">
        <v>25000</v>
      </c>
      <c r="I340" s="144">
        <v>25000</v>
      </c>
    </row>
    <row r="341" spans="1:9" x14ac:dyDescent="0.25">
      <c r="B341" s="143" t="s">
        <v>553</v>
      </c>
      <c r="C341" s="143" t="s">
        <v>357</v>
      </c>
      <c r="D341" s="143" t="s">
        <v>922</v>
      </c>
      <c r="E341" s="143"/>
      <c r="F341" s="143" t="s">
        <v>553</v>
      </c>
      <c r="G341" s="144">
        <v>25000</v>
      </c>
      <c r="H341" s="144">
        <v>25000</v>
      </c>
      <c r="I341" s="144">
        <v>50000</v>
      </c>
    </row>
    <row r="342" spans="1:9" x14ac:dyDescent="0.25">
      <c r="A342" s="142" t="s">
        <v>923</v>
      </c>
      <c r="G342" s="145">
        <v>50000</v>
      </c>
      <c r="H342" s="145">
        <v>50000</v>
      </c>
    </row>
    <row r="343" spans="1:9" x14ac:dyDescent="0.25">
      <c r="A343" s="142" t="s">
        <v>924</v>
      </c>
    </row>
    <row r="344" spans="1:9" x14ac:dyDescent="0.25">
      <c r="B344" s="143" t="s">
        <v>696</v>
      </c>
      <c r="C344" s="143" t="s">
        <v>713</v>
      </c>
      <c r="D344" s="143" t="s">
        <v>925</v>
      </c>
      <c r="E344" s="143"/>
      <c r="F344" s="143" t="s">
        <v>696</v>
      </c>
      <c r="G344" s="144">
        <v>-6388.1</v>
      </c>
      <c r="H344" s="144">
        <v>-0.02</v>
      </c>
      <c r="I344" s="144">
        <v>-0.02</v>
      </c>
    </row>
    <row r="345" spans="1:9" x14ac:dyDescent="0.25">
      <c r="A345" s="142" t="s">
        <v>926</v>
      </c>
      <c r="G345" s="145">
        <v>-6388.1</v>
      </c>
      <c r="H345" s="145">
        <v>-0.02</v>
      </c>
    </row>
    <row r="346" spans="1:9" x14ac:dyDescent="0.25">
      <c r="A346" s="142" t="s">
        <v>927</v>
      </c>
    </row>
    <row r="347" spans="1:9" x14ac:dyDescent="0.25">
      <c r="B347" s="143" t="s">
        <v>928</v>
      </c>
      <c r="C347" s="143" t="s">
        <v>520</v>
      </c>
      <c r="D347" s="143">
        <v>695632</v>
      </c>
      <c r="E347" s="143" t="s">
        <v>396</v>
      </c>
      <c r="F347" s="143" t="s">
        <v>929</v>
      </c>
      <c r="G347" s="144">
        <v>1568.51</v>
      </c>
      <c r="H347" s="144">
        <v>1568.51</v>
      </c>
      <c r="I347" s="144">
        <v>1568.51</v>
      </c>
    </row>
    <row r="348" spans="1:9" x14ac:dyDescent="0.25">
      <c r="A348" s="142" t="s">
        <v>930</v>
      </c>
      <c r="G348" s="145">
        <v>1568.51</v>
      </c>
      <c r="H348" s="145">
        <v>1568.51</v>
      </c>
    </row>
    <row r="349" spans="1:9" x14ac:dyDescent="0.25">
      <c r="A349" s="142" t="s">
        <v>931</v>
      </c>
    </row>
    <row r="350" spans="1:9" x14ac:dyDescent="0.25">
      <c r="B350" s="143" t="s">
        <v>443</v>
      </c>
      <c r="C350" s="143" t="s">
        <v>520</v>
      </c>
      <c r="D350" s="143">
        <v>90328808</v>
      </c>
      <c r="E350" s="143"/>
      <c r="F350" s="143" t="s">
        <v>443</v>
      </c>
      <c r="G350" s="144">
        <v>46.81</v>
      </c>
      <c r="H350" s="144">
        <v>46.81</v>
      </c>
      <c r="I350" s="144">
        <v>46.81</v>
      </c>
    </row>
    <row r="351" spans="1:9" x14ac:dyDescent="0.25">
      <c r="B351" s="143" t="s">
        <v>368</v>
      </c>
      <c r="C351" s="143" t="s">
        <v>520</v>
      </c>
      <c r="D351" s="143" t="s">
        <v>932</v>
      </c>
      <c r="E351" s="143"/>
      <c r="F351" s="143" t="s">
        <v>368</v>
      </c>
      <c r="G351" s="144">
        <v>67.89</v>
      </c>
      <c r="H351" s="144">
        <v>67.89</v>
      </c>
      <c r="I351" s="144">
        <v>114.7</v>
      </c>
    </row>
    <row r="352" spans="1:9" x14ac:dyDescent="0.25">
      <c r="B352" s="143" t="s">
        <v>368</v>
      </c>
      <c r="C352" s="143" t="s">
        <v>520</v>
      </c>
      <c r="D352" s="143">
        <v>62209</v>
      </c>
      <c r="E352" s="143"/>
      <c r="F352" s="143" t="s">
        <v>368</v>
      </c>
      <c r="G352" s="144">
        <v>39.85</v>
      </c>
      <c r="H352" s="144">
        <v>39.85</v>
      </c>
      <c r="I352" s="144">
        <v>154.55000000000001</v>
      </c>
    </row>
    <row r="353" spans="1:9" x14ac:dyDescent="0.25">
      <c r="B353" s="143" t="s">
        <v>372</v>
      </c>
      <c r="C353" s="143" t="s">
        <v>520</v>
      </c>
      <c r="D353" s="143">
        <v>27</v>
      </c>
      <c r="E353" s="143"/>
      <c r="F353" s="143" t="s">
        <v>372</v>
      </c>
      <c r="G353" s="144">
        <v>43.47</v>
      </c>
      <c r="H353" s="144">
        <v>43.47</v>
      </c>
      <c r="I353" s="144">
        <v>198.02</v>
      </c>
    </row>
    <row r="354" spans="1:9" x14ac:dyDescent="0.25">
      <c r="B354" s="143" t="s">
        <v>372</v>
      </c>
      <c r="C354" s="143" t="s">
        <v>520</v>
      </c>
      <c r="D354" s="143">
        <v>428879</v>
      </c>
      <c r="E354" s="143"/>
      <c r="F354" s="143" t="s">
        <v>372</v>
      </c>
      <c r="G354" s="144">
        <v>75.569999999999993</v>
      </c>
      <c r="H354" s="144">
        <v>75.569999999999993</v>
      </c>
      <c r="I354" s="144">
        <v>273.58999999999997</v>
      </c>
    </row>
    <row r="355" spans="1:9" x14ac:dyDescent="0.25">
      <c r="A355" s="142" t="s">
        <v>933</v>
      </c>
      <c r="G355" s="145">
        <v>273.58999999999997</v>
      </c>
      <c r="H355" s="145">
        <v>273.58999999999997</v>
      </c>
    </row>
    <row r="356" spans="1:9" x14ac:dyDescent="0.25">
      <c r="A356" s="142" t="s">
        <v>934</v>
      </c>
    </row>
    <row r="357" spans="1:9" x14ac:dyDescent="0.25">
      <c r="B357" s="143" t="s">
        <v>344</v>
      </c>
      <c r="C357" s="143" t="s">
        <v>520</v>
      </c>
      <c r="D357" s="143" t="s">
        <v>935</v>
      </c>
      <c r="E357" s="143"/>
      <c r="F357" s="143" t="s">
        <v>936</v>
      </c>
      <c r="G357" s="144">
        <v>5460.79</v>
      </c>
      <c r="H357" s="144">
        <v>5460.79</v>
      </c>
      <c r="I357" s="144">
        <v>5460.79</v>
      </c>
    </row>
    <row r="358" spans="1:9" x14ac:dyDescent="0.25">
      <c r="B358" s="143" t="s">
        <v>344</v>
      </c>
      <c r="C358" s="143" t="s">
        <v>520</v>
      </c>
      <c r="D358" s="143" t="s">
        <v>937</v>
      </c>
      <c r="E358" s="143"/>
      <c r="F358" s="143" t="s">
        <v>936</v>
      </c>
      <c r="G358" s="144">
        <v>774.58</v>
      </c>
      <c r="H358" s="144">
        <v>774.58</v>
      </c>
      <c r="I358" s="144">
        <v>6235.37</v>
      </c>
    </row>
    <row r="359" spans="1:9" x14ac:dyDescent="0.25">
      <c r="A359" s="142" t="s">
        <v>938</v>
      </c>
      <c r="G359" s="145">
        <v>6235.37</v>
      </c>
      <c r="H359" s="145">
        <v>6235.37</v>
      </c>
    </row>
    <row r="360" spans="1:9" x14ac:dyDescent="0.25">
      <c r="A360" s="142" t="s">
        <v>939</v>
      </c>
    </row>
    <row r="361" spans="1:9" x14ac:dyDescent="0.25">
      <c r="B361" s="143" t="s">
        <v>439</v>
      </c>
      <c r="C361" s="143" t="s">
        <v>520</v>
      </c>
      <c r="D361" s="143">
        <v>67099557</v>
      </c>
      <c r="E361" s="143"/>
      <c r="F361" s="143" t="s">
        <v>459</v>
      </c>
      <c r="G361" s="144">
        <v>231.01</v>
      </c>
      <c r="H361" s="144">
        <v>231.01</v>
      </c>
      <c r="I361" s="144">
        <v>231.01</v>
      </c>
    </row>
    <row r="362" spans="1:9" x14ac:dyDescent="0.25">
      <c r="B362" s="143" t="s">
        <v>628</v>
      </c>
      <c r="C362" s="143" t="s">
        <v>520</v>
      </c>
      <c r="D362" s="143">
        <v>67470957</v>
      </c>
      <c r="E362" s="143" t="s">
        <v>121</v>
      </c>
      <c r="F362" s="143" t="s">
        <v>369</v>
      </c>
      <c r="G362" s="144">
        <v>313.95</v>
      </c>
      <c r="H362" s="144">
        <v>313.95</v>
      </c>
      <c r="I362" s="144">
        <v>544.96</v>
      </c>
    </row>
    <row r="363" spans="1:9" x14ac:dyDescent="0.25">
      <c r="A363" s="142" t="s">
        <v>940</v>
      </c>
      <c r="G363" s="145">
        <v>544.96</v>
      </c>
      <c r="H363" s="145">
        <v>544.96</v>
      </c>
    </row>
    <row r="364" spans="1:9" x14ac:dyDescent="0.25">
      <c r="A364" s="142" t="s">
        <v>1106</v>
      </c>
    </row>
    <row r="365" spans="1:9" x14ac:dyDescent="0.25">
      <c r="B365" s="143" t="s">
        <v>460</v>
      </c>
      <c r="C365" s="143" t="s">
        <v>520</v>
      </c>
      <c r="D365" s="143" t="s">
        <v>1107</v>
      </c>
      <c r="E365" s="143"/>
      <c r="F365" s="143" t="s">
        <v>1093</v>
      </c>
      <c r="G365" s="144">
        <v>6445.21</v>
      </c>
      <c r="H365" s="144">
        <v>6445.21</v>
      </c>
      <c r="I365" s="144">
        <v>6445.21</v>
      </c>
    </row>
    <row r="366" spans="1:9" x14ac:dyDescent="0.25">
      <c r="A366" s="142" t="s">
        <v>1108</v>
      </c>
      <c r="G366" s="145">
        <v>6445.21</v>
      </c>
      <c r="H366" s="145">
        <v>6445.21</v>
      </c>
    </row>
    <row r="367" spans="1:9" x14ac:dyDescent="0.25">
      <c r="A367" s="142" t="s">
        <v>941</v>
      </c>
    </row>
    <row r="368" spans="1:9" x14ac:dyDescent="0.25">
      <c r="B368" s="143" t="s">
        <v>942</v>
      </c>
      <c r="C368" s="143" t="s">
        <v>520</v>
      </c>
      <c r="D368" s="143">
        <v>1010</v>
      </c>
      <c r="E368" s="143" t="s">
        <v>121</v>
      </c>
      <c r="F368" s="143" t="s">
        <v>943</v>
      </c>
      <c r="G368" s="144">
        <v>15750</v>
      </c>
      <c r="H368" s="144">
        <v>8096.28</v>
      </c>
      <c r="I368" s="144">
        <v>8096.28</v>
      </c>
    </row>
    <row r="369" spans="1:9" x14ac:dyDescent="0.25">
      <c r="A369" s="142" t="s">
        <v>944</v>
      </c>
      <c r="G369" s="145">
        <v>15750</v>
      </c>
      <c r="H369" s="145">
        <v>8096.28</v>
      </c>
    </row>
    <row r="370" spans="1:9" x14ac:dyDescent="0.25">
      <c r="A370" s="142" t="s">
        <v>1109</v>
      </c>
    </row>
    <row r="371" spans="1:9" x14ac:dyDescent="0.25">
      <c r="B371" s="143" t="s">
        <v>751</v>
      </c>
      <c r="C371" s="143" t="s">
        <v>520</v>
      </c>
      <c r="D371" s="143">
        <v>1020</v>
      </c>
      <c r="E371" s="143" t="s">
        <v>121</v>
      </c>
      <c r="F371" s="143" t="s">
        <v>850</v>
      </c>
      <c r="G371" s="144">
        <v>70980</v>
      </c>
      <c r="H371" s="144">
        <v>70980</v>
      </c>
      <c r="I371" s="144">
        <v>70980</v>
      </c>
    </row>
    <row r="372" spans="1:9" x14ac:dyDescent="0.25">
      <c r="A372" s="142" t="s">
        <v>1110</v>
      </c>
      <c r="G372" s="145">
        <v>70980</v>
      </c>
      <c r="H372" s="145">
        <v>70980</v>
      </c>
    </row>
    <row r="373" spans="1:9" x14ac:dyDescent="0.25">
      <c r="A373" s="142" t="s">
        <v>945</v>
      </c>
    </row>
    <row r="374" spans="1:9" x14ac:dyDescent="0.25">
      <c r="B374" s="143" t="s">
        <v>864</v>
      </c>
      <c r="C374" s="143" t="s">
        <v>520</v>
      </c>
      <c r="D374" s="143" t="s">
        <v>946</v>
      </c>
      <c r="E374" s="143"/>
      <c r="F374" s="143" t="s">
        <v>864</v>
      </c>
      <c r="G374" s="144">
        <v>825.68</v>
      </c>
      <c r="H374" s="144">
        <v>825.68</v>
      </c>
      <c r="I374" s="144">
        <v>825.68</v>
      </c>
    </row>
    <row r="375" spans="1:9" x14ac:dyDescent="0.25">
      <c r="B375" s="143" t="s">
        <v>761</v>
      </c>
      <c r="C375" s="143" t="s">
        <v>520</v>
      </c>
      <c r="D375" s="143">
        <v>1127938974</v>
      </c>
      <c r="E375" s="143"/>
      <c r="F375" s="143" t="s">
        <v>761</v>
      </c>
      <c r="G375" s="144">
        <v>791.09</v>
      </c>
      <c r="H375" s="144">
        <v>791.09</v>
      </c>
      <c r="I375" s="144">
        <v>1616.77</v>
      </c>
    </row>
    <row r="376" spans="1:9" x14ac:dyDescent="0.25">
      <c r="B376" s="143" t="s">
        <v>947</v>
      </c>
      <c r="C376" s="143" t="s">
        <v>520</v>
      </c>
      <c r="D376" s="143">
        <v>1139781657</v>
      </c>
      <c r="E376" s="143" t="s">
        <v>121</v>
      </c>
      <c r="F376" s="143" t="s">
        <v>947</v>
      </c>
      <c r="G376" s="144">
        <v>837.36</v>
      </c>
      <c r="H376" s="144">
        <v>837.36</v>
      </c>
      <c r="I376" s="144">
        <v>2454.13</v>
      </c>
    </row>
    <row r="377" spans="1:9" x14ac:dyDescent="0.25">
      <c r="A377" s="142" t="s">
        <v>948</v>
      </c>
      <c r="G377" s="145">
        <v>2454.13</v>
      </c>
      <c r="H377" s="145">
        <v>2454.13</v>
      </c>
    </row>
    <row r="378" spans="1:9" x14ac:dyDescent="0.25">
      <c r="A378" s="142" t="s">
        <v>949</v>
      </c>
    </row>
    <row r="379" spans="1:9" x14ac:dyDescent="0.25">
      <c r="B379" s="143" t="s">
        <v>950</v>
      </c>
      <c r="C379" s="143" t="s">
        <v>520</v>
      </c>
      <c r="D379" s="143">
        <v>1115599811</v>
      </c>
      <c r="E379" s="143"/>
      <c r="F379" s="143" t="s">
        <v>657</v>
      </c>
      <c r="G379" s="144">
        <v>117.24</v>
      </c>
      <c r="H379" s="144">
        <v>117.24</v>
      </c>
      <c r="I379" s="144">
        <v>117.24</v>
      </c>
    </row>
    <row r="380" spans="1:9" x14ac:dyDescent="0.25">
      <c r="B380" s="143" t="s">
        <v>400</v>
      </c>
      <c r="C380" s="143" t="s">
        <v>520</v>
      </c>
      <c r="D380" s="143">
        <v>1125936691</v>
      </c>
      <c r="E380" s="143"/>
      <c r="F380" s="143" t="s">
        <v>401</v>
      </c>
      <c r="G380" s="144">
        <v>114.98</v>
      </c>
      <c r="H380" s="144">
        <v>114.98</v>
      </c>
      <c r="I380" s="144">
        <v>232.22</v>
      </c>
    </row>
    <row r="381" spans="1:9" x14ac:dyDescent="0.25">
      <c r="B381" s="143" t="s">
        <v>664</v>
      </c>
      <c r="C381" s="143" t="s">
        <v>520</v>
      </c>
      <c r="D381" s="143">
        <v>1137347986</v>
      </c>
      <c r="E381" s="143" t="s">
        <v>121</v>
      </c>
      <c r="F381" s="143" t="s">
        <v>951</v>
      </c>
      <c r="G381" s="144">
        <v>117.28</v>
      </c>
      <c r="H381" s="144">
        <v>117.28</v>
      </c>
      <c r="I381" s="144">
        <v>349.5</v>
      </c>
    </row>
    <row r="382" spans="1:9" x14ac:dyDescent="0.25">
      <c r="A382" s="142" t="s">
        <v>952</v>
      </c>
      <c r="G382" s="145">
        <v>349.5</v>
      </c>
      <c r="H382" s="145">
        <v>349.5</v>
      </c>
    </row>
    <row r="383" spans="1:9" x14ac:dyDescent="0.25">
      <c r="A383" s="142" t="s">
        <v>953</v>
      </c>
    </row>
    <row r="384" spans="1:9" x14ac:dyDescent="0.25">
      <c r="B384" s="143" t="s">
        <v>918</v>
      </c>
      <c r="C384" s="143" t="s">
        <v>520</v>
      </c>
      <c r="D384" s="143">
        <v>1117714489</v>
      </c>
      <c r="E384" s="143"/>
      <c r="F384" s="143" t="s">
        <v>918</v>
      </c>
      <c r="G384" s="144">
        <v>1527.01</v>
      </c>
      <c r="H384" s="144">
        <v>1527.01</v>
      </c>
      <c r="I384" s="144">
        <v>1527.01</v>
      </c>
    </row>
    <row r="385" spans="1:9" x14ac:dyDescent="0.25">
      <c r="B385" s="143" t="s">
        <v>919</v>
      </c>
      <c r="C385" s="143" t="s">
        <v>520</v>
      </c>
      <c r="D385" s="143">
        <v>1122779619</v>
      </c>
      <c r="E385" s="143"/>
      <c r="F385" s="143" t="s">
        <v>350</v>
      </c>
      <c r="G385" s="144">
        <v>1483.84</v>
      </c>
      <c r="H385" s="144">
        <v>1483.84</v>
      </c>
      <c r="I385" s="144">
        <v>3010.85</v>
      </c>
    </row>
    <row r="386" spans="1:9" x14ac:dyDescent="0.25">
      <c r="B386" s="143" t="s">
        <v>606</v>
      </c>
      <c r="C386" s="143" t="s">
        <v>520</v>
      </c>
      <c r="D386" s="143">
        <v>1140078205</v>
      </c>
      <c r="E386" s="143" t="s">
        <v>121</v>
      </c>
      <c r="F386" s="143" t="s">
        <v>606</v>
      </c>
      <c r="G386" s="144">
        <v>1528.36</v>
      </c>
      <c r="H386" s="144">
        <v>1528.36</v>
      </c>
      <c r="I386" s="144">
        <v>4539.21</v>
      </c>
    </row>
    <row r="387" spans="1:9" x14ac:dyDescent="0.25">
      <c r="A387" s="142" t="s">
        <v>954</v>
      </c>
      <c r="G387" s="145">
        <v>4539.21</v>
      </c>
      <c r="H387" s="145">
        <v>4539.21</v>
      </c>
    </row>
    <row r="388" spans="1:9" x14ac:dyDescent="0.25">
      <c r="A388" s="142" t="s">
        <v>955</v>
      </c>
    </row>
    <row r="389" spans="1:9" x14ac:dyDescent="0.25">
      <c r="B389" s="143" t="s">
        <v>950</v>
      </c>
      <c r="C389" s="143" t="s">
        <v>520</v>
      </c>
      <c r="D389" s="143">
        <v>1115599876</v>
      </c>
      <c r="E389" s="143"/>
      <c r="F389" s="143" t="s">
        <v>657</v>
      </c>
      <c r="G389" s="144">
        <v>34.82</v>
      </c>
      <c r="H389" s="144">
        <v>34.82</v>
      </c>
      <c r="I389" s="144">
        <v>34.82</v>
      </c>
    </row>
    <row r="390" spans="1:9" x14ac:dyDescent="0.25">
      <c r="B390" s="143" t="s">
        <v>400</v>
      </c>
      <c r="C390" s="143" t="s">
        <v>520</v>
      </c>
      <c r="D390" s="143">
        <v>1125936754</v>
      </c>
      <c r="E390" s="143"/>
      <c r="F390" s="143" t="s">
        <v>401</v>
      </c>
      <c r="G390" s="144">
        <v>32.869999999999997</v>
      </c>
      <c r="H390" s="144">
        <v>32.869999999999997</v>
      </c>
      <c r="I390" s="144">
        <v>67.69</v>
      </c>
    </row>
    <row r="391" spans="1:9" x14ac:dyDescent="0.25">
      <c r="B391" s="143" t="s">
        <v>664</v>
      </c>
      <c r="C391" s="143" t="s">
        <v>520</v>
      </c>
      <c r="D391" s="143">
        <v>1137348050</v>
      </c>
      <c r="E391" s="143" t="s">
        <v>121</v>
      </c>
      <c r="F391" s="143" t="s">
        <v>951</v>
      </c>
      <c r="G391" s="144">
        <v>33.520000000000003</v>
      </c>
      <c r="H391" s="144">
        <v>33.520000000000003</v>
      </c>
      <c r="I391" s="144">
        <v>101.21</v>
      </c>
    </row>
    <row r="392" spans="1:9" x14ac:dyDescent="0.25">
      <c r="A392" s="142" t="s">
        <v>956</v>
      </c>
      <c r="G392" s="145">
        <v>101.21</v>
      </c>
      <c r="H392" s="145">
        <v>101.21</v>
      </c>
    </row>
    <row r="393" spans="1:9" x14ac:dyDescent="0.25">
      <c r="A393" s="142" t="s">
        <v>957</v>
      </c>
    </row>
    <row r="394" spans="1:9" x14ac:dyDescent="0.25">
      <c r="B394" s="143" t="s">
        <v>958</v>
      </c>
      <c r="C394" s="143" t="s">
        <v>520</v>
      </c>
      <c r="D394" s="143"/>
      <c r="E394" s="143"/>
      <c r="F394" s="143" t="s">
        <v>759</v>
      </c>
      <c r="G394" s="144">
        <v>34.97</v>
      </c>
      <c r="H394" s="144">
        <v>34.97</v>
      </c>
      <c r="I394" s="144">
        <v>34.97</v>
      </c>
    </row>
    <row r="395" spans="1:9" x14ac:dyDescent="0.25">
      <c r="B395" s="143" t="s">
        <v>759</v>
      </c>
      <c r="C395" s="143" t="s">
        <v>520</v>
      </c>
      <c r="D395" s="143">
        <v>1122727775</v>
      </c>
      <c r="E395" s="143"/>
      <c r="F395" s="143" t="s">
        <v>725</v>
      </c>
      <c r="G395" s="144">
        <v>34.97</v>
      </c>
      <c r="H395" s="144">
        <v>34.97</v>
      </c>
      <c r="I395" s="144">
        <v>69.94</v>
      </c>
    </row>
    <row r="396" spans="1:9" x14ac:dyDescent="0.25">
      <c r="A396" s="142" t="s">
        <v>959</v>
      </c>
      <c r="G396" s="145">
        <v>69.94</v>
      </c>
      <c r="H396" s="145">
        <v>69.94</v>
      </c>
    </row>
    <row r="397" spans="1:9" x14ac:dyDescent="0.25">
      <c r="A397" s="142" t="s">
        <v>960</v>
      </c>
    </row>
    <row r="398" spans="1:9" x14ac:dyDescent="0.25">
      <c r="B398" s="143" t="s">
        <v>634</v>
      </c>
      <c r="C398" s="143" t="s">
        <v>520</v>
      </c>
      <c r="D398" s="143"/>
      <c r="E398" s="143"/>
      <c r="F398" s="143" t="s">
        <v>349</v>
      </c>
      <c r="G398" s="144">
        <v>2361.4499999999998</v>
      </c>
      <c r="H398" s="144">
        <v>1344.3</v>
      </c>
      <c r="I398" s="144">
        <v>1344.3</v>
      </c>
    </row>
    <row r="399" spans="1:9" x14ac:dyDescent="0.25">
      <c r="B399" s="143" t="s">
        <v>553</v>
      </c>
      <c r="C399" s="143" t="s">
        <v>520</v>
      </c>
      <c r="D399" s="143">
        <v>1123881478</v>
      </c>
      <c r="E399" s="143"/>
      <c r="F399" s="143" t="s">
        <v>351</v>
      </c>
      <c r="G399" s="144">
        <v>3378.6</v>
      </c>
      <c r="H399" s="144">
        <v>3378.6</v>
      </c>
      <c r="I399" s="144">
        <v>4722.8999999999996</v>
      </c>
    </row>
    <row r="400" spans="1:9" x14ac:dyDescent="0.25">
      <c r="B400" s="143" t="s">
        <v>353</v>
      </c>
      <c r="C400" s="143" t="s">
        <v>520</v>
      </c>
      <c r="D400" s="143">
        <v>1135809707</v>
      </c>
      <c r="E400" s="143" t="s">
        <v>121</v>
      </c>
      <c r="F400" s="143" t="s">
        <v>354</v>
      </c>
      <c r="G400" s="144">
        <v>2361.4499999999998</v>
      </c>
      <c r="H400" s="144">
        <v>2361.4499999999998</v>
      </c>
      <c r="I400" s="144">
        <v>7084.35</v>
      </c>
    </row>
    <row r="401" spans="1:9" x14ac:dyDescent="0.25">
      <c r="A401" s="142" t="s">
        <v>961</v>
      </c>
      <c r="G401" s="145">
        <v>8101.5</v>
      </c>
      <c r="H401" s="145">
        <v>7084.35</v>
      </c>
    </row>
    <row r="402" spans="1:9" x14ac:dyDescent="0.25">
      <c r="A402" s="142" t="s">
        <v>962</v>
      </c>
    </row>
    <row r="403" spans="1:9" x14ac:dyDescent="0.25">
      <c r="B403" s="143" t="s">
        <v>963</v>
      </c>
      <c r="C403" s="143" t="s">
        <v>520</v>
      </c>
      <c r="D403" s="143" t="s">
        <v>964</v>
      </c>
      <c r="E403" s="143" t="s">
        <v>123</v>
      </c>
      <c r="F403" s="143" t="s">
        <v>965</v>
      </c>
      <c r="G403" s="144">
        <v>228917.96</v>
      </c>
      <c r="H403" s="144">
        <v>31006</v>
      </c>
      <c r="I403" s="144">
        <v>31006</v>
      </c>
    </row>
    <row r="404" spans="1:9" x14ac:dyDescent="0.25">
      <c r="A404" s="142" t="s">
        <v>966</v>
      </c>
      <c r="G404" s="145">
        <v>228917.96</v>
      </c>
      <c r="H404" s="145">
        <v>31006</v>
      </c>
    </row>
    <row r="405" spans="1:9" x14ac:dyDescent="0.25">
      <c r="A405" s="142" t="s">
        <v>967</v>
      </c>
    </row>
    <row r="406" spans="1:9" x14ac:dyDescent="0.25">
      <c r="B406" s="143" t="s">
        <v>968</v>
      </c>
      <c r="C406" s="143" t="s">
        <v>520</v>
      </c>
      <c r="D406" s="143" t="s">
        <v>969</v>
      </c>
      <c r="E406" s="143" t="s">
        <v>125</v>
      </c>
      <c r="F406" s="143" t="s">
        <v>968</v>
      </c>
      <c r="G406" s="144">
        <v>60769.8</v>
      </c>
      <c r="H406" s="144">
        <v>16831.84</v>
      </c>
      <c r="I406" s="144">
        <v>16831.84</v>
      </c>
    </row>
    <row r="407" spans="1:9" x14ac:dyDescent="0.25">
      <c r="A407" s="142" t="s">
        <v>970</v>
      </c>
      <c r="G407" s="145">
        <v>60769.8</v>
      </c>
      <c r="H407" s="145">
        <v>16831.84</v>
      </c>
    </row>
    <row r="408" spans="1:9" x14ac:dyDescent="0.25">
      <c r="A408" s="142" t="s">
        <v>971</v>
      </c>
    </row>
    <row r="409" spans="1:9" x14ac:dyDescent="0.25">
      <c r="B409" s="143" t="s">
        <v>972</v>
      </c>
      <c r="C409" s="143" t="s">
        <v>520</v>
      </c>
      <c r="D409" s="143">
        <v>2490</v>
      </c>
      <c r="E409" s="143"/>
      <c r="F409" s="143" t="s">
        <v>972</v>
      </c>
      <c r="G409" s="144">
        <v>8134.23</v>
      </c>
      <c r="H409" s="144">
        <v>8134.23</v>
      </c>
      <c r="I409" s="144">
        <v>8134.23</v>
      </c>
    </row>
    <row r="410" spans="1:9" x14ac:dyDescent="0.25">
      <c r="A410" s="142" t="s">
        <v>973</v>
      </c>
      <c r="G410" s="145">
        <v>8134.23</v>
      </c>
      <c r="H410" s="145">
        <v>8134.23</v>
      </c>
    </row>
    <row r="411" spans="1:9" x14ac:dyDescent="0.25">
      <c r="A411" s="142" t="s">
        <v>974</v>
      </c>
    </row>
    <row r="412" spans="1:9" x14ac:dyDescent="0.25">
      <c r="B412" s="143" t="s">
        <v>400</v>
      </c>
      <c r="C412" s="143" t="s">
        <v>520</v>
      </c>
      <c r="D412" s="143" t="s">
        <v>975</v>
      </c>
      <c r="E412" s="143"/>
      <c r="F412" s="143" t="s">
        <v>664</v>
      </c>
      <c r="G412" s="144">
        <v>126</v>
      </c>
      <c r="H412" s="144">
        <v>126</v>
      </c>
      <c r="I412" s="144">
        <v>126</v>
      </c>
    </row>
    <row r="413" spans="1:9" x14ac:dyDescent="0.25">
      <c r="A413" s="142" t="s">
        <v>976</v>
      </c>
      <c r="G413" s="145">
        <v>126</v>
      </c>
      <c r="H413" s="145">
        <v>126</v>
      </c>
    </row>
    <row r="414" spans="1:9" x14ac:dyDescent="0.25">
      <c r="A414" s="142" t="s">
        <v>977</v>
      </c>
    </row>
    <row r="415" spans="1:9" x14ac:dyDescent="0.25">
      <c r="B415" s="143" t="s">
        <v>978</v>
      </c>
      <c r="C415" s="143" t="s">
        <v>520</v>
      </c>
      <c r="D415" s="143" t="s">
        <v>979</v>
      </c>
      <c r="E415" s="143"/>
      <c r="F415" s="143" t="s">
        <v>980</v>
      </c>
      <c r="G415" s="144">
        <v>2415</v>
      </c>
      <c r="H415" s="144">
        <v>2415</v>
      </c>
      <c r="I415" s="144">
        <v>2415</v>
      </c>
    </row>
    <row r="416" spans="1:9" x14ac:dyDescent="0.25">
      <c r="B416" s="143" t="s">
        <v>348</v>
      </c>
      <c r="C416" s="143" t="s">
        <v>520</v>
      </c>
      <c r="D416" s="143" t="s">
        <v>981</v>
      </c>
      <c r="E416" s="143"/>
      <c r="F416" s="143" t="s">
        <v>657</v>
      </c>
      <c r="G416" s="144">
        <v>2825</v>
      </c>
      <c r="H416" s="144">
        <v>2825</v>
      </c>
      <c r="I416" s="144">
        <v>5240</v>
      </c>
    </row>
    <row r="417" spans="1:9" x14ac:dyDescent="0.25">
      <c r="B417" s="143" t="s">
        <v>349</v>
      </c>
      <c r="C417" s="143" t="s">
        <v>520</v>
      </c>
      <c r="D417" s="143" t="s">
        <v>982</v>
      </c>
      <c r="E417" s="143"/>
      <c r="F417" s="143" t="s">
        <v>400</v>
      </c>
      <c r="G417" s="144">
        <v>2825</v>
      </c>
      <c r="H417" s="144">
        <v>2825</v>
      </c>
      <c r="I417" s="144">
        <v>8065</v>
      </c>
    </row>
    <row r="418" spans="1:9" x14ac:dyDescent="0.25">
      <c r="B418" s="143" t="s">
        <v>349</v>
      </c>
      <c r="C418" s="143" t="s">
        <v>520</v>
      </c>
      <c r="D418" s="143" t="s">
        <v>983</v>
      </c>
      <c r="E418" s="143"/>
      <c r="F418" s="143" t="s">
        <v>400</v>
      </c>
      <c r="G418" s="144">
        <v>929.25</v>
      </c>
      <c r="H418" s="144">
        <v>929.25</v>
      </c>
      <c r="I418" s="144">
        <v>8994.25</v>
      </c>
    </row>
    <row r="419" spans="1:9" x14ac:dyDescent="0.25">
      <c r="B419" s="143" t="s">
        <v>657</v>
      </c>
      <c r="C419" s="143" t="s">
        <v>520</v>
      </c>
      <c r="D419" s="143" t="s">
        <v>987</v>
      </c>
      <c r="E419" s="143"/>
      <c r="F419" s="143" t="s">
        <v>985</v>
      </c>
      <c r="G419" s="144">
        <v>2520</v>
      </c>
      <c r="H419" s="144">
        <v>2520</v>
      </c>
      <c r="I419" s="144">
        <v>11514.25</v>
      </c>
    </row>
    <row r="420" spans="1:9" x14ac:dyDescent="0.25">
      <c r="B420" s="143" t="s">
        <v>657</v>
      </c>
      <c r="C420" s="143" t="s">
        <v>520</v>
      </c>
      <c r="D420" s="143" t="s">
        <v>986</v>
      </c>
      <c r="E420" s="143"/>
      <c r="F420" s="143" t="s">
        <v>985</v>
      </c>
      <c r="G420" s="144">
        <v>4294</v>
      </c>
      <c r="H420" s="144">
        <v>4294</v>
      </c>
      <c r="I420" s="144">
        <v>15808.25</v>
      </c>
    </row>
    <row r="421" spans="1:9" x14ac:dyDescent="0.25">
      <c r="B421" s="143" t="s">
        <v>657</v>
      </c>
      <c r="C421" s="143" t="s">
        <v>520</v>
      </c>
      <c r="D421" s="143" t="s">
        <v>984</v>
      </c>
      <c r="E421" s="143"/>
      <c r="F421" s="143" t="s">
        <v>985</v>
      </c>
      <c r="G421" s="144">
        <v>1890</v>
      </c>
      <c r="H421" s="144">
        <v>1890</v>
      </c>
      <c r="I421" s="144">
        <v>17698.25</v>
      </c>
    </row>
    <row r="422" spans="1:9" x14ac:dyDescent="0.25">
      <c r="B422" s="143" t="s">
        <v>734</v>
      </c>
      <c r="C422" s="143" t="s">
        <v>520</v>
      </c>
      <c r="D422" s="143" t="s">
        <v>988</v>
      </c>
      <c r="E422" s="143"/>
      <c r="F422" s="143" t="s">
        <v>704</v>
      </c>
      <c r="G422" s="144">
        <v>1470</v>
      </c>
      <c r="H422" s="144">
        <v>1470</v>
      </c>
      <c r="I422" s="144">
        <v>19168.25</v>
      </c>
    </row>
    <row r="423" spans="1:9" x14ac:dyDescent="0.25">
      <c r="B423" s="143" t="s">
        <v>462</v>
      </c>
      <c r="C423" s="143" t="s">
        <v>520</v>
      </c>
      <c r="D423" s="143" t="s">
        <v>989</v>
      </c>
      <c r="E423" s="143"/>
      <c r="F423" s="143" t="s">
        <v>473</v>
      </c>
      <c r="G423" s="144">
        <v>1034.25</v>
      </c>
      <c r="H423" s="144">
        <v>1034.25</v>
      </c>
      <c r="I423" s="144">
        <v>20202.5</v>
      </c>
    </row>
    <row r="424" spans="1:9" x14ac:dyDescent="0.25">
      <c r="B424" s="143" t="s">
        <v>462</v>
      </c>
      <c r="C424" s="143" t="s">
        <v>520</v>
      </c>
      <c r="D424" s="143" t="s">
        <v>990</v>
      </c>
      <c r="E424" s="143"/>
      <c r="F424" s="143" t="s">
        <v>473</v>
      </c>
      <c r="G424" s="144">
        <v>1769.25</v>
      </c>
      <c r="H424" s="144">
        <v>1769.25</v>
      </c>
      <c r="I424" s="144">
        <v>21971.75</v>
      </c>
    </row>
    <row r="425" spans="1:9" x14ac:dyDescent="0.25">
      <c r="B425" s="143" t="s">
        <v>615</v>
      </c>
      <c r="C425" s="143" t="s">
        <v>520</v>
      </c>
      <c r="D425" s="143" t="s">
        <v>991</v>
      </c>
      <c r="E425" s="143"/>
      <c r="F425" s="143" t="s">
        <v>992</v>
      </c>
      <c r="G425" s="144">
        <v>2310</v>
      </c>
      <c r="H425" s="144">
        <v>2310</v>
      </c>
      <c r="I425" s="144">
        <v>24281.75</v>
      </c>
    </row>
    <row r="426" spans="1:9" x14ac:dyDescent="0.25">
      <c r="B426" s="143" t="s">
        <v>372</v>
      </c>
      <c r="C426" s="143" t="s">
        <v>520</v>
      </c>
      <c r="D426" s="143" t="s">
        <v>993</v>
      </c>
      <c r="E426" s="143"/>
      <c r="F426" s="143" t="s">
        <v>740</v>
      </c>
      <c r="G426" s="144">
        <v>1349.25</v>
      </c>
      <c r="H426" s="144">
        <v>1349.25</v>
      </c>
      <c r="I426" s="144">
        <v>25631</v>
      </c>
    </row>
    <row r="427" spans="1:9" x14ac:dyDescent="0.25">
      <c r="B427" s="143" t="s">
        <v>460</v>
      </c>
      <c r="C427" s="143" t="s">
        <v>520</v>
      </c>
      <c r="D427" s="143" t="s">
        <v>1111</v>
      </c>
      <c r="E427" s="143"/>
      <c r="F427" s="143" t="s">
        <v>354</v>
      </c>
      <c r="G427" s="144">
        <v>3150</v>
      </c>
      <c r="H427" s="144">
        <v>3150</v>
      </c>
      <c r="I427" s="144">
        <v>28781</v>
      </c>
    </row>
    <row r="428" spans="1:9" x14ac:dyDescent="0.25">
      <c r="B428" s="143" t="s">
        <v>460</v>
      </c>
      <c r="C428" s="143" t="s">
        <v>520</v>
      </c>
      <c r="D428" s="143" t="s">
        <v>1112</v>
      </c>
      <c r="E428" s="143"/>
      <c r="F428" s="143" t="s">
        <v>378</v>
      </c>
      <c r="G428" s="144">
        <v>1680</v>
      </c>
      <c r="H428" s="144">
        <v>1680</v>
      </c>
      <c r="I428" s="144">
        <v>30461</v>
      </c>
    </row>
    <row r="429" spans="1:9" x14ac:dyDescent="0.25">
      <c r="A429" s="142" t="s">
        <v>994</v>
      </c>
      <c r="G429" s="145">
        <v>30461</v>
      </c>
      <c r="H429" s="145">
        <v>30461</v>
      </c>
    </row>
    <row r="430" spans="1:9" x14ac:dyDescent="0.25">
      <c r="A430" s="142" t="s">
        <v>995</v>
      </c>
    </row>
    <row r="431" spans="1:9" x14ac:dyDescent="0.25">
      <c r="B431" s="143" t="s">
        <v>996</v>
      </c>
      <c r="C431" s="143" t="s">
        <v>520</v>
      </c>
      <c r="D431" s="143">
        <v>1031</v>
      </c>
      <c r="E431" s="143"/>
      <c r="F431" s="143" t="s">
        <v>997</v>
      </c>
      <c r="G431" s="144">
        <v>71464.679999999993</v>
      </c>
      <c r="H431" s="144">
        <v>23452.04</v>
      </c>
      <c r="I431" s="144">
        <v>23452.04</v>
      </c>
    </row>
    <row r="432" spans="1:9" x14ac:dyDescent="0.25">
      <c r="B432" s="143" t="s">
        <v>998</v>
      </c>
      <c r="C432" s="143" t="s">
        <v>520</v>
      </c>
      <c r="D432" s="143">
        <v>1033</v>
      </c>
      <c r="E432" s="143"/>
      <c r="F432" s="143" t="s">
        <v>999</v>
      </c>
      <c r="G432" s="144">
        <v>31029.58</v>
      </c>
      <c r="H432" s="144">
        <v>10514.78</v>
      </c>
      <c r="I432" s="144">
        <v>33966.82</v>
      </c>
    </row>
    <row r="433" spans="1:9" x14ac:dyDescent="0.25">
      <c r="B433" s="143" t="s">
        <v>1000</v>
      </c>
      <c r="C433" s="143" t="s">
        <v>520</v>
      </c>
      <c r="D433" s="143">
        <v>1042</v>
      </c>
      <c r="E433" s="143"/>
      <c r="F433" s="143" t="s">
        <v>1001</v>
      </c>
      <c r="G433" s="144">
        <v>105503.11</v>
      </c>
      <c r="H433" s="144">
        <v>74127.33</v>
      </c>
      <c r="I433" s="144">
        <v>108094.15</v>
      </c>
    </row>
    <row r="434" spans="1:9" x14ac:dyDescent="0.25">
      <c r="A434" s="142" t="s">
        <v>1002</v>
      </c>
      <c r="G434" s="145">
        <v>207997.37</v>
      </c>
      <c r="H434" s="145">
        <v>108094.15</v>
      </c>
    </row>
    <row r="435" spans="1:9" x14ac:dyDescent="0.25">
      <c r="A435" s="142" t="s">
        <v>1003</v>
      </c>
    </row>
    <row r="436" spans="1:9" x14ac:dyDescent="0.25">
      <c r="B436" s="143" t="s">
        <v>612</v>
      </c>
      <c r="C436" s="143" t="s">
        <v>520</v>
      </c>
      <c r="D436" s="143">
        <v>14555599</v>
      </c>
      <c r="E436" s="143"/>
      <c r="F436" s="143" t="s">
        <v>1004</v>
      </c>
      <c r="G436" s="144">
        <v>860.16</v>
      </c>
      <c r="H436" s="144">
        <v>860.16</v>
      </c>
      <c r="I436" s="144">
        <v>860.16</v>
      </c>
    </row>
    <row r="437" spans="1:9" x14ac:dyDescent="0.25">
      <c r="B437" s="143" t="s">
        <v>612</v>
      </c>
      <c r="C437" s="143" t="s">
        <v>520</v>
      </c>
      <c r="D437" s="143">
        <v>14555741</v>
      </c>
      <c r="E437" s="143"/>
      <c r="F437" s="143" t="s">
        <v>1004</v>
      </c>
      <c r="G437" s="144">
        <v>2571.91</v>
      </c>
      <c r="H437" s="144">
        <v>2571.91</v>
      </c>
      <c r="I437" s="144">
        <v>3432.07</v>
      </c>
    </row>
    <row r="438" spans="1:9" x14ac:dyDescent="0.25">
      <c r="B438" s="143" t="s">
        <v>348</v>
      </c>
      <c r="C438" s="143" t="s">
        <v>520</v>
      </c>
      <c r="D438" s="143">
        <v>14588548</v>
      </c>
      <c r="E438" s="143"/>
      <c r="F438" s="143" t="s">
        <v>765</v>
      </c>
      <c r="G438" s="144">
        <v>2248.5</v>
      </c>
      <c r="H438" s="144">
        <v>2248.5</v>
      </c>
      <c r="I438" s="144">
        <v>5680.57</v>
      </c>
    </row>
    <row r="439" spans="1:9" x14ac:dyDescent="0.25">
      <c r="B439" s="143" t="s">
        <v>348</v>
      </c>
      <c r="C439" s="143" t="s">
        <v>520</v>
      </c>
      <c r="D439" s="143">
        <v>14588547</v>
      </c>
      <c r="E439" s="143"/>
      <c r="F439" s="143" t="s">
        <v>765</v>
      </c>
      <c r="G439" s="144">
        <v>2879.85</v>
      </c>
      <c r="H439" s="144">
        <v>2879.85</v>
      </c>
      <c r="I439" s="144">
        <v>8560.42</v>
      </c>
    </row>
    <row r="440" spans="1:9" x14ac:dyDescent="0.25">
      <c r="B440" s="143" t="s">
        <v>553</v>
      </c>
      <c r="C440" s="143" t="s">
        <v>520</v>
      </c>
      <c r="D440" s="143">
        <v>14606540</v>
      </c>
      <c r="E440" s="143"/>
      <c r="F440" s="143" t="s">
        <v>351</v>
      </c>
      <c r="G440" s="144">
        <v>5715.42</v>
      </c>
      <c r="H440" s="144">
        <v>5715.42</v>
      </c>
      <c r="I440" s="144">
        <v>14275.84</v>
      </c>
    </row>
    <row r="441" spans="1:9" x14ac:dyDescent="0.25">
      <c r="B441" s="143" t="s">
        <v>553</v>
      </c>
      <c r="C441" s="143" t="s">
        <v>520</v>
      </c>
      <c r="D441" s="143">
        <v>14606539</v>
      </c>
      <c r="E441" s="143"/>
      <c r="F441" s="143" t="s">
        <v>351</v>
      </c>
      <c r="G441" s="144">
        <v>102.38</v>
      </c>
      <c r="H441" s="144">
        <v>102.38</v>
      </c>
      <c r="I441" s="144">
        <v>14378.22</v>
      </c>
    </row>
    <row r="442" spans="1:9" x14ac:dyDescent="0.25">
      <c r="B442" s="143" t="s">
        <v>461</v>
      </c>
      <c r="C442" s="143" t="s">
        <v>520</v>
      </c>
      <c r="D442" s="143">
        <v>14607732</v>
      </c>
      <c r="E442" s="143"/>
      <c r="F442" s="143" t="s">
        <v>353</v>
      </c>
      <c r="G442" s="144">
        <v>121.65</v>
      </c>
      <c r="H442" s="144">
        <v>121.65</v>
      </c>
      <c r="I442" s="144">
        <v>14499.87</v>
      </c>
    </row>
    <row r="443" spans="1:9" x14ac:dyDescent="0.25">
      <c r="B443" s="143" t="s">
        <v>461</v>
      </c>
      <c r="C443" s="143" t="s">
        <v>520</v>
      </c>
      <c r="D443" s="143">
        <v>14607731</v>
      </c>
      <c r="E443" s="143"/>
      <c r="F443" s="143" t="s">
        <v>353</v>
      </c>
      <c r="G443" s="144">
        <v>1317.77</v>
      </c>
      <c r="H443" s="144">
        <v>1317.77</v>
      </c>
      <c r="I443" s="144">
        <v>15817.64</v>
      </c>
    </row>
    <row r="444" spans="1:9" x14ac:dyDescent="0.25">
      <c r="B444" s="143" t="s">
        <v>461</v>
      </c>
      <c r="C444" s="143" t="s">
        <v>520</v>
      </c>
      <c r="D444" s="143">
        <v>14607730</v>
      </c>
      <c r="E444" s="143"/>
      <c r="F444" s="143" t="s">
        <v>353</v>
      </c>
      <c r="G444" s="144">
        <v>352.8</v>
      </c>
      <c r="H444" s="144">
        <v>352.8</v>
      </c>
      <c r="I444" s="144">
        <v>16170.44</v>
      </c>
    </row>
    <row r="445" spans="1:9" x14ac:dyDescent="0.25">
      <c r="B445" s="143" t="s">
        <v>400</v>
      </c>
      <c r="C445" s="143" t="s">
        <v>520</v>
      </c>
      <c r="D445" s="143">
        <v>14623203</v>
      </c>
      <c r="E445" s="143"/>
      <c r="F445" s="143" t="s">
        <v>401</v>
      </c>
      <c r="G445" s="144">
        <v>768.34</v>
      </c>
      <c r="H445" s="144">
        <v>768.34</v>
      </c>
      <c r="I445" s="144">
        <v>16938.78</v>
      </c>
    </row>
    <row r="446" spans="1:9" x14ac:dyDescent="0.25">
      <c r="B446" s="143" t="s">
        <v>400</v>
      </c>
      <c r="C446" s="143" t="s">
        <v>520</v>
      </c>
      <c r="D446" s="143">
        <v>14629408</v>
      </c>
      <c r="E446" s="143"/>
      <c r="F446" s="143" t="s">
        <v>401</v>
      </c>
      <c r="G446" s="144">
        <v>1799.88</v>
      </c>
      <c r="H446" s="144">
        <v>1799.88</v>
      </c>
      <c r="I446" s="144">
        <v>18738.66</v>
      </c>
    </row>
    <row r="447" spans="1:9" x14ac:dyDescent="0.25">
      <c r="B447" s="143" t="s">
        <v>606</v>
      </c>
      <c r="C447" s="143" t="s">
        <v>520</v>
      </c>
      <c r="D447" s="143">
        <v>14810704</v>
      </c>
      <c r="E447" s="143" t="s">
        <v>121</v>
      </c>
      <c r="F447" s="143" t="s">
        <v>606</v>
      </c>
      <c r="G447" s="144">
        <v>6638.19</v>
      </c>
      <c r="H447" s="144">
        <v>6638.19</v>
      </c>
      <c r="I447" s="144">
        <v>25376.85</v>
      </c>
    </row>
    <row r="448" spans="1:9" x14ac:dyDescent="0.25">
      <c r="A448" s="142" t="s">
        <v>1005</v>
      </c>
      <c r="G448" s="145">
        <v>25376.85</v>
      </c>
      <c r="H448" s="145">
        <v>25376.85</v>
      </c>
    </row>
    <row r="449" spans="1:9" x14ac:dyDescent="0.25">
      <c r="A449" s="142" t="s">
        <v>1006</v>
      </c>
    </row>
    <row r="450" spans="1:9" x14ac:dyDescent="0.25">
      <c r="B450" s="143" t="s">
        <v>1007</v>
      </c>
      <c r="C450" s="143" t="s">
        <v>520</v>
      </c>
      <c r="D450" s="143" t="s">
        <v>1008</v>
      </c>
      <c r="E450" s="143" t="s">
        <v>121</v>
      </c>
      <c r="F450" s="143" t="s">
        <v>1009</v>
      </c>
      <c r="G450" s="144">
        <v>1148.18</v>
      </c>
      <c r="H450" s="144">
        <v>148.18</v>
      </c>
      <c r="I450" s="144">
        <v>148.18</v>
      </c>
    </row>
    <row r="451" spans="1:9" x14ac:dyDescent="0.25">
      <c r="B451" s="143" t="s">
        <v>1010</v>
      </c>
      <c r="C451" s="143" t="s">
        <v>520</v>
      </c>
      <c r="D451" s="143" t="s">
        <v>1011</v>
      </c>
      <c r="E451" s="143" t="s">
        <v>121</v>
      </c>
      <c r="F451" s="143" t="s">
        <v>1012</v>
      </c>
      <c r="G451" s="144">
        <v>1156.54</v>
      </c>
      <c r="H451" s="144">
        <v>1156.54</v>
      </c>
      <c r="I451" s="144">
        <v>1304.72</v>
      </c>
    </row>
    <row r="452" spans="1:9" x14ac:dyDescent="0.25">
      <c r="B452" s="143" t="s">
        <v>1013</v>
      </c>
      <c r="C452" s="143" t="s">
        <v>520</v>
      </c>
      <c r="D452" s="143" t="s">
        <v>1014</v>
      </c>
      <c r="E452" s="143" t="s">
        <v>121</v>
      </c>
      <c r="F452" s="143" t="s">
        <v>1015</v>
      </c>
      <c r="G452" s="144">
        <v>1371.07</v>
      </c>
      <c r="H452" s="144">
        <v>1371.07</v>
      </c>
      <c r="I452" s="144">
        <v>2675.79</v>
      </c>
    </row>
    <row r="453" spans="1:9" x14ac:dyDescent="0.25">
      <c r="B453" s="143" t="s">
        <v>1016</v>
      </c>
      <c r="C453" s="143" t="s">
        <v>520</v>
      </c>
      <c r="D453" s="143" t="s">
        <v>1017</v>
      </c>
      <c r="E453" s="143"/>
      <c r="F453" s="143" t="s">
        <v>1018</v>
      </c>
      <c r="G453" s="144">
        <v>1299.99</v>
      </c>
      <c r="H453" s="144">
        <v>1299.99</v>
      </c>
      <c r="I453" s="144">
        <v>3975.78</v>
      </c>
    </row>
    <row r="454" spans="1:9" x14ac:dyDescent="0.25">
      <c r="B454" s="143" t="s">
        <v>1019</v>
      </c>
      <c r="C454" s="143" t="s">
        <v>520</v>
      </c>
      <c r="D454" s="143" t="s">
        <v>1020</v>
      </c>
      <c r="E454" s="143"/>
      <c r="F454" s="143" t="s">
        <v>330</v>
      </c>
      <c r="G454" s="144">
        <v>1094.68</v>
      </c>
      <c r="H454" s="144">
        <v>1094.68</v>
      </c>
      <c r="I454" s="144">
        <v>5070.46</v>
      </c>
    </row>
    <row r="455" spans="1:9" x14ac:dyDescent="0.25">
      <c r="B455" s="143" t="s">
        <v>330</v>
      </c>
      <c r="C455" s="143" t="s">
        <v>520</v>
      </c>
      <c r="D455" s="143" t="s">
        <v>1021</v>
      </c>
      <c r="E455" s="143"/>
      <c r="F455" s="143" t="s">
        <v>332</v>
      </c>
      <c r="G455" s="144">
        <v>1125.29</v>
      </c>
      <c r="H455" s="144">
        <v>1125.29</v>
      </c>
      <c r="I455" s="144">
        <v>6195.75</v>
      </c>
    </row>
    <row r="456" spans="1:9" x14ac:dyDescent="0.25">
      <c r="B456" s="143" t="s">
        <v>904</v>
      </c>
      <c r="C456" s="143" t="s">
        <v>520</v>
      </c>
      <c r="D456" s="143" t="s">
        <v>1022</v>
      </c>
      <c r="E456" s="143"/>
      <c r="F456" s="143" t="s">
        <v>1023</v>
      </c>
      <c r="G456" s="144">
        <v>1189.8499999999999</v>
      </c>
      <c r="H456" s="144">
        <v>1189.8499999999999</v>
      </c>
      <c r="I456" s="144">
        <v>7385.6</v>
      </c>
    </row>
    <row r="457" spans="1:9" x14ac:dyDescent="0.25">
      <c r="B457" s="143" t="s">
        <v>1023</v>
      </c>
      <c r="C457" s="143" t="s">
        <v>520</v>
      </c>
      <c r="D457" s="143" t="s">
        <v>1024</v>
      </c>
      <c r="E457" s="143"/>
      <c r="F457" s="143" t="s">
        <v>1025</v>
      </c>
      <c r="G457" s="144">
        <v>1514.59</v>
      </c>
      <c r="H457" s="144">
        <v>1514.59</v>
      </c>
      <c r="I457" s="144">
        <v>8900.19</v>
      </c>
    </row>
    <row r="458" spans="1:9" x14ac:dyDescent="0.25">
      <c r="B458" s="143" t="s">
        <v>1025</v>
      </c>
      <c r="C458" s="143" t="s">
        <v>520</v>
      </c>
      <c r="D458" s="143">
        <v>3907419</v>
      </c>
      <c r="E458" s="143"/>
      <c r="F458" s="143" t="s">
        <v>1026</v>
      </c>
      <c r="G458" s="144">
        <v>1212.54</v>
      </c>
      <c r="H458" s="144">
        <v>1212.54</v>
      </c>
      <c r="I458" s="144">
        <v>10112.73</v>
      </c>
    </row>
    <row r="459" spans="1:9" x14ac:dyDescent="0.25">
      <c r="B459" s="143" t="s">
        <v>1026</v>
      </c>
      <c r="C459" s="143" t="s">
        <v>520</v>
      </c>
      <c r="D459" s="143" t="s">
        <v>1027</v>
      </c>
      <c r="E459" s="143"/>
      <c r="F459" s="143" t="s">
        <v>834</v>
      </c>
      <c r="G459" s="144">
        <v>1238.32</v>
      </c>
      <c r="H459" s="144">
        <v>1238.32</v>
      </c>
      <c r="I459" s="144">
        <v>11351.05</v>
      </c>
    </row>
    <row r="460" spans="1:9" x14ac:dyDescent="0.25">
      <c r="B460" s="143" t="s">
        <v>834</v>
      </c>
      <c r="C460" s="143" t="s">
        <v>520</v>
      </c>
      <c r="D460" s="143" t="s">
        <v>1028</v>
      </c>
      <c r="E460" s="143"/>
      <c r="F460" s="143" t="s">
        <v>1029</v>
      </c>
      <c r="G460" s="144">
        <v>1341.67</v>
      </c>
      <c r="H460" s="144">
        <v>1341.67</v>
      </c>
      <c r="I460" s="144">
        <v>12692.72</v>
      </c>
    </row>
    <row r="461" spans="1:9" x14ac:dyDescent="0.25">
      <c r="B461" s="143" t="s">
        <v>701</v>
      </c>
      <c r="C461" s="143" t="s">
        <v>520</v>
      </c>
      <c r="D461" s="143">
        <v>3914517</v>
      </c>
      <c r="E461" s="143"/>
      <c r="F461" s="143" t="s">
        <v>1030</v>
      </c>
      <c r="G461" s="144">
        <v>1306.8699999999999</v>
      </c>
      <c r="H461" s="144">
        <v>1306.8699999999999</v>
      </c>
      <c r="I461" s="144">
        <v>13999.59</v>
      </c>
    </row>
    <row r="462" spans="1:9" x14ac:dyDescent="0.25">
      <c r="B462" s="143" t="s">
        <v>1030</v>
      </c>
      <c r="C462" s="143" t="s">
        <v>520</v>
      </c>
      <c r="D462" s="143" t="s">
        <v>1031</v>
      </c>
      <c r="E462" s="143"/>
      <c r="F462" s="143" t="s">
        <v>1032</v>
      </c>
      <c r="G462" s="144">
        <v>1257.9000000000001</v>
      </c>
      <c r="H462" s="144">
        <v>1257.9000000000001</v>
      </c>
      <c r="I462" s="144">
        <v>15257.49</v>
      </c>
    </row>
    <row r="463" spans="1:9" x14ac:dyDescent="0.25">
      <c r="B463" s="143" t="s">
        <v>1033</v>
      </c>
      <c r="C463" s="143" t="s">
        <v>520</v>
      </c>
      <c r="D463" s="143">
        <v>3917985</v>
      </c>
      <c r="E463" s="143"/>
      <c r="F463" s="143" t="s">
        <v>1034</v>
      </c>
      <c r="G463" s="144">
        <v>999.01</v>
      </c>
      <c r="H463" s="144">
        <v>999.01</v>
      </c>
      <c r="I463" s="144">
        <v>16256.5</v>
      </c>
    </row>
    <row r="464" spans="1:9" x14ac:dyDescent="0.25">
      <c r="B464" s="143" t="s">
        <v>1034</v>
      </c>
      <c r="C464" s="143" t="s">
        <v>520</v>
      </c>
      <c r="D464" s="143" t="s">
        <v>1035</v>
      </c>
      <c r="E464" s="143"/>
      <c r="F464" s="143" t="s">
        <v>1036</v>
      </c>
      <c r="G464" s="144">
        <v>1147.52</v>
      </c>
      <c r="H464" s="144">
        <v>1147.52</v>
      </c>
      <c r="I464" s="144">
        <v>17404.02</v>
      </c>
    </row>
    <row r="465" spans="1:9" x14ac:dyDescent="0.25">
      <c r="B465" s="143" t="s">
        <v>1036</v>
      </c>
      <c r="C465" s="143" t="s">
        <v>520</v>
      </c>
      <c r="D465" s="143" t="s">
        <v>1037</v>
      </c>
      <c r="E465" s="143"/>
      <c r="F465" s="143" t="s">
        <v>1038</v>
      </c>
      <c r="G465" s="144">
        <v>1205.27</v>
      </c>
      <c r="H465" s="144">
        <v>1205.27</v>
      </c>
      <c r="I465" s="144">
        <v>18609.29</v>
      </c>
    </row>
    <row r="466" spans="1:9" x14ac:dyDescent="0.25">
      <c r="B466" s="143" t="s">
        <v>1039</v>
      </c>
      <c r="C466" s="143" t="s">
        <v>520</v>
      </c>
      <c r="D466" s="143" t="s">
        <v>1040</v>
      </c>
      <c r="E466" s="143"/>
      <c r="F466" s="143" t="s">
        <v>837</v>
      </c>
      <c r="G466" s="144">
        <v>9735.85</v>
      </c>
      <c r="H466" s="144">
        <v>9735.85</v>
      </c>
      <c r="I466" s="144">
        <v>28345.14</v>
      </c>
    </row>
    <row r="467" spans="1:9" x14ac:dyDescent="0.25">
      <c r="A467" s="142" t="s">
        <v>1041</v>
      </c>
      <c r="G467" s="145">
        <v>29345.14</v>
      </c>
      <c r="H467" s="145">
        <v>28345.14</v>
      </c>
    </row>
    <row r="468" spans="1:9" x14ac:dyDescent="0.25">
      <c r="A468" s="142" t="s">
        <v>1042</v>
      </c>
    </row>
    <row r="469" spans="1:9" x14ac:dyDescent="0.25">
      <c r="B469" s="143" t="s">
        <v>1043</v>
      </c>
      <c r="C469" s="143" t="s">
        <v>520</v>
      </c>
      <c r="D469" s="143" t="s">
        <v>1044</v>
      </c>
      <c r="E469" s="143"/>
      <c r="F469" s="143" t="s">
        <v>1043</v>
      </c>
      <c r="G469" s="144">
        <v>550</v>
      </c>
      <c r="H469" s="144">
        <v>550</v>
      </c>
      <c r="I469" s="144">
        <v>550</v>
      </c>
    </row>
    <row r="470" spans="1:9" x14ac:dyDescent="0.25">
      <c r="A470" s="142" t="s">
        <v>1045</v>
      </c>
      <c r="G470" s="145">
        <v>550</v>
      </c>
      <c r="H470" s="145">
        <v>550</v>
      </c>
    </row>
    <row r="471" spans="1:9" x14ac:dyDescent="0.25">
      <c r="A471" s="142" t="s">
        <v>1046</v>
      </c>
    </row>
    <row r="472" spans="1:9" x14ac:dyDescent="0.25">
      <c r="B472" s="143" t="s">
        <v>1047</v>
      </c>
      <c r="C472" s="143" t="s">
        <v>520</v>
      </c>
      <c r="D472" s="143" t="s">
        <v>1048</v>
      </c>
      <c r="E472" s="143"/>
      <c r="F472" s="143" t="s">
        <v>1049</v>
      </c>
      <c r="G472" s="144">
        <v>38368.51</v>
      </c>
      <c r="H472" s="144">
        <v>15724.8</v>
      </c>
      <c r="I472" s="144">
        <v>15724.8</v>
      </c>
    </row>
    <row r="473" spans="1:9" x14ac:dyDescent="0.25">
      <c r="B473" s="143" t="s">
        <v>918</v>
      </c>
      <c r="C473" s="143" t="s">
        <v>520</v>
      </c>
      <c r="D473" s="143" t="s">
        <v>1050</v>
      </c>
      <c r="E473" s="143"/>
      <c r="F473" s="143" t="s">
        <v>854</v>
      </c>
      <c r="G473" s="144">
        <v>697.2</v>
      </c>
      <c r="H473" s="144">
        <v>697.2</v>
      </c>
      <c r="I473" s="144">
        <v>16422</v>
      </c>
    </row>
    <row r="474" spans="1:9" x14ac:dyDescent="0.25">
      <c r="A474" s="142" t="s">
        <v>1051</v>
      </c>
      <c r="G474" s="145">
        <v>39065.71</v>
      </c>
      <c r="H474" s="145">
        <v>16422</v>
      </c>
    </row>
    <row r="475" spans="1:9" x14ac:dyDescent="0.25">
      <c r="A475" s="142" t="s">
        <v>1052</v>
      </c>
    </row>
    <row r="476" spans="1:9" x14ac:dyDescent="0.25">
      <c r="B476" s="143" t="s">
        <v>424</v>
      </c>
      <c r="C476" s="143" t="s">
        <v>520</v>
      </c>
      <c r="D476" s="143">
        <v>1001</v>
      </c>
      <c r="E476" s="143"/>
      <c r="F476" s="143" t="s">
        <v>424</v>
      </c>
      <c r="G476" s="144">
        <v>13900</v>
      </c>
      <c r="H476" s="144">
        <v>13900</v>
      </c>
      <c r="I476" s="144">
        <v>13900</v>
      </c>
    </row>
    <row r="477" spans="1:9" x14ac:dyDescent="0.25">
      <c r="A477" s="142" t="s">
        <v>1053</v>
      </c>
      <c r="G477" s="145">
        <v>13900</v>
      </c>
      <c r="H477" s="145">
        <v>13900</v>
      </c>
    </row>
    <row r="478" spans="1:9" x14ac:dyDescent="0.25">
      <c r="A478" s="142" t="s">
        <v>1054</v>
      </c>
    </row>
    <row r="479" spans="1:9" x14ac:dyDescent="0.25">
      <c r="B479" s="143" t="s">
        <v>1055</v>
      </c>
      <c r="C479" s="143" t="s">
        <v>520</v>
      </c>
      <c r="D479" s="143" t="s">
        <v>1056</v>
      </c>
      <c r="E479" s="143"/>
      <c r="F479" s="143" t="s">
        <v>1055</v>
      </c>
      <c r="G479" s="144">
        <v>76.64</v>
      </c>
      <c r="H479" s="144">
        <v>76.64</v>
      </c>
      <c r="I479" s="144">
        <v>76.64</v>
      </c>
    </row>
    <row r="480" spans="1:9" x14ac:dyDescent="0.25">
      <c r="A480" s="142" t="s">
        <v>1057</v>
      </c>
      <c r="G480" s="145">
        <v>76.64</v>
      </c>
      <c r="H480" s="145">
        <v>76.64</v>
      </c>
    </row>
    <row r="481" spans="1:9" x14ac:dyDescent="0.25">
      <c r="A481" s="142" t="s">
        <v>1058</v>
      </c>
    </row>
    <row r="482" spans="1:9" x14ac:dyDescent="0.25">
      <c r="B482" s="143" t="s">
        <v>1059</v>
      </c>
      <c r="C482" s="143" t="s">
        <v>520</v>
      </c>
      <c r="D482" s="143" t="s">
        <v>1060</v>
      </c>
      <c r="E482" s="143"/>
      <c r="F482" s="143" t="s">
        <v>1061</v>
      </c>
      <c r="G482" s="144">
        <v>427.62</v>
      </c>
      <c r="H482" s="144">
        <v>427.62</v>
      </c>
      <c r="I482" s="144">
        <v>427.62</v>
      </c>
    </row>
    <row r="483" spans="1:9" x14ac:dyDescent="0.25">
      <c r="B483" s="143" t="s">
        <v>1062</v>
      </c>
      <c r="C483" s="143" t="s">
        <v>520</v>
      </c>
      <c r="D483" s="143" t="s">
        <v>1063</v>
      </c>
      <c r="E483" s="143"/>
      <c r="F483" s="143" t="s">
        <v>1064</v>
      </c>
      <c r="G483" s="144">
        <v>227.5</v>
      </c>
      <c r="H483" s="144">
        <v>227.5</v>
      </c>
      <c r="I483" s="144">
        <v>655.12</v>
      </c>
    </row>
    <row r="484" spans="1:9" x14ac:dyDescent="0.25">
      <c r="B484" s="143" t="s">
        <v>788</v>
      </c>
      <c r="C484" s="143" t="s">
        <v>520</v>
      </c>
      <c r="D484" s="143" t="s">
        <v>1065</v>
      </c>
      <c r="E484" s="143"/>
      <c r="F484" s="143" t="s">
        <v>563</v>
      </c>
      <c r="G484" s="144">
        <v>134.18</v>
      </c>
      <c r="H484" s="144">
        <v>134.18</v>
      </c>
      <c r="I484" s="144">
        <v>789.3</v>
      </c>
    </row>
    <row r="485" spans="1:9" x14ac:dyDescent="0.25">
      <c r="B485" s="143" t="s">
        <v>581</v>
      </c>
      <c r="C485" s="143" t="s">
        <v>520</v>
      </c>
      <c r="D485" s="143" t="s">
        <v>1066</v>
      </c>
      <c r="E485" s="143"/>
      <c r="F485" s="143" t="s">
        <v>470</v>
      </c>
      <c r="G485" s="144">
        <v>148.68</v>
      </c>
      <c r="H485" s="144">
        <v>148.68</v>
      </c>
      <c r="I485" s="144">
        <v>937.98</v>
      </c>
    </row>
    <row r="486" spans="1:9" x14ac:dyDescent="0.25">
      <c r="B486" s="143" t="s">
        <v>436</v>
      </c>
      <c r="C486" s="143" t="s">
        <v>520</v>
      </c>
      <c r="D486" s="143" t="s">
        <v>1067</v>
      </c>
      <c r="E486" s="143"/>
      <c r="F486" s="143" t="s">
        <v>777</v>
      </c>
      <c r="G486" s="144">
        <v>171.41</v>
      </c>
      <c r="H486" s="144">
        <v>171.41</v>
      </c>
      <c r="I486" s="144">
        <v>1109.3900000000001</v>
      </c>
    </row>
    <row r="487" spans="1:9" x14ac:dyDescent="0.25">
      <c r="B487" s="143" t="s">
        <v>864</v>
      </c>
      <c r="C487" s="143" t="s">
        <v>520</v>
      </c>
      <c r="D487" s="143" t="s">
        <v>1068</v>
      </c>
      <c r="E487" s="143"/>
      <c r="F487" s="143" t="s">
        <v>864</v>
      </c>
      <c r="G487" s="144">
        <v>181.61</v>
      </c>
      <c r="H487" s="144">
        <v>181.61</v>
      </c>
      <c r="I487" s="144">
        <v>1291</v>
      </c>
    </row>
    <row r="488" spans="1:9" x14ac:dyDescent="0.25">
      <c r="B488" s="143" t="s">
        <v>553</v>
      </c>
      <c r="C488" s="143" t="s">
        <v>520</v>
      </c>
      <c r="D488" s="143" t="s">
        <v>1069</v>
      </c>
      <c r="E488" s="143"/>
      <c r="F488" s="143" t="s">
        <v>353</v>
      </c>
      <c r="G488" s="144">
        <v>176.09</v>
      </c>
      <c r="H488" s="144">
        <v>176.09</v>
      </c>
      <c r="I488" s="144">
        <v>1467.09</v>
      </c>
    </row>
    <row r="489" spans="1:9" x14ac:dyDescent="0.25">
      <c r="A489" s="142" t="s">
        <v>1070</v>
      </c>
      <c r="G489" s="145">
        <v>1467.09</v>
      </c>
      <c r="H489" s="145">
        <v>1467.09</v>
      </c>
    </row>
    <row r="490" spans="1:9" x14ac:dyDescent="0.25">
      <c r="A490" s="142" t="s">
        <v>1071</v>
      </c>
    </row>
    <row r="491" spans="1:9" x14ac:dyDescent="0.25">
      <c r="B491" s="143" t="s">
        <v>980</v>
      </c>
      <c r="C491" s="143" t="s">
        <v>520</v>
      </c>
      <c r="D491" s="143">
        <v>27414149</v>
      </c>
      <c r="E491" s="143"/>
      <c r="F491" s="143" t="s">
        <v>704</v>
      </c>
      <c r="G491" s="144">
        <v>10302.709999999999</v>
      </c>
      <c r="H491" s="144">
        <v>10302.709999999999</v>
      </c>
      <c r="I491" s="144">
        <v>10302.709999999999</v>
      </c>
    </row>
    <row r="492" spans="1:9" x14ac:dyDescent="0.25">
      <c r="B492" s="143" t="s">
        <v>1004</v>
      </c>
      <c r="C492" s="143" t="s">
        <v>520</v>
      </c>
      <c r="D492" s="143">
        <v>27451863</v>
      </c>
      <c r="E492" s="143"/>
      <c r="F492" s="143" t="s">
        <v>1072</v>
      </c>
      <c r="G492" s="144">
        <v>20600</v>
      </c>
      <c r="H492" s="144">
        <v>20600</v>
      </c>
      <c r="I492" s="144">
        <v>30902.71</v>
      </c>
    </row>
    <row r="493" spans="1:9" x14ac:dyDescent="0.25">
      <c r="A493" s="142" t="s">
        <v>1073</v>
      </c>
      <c r="G493" s="145">
        <v>30902.71</v>
      </c>
      <c r="H493" s="145">
        <v>30902.71</v>
      </c>
    </row>
    <row r="494" spans="1:9" x14ac:dyDescent="0.25">
      <c r="A494" s="142" t="s">
        <v>1074</v>
      </c>
    </row>
    <row r="495" spans="1:9" x14ac:dyDescent="0.25">
      <c r="B495" s="143" t="s">
        <v>1075</v>
      </c>
      <c r="C495" s="143" t="s">
        <v>645</v>
      </c>
      <c r="D495" s="143" t="s">
        <v>1076</v>
      </c>
      <c r="E495" s="143"/>
      <c r="F495" s="143"/>
      <c r="G495" s="144">
        <v>-1470</v>
      </c>
      <c r="H495" s="144">
        <v>-1470</v>
      </c>
      <c r="I495" s="144">
        <v>-1470</v>
      </c>
    </row>
    <row r="496" spans="1:9" x14ac:dyDescent="0.25">
      <c r="B496" s="143" t="s">
        <v>1075</v>
      </c>
      <c r="C496" s="143" t="s">
        <v>520</v>
      </c>
      <c r="D496" s="143">
        <v>106735</v>
      </c>
      <c r="E496" s="143"/>
      <c r="F496" s="143" t="s">
        <v>424</v>
      </c>
      <c r="G496" s="144">
        <v>1128.49</v>
      </c>
      <c r="H496" s="144">
        <v>1128.49</v>
      </c>
      <c r="I496" s="144">
        <v>-341.51</v>
      </c>
    </row>
    <row r="497" spans="1:9" x14ac:dyDescent="0.25">
      <c r="B497" s="143" t="s">
        <v>819</v>
      </c>
      <c r="C497" s="143" t="s">
        <v>520</v>
      </c>
      <c r="D497" s="143">
        <v>106747</v>
      </c>
      <c r="E497" s="143"/>
      <c r="F497" s="143" t="s">
        <v>1077</v>
      </c>
      <c r="G497" s="144">
        <v>597.37</v>
      </c>
      <c r="H497" s="144">
        <v>597.37</v>
      </c>
      <c r="I497" s="144">
        <v>255.86</v>
      </c>
    </row>
    <row r="498" spans="1:9" x14ac:dyDescent="0.25">
      <c r="B498" s="143" t="s">
        <v>426</v>
      </c>
      <c r="C498" s="143" t="s">
        <v>520</v>
      </c>
      <c r="D498" s="143">
        <v>106776</v>
      </c>
      <c r="E498" s="143"/>
      <c r="F498" s="143" t="s">
        <v>455</v>
      </c>
      <c r="G498" s="144">
        <v>141.4</v>
      </c>
      <c r="H498" s="144">
        <v>141.4</v>
      </c>
      <c r="I498" s="144">
        <v>397.26</v>
      </c>
    </row>
    <row r="499" spans="1:9" x14ac:dyDescent="0.25">
      <c r="A499" s="142" t="s">
        <v>1078</v>
      </c>
      <c r="G499" s="145">
        <v>397.26</v>
      </c>
      <c r="H499" s="145">
        <v>397.26</v>
      </c>
    </row>
    <row r="500" spans="1:9" x14ac:dyDescent="0.25">
      <c r="A500" s="142" t="s">
        <v>1079</v>
      </c>
    </row>
    <row r="501" spans="1:9" x14ac:dyDescent="0.25">
      <c r="B501" s="143" t="s">
        <v>588</v>
      </c>
      <c r="C501" s="143" t="s">
        <v>520</v>
      </c>
      <c r="D501" s="143">
        <v>76094</v>
      </c>
      <c r="E501" s="143"/>
      <c r="F501" s="143" t="s">
        <v>594</v>
      </c>
      <c r="G501" s="144">
        <v>41225.629999999997</v>
      </c>
      <c r="H501" s="144">
        <v>263.14</v>
      </c>
      <c r="I501" s="144">
        <v>263.14</v>
      </c>
    </row>
    <row r="502" spans="1:9" x14ac:dyDescent="0.25">
      <c r="B502" s="143" t="s">
        <v>353</v>
      </c>
      <c r="C502" s="143" t="s">
        <v>520</v>
      </c>
      <c r="D502" s="143" t="s">
        <v>1080</v>
      </c>
      <c r="E502" s="143"/>
      <c r="F502" s="143" t="s">
        <v>606</v>
      </c>
      <c r="G502" s="144">
        <v>5.26</v>
      </c>
      <c r="H502" s="144">
        <v>5.26</v>
      </c>
      <c r="I502" s="144">
        <v>268.39999999999998</v>
      </c>
    </row>
    <row r="503" spans="1:9" x14ac:dyDescent="0.25">
      <c r="A503" s="142" t="s">
        <v>1081</v>
      </c>
      <c r="G503" s="145">
        <v>41230.89</v>
      </c>
      <c r="H503" s="145">
        <v>268.39999999999998</v>
      </c>
    </row>
    <row r="504" spans="1:9" x14ac:dyDescent="0.25">
      <c r="A504" s="142" t="s">
        <v>515</v>
      </c>
      <c r="G504" s="145">
        <v>7562052.8399999999</v>
      </c>
      <c r="H504" s="145">
        <v>4608889.93</v>
      </c>
    </row>
    <row r="507" spans="1:9" x14ac:dyDescent="0.25">
      <c r="A507" s="146" t="s">
        <v>1113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FREEDOM IS - DETAIL_9-26-24</vt:lpstr>
      <vt:lpstr>Customer Balance Detail_9-20-24</vt:lpstr>
      <vt:lpstr>Supplier Balance Detail_9-20-24</vt:lpstr>
      <vt:lpstr>FREEDOM IS_Sept 26 Actuals</vt:lpstr>
      <vt:lpstr>Customer Balance Detail_9-26-24</vt:lpstr>
      <vt:lpstr>Supplier Balance Detail_9-26-24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Gordon Mah</dc:creator>
  <cp:lastModifiedBy>Gordon Mah</cp:lastModifiedBy>
  <dcterms:created xsi:type="dcterms:W3CDTF">2024-09-26T18:36:54Z</dcterms:created>
  <dcterms:modified xsi:type="dcterms:W3CDTF">2024-09-26T19:20:33Z</dcterms:modified>
</cp:coreProperties>
</file>