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ttknight/OneDrive - Cashco Financial Inc/CosignSimple/1 Strategy/Financial Model/"/>
    </mc:Choice>
  </mc:AlternateContent>
  <xr:revisionPtr revIDLastSave="0" documentId="13_ncr:1_{C9F809A0-7DD7-C147-B236-56145FB32BCE}" xr6:coauthVersionLast="47" xr6:coauthVersionMax="47" xr10:uidLastSave="{00000000-0000-0000-0000-000000000000}"/>
  <bookViews>
    <workbookView xWindow="120" yWindow="500" windowWidth="37700" windowHeight="19360" activeTab="5" xr2:uid="{00000000-000D-0000-FFFF-FFFF00000000}"/>
  </bookViews>
  <sheets>
    <sheet name="Intro" sheetId="3" state="hidden" r:id="rId1"/>
    <sheet name="CSS Settings" sheetId="17" r:id="rId2"/>
    <sheet name="Settings" sheetId="4" state="hidden" r:id="rId3"/>
    <sheet name="Projections" sheetId="6" state="hidden" r:id="rId4"/>
    <sheet name="Data for Charts" sheetId="8" state="hidden" r:id="rId5"/>
    <sheet name="FS-Month" sheetId="10" r:id="rId6"/>
    <sheet name="Revenue" sheetId="11" r:id="rId7"/>
    <sheet name="COS and SG&amp;A" sheetId="13" r:id="rId8"/>
    <sheet name="WK+CAPEX" sheetId="14" state="hidden" r:id="rId9"/>
    <sheet name="Use of funds" sheetId="18" state="hidden" r:id="rId10"/>
    <sheet name="Valuation" sheetId="19" state="hidden" r:id="rId11"/>
    <sheet name="Funding - Equity Round Calculat" sheetId="15" state="hidden" r:id="rId12"/>
    <sheet name="Funding - Convertible Note Calc" sheetId="16" state="hidden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1" i="11" l="1"/>
  <c r="Z11" i="11"/>
  <c r="Z15" i="11"/>
  <c r="Z15" i="10" s="1"/>
  <c r="AA43" i="13"/>
  <c r="Z43" i="13"/>
  <c r="AD35" i="10"/>
  <c r="AC28" i="10"/>
  <c r="AD28" i="10"/>
  <c r="AE28" i="10"/>
  <c r="AD29" i="10"/>
  <c r="AD30" i="10"/>
  <c r="AC31" i="10"/>
  <c r="AD31" i="10"/>
  <c r="AE31" i="10"/>
  <c r="AD25" i="10"/>
  <c r="AC26" i="10"/>
  <c r="AD26" i="10"/>
  <c r="AE26" i="10"/>
  <c r="AC27" i="10"/>
  <c r="AD27" i="10"/>
  <c r="AE27" i="10"/>
  <c r="AD24" i="10"/>
  <c r="AD20" i="10"/>
  <c r="AD19" i="10"/>
  <c r="AD18" i="10"/>
  <c r="AE17" i="10"/>
  <c r="AD17" i="10"/>
  <c r="AC17" i="10"/>
  <c r="AD15" i="10"/>
  <c r="AD14" i="10"/>
  <c r="AD12" i="10"/>
  <c r="Z58" i="10"/>
  <c r="AA58" i="10"/>
  <c r="Z65" i="10"/>
  <c r="AA65" i="10"/>
  <c r="Z69" i="10"/>
  <c r="AA69" i="10"/>
  <c r="Z74" i="10"/>
  <c r="AA74" i="10"/>
  <c r="Z93" i="10"/>
  <c r="Z91" i="10" s="1"/>
  <c r="AA93" i="10"/>
  <c r="AA91" i="10" s="1"/>
  <c r="Z96" i="10"/>
  <c r="AA96" i="10"/>
  <c r="Z98" i="10"/>
  <c r="Z103" i="10" s="1"/>
  <c r="AA98" i="10"/>
  <c r="Z46" i="10"/>
  <c r="AA46" i="10"/>
  <c r="Z38" i="10"/>
  <c r="AA38" i="10"/>
  <c r="Z39" i="10"/>
  <c r="AA39" i="10"/>
  <c r="Z40" i="10"/>
  <c r="AA40" i="10"/>
  <c r="Z41" i="10"/>
  <c r="AA41" i="10"/>
  <c r="Z42" i="10"/>
  <c r="AA42" i="10"/>
  <c r="Z30" i="10"/>
  <c r="Z29" i="10" s="1"/>
  <c r="AA30" i="10"/>
  <c r="AA29" i="10" s="1"/>
  <c r="Z31" i="10"/>
  <c r="AA31" i="10"/>
  <c r="Z26" i="10"/>
  <c r="AA26" i="10"/>
  <c r="Z27" i="10"/>
  <c r="AA27" i="10"/>
  <c r="Z17" i="10"/>
  <c r="AA17" i="10"/>
  <c r="Z14" i="10"/>
  <c r="Z11" i="10"/>
  <c r="AD11" i="10"/>
  <c r="U75" i="10"/>
  <c r="V75" i="10"/>
  <c r="W75" i="10"/>
  <c r="X75" i="10"/>
  <c r="Y75" i="10"/>
  <c r="U14" i="10"/>
  <c r="V14" i="10"/>
  <c r="W14" i="10"/>
  <c r="X14" i="10"/>
  <c r="Y14" i="10"/>
  <c r="U15" i="10"/>
  <c r="V15" i="10"/>
  <c r="W15" i="10"/>
  <c r="X15" i="10"/>
  <c r="Y15" i="10"/>
  <c r="U17" i="10"/>
  <c r="U74" i="10" s="1"/>
  <c r="V17" i="10"/>
  <c r="V74" i="10" s="1"/>
  <c r="W17" i="10"/>
  <c r="W74" i="10" s="1"/>
  <c r="X17" i="10"/>
  <c r="X74" i="10" s="1"/>
  <c r="Y17" i="10"/>
  <c r="Y74" i="10" s="1"/>
  <c r="U18" i="10"/>
  <c r="V18" i="10"/>
  <c r="W18" i="10"/>
  <c r="X18" i="10"/>
  <c r="Y18" i="10"/>
  <c r="U19" i="10"/>
  <c r="V19" i="10"/>
  <c r="W19" i="10"/>
  <c r="X19" i="10"/>
  <c r="Y19" i="10"/>
  <c r="U20" i="10"/>
  <c r="V20" i="10"/>
  <c r="W20" i="10"/>
  <c r="X20" i="10"/>
  <c r="Y20" i="10"/>
  <c r="U11" i="10"/>
  <c r="V11" i="10"/>
  <c r="W11" i="10"/>
  <c r="X11" i="10"/>
  <c r="Y11" i="10"/>
  <c r="U12" i="10"/>
  <c r="V12" i="10"/>
  <c r="W12" i="10"/>
  <c r="X12" i="10"/>
  <c r="Y12" i="10"/>
  <c r="U36" i="10"/>
  <c r="V36" i="10"/>
  <c r="W36" i="10"/>
  <c r="X36" i="10"/>
  <c r="Y36" i="10"/>
  <c r="U37" i="10"/>
  <c r="V37" i="10"/>
  <c r="W37" i="10"/>
  <c r="X37" i="10"/>
  <c r="Y37" i="10"/>
  <c r="U38" i="10"/>
  <c r="V38" i="10"/>
  <c r="W38" i="10"/>
  <c r="X38" i="10"/>
  <c r="Y38" i="10"/>
  <c r="U39" i="10"/>
  <c r="V39" i="10"/>
  <c r="W39" i="10"/>
  <c r="X39" i="10"/>
  <c r="Y39" i="10"/>
  <c r="U40" i="10"/>
  <c r="V40" i="10"/>
  <c r="W40" i="10"/>
  <c r="X40" i="10"/>
  <c r="Y40" i="10"/>
  <c r="U41" i="10"/>
  <c r="V41" i="10"/>
  <c r="W41" i="10"/>
  <c r="X41" i="10"/>
  <c r="Y41" i="10"/>
  <c r="U42" i="10"/>
  <c r="V42" i="10"/>
  <c r="W42" i="10"/>
  <c r="X42" i="10"/>
  <c r="Y42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H36" i="10"/>
  <c r="B36" i="10"/>
  <c r="A36" i="10"/>
  <c r="I25" i="10"/>
  <c r="I60" i="10" s="1"/>
  <c r="J25" i="10"/>
  <c r="J60" i="10" s="1"/>
  <c r="K25" i="10"/>
  <c r="K60" i="10" s="1"/>
  <c r="L25" i="10"/>
  <c r="L60" i="10" s="1"/>
  <c r="M25" i="10"/>
  <c r="M60" i="10" s="1"/>
  <c r="N25" i="10"/>
  <c r="N60" i="10" s="1"/>
  <c r="O25" i="10"/>
  <c r="O60" i="10" s="1"/>
  <c r="P25" i="10"/>
  <c r="P60" i="10" s="1"/>
  <c r="Q25" i="10"/>
  <c r="Q60" i="10" s="1"/>
  <c r="R25" i="10"/>
  <c r="R60" i="10" s="1"/>
  <c r="S25" i="10"/>
  <c r="S60" i="10" s="1"/>
  <c r="T25" i="10"/>
  <c r="T60" i="10" s="1"/>
  <c r="U25" i="10"/>
  <c r="U60" i="10" s="1"/>
  <c r="V25" i="10"/>
  <c r="V60" i="10" s="1"/>
  <c r="W25" i="10"/>
  <c r="W60" i="10" s="1"/>
  <c r="X25" i="10"/>
  <c r="X60" i="10" s="1"/>
  <c r="Y25" i="10"/>
  <c r="Y60" i="10" s="1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H26" i="10"/>
  <c r="H27" i="10"/>
  <c r="H25" i="10"/>
  <c r="H60" i="10" s="1"/>
  <c r="A26" i="10"/>
  <c r="A27" i="10"/>
  <c r="A25" i="10"/>
  <c r="Z73" i="10" l="1"/>
  <c r="Z79" i="10"/>
  <c r="AA103" i="10"/>
  <c r="AA79" i="10" l="1"/>
  <c r="Z99" i="10"/>
  <c r="AA73" i="10"/>
  <c r="Z50" i="10"/>
  <c r="AA99" i="10" l="1"/>
  <c r="AA50" i="10"/>
  <c r="AE109" i="10" l="1"/>
  <c r="AE107" i="10"/>
  <c r="AE93" i="10"/>
  <c r="AE91" i="10" s="1"/>
  <c r="AD109" i="10"/>
  <c r="AD107" i="10"/>
  <c r="AD93" i="10"/>
  <c r="AD91" i="10" s="1"/>
  <c r="AE89" i="13"/>
  <c r="AD89" i="13"/>
  <c r="AC89" i="13"/>
  <c r="AE88" i="13"/>
  <c r="AD88" i="13"/>
  <c r="AC88" i="13"/>
  <c r="AE87" i="13"/>
  <c r="AD87" i="13"/>
  <c r="AC87" i="13"/>
  <c r="AE82" i="13"/>
  <c r="AD82" i="13"/>
  <c r="AC82" i="13"/>
  <c r="AE77" i="13"/>
  <c r="AD77" i="13"/>
  <c r="AC77" i="13"/>
  <c r="AD68" i="13"/>
  <c r="AE68" i="13"/>
  <c r="AC62" i="13"/>
  <c r="AD62" i="13"/>
  <c r="AE62" i="13"/>
  <c r="AC63" i="13"/>
  <c r="AD63" i="13"/>
  <c r="AE63" i="13"/>
  <c r="AC64" i="13"/>
  <c r="AD64" i="13"/>
  <c r="AE64" i="13"/>
  <c r="AC65" i="13"/>
  <c r="AD65" i="13"/>
  <c r="AE65" i="13"/>
  <c r="AE61" i="13"/>
  <c r="AD61" i="13"/>
  <c r="AC61" i="13"/>
  <c r="AC54" i="13"/>
  <c r="AD54" i="13"/>
  <c r="AE54" i="13"/>
  <c r="AC55" i="13"/>
  <c r="AD55" i="13"/>
  <c r="AE55" i="13"/>
  <c r="AC56" i="13"/>
  <c r="AD56" i="13"/>
  <c r="AE56" i="13"/>
  <c r="AC57" i="13"/>
  <c r="AD57" i="13"/>
  <c r="AE57" i="13"/>
  <c r="AE53" i="13"/>
  <c r="AD53" i="13"/>
  <c r="AC53" i="13"/>
  <c r="AD41" i="13"/>
  <c r="AC42" i="13"/>
  <c r="AD42" i="13"/>
  <c r="AE42" i="13"/>
  <c r="AD43" i="13"/>
  <c r="AC44" i="13"/>
  <c r="AD44" i="13"/>
  <c r="AE44" i="13"/>
  <c r="AC35" i="13"/>
  <c r="AD35" i="13"/>
  <c r="AE35" i="13"/>
  <c r="AC36" i="13"/>
  <c r="AD36" i="13"/>
  <c r="AE36" i="13"/>
  <c r="AC25" i="13"/>
  <c r="AD25" i="13"/>
  <c r="AE25" i="13"/>
  <c r="AC28" i="13"/>
  <c r="AD28" i="13"/>
  <c r="AE28" i="13"/>
  <c r="AA17" i="13"/>
  <c r="AA40" i="13"/>
  <c r="AA45" i="13" s="1"/>
  <c r="AA46" i="13"/>
  <c r="AA73" i="13"/>
  <c r="AA74" i="13"/>
  <c r="AA75" i="13"/>
  <c r="AA76" i="13"/>
  <c r="AA81" i="13"/>
  <c r="AA83" i="13" s="1"/>
  <c r="AA93" i="13"/>
  <c r="AA95" i="13"/>
  <c r="AA96" i="13"/>
  <c r="AA97" i="13"/>
  <c r="AA98" i="13"/>
  <c r="AA99" i="13"/>
  <c r="AA100" i="13"/>
  <c r="AA101" i="13"/>
  <c r="AA102" i="13"/>
  <c r="AD11" i="13"/>
  <c r="AD12" i="13"/>
  <c r="AD15" i="13"/>
  <c r="AE17" i="13"/>
  <c r="AE17" i="11"/>
  <c r="AE11" i="11"/>
  <c r="AE11" i="13" s="1"/>
  <c r="AD15" i="11"/>
  <c r="AD12" i="11"/>
  <c r="AD11" i="11"/>
  <c r="AD25" i="11"/>
  <c r="AC26" i="11"/>
  <c r="AC11" i="11"/>
  <c r="AC11" i="13" s="1"/>
  <c r="AA7" i="11"/>
  <c r="AA30" i="11"/>
  <c r="AA31" i="11"/>
  <c r="AA35" i="11"/>
  <c r="AA36" i="11"/>
  <c r="AA38" i="11"/>
  <c r="AA42" i="11"/>
  <c r="Z31" i="11"/>
  <c r="Z35" i="11"/>
  <c r="Z36" i="11" s="1"/>
  <c r="Z38" i="11"/>
  <c r="Z42" i="11"/>
  <c r="Z43" i="11" s="1"/>
  <c r="AA43" i="11" s="1"/>
  <c r="AD26" i="11"/>
  <c r="AE26" i="11"/>
  <c r="I22" i="17"/>
  <c r="AA94" i="13" s="1"/>
  <c r="S94" i="13"/>
  <c r="AC43" i="13"/>
  <c r="Z25" i="11"/>
  <c r="Z25" i="10" s="1"/>
  <c r="H25" i="11"/>
  <c r="Y11" i="13"/>
  <c r="Y15" i="13"/>
  <c r="Z15" i="13"/>
  <c r="Y17" i="13"/>
  <c r="Z17" i="13"/>
  <c r="Y40" i="13"/>
  <c r="Z40" i="13"/>
  <c r="Y41" i="13"/>
  <c r="Y46" i="13"/>
  <c r="Z46" i="13"/>
  <c r="Y73" i="13"/>
  <c r="Z73" i="13"/>
  <c r="Y74" i="13"/>
  <c r="Z74" i="13"/>
  <c r="Y75" i="13"/>
  <c r="Z75" i="13"/>
  <c r="Y76" i="13"/>
  <c r="Z76" i="13"/>
  <c r="Y81" i="13"/>
  <c r="Y83" i="13" s="1"/>
  <c r="Y27" i="13" s="1"/>
  <c r="Z81" i="13"/>
  <c r="Z83" i="13" s="1"/>
  <c r="Z27" i="13" s="1"/>
  <c r="Y93" i="13"/>
  <c r="Z93" i="13"/>
  <c r="Y94" i="13"/>
  <c r="Z94" i="13"/>
  <c r="Y95" i="13"/>
  <c r="Z95" i="13"/>
  <c r="Y96" i="13"/>
  <c r="Z96" i="13"/>
  <c r="Y97" i="13"/>
  <c r="Z97" i="13"/>
  <c r="Y98" i="13"/>
  <c r="Z98" i="13"/>
  <c r="Y99" i="13"/>
  <c r="Z99" i="13"/>
  <c r="Y100" i="13"/>
  <c r="Z100" i="13"/>
  <c r="Y101" i="13"/>
  <c r="Z101" i="13"/>
  <c r="Y102" i="13"/>
  <c r="Z102" i="13"/>
  <c r="U11" i="13"/>
  <c r="V11" i="13"/>
  <c r="W11" i="13"/>
  <c r="X11" i="13"/>
  <c r="U15" i="13"/>
  <c r="V15" i="13"/>
  <c r="W15" i="13"/>
  <c r="X15" i="13"/>
  <c r="U17" i="13"/>
  <c r="V17" i="13"/>
  <c r="W17" i="13"/>
  <c r="X17" i="13"/>
  <c r="U40" i="13"/>
  <c r="V40" i="13"/>
  <c r="W40" i="13"/>
  <c r="X40" i="13"/>
  <c r="U41" i="13"/>
  <c r="V41" i="13"/>
  <c r="W41" i="13"/>
  <c r="X41" i="13"/>
  <c r="U46" i="13"/>
  <c r="V46" i="13"/>
  <c r="W46" i="13"/>
  <c r="X46" i="13"/>
  <c r="U73" i="13"/>
  <c r="V73" i="13"/>
  <c r="W73" i="13"/>
  <c r="X73" i="13"/>
  <c r="U74" i="13"/>
  <c r="V74" i="13"/>
  <c r="W74" i="13"/>
  <c r="X74" i="13"/>
  <c r="U75" i="13"/>
  <c r="V75" i="13"/>
  <c r="W75" i="13"/>
  <c r="X75" i="13"/>
  <c r="U76" i="13"/>
  <c r="V76" i="13"/>
  <c r="W76" i="13"/>
  <c r="X76" i="13"/>
  <c r="U81" i="13"/>
  <c r="U83" i="13" s="1"/>
  <c r="U27" i="13" s="1"/>
  <c r="V81" i="13"/>
  <c r="V83" i="13" s="1"/>
  <c r="V27" i="13" s="1"/>
  <c r="W81" i="13"/>
  <c r="W83" i="13" s="1"/>
  <c r="W27" i="13" s="1"/>
  <c r="X81" i="13"/>
  <c r="X83" i="13" s="1"/>
  <c r="X27" i="13" s="1"/>
  <c r="U93" i="13"/>
  <c r="V93" i="13"/>
  <c r="W93" i="13"/>
  <c r="X93" i="13"/>
  <c r="U94" i="13"/>
  <c r="V94" i="13"/>
  <c r="W94" i="13"/>
  <c r="X94" i="13"/>
  <c r="U95" i="13"/>
  <c r="V95" i="13"/>
  <c r="W95" i="13"/>
  <c r="X95" i="13"/>
  <c r="U96" i="13"/>
  <c r="V96" i="13"/>
  <c r="W96" i="13"/>
  <c r="X96" i="13"/>
  <c r="U97" i="13"/>
  <c r="V97" i="13"/>
  <c r="W97" i="13"/>
  <c r="X97" i="13"/>
  <c r="U98" i="13"/>
  <c r="V98" i="13"/>
  <c r="W98" i="13"/>
  <c r="X98" i="13"/>
  <c r="U99" i="13"/>
  <c r="V99" i="13"/>
  <c r="W99" i="13"/>
  <c r="X99" i="13"/>
  <c r="U100" i="13"/>
  <c r="V100" i="13"/>
  <c r="W100" i="13"/>
  <c r="X100" i="13"/>
  <c r="U101" i="13"/>
  <c r="V101" i="13"/>
  <c r="W101" i="13"/>
  <c r="X101" i="13"/>
  <c r="U102" i="13"/>
  <c r="V102" i="13"/>
  <c r="W102" i="13"/>
  <c r="X102" i="13"/>
  <c r="U25" i="11"/>
  <c r="V25" i="11"/>
  <c r="W25" i="11"/>
  <c r="X25" i="11"/>
  <c r="Y25" i="11"/>
  <c r="AA11" i="10" l="1"/>
  <c r="AE11" i="10" s="1"/>
  <c r="AA15" i="11"/>
  <c r="AA11" i="13"/>
  <c r="Z18" i="11"/>
  <c r="Z18" i="10" s="1"/>
  <c r="Z24" i="10"/>
  <c r="Z60" i="10"/>
  <c r="Z75" i="10"/>
  <c r="Z77" i="10" s="1"/>
  <c r="AA103" i="13"/>
  <c r="AA29" i="13" s="1"/>
  <c r="AE43" i="13"/>
  <c r="AA78" i="13"/>
  <c r="AA26" i="13" s="1"/>
  <c r="AA47" i="13"/>
  <c r="AA24" i="13" s="1"/>
  <c r="AA37" i="10" s="1"/>
  <c r="Z45" i="13"/>
  <c r="Z47" i="13" s="1"/>
  <c r="Z24" i="13" s="1"/>
  <c r="Z37" i="10" s="1"/>
  <c r="X45" i="13"/>
  <c r="X47" i="13" s="1"/>
  <c r="X24" i="13" s="1"/>
  <c r="Z11" i="13"/>
  <c r="Z78" i="13"/>
  <c r="Z26" i="13" s="1"/>
  <c r="Y45" i="13"/>
  <c r="Y47" i="13" s="1"/>
  <c r="Y24" i="13" s="1"/>
  <c r="U45" i="13"/>
  <c r="U47" i="13" s="1"/>
  <c r="U24" i="13" s="1"/>
  <c r="Y78" i="13"/>
  <c r="Y26" i="13" s="1"/>
  <c r="Z103" i="13"/>
  <c r="Z29" i="13" s="1"/>
  <c r="Y103" i="13"/>
  <c r="Y29" i="13" s="1"/>
  <c r="V103" i="13"/>
  <c r="V29" i="13" s="1"/>
  <c r="W78" i="13"/>
  <c r="W26" i="13" s="1"/>
  <c r="X103" i="13"/>
  <c r="X29" i="13" s="1"/>
  <c r="V78" i="13"/>
  <c r="V26" i="13" s="1"/>
  <c r="U78" i="13"/>
  <c r="U26" i="13" s="1"/>
  <c r="W103" i="13"/>
  <c r="W29" i="13" s="1"/>
  <c r="U103" i="13"/>
  <c r="U29" i="13" s="1"/>
  <c r="W45" i="13"/>
  <c r="W47" i="13" s="1"/>
  <c r="W24" i="13" s="1"/>
  <c r="V45" i="13"/>
  <c r="V47" i="13" s="1"/>
  <c r="V24" i="13" s="1"/>
  <c r="X78" i="13"/>
  <c r="X26" i="13" s="1"/>
  <c r="AA15" i="10" l="1"/>
  <c r="AA25" i="11"/>
  <c r="AE15" i="11"/>
  <c r="AA15" i="13"/>
  <c r="AC15" i="11"/>
  <c r="Z32" i="10"/>
  <c r="Z33" i="10" s="1"/>
  <c r="AA18" i="11" l="1"/>
  <c r="AA25" i="10"/>
  <c r="AE25" i="11"/>
  <c r="AE15" i="13"/>
  <c r="AE15" i="10"/>
  <c r="AC15" i="10"/>
  <c r="Z18" i="13"/>
  <c r="AC25" i="10" l="1"/>
  <c r="AE25" i="10"/>
  <c r="AA24" i="10"/>
  <c r="AA60" i="10"/>
  <c r="AA18" i="10"/>
  <c r="AA18" i="13"/>
  <c r="AA34" i="13" s="1"/>
  <c r="AA37" i="13" s="1"/>
  <c r="AA23" i="13" s="1"/>
  <c r="AA36" i="10" s="1"/>
  <c r="AA35" i="10" s="1"/>
  <c r="Z34" i="13"/>
  <c r="Z37" i="13" s="1"/>
  <c r="Z23" i="13" s="1"/>
  <c r="Z36" i="10" s="1"/>
  <c r="Z35" i="10" s="1"/>
  <c r="AA32" i="10" l="1"/>
  <c r="AC24" i="10"/>
  <c r="AE24" i="10"/>
  <c r="AA75" i="10"/>
  <c r="AA77" i="10" s="1"/>
  <c r="AC18" i="10"/>
  <c r="AE18" i="10"/>
  <c r="Z43" i="10"/>
  <c r="AC35" i="10"/>
  <c r="AE35" i="10"/>
  <c r="AA33" i="10" l="1"/>
  <c r="AA43" i="10"/>
  <c r="Z44" i="10"/>
  <c r="Z47" i="10"/>
  <c r="AA47" i="10" l="1"/>
  <c r="AA44" i="10"/>
  <c r="Z48" i="10"/>
  <c r="Z52" i="10"/>
  <c r="Z30" i="11"/>
  <c r="Y30" i="10"/>
  <c r="X31" i="10"/>
  <c r="Y31" i="10"/>
  <c r="X46" i="10"/>
  <c r="X96" i="10" s="1"/>
  <c r="Y46" i="10"/>
  <c r="Y96" i="10" s="1"/>
  <c r="X58" i="10"/>
  <c r="Y58" i="10"/>
  <c r="X65" i="10"/>
  <c r="Y65" i="10"/>
  <c r="Y69" i="10" s="1"/>
  <c r="X69" i="10"/>
  <c r="X98" i="10"/>
  <c r="Y98" i="10"/>
  <c r="U30" i="10"/>
  <c r="U31" i="10"/>
  <c r="W31" i="10"/>
  <c r="U46" i="10"/>
  <c r="U96" i="10" s="1"/>
  <c r="V46" i="10"/>
  <c r="V96" i="10" s="1"/>
  <c r="W46" i="10"/>
  <c r="W96" i="10" s="1"/>
  <c r="U58" i="10"/>
  <c r="V58" i="10"/>
  <c r="W58" i="10"/>
  <c r="U65" i="10"/>
  <c r="U69" i="10" s="1"/>
  <c r="V65" i="10"/>
  <c r="V69" i="10" s="1"/>
  <c r="W65" i="10"/>
  <c r="W69" i="10" s="1"/>
  <c r="U98" i="10"/>
  <c r="V98" i="10"/>
  <c r="W98" i="10"/>
  <c r="AC93" i="10"/>
  <c r="AC91" i="10" s="1"/>
  <c r="AC107" i="10"/>
  <c r="AC109" i="10"/>
  <c r="AA52" i="10" l="1"/>
  <c r="AA48" i="10"/>
  <c r="Z80" i="10"/>
  <c r="Z95" i="10"/>
  <c r="Z94" i="10" s="1"/>
  <c r="Z53" i="10"/>
  <c r="Y29" i="10"/>
  <c r="Y35" i="10"/>
  <c r="U29" i="10"/>
  <c r="U35" i="10"/>
  <c r="W24" i="10"/>
  <c r="X24" i="10"/>
  <c r="Y24" i="10"/>
  <c r="Y32" i="10" s="1"/>
  <c r="U24" i="10"/>
  <c r="AA80" i="10" l="1"/>
  <c r="AA95" i="10"/>
  <c r="AA94" i="10" s="1"/>
  <c r="AA53" i="10"/>
  <c r="U32" i="10"/>
  <c r="U33" i="10" s="1"/>
  <c r="U43" i="10"/>
  <c r="U44" i="10" s="1"/>
  <c r="Y33" i="10"/>
  <c r="Y43" i="10"/>
  <c r="B79" i="10"/>
  <c r="B80" i="10"/>
  <c r="B81" i="10"/>
  <c r="B82" i="10"/>
  <c r="B83" i="10"/>
  <c r="B84" i="10"/>
  <c r="U47" i="10" l="1"/>
  <c r="U48" i="10" s="1"/>
  <c r="Y47" i="10"/>
  <c r="Y44" i="10"/>
  <c r="AC25" i="11" l="1"/>
  <c r="Y48" i="10"/>
  <c r="AC15" i="13"/>
  <c r="T11" i="10" l="1"/>
  <c r="T15" i="10"/>
  <c r="T17" i="10"/>
  <c r="T74" i="10" s="1"/>
  <c r="T107" i="10"/>
  <c r="C6" i="10"/>
  <c r="C93" i="10" s="1"/>
  <c r="C91" i="10" s="1"/>
  <c r="C79" i="10" s="1"/>
  <c r="D7" i="10"/>
  <c r="E7" i="10" s="1"/>
  <c r="F7" i="10" s="1"/>
  <c r="G7" i="10" s="1"/>
  <c r="C11" i="10"/>
  <c r="D11" i="10"/>
  <c r="E11" i="10"/>
  <c r="F11" i="10"/>
  <c r="G11" i="10"/>
  <c r="C14" i="10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C41" i="10"/>
  <c r="D41" i="10"/>
  <c r="E41" i="10"/>
  <c r="F41" i="10"/>
  <c r="G41" i="10"/>
  <c r="C42" i="10"/>
  <c r="D42" i="10"/>
  <c r="E42" i="10"/>
  <c r="F42" i="10"/>
  <c r="G42" i="10"/>
  <c r="C46" i="10"/>
  <c r="C109" i="10" s="1"/>
  <c r="C50" i="10"/>
  <c r="C90" i="10"/>
  <c r="C97" i="10"/>
  <c r="C99" i="10"/>
  <c r="C107" i="10"/>
  <c r="D107" i="10"/>
  <c r="E107" i="10"/>
  <c r="F107" i="10"/>
  <c r="G107" i="10"/>
  <c r="B9" i="17"/>
  <c r="D6" i="10" l="1"/>
  <c r="D93" i="10" s="1"/>
  <c r="D91" i="10" s="1"/>
  <c r="D73" i="10" s="1"/>
  <c r="D99" i="10" s="1"/>
  <c r="C35" i="10"/>
  <c r="C96" i="10"/>
  <c r="G35" i="10"/>
  <c r="F35" i="10"/>
  <c r="E35" i="10"/>
  <c r="D35" i="10"/>
  <c r="C111" i="10"/>
  <c r="D50" i="10" l="1"/>
  <c r="E6" i="10"/>
  <c r="E93" i="10" s="1"/>
  <c r="E91" i="10" s="1"/>
  <c r="E73" i="10" s="1"/>
  <c r="D79" i="10"/>
  <c r="F6" i="10" l="1"/>
  <c r="E79" i="10"/>
  <c r="F93" i="10"/>
  <c r="F91" i="10" s="1"/>
  <c r="G6" i="10"/>
  <c r="G93" i="10" s="1"/>
  <c r="G91" i="10" s="1"/>
  <c r="E99" i="10"/>
  <c r="E50" i="10"/>
  <c r="F79" i="10" l="1"/>
  <c r="F73" i="10"/>
  <c r="G73" i="10" s="1"/>
  <c r="G79" i="10" l="1"/>
  <c r="F50" i="10"/>
  <c r="F99" i="10"/>
  <c r="G99" i="10"/>
  <c r="G50" i="10"/>
  <c r="A31" i="10" l="1"/>
  <c r="A30" i="10"/>
  <c r="B27" i="10"/>
  <c r="S11" i="10"/>
  <c r="S15" i="10"/>
  <c r="H11" i="10"/>
  <c r="I11" i="10"/>
  <c r="J11" i="10"/>
  <c r="K11" i="10"/>
  <c r="L11" i="10"/>
  <c r="M11" i="10"/>
  <c r="N11" i="10"/>
  <c r="O11" i="10"/>
  <c r="P11" i="10"/>
  <c r="Q11" i="10"/>
  <c r="R11" i="10"/>
  <c r="H15" i="10"/>
  <c r="I15" i="10"/>
  <c r="J15" i="10"/>
  <c r="K15" i="10"/>
  <c r="L15" i="10"/>
  <c r="M15" i="10"/>
  <c r="N15" i="10"/>
  <c r="O15" i="10"/>
  <c r="P15" i="10"/>
  <c r="Q15" i="10"/>
  <c r="R15" i="10"/>
  <c r="A12" i="10"/>
  <c r="A14" i="10"/>
  <c r="A15" i="10"/>
  <c r="A17" i="10"/>
  <c r="A18" i="10"/>
  <c r="A19" i="10"/>
  <c r="A20" i="10"/>
  <c r="A27" i="13"/>
  <c r="A26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T94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AE97" i="13" s="1"/>
  <c r="Q97" i="13"/>
  <c r="R97" i="13"/>
  <c r="S97" i="13"/>
  <c r="T97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C93" i="13"/>
  <c r="C94" i="13"/>
  <c r="C95" i="13"/>
  <c r="C96" i="13"/>
  <c r="C97" i="13"/>
  <c r="C98" i="13"/>
  <c r="C99" i="13"/>
  <c r="C100" i="13"/>
  <c r="C101" i="13"/>
  <c r="C102" i="13"/>
  <c r="D55" i="13"/>
  <c r="E55" i="13" s="1"/>
  <c r="F55" i="13" s="1"/>
  <c r="G55" i="13" s="1"/>
  <c r="H55" i="13" s="1"/>
  <c r="B55" i="13"/>
  <c r="D54" i="13"/>
  <c r="E54" i="13" s="1"/>
  <c r="F54" i="13" s="1"/>
  <c r="G54" i="13" s="1"/>
  <c r="H54" i="13" s="1"/>
  <c r="B54" i="13"/>
  <c r="D53" i="13"/>
  <c r="E53" i="13" s="1"/>
  <c r="F53" i="13" s="1"/>
  <c r="G53" i="13" s="1"/>
  <c r="H53" i="13" s="1"/>
  <c r="B53" i="13"/>
  <c r="B102" i="13"/>
  <c r="B101" i="13"/>
  <c r="B98" i="13"/>
  <c r="B97" i="13"/>
  <c r="A102" i="13"/>
  <c r="A101" i="13"/>
  <c r="A100" i="13"/>
  <c r="A95" i="13"/>
  <c r="A96" i="13"/>
  <c r="A97" i="13"/>
  <c r="A98" i="13"/>
  <c r="A99" i="13"/>
  <c r="A94" i="13"/>
  <c r="A93" i="13"/>
  <c r="D63" i="13"/>
  <c r="E63" i="13" s="1"/>
  <c r="F63" i="13" s="1"/>
  <c r="G63" i="13" s="1"/>
  <c r="H63" i="13" s="1"/>
  <c r="B63" i="13"/>
  <c r="D64" i="13"/>
  <c r="E64" i="13" s="1"/>
  <c r="F64" i="13" s="1"/>
  <c r="G64" i="13" s="1"/>
  <c r="H64" i="13" s="1"/>
  <c r="B64" i="13"/>
  <c r="A25" i="13"/>
  <c r="A24" i="13"/>
  <c r="A23" i="13"/>
  <c r="B37" i="13"/>
  <c r="B36" i="13"/>
  <c r="B35" i="13"/>
  <c r="B34" i="13"/>
  <c r="B81" i="13"/>
  <c r="C81" i="13"/>
  <c r="C83" i="13" s="1"/>
  <c r="D81" i="13"/>
  <c r="D83" i="13" s="1"/>
  <c r="E81" i="13"/>
  <c r="E83" i="13" s="1"/>
  <c r="F81" i="13"/>
  <c r="F83" i="13" s="1"/>
  <c r="G81" i="13"/>
  <c r="G83" i="13" s="1"/>
  <c r="H81" i="13"/>
  <c r="I81" i="13"/>
  <c r="I83" i="13" s="1"/>
  <c r="I27" i="13" s="1"/>
  <c r="J81" i="13"/>
  <c r="J83" i="13" s="1"/>
  <c r="J27" i="13" s="1"/>
  <c r="K81" i="13"/>
  <c r="K83" i="13" s="1"/>
  <c r="K27" i="13" s="1"/>
  <c r="K40" i="10" s="1"/>
  <c r="L81" i="13"/>
  <c r="L83" i="13" s="1"/>
  <c r="L27" i="13" s="1"/>
  <c r="L40" i="10" s="1"/>
  <c r="M81" i="13"/>
  <c r="M83" i="13" s="1"/>
  <c r="M27" i="13" s="1"/>
  <c r="M40" i="10" s="1"/>
  <c r="N81" i="13"/>
  <c r="N83" i="13" s="1"/>
  <c r="N27" i="13" s="1"/>
  <c r="N40" i="10" s="1"/>
  <c r="O81" i="13"/>
  <c r="O83" i="13" s="1"/>
  <c r="O27" i="13" s="1"/>
  <c r="O40" i="10" s="1"/>
  <c r="P81" i="13"/>
  <c r="Q81" i="13"/>
  <c r="Q83" i="13" s="1"/>
  <c r="Q27" i="13" s="1"/>
  <c r="Q40" i="10" s="1"/>
  <c r="R81" i="13"/>
  <c r="R83" i="13" s="1"/>
  <c r="R27" i="13" s="1"/>
  <c r="R40" i="10" s="1"/>
  <c r="S81" i="13"/>
  <c r="S83" i="13" s="1"/>
  <c r="S27" i="13" s="1"/>
  <c r="S40" i="10" s="1"/>
  <c r="T81" i="13"/>
  <c r="T83" i="13" s="1"/>
  <c r="T27" i="13" s="1"/>
  <c r="T40" i="10" s="1"/>
  <c r="B82" i="13"/>
  <c r="B83" i="13"/>
  <c r="O40" i="13"/>
  <c r="O45" i="13" s="1"/>
  <c r="P40" i="13"/>
  <c r="Q40" i="13"/>
  <c r="Q45" i="13" s="1"/>
  <c r="R40" i="13"/>
  <c r="R45" i="13" s="1"/>
  <c r="S40" i="13"/>
  <c r="T40" i="13"/>
  <c r="S41" i="13"/>
  <c r="T41" i="13"/>
  <c r="O46" i="13"/>
  <c r="P46" i="13"/>
  <c r="AE46" i="13" s="1"/>
  <c r="Q46" i="13"/>
  <c r="R46" i="13"/>
  <c r="S46" i="13"/>
  <c r="T46" i="13"/>
  <c r="N40" i="13"/>
  <c r="N46" i="13"/>
  <c r="A43" i="13"/>
  <c r="A41" i="13"/>
  <c r="A42" i="13"/>
  <c r="A40" i="13"/>
  <c r="O11" i="13"/>
  <c r="P11" i="13"/>
  <c r="Q11" i="13"/>
  <c r="R11" i="13"/>
  <c r="S11" i="13"/>
  <c r="T11" i="13"/>
  <c r="O15" i="13"/>
  <c r="P15" i="13"/>
  <c r="Q15" i="13"/>
  <c r="R15" i="13"/>
  <c r="S15" i="13"/>
  <c r="T15" i="13"/>
  <c r="D11" i="13"/>
  <c r="E11" i="13"/>
  <c r="F11" i="13"/>
  <c r="G11" i="13"/>
  <c r="H11" i="13"/>
  <c r="I11" i="13"/>
  <c r="J11" i="13"/>
  <c r="K11" i="13"/>
  <c r="L11" i="13"/>
  <c r="M11" i="13"/>
  <c r="N11" i="13"/>
  <c r="H15" i="13"/>
  <c r="I15" i="13"/>
  <c r="J15" i="13"/>
  <c r="K15" i="13"/>
  <c r="L15" i="13"/>
  <c r="M15" i="13"/>
  <c r="N15" i="13"/>
  <c r="D21" i="13"/>
  <c r="E21" i="13"/>
  <c r="F21" i="13"/>
  <c r="G21" i="13"/>
  <c r="C21" i="13"/>
  <c r="C14" i="13"/>
  <c r="A14" i="13"/>
  <c r="A15" i="13"/>
  <c r="A17" i="13"/>
  <c r="A18" i="13"/>
  <c r="A19" i="13"/>
  <c r="A20" i="13"/>
  <c r="B21" i="19"/>
  <c r="F21" i="19"/>
  <c r="F20" i="19"/>
  <c r="F11" i="19"/>
  <c r="E11" i="19"/>
  <c r="C20" i="19"/>
  <c r="D20" i="19"/>
  <c r="B20" i="19"/>
  <c r="C40" i="18"/>
  <c r="D40" i="18" s="1"/>
  <c r="D28" i="18"/>
  <c r="E28" i="18"/>
  <c r="C28" i="18"/>
  <c r="D14" i="18"/>
  <c r="E14" i="18"/>
  <c r="D15" i="18"/>
  <c r="E15" i="18"/>
  <c r="C15" i="18"/>
  <c r="C14" i="18"/>
  <c r="C7" i="18" s="1"/>
  <c r="C6" i="18" s="1"/>
  <c r="E9" i="18"/>
  <c r="D9" i="18"/>
  <c r="D21" i="18"/>
  <c r="E21" i="18" s="1"/>
  <c r="E13" i="18"/>
  <c r="D13" i="18"/>
  <c r="D8" i="18"/>
  <c r="E8" i="18"/>
  <c r="D33" i="18"/>
  <c r="D32" i="18" s="1"/>
  <c r="E33" i="18"/>
  <c r="E32" i="18" s="1"/>
  <c r="C33" i="18"/>
  <c r="C32" i="18" s="1"/>
  <c r="AC11" i="10" l="1"/>
  <c r="AC40" i="13"/>
  <c r="AD40" i="13"/>
  <c r="P45" i="13"/>
  <c r="AE40" i="13"/>
  <c r="P83" i="13"/>
  <c r="P27" i="13" s="1"/>
  <c r="AE81" i="13"/>
  <c r="AE83" i="13" s="1"/>
  <c r="H83" i="13"/>
  <c r="H27" i="13" s="1"/>
  <c r="AC81" i="13"/>
  <c r="AC83" i="13" s="1"/>
  <c r="AD81" i="13"/>
  <c r="AD83" i="13" s="1"/>
  <c r="AE98" i="13"/>
  <c r="AD98" i="13"/>
  <c r="AC98" i="13"/>
  <c r="AC97" i="13"/>
  <c r="AD97" i="13"/>
  <c r="AE95" i="13"/>
  <c r="AE102" i="13"/>
  <c r="AE101" i="13"/>
  <c r="AD101" i="13"/>
  <c r="AC101" i="13"/>
  <c r="AC46" i="13"/>
  <c r="AD46" i="13"/>
  <c r="AE96" i="13"/>
  <c r="AE41" i="13"/>
  <c r="AC41" i="13"/>
  <c r="AE94" i="13"/>
  <c r="AE100" i="13"/>
  <c r="AC100" i="13"/>
  <c r="AD100" i="13"/>
  <c r="AC96" i="13"/>
  <c r="AD96" i="13"/>
  <c r="AD95" i="13"/>
  <c r="AC95" i="13"/>
  <c r="AC94" i="13"/>
  <c r="AD94" i="13"/>
  <c r="AD102" i="13"/>
  <c r="AC102" i="13"/>
  <c r="AE93" i="13"/>
  <c r="AD93" i="13"/>
  <c r="AC93" i="13"/>
  <c r="AE99" i="13"/>
  <c r="AC99" i="13"/>
  <c r="AD99" i="13"/>
  <c r="J40" i="10"/>
  <c r="I40" i="10"/>
  <c r="I54" i="13"/>
  <c r="I64" i="13"/>
  <c r="I63" i="13"/>
  <c r="I53" i="13"/>
  <c r="I55" i="13"/>
  <c r="S45" i="13"/>
  <c r="T45" i="13"/>
  <c r="D41" i="18"/>
  <c r="E40" i="18"/>
  <c r="E41" i="18" s="1"/>
  <c r="C41" i="18"/>
  <c r="E7" i="18"/>
  <c r="E6" i="18" s="1"/>
  <c r="D7" i="18"/>
  <c r="D6" i="18" s="1"/>
  <c r="A11" i="10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AE75" i="13" s="1"/>
  <c r="Q75" i="13"/>
  <c r="R75" i="13"/>
  <c r="S75" i="13"/>
  <c r="T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A12" i="13"/>
  <c r="A11" i="13"/>
  <c r="AD75" i="13" l="1"/>
  <c r="AC75" i="13"/>
  <c r="AE45" i="13"/>
  <c r="P40" i="10"/>
  <c r="AE27" i="13"/>
  <c r="AD27" i="13"/>
  <c r="AC27" i="13"/>
  <c r="AE40" i="10" s="1"/>
  <c r="H40" i="10"/>
  <c r="AC40" i="10" s="1"/>
  <c r="AE76" i="13"/>
  <c r="AD76" i="13"/>
  <c r="AC76" i="13"/>
  <c r="AD40" i="10"/>
  <c r="AE103" i="13"/>
  <c r="J63" i="13"/>
  <c r="J55" i="13"/>
  <c r="J64" i="13"/>
  <c r="J53" i="13"/>
  <c r="AD103" i="13"/>
  <c r="J54" i="13"/>
  <c r="AC103" i="13"/>
  <c r="C23" i="18"/>
  <c r="C30" i="18"/>
  <c r="C27" i="18" s="1"/>
  <c r="C26" i="18" s="1"/>
  <c r="C24" i="18"/>
  <c r="C22" i="18"/>
  <c r="C42" i="18"/>
  <c r="E22" i="18"/>
  <c r="E23" i="18"/>
  <c r="E42" i="18"/>
  <c r="E24" i="18"/>
  <c r="E30" i="18"/>
  <c r="E27" i="18" s="1"/>
  <c r="E26" i="18" s="1"/>
  <c r="D24" i="18"/>
  <c r="D23" i="18"/>
  <c r="D42" i="18"/>
  <c r="D30" i="18"/>
  <c r="D27" i="18" s="1"/>
  <c r="D26" i="18" s="1"/>
  <c r="D22" i="18"/>
  <c r="B27" i="15"/>
  <c r="E87" i="13"/>
  <c r="F87" i="13"/>
  <c r="G87" i="13"/>
  <c r="D87" i="13"/>
  <c r="C87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D73" i="13"/>
  <c r="D74" i="13"/>
  <c r="C74" i="13"/>
  <c r="C73" i="13"/>
  <c r="B46" i="13"/>
  <c r="B45" i="13"/>
  <c r="B96" i="13"/>
  <c r="AE74" i="13" l="1"/>
  <c r="AE73" i="13"/>
  <c r="AE78" i="13" s="1"/>
  <c r="AC74" i="13"/>
  <c r="AD74" i="13"/>
  <c r="AC73" i="13"/>
  <c r="AD73" i="13"/>
  <c r="AD78" i="13" s="1"/>
  <c r="K64" i="13"/>
  <c r="L64" i="13" s="1"/>
  <c r="M64" i="13" s="1"/>
  <c r="N64" i="13" s="1"/>
  <c r="O64" i="13" s="1"/>
  <c r="P64" i="13" s="1"/>
  <c r="Q64" i="13" s="1"/>
  <c r="R64" i="13" s="1"/>
  <c r="S64" i="13" s="1"/>
  <c r="T64" i="13" s="1"/>
  <c r="U64" i="13" s="1"/>
  <c r="V64" i="13" s="1"/>
  <c r="W64" i="13" s="1"/>
  <c r="K55" i="13"/>
  <c r="K53" i="13"/>
  <c r="K63" i="13"/>
  <c r="K54" i="13"/>
  <c r="L54" i="13" s="1"/>
  <c r="M54" i="13" s="1"/>
  <c r="N54" i="13" s="1"/>
  <c r="O54" i="13" s="1"/>
  <c r="P54" i="13" s="1"/>
  <c r="Q54" i="13" s="1"/>
  <c r="R54" i="13" s="1"/>
  <c r="S54" i="13" s="1"/>
  <c r="T54" i="13" s="1"/>
  <c r="U54" i="13" s="1"/>
  <c r="V54" i="13" s="1"/>
  <c r="W54" i="13" s="1"/>
  <c r="X54" i="13" s="1"/>
  <c r="Y54" i="13" s="1"/>
  <c r="Z54" i="13" s="1"/>
  <c r="AA54" i="13" s="1"/>
  <c r="X64" i="13"/>
  <c r="Y64" i="13" s="1"/>
  <c r="C12" i="11"/>
  <c r="C11" i="13"/>
  <c r="C15" i="11"/>
  <c r="E43" i="18"/>
  <c r="E19" i="18"/>
  <c r="E18" i="18" s="1"/>
  <c r="E17" i="18" s="1"/>
  <c r="E47" i="18" s="1"/>
  <c r="C19" i="18"/>
  <c r="C18" i="18" s="1"/>
  <c r="C43" i="18"/>
  <c r="E38" i="18"/>
  <c r="E45" i="18" s="1"/>
  <c r="D19" i="18"/>
  <c r="D18" i="18" s="1"/>
  <c r="D43" i="18"/>
  <c r="C16" i="4"/>
  <c r="L53" i="13" l="1"/>
  <c r="L63" i="13"/>
  <c r="L55" i="13"/>
  <c r="Z64" i="13"/>
  <c r="AA64" i="13" s="1"/>
  <c r="AC78" i="13"/>
  <c r="C15" i="10"/>
  <c r="C15" i="13"/>
  <c r="C12" i="10"/>
  <c r="C12" i="13"/>
  <c r="C25" i="11"/>
  <c r="C17" i="11"/>
  <c r="C17" i="18"/>
  <c r="C47" i="18" s="1"/>
  <c r="C38" i="18"/>
  <c r="C45" i="18" s="1"/>
  <c r="D17" i="18"/>
  <c r="D47" i="18" s="1"/>
  <c r="D38" i="18"/>
  <c r="D45" i="18" s="1"/>
  <c r="A56" i="16"/>
  <c r="A55" i="16"/>
  <c r="A54" i="16"/>
  <c r="A53" i="16"/>
  <c r="B48" i="16"/>
  <c r="B39" i="16"/>
  <c r="C39" i="16" s="1"/>
  <c r="C37" i="16"/>
  <c r="B37" i="16"/>
  <c r="B38" i="16" s="1"/>
  <c r="B17" i="16"/>
  <c r="C17" i="16" s="1"/>
  <c r="C16" i="16"/>
  <c r="B56" i="16" s="1"/>
  <c r="C15" i="16"/>
  <c r="B55" i="16" s="1"/>
  <c r="C14" i="16"/>
  <c r="B54" i="16" s="1"/>
  <c r="C13" i="16"/>
  <c r="B53" i="16" s="1"/>
  <c r="A3" i="16"/>
  <c r="A1" i="16"/>
  <c r="A37" i="15"/>
  <c r="A36" i="15"/>
  <c r="A35" i="15"/>
  <c r="A34" i="15"/>
  <c r="B28" i="15"/>
  <c r="B17" i="15"/>
  <c r="C17" i="15" s="1"/>
  <c r="C16" i="15"/>
  <c r="B37" i="15" s="1"/>
  <c r="C15" i="15"/>
  <c r="B36" i="15" s="1"/>
  <c r="C14" i="15"/>
  <c r="B35" i="15" s="1"/>
  <c r="C13" i="15"/>
  <c r="B34" i="15" s="1"/>
  <c r="A3" i="15"/>
  <c r="A1" i="15"/>
  <c r="B71" i="14"/>
  <c r="B70" i="14"/>
  <c r="B69" i="14"/>
  <c r="B68" i="14"/>
  <c r="B67" i="14"/>
  <c r="B61" i="14"/>
  <c r="B60" i="14"/>
  <c r="B59" i="14"/>
  <c r="B58" i="14"/>
  <c r="B57" i="14"/>
  <c r="B56" i="14"/>
  <c r="B51" i="14"/>
  <c r="B50" i="14"/>
  <c r="B49" i="14"/>
  <c r="B48" i="14"/>
  <c r="C43" i="14"/>
  <c r="B43" i="14"/>
  <c r="B42" i="14"/>
  <c r="A41" i="14"/>
  <c r="A40" i="14"/>
  <c r="A39" i="14"/>
  <c r="A38" i="14"/>
  <c r="B37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3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29" i="14"/>
  <c r="B28" i="14"/>
  <c r="C26" i="14"/>
  <c r="D26" i="14" s="1"/>
  <c r="E26" i="14" s="1"/>
  <c r="F26" i="14" s="1"/>
  <c r="G26" i="14" s="1"/>
  <c r="H26" i="14" s="1"/>
  <c r="I26" i="14" s="1"/>
  <c r="J26" i="14" s="1"/>
  <c r="K26" i="14" s="1"/>
  <c r="L26" i="14" s="1"/>
  <c r="M26" i="14" s="1"/>
  <c r="N26" i="14" s="1"/>
  <c r="O26" i="14" s="1"/>
  <c r="P26" i="14" s="1"/>
  <c r="Q26" i="14" s="1"/>
  <c r="R26" i="14" s="1"/>
  <c r="S26" i="14" s="1"/>
  <c r="T26" i="14" s="1"/>
  <c r="B25" i="14"/>
  <c r="C21" i="14"/>
  <c r="D21" i="14" s="1"/>
  <c r="E21" i="14" s="1"/>
  <c r="F21" i="14" s="1"/>
  <c r="G21" i="14" s="1"/>
  <c r="H21" i="14" s="1"/>
  <c r="I21" i="14" s="1"/>
  <c r="J21" i="14" s="1"/>
  <c r="K21" i="14" s="1"/>
  <c r="L21" i="14" s="1"/>
  <c r="M21" i="14" s="1"/>
  <c r="N21" i="14" s="1"/>
  <c r="O21" i="14" s="1"/>
  <c r="P21" i="14" s="1"/>
  <c r="Q21" i="14" s="1"/>
  <c r="R21" i="14" s="1"/>
  <c r="S21" i="14" s="1"/>
  <c r="T21" i="14" s="1"/>
  <c r="C20" i="14"/>
  <c r="C58" i="10" s="1"/>
  <c r="B20" i="14"/>
  <c r="C7" i="14"/>
  <c r="C58" i="14" s="1"/>
  <c r="A3" i="14"/>
  <c r="B103" i="13"/>
  <c r="B100" i="13"/>
  <c r="B99" i="13"/>
  <c r="B95" i="13"/>
  <c r="B93" i="13"/>
  <c r="C90" i="13"/>
  <c r="B90" i="13"/>
  <c r="D89" i="13"/>
  <c r="E89" i="13" s="1"/>
  <c r="F89" i="13" s="1"/>
  <c r="G89" i="13" s="1"/>
  <c r="H89" i="13" s="1"/>
  <c r="B89" i="13"/>
  <c r="B88" i="13"/>
  <c r="B87" i="13"/>
  <c r="C78" i="13"/>
  <c r="B78" i="13"/>
  <c r="B76" i="13"/>
  <c r="B75" i="13"/>
  <c r="B74" i="13"/>
  <c r="B73" i="13"/>
  <c r="B68" i="13"/>
  <c r="C66" i="13"/>
  <c r="B66" i="13"/>
  <c r="D65" i="13"/>
  <c r="E65" i="13" s="1"/>
  <c r="F65" i="13" s="1"/>
  <c r="G65" i="13" s="1"/>
  <c r="H65" i="13" s="1"/>
  <c r="B65" i="13"/>
  <c r="D62" i="13"/>
  <c r="E62" i="13" s="1"/>
  <c r="F62" i="13" s="1"/>
  <c r="G62" i="13" s="1"/>
  <c r="H62" i="13" s="1"/>
  <c r="B62" i="13"/>
  <c r="D61" i="13"/>
  <c r="B61" i="13"/>
  <c r="C58" i="13"/>
  <c r="B58" i="13"/>
  <c r="D57" i="13"/>
  <c r="E57" i="13" s="1"/>
  <c r="F57" i="13" s="1"/>
  <c r="G57" i="13" s="1"/>
  <c r="H57" i="13" s="1"/>
  <c r="B57" i="13"/>
  <c r="D56" i="13"/>
  <c r="E56" i="13" s="1"/>
  <c r="F56" i="13" s="1"/>
  <c r="G56" i="13" s="1"/>
  <c r="H56" i="13" s="1"/>
  <c r="B56" i="13"/>
  <c r="B47" i="13"/>
  <c r="B43" i="13"/>
  <c r="B42" i="13"/>
  <c r="B41" i="13"/>
  <c r="B40" i="13"/>
  <c r="B30" i="13"/>
  <c r="B29" i="13"/>
  <c r="A29" i="13"/>
  <c r="A42" i="10" s="1"/>
  <c r="B28" i="13"/>
  <c r="A28" i="13"/>
  <c r="A41" i="10" s="1"/>
  <c r="B27" i="13"/>
  <c r="A40" i="10"/>
  <c r="B26" i="13"/>
  <c r="A39" i="10"/>
  <c r="B25" i="13"/>
  <c r="A38" i="10"/>
  <c r="B24" i="13"/>
  <c r="A37" i="10"/>
  <c r="B23" i="13"/>
  <c r="C7" i="13"/>
  <c r="A3" i="13"/>
  <c r="B39" i="11"/>
  <c r="B28" i="11"/>
  <c r="C7" i="11"/>
  <c r="A3" i="11"/>
  <c r="B113" i="10"/>
  <c r="B112" i="10"/>
  <c r="B111" i="10"/>
  <c r="B110" i="10"/>
  <c r="B109" i="10"/>
  <c r="B108" i="10"/>
  <c r="S107" i="10"/>
  <c r="R107" i="10"/>
  <c r="P107" i="10"/>
  <c r="O107" i="10"/>
  <c r="N107" i="10"/>
  <c r="M107" i="10"/>
  <c r="L107" i="10"/>
  <c r="K107" i="10"/>
  <c r="J107" i="10"/>
  <c r="I107" i="10"/>
  <c r="H107" i="10"/>
  <c r="B107" i="10"/>
  <c r="B106" i="10"/>
  <c r="B102" i="10"/>
  <c r="B101" i="10"/>
  <c r="B100" i="10"/>
  <c r="B99" i="10"/>
  <c r="B98" i="10"/>
  <c r="B97" i="10"/>
  <c r="B96" i="10"/>
  <c r="B95" i="10"/>
  <c r="B94" i="10"/>
  <c r="B93" i="10"/>
  <c r="B91" i="10"/>
  <c r="B90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3" i="10"/>
  <c r="B62" i="10"/>
  <c r="B61" i="10"/>
  <c r="B60" i="10"/>
  <c r="B59" i="10"/>
  <c r="B58" i="10"/>
  <c r="B52" i="10"/>
  <c r="B51" i="10"/>
  <c r="B50" i="10"/>
  <c r="B47" i="10"/>
  <c r="B46" i="10"/>
  <c r="B43" i="10"/>
  <c r="B42" i="10"/>
  <c r="B41" i="10"/>
  <c r="B40" i="10"/>
  <c r="B39" i="10"/>
  <c r="B38" i="10"/>
  <c r="B37" i="10"/>
  <c r="B35" i="10"/>
  <c r="B32" i="10"/>
  <c r="B31" i="10"/>
  <c r="B30" i="10"/>
  <c r="B29" i="10"/>
  <c r="B26" i="10"/>
  <c r="B25" i="10"/>
  <c r="B24" i="10"/>
  <c r="D6" i="8"/>
  <c r="A3" i="10"/>
  <c r="A1" i="10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A15" i="8"/>
  <c r="A14" i="8"/>
  <c r="A13" i="8"/>
  <c r="E7" i="8"/>
  <c r="D7" i="8"/>
  <c r="A3" i="8"/>
  <c r="A1" i="8"/>
  <c r="B19" i="6"/>
  <c r="B43" i="4"/>
  <c r="B29" i="4"/>
  <c r="B11" i="4"/>
  <c r="A3" i="3"/>
  <c r="M55" i="13" l="1"/>
  <c r="N55" i="13" s="1"/>
  <c r="O55" i="13" s="1"/>
  <c r="P55" i="13" s="1"/>
  <c r="Q55" i="13" s="1"/>
  <c r="R55" i="13" s="1"/>
  <c r="S55" i="13" s="1"/>
  <c r="T55" i="13" s="1"/>
  <c r="U55" i="13" s="1"/>
  <c r="V55" i="13" s="1"/>
  <c r="W55" i="13" s="1"/>
  <c r="X55" i="13" s="1"/>
  <c r="Y55" i="13" s="1"/>
  <c r="Z55" i="13" s="1"/>
  <c r="AA55" i="13" s="1"/>
  <c r="M63" i="13"/>
  <c r="M53" i="13"/>
  <c r="I56" i="13"/>
  <c r="I89" i="13"/>
  <c r="I62" i="13"/>
  <c r="I57" i="13"/>
  <c r="I65" i="13"/>
  <c r="C68" i="13"/>
  <c r="C20" i="11"/>
  <c r="C17" i="10"/>
  <c r="C26" i="11"/>
  <c r="C17" i="13"/>
  <c r="B40" i="16"/>
  <c r="C6" i="14"/>
  <c r="C6" i="13"/>
  <c r="C6" i="11"/>
  <c r="D7" i="14"/>
  <c r="D58" i="14" s="1"/>
  <c r="D7" i="13"/>
  <c r="D7" i="11"/>
  <c r="D58" i="13"/>
  <c r="D66" i="13"/>
  <c r="E61" i="13"/>
  <c r="D78" i="13"/>
  <c r="D90" i="13"/>
  <c r="C60" i="14"/>
  <c r="C59" i="14"/>
  <c r="C57" i="14"/>
  <c r="D20" i="14"/>
  <c r="D58" i="10" s="1"/>
  <c r="B38" i="15"/>
  <c r="B29" i="15"/>
  <c r="B57" i="16"/>
  <c r="B41" i="16"/>
  <c r="J56" i="13" l="1"/>
  <c r="J89" i="13"/>
  <c r="J65" i="13"/>
  <c r="J57" i="13"/>
  <c r="N63" i="13"/>
  <c r="J62" i="13"/>
  <c r="N53" i="13"/>
  <c r="C20" i="10"/>
  <c r="C27" i="10"/>
  <c r="D68" i="13"/>
  <c r="C20" i="13"/>
  <c r="D14" i="11"/>
  <c r="C34" i="13"/>
  <c r="C30" i="10" s="1"/>
  <c r="C45" i="13"/>
  <c r="C47" i="13" s="1"/>
  <c r="C18" i="11"/>
  <c r="C28" i="11"/>
  <c r="C26" i="10"/>
  <c r="D12" i="11"/>
  <c r="D32" i="8"/>
  <c r="B46" i="16"/>
  <c r="B42" i="16"/>
  <c r="C34" i="15"/>
  <c r="C35" i="15"/>
  <c r="C36" i="15"/>
  <c r="C37" i="15"/>
  <c r="B30" i="15"/>
  <c r="C38" i="15"/>
  <c r="E20" i="14"/>
  <c r="E58" i="10" s="1"/>
  <c r="D48" i="14"/>
  <c r="C38" i="14"/>
  <c r="C40" i="14"/>
  <c r="C41" i="14"/>
  <c r="E90" i="13"/>
  <c r="E78" i="13"/>
  <c r="E66" i="13"/>
  <c r="F61" i="13"/>
  <c r="E58" i="13"/>
  <c r="E7" i="14"/>
  <c r="E58" i="14" s="1"/>
  <c r="E7" i="13"/>
  <c r="E7" i="11"/>
  <c r="F7" i="8"/>
  <c r="D60" i="14"/>
  <c r="D59" i="14"/>
  <c r="D57" i="14"/>
  <c r="D6" i="14"/>
  <c r="D6" i="13"/>
  <c r="D6" i="11"/>
  <c r="E6" i="8"/>
  <c r="K89" i="13" l="1"/>
  <c r="K57" i="13"/>
  <c r="L57" i="13" s="1"/>
  <c r="M57" i="13" s="1"/>
  <c r="N57" i="13" s="1"/>
  <c r="O57" i="13" s="1"/>
  <c r="P57" i="13" s="1"/>
  <c r="Q57" i="13" s="1"/>
  <c r="R57" i="13" s="1"/>
  <c r="S57" i="13" s="1"/>
  <c r="T57" i="13" s="1"/>
  <c r="U57" i="13" s="1"/>
  <c r="V57" i="13" s="1"/>
  <c r="W57" i="13" s="1"/>
  <c r="X57" i="13" s="1"/>
  <c r="Y57" i="13" s="1"/>
  <c r="Z57" i="13" s="1"/>
  <c r="AA57" i="13" s="1"/>
  <c r="O53" i="13"/>
  <c r="K65" i="13"/>
  <c r="K62" i="13"/>
  <c r="O63" i="13"/>
  <c r="K56" i="13"/>
  <c r="D14" i="10"/>
  <c r="C35" i="13"/>
  <c r="C31" i="10" s="1"/>
  <c r="C29" i="10" s="1"/>
  <c r="C25" i="14"/>
  <c r="C60" i="10" s="1"/>
  <c r="D14" i="13"/>
  <c r="D17" i="11"/>
  <c r="D17" i="10" s="1"/>
  <c r="D12" i="10"/>
  <c r="D12" i="13"/>
  <c r="C19" i="11"/>
  <c r="C19" i="10" s="1"/>
  <c r="C18" i="10"/>
  <c r="C37" i="13"/>
  <c r="C29" i="14" s="1"/>
  <c r="C33" i="14" s="1"/>
  <c r="C74" i="10" s="1"/>
  <c r="C77" i="10" s="1"/>
  <c r="C18" i="13"/>
  <c r="E68" i="13"/>
  <c r="D15" i="11"/>
  <c r="D29" i="8"/>
  <c r="D40" i="8" s="1"/>
  <c r="D28" i="8"/>
  <c r="D39" i="8" s="1"/>
  <c r="E6" i="14"/>
  <c r="E6" i="13"/>
  <c r="E6" i="11"/>
  <c r="F6" i="8"/>
  <c r="F7" i="14"/>
  <c r="F58" i="14" s="1"/>
  <c r="F7" i="13"/>
  <c r="F7" i="11"/>
  <c r="G7" i="8"/>
  <c r="E70" i="14"/>
  <c r="D70" i="14"/>
  <c r="D41" i="14" s="1"/>
  <c r="E69" i="14"/>
  <c r="D69" i="14"/>
  <c r="D40" i="14" s="1"/>
  <c r="E67" i="14"/>
  <c r="D67" i="14"/>
  <c r="E60" i="14"/>
  <c r="E59" i="14"/>
  <c r="E57" i="14"/>
  <c r="F58" i="13"/>
  <c r="F66" i="13"/>
  <c r="G61" i="13"/>
  <c r="F78" i="13"/>
  <c r="F90" i="13"/>
  <c r="F20" i="14"/>
  <c r="F58" i="10" s="1"/>
  <c r="E48" i="14"/>
  <c r="B58" i="16"/>
  <c r="B47" i="16"/>
  <c r="L62" i="13" l="1"/>
  <c r="P63" i="13"/>
  <c r="Q63" i="13" s="1"/>
  <c r="R63" i="13" s="1"/>
  <c r="S63" i="13" s="1"/>
  <c r="P53" i="13"/>
  <c r="Q53" i="13" s="1"/>
  <c r="R53" i="13" s="1"/>
  <c r="S53" i="13" s="1"/>
  <c r="T53" i="13" s="1"/>
  <c r="U53" i="13" s="1"/>
  <c r="L65" i="13"/>
  <c r="L89" i="13"/>
  <c r="L56" i="13"/>
  <c r="C25" i="10"/>
  <c r="C24" i="10" s="1"/>
  <c r="C32" i="10" s="1"/>
  <c r="C43" i="10" s="1"/>
  <c r="C47" i="10" s="1"/>
  <c r="D26" i="11"/>
  <c r="D17" i="13"/>
  <c r="D34" i="13" s="1"/>
  <c r="D30" i="10" s="1"/>
  <c r="D15" i="10"/>
  <c r="D15" i="13"/>
  <c r="C19" i="13"/>
  <c r="F68" i="13"/>
  <c r="D25" i="11"/>
  <c r="D14" i="8"/>
  <c r="E28" i="8"/>
  <c r="E39" i="8" s="1"/>
  <c r="B59" i="16"/>
  <c r="B49" i="16"/>
  <c r="C58" i="16"/>
  <c r="G20" i="14"/>
  <c r="G58" i="10" s="1"/>
  <c r="F48" i="14"/>
  <c r="G90" i="13"/>
  <c r="G78" i="13"/>
  <c r="G66" i="13"/>
  <c r="H61" i="13"/>
  <c r="G58" i="13"/>
  <c r="E38" i="14"/>
  <c r="E40" i="14"/>
  <c r="E41" i="14"/>
  <c r="D38" i="14"/>
  <c r="G7" i="14"/>
  <c r="G58" i="14" s="1"/>
  <c r="G7" i="13"/>
  <c r="G7" i="11"/>
  <c r="H7" i="8"/>
  <c r="F70" i="14"/>
  <c r="F69" i="14"/>
  <c r="F67" i="14"/>
  <c r="F60" i="14"/>
  <c r="F59" i="14"/>
  <c r="F57" i="14"/>
  <c r="F6" i="14"/>
  <c r="F6" i="13"/>
  <c r="F6" i="11"/>
  <c r="G6" i="8"/>
  <c r="D13" i="8" l="1"/>
  <c r="M65" i="13"/>
  <c r="N65" i="13" s="1"/>
  <c r="O65" i="13" s="1"/>
  <c r="P65" i="13" s="1"/>
  <c r="Q65" i="13" s="1"/>
  <c r="R65" i="13" s="1"/>
  <c r="S65" i="13" s="1"/>
  <c r="T65" i="13" s="1"/>
  <c r="U65" i="13" s="1"/>
  <c r="V53" i="13"/>
  <c r="M89" i="13"/>
  <c r="M56" i="13"/>
  <c r="M62" i="13"/>
  <c r="C33" i="10"/>
  <c r="C44" i="10"/>
  <c r="C48" i="10"/>
  <c r="C52" i="10"/>
  <c r="C80" i="10" s="1"/>
  <c r="C106" i="10"/>
  <c r="C108" i="10" s="1"/>
  <c r="C110" i="10" s="1"/>
  <c r="G68" i="13"/>
  <c r="D45" i="13"/>
  <c r="F28" i="8"/>
  <c r="F39" i="8" s="1"/>
  <c r="C39" i="14"/>
  <c r="C37" i="14" s="1"/>
  <c r="C65" i="10" s="1"/>
  <c r="C69" i="10" s="1"/>
  <c r="C61" i="14"/>
  <c r="C98" i="10" s="1"/>
  <c r="D68" i="14"/>
  <c r="G6" i="14"/>
  <c r="G6" i="13"/>
  <c r="G6" i="11"/>
  <c r="H6" i="10"/>
  <c r="H6" i="8"/>
  <c r="F38" i="14"/>
  <c r="F40" i="14"/>
  <c r="F41" i="14"/>
  <c r="H7" i="14"/>
  <c r="H58" i="14" s="1"/>
  <c r="H7" i="13"/>
  <c r="H7" i="11"/>
  <c r="I7" i="10"/>
  <c r="I7" i="8"/>
  <c r="G70" i="14"/>
  <c r="G69" i="14"/>
  <c r="G67" i="14"/>
  <c r="G60" i="14"/>
  <c r="G59" i="14"/>
  <c r="G57" i="14"/>
  <c r="H58" i="13"/>
  <c r="H66" i="13"/>
  <c r="I61" i="13"/>
  <c r="H78" i="13"/>
  <c r="H26" i="13" s="1"/>
  <c r="H90" i="13"/>
  <c r="H28" i="13" s="1"/>
  <c r="H20" i="14"/>
  <c r="G48" i="14"/>
  <c r="C53" i="16"/>
  <c r="C54" i="16"/>
  <c r="C55" i="16"/>
  <c r="C56" i="16"/>
  <c r="C57" i="16"/>
  <c r="U66" i="13" l="1"/>
  <c r="V65" i="13"/>
  <c r="N56" i="13"/>
  <c r="N62" i="13"/>
  <c r="N89" i="13"/>
  <c r="W53" i="13"/>
  <c r="H41" i="10"/>
  <c r="H39" i="10"/>
  <c r="D81" i="10"/>
  <c r="C82" i="10"/>
  <c r="C84" i="10" s="1"/>
  <c r="H68" i="13"/>
  <c r="H25" i="13" s="1"/>
  <c r="C95" i="10"/>
  <c r="C53" i="10"/>
  <c r="C112" i="10"/>
  <c r="C113" i="10" s="1"/>
  <c r="E32" i="8"/>
  <c r="G28" i="8"/>
  <c r="G39" i="8" s="1"/>
  <c r="I20" i="14"/>
  <c r="H58" i="10"/>
  <c r="H48" i="14"/>
  <c r="I90" i="13"/>
  <c r="I28" i="13" s="1"/>
  <c r="I78" i="13"/>
  <c r="I26" i="13" s="1"/>
  <c r="I66" i="13"/>
  <c r="J61" i="13"/>
  <c r="I58" i="13"/>
  <c r="G38" i="14"/>
  <c r="G40" i="14"/>
  <c r="G41" i="14"/>
  <c r="I7" i="14"/>
  <c r="I58" i="14" s="1"/>
  <c r="I7" i="13"/>
  <c r="I7" i="11"/>
  <c r="J7" i="10"/>
  <c r="J7" i="8"/>
  <c r="H70" i="14"/>
  <c r="H41" i="14" s="1"/>
  <c r="H69" i="14"/>
  <c r="H67" i="14"/>
  <c r="H59" i="14"/>
  <c r="H57" i="14"/>
  <c r="H6" i="14"/>
  <c r="H6" i="13"/>
  <c r="H6" i="11"/>
  <c r="H93" i="10"/>
  <c r="H91" i="10" s="1"/>
  <c r="I6" i="10"/>
  <c r="I6" i="8"/>
  <c r="D71" i="14"/>
  <c r="D46" i="10" s="1"/>
  <c r="D43" i="14"/>
  <c r="C42" i="14"/>
  <c r="X53" i="13" l="1"/>
  <c r="O56" i="13"/>
  <c r="P56" i="13" s="1"/>
  <c r="Q56" i="13" s="1"/>
  <c r="R56" i="13" s="1"/>
  <c r="S56" i="13" s="1"/>
  <c r="T56" i="13" s="1"/>
  <c r="U56" i="13" s="1"/>
  <c r="I39" i="10"/>
  <c r="I41" i="10"/>
  <c r="O89" i="13"/>
  <c r="W65" i="13"/>
  <c r="V66" i="13"/>
  <c r="O62" i="13"/>
  <c r="H38" i="10"/>
  <c r="C94" i="10"/>
  <c r="C101" i="10" s="1"/>
  <c r="D90" i="10" s="1"/>
  <c r="H73" i="10"/>
  <c r="H99" i="10" s="1"/>
  <c r="H79" i="10"/>
  <c r="C59" i="10"/>
  <c r="C63" i="10" s="1"/>
  <c r="C71" i="10" s="1"/>
  <c r="C85" i="10" s="1"/>
  <c r="D96" i="10"/>
  <c r="D109" i="10"/>
  <c r="I68" i="13"/>
  <c r="I25" i="13" s="1"/>
  <c r="E68" i="14"/>
  <c r="E43" i="14" s="1"/>
  <c r="E29" i="8"/>
  <c r="E40" i="8" s="1"/>
  <c r="D61" i="14"/>
  <c r="D39" i="14"/>
  <c r="D37" i="14" s="1"/>
  <c r="D65" i="10" s="1"/>
  <c r="D69" i="10" s="1"/>
  <c r="E12" i="11"/>
  <c r="E15" i="11"/>
  <c r="H28" i="8"/>
  <c r="H39" i="8" s="1"/>
  <c r="D16" i="8"/>
  <c r="I6" i="14"/>
  <c r="I6" i="13"/>
  <c r="I6" i="11"/>
  <c r="I93" i="10"/>
  <c r="I91" i="10" s="1"/>
  <c r="J6" i="10"/>
  <c r="J6" i="8"/>
  <c r="H38" i="14"/>
  <c r="H40" i="14"/>
  <c r="J7" i="14"/>
  <c r="J58" i="14" s="1"/>
  <c r="J7" i="13"/>
  <c r="J7" i="11"/>
  <c r="K7" i="10"/>
  <c r="K7" i="8"/>
  <c r="I70" i="14"/>
  <c r="I69" i="14"/>
  <c r="I67" i="14"/>
  <c r="I60" i="14"/>
  <c r="I59" i="14"/>
  <c r="I57" i="14"/>
  <c r="J58" i="13"/>
  <c r="J66" i="13"/>
  <c r="K61" i="13"/>
  <c r="J78" i="13"/>
  <c r="J26" i="13" s="1"/>
  <c r="J90" i="13"/>
  <c r="J28" i="13" s="1"/>
  <c r="J20" i="14"/>
  <c r="I58" i="10"/>
  <c r="I48" i="14"/>
  <c r="I73" i="10" l="1"/>
  <c r="V56" i="13"/>
  <c r="U58" i="13"/>
  <c r="U68" i="13" s="1"/>
  <c r="U25" i="13" s="1"/>
  <c r="AD58" i="13"/>
  <c r="AC58" i="13"/>
  <c r="P62" i="13"/>
  <c r="Q62" i="13" s="1"/>
  <c r="R62" i="13" s="1"/>
  <c r="S62" i="13" s="1"/>
  <c r="I38" i="10"/>
  <c r="X65" i="13"/>
  <c r="W66" i="13"/>
  <c r="P89" i="13"/>
  <c r="Q89" i="13" s="1"/>
  <c r="R89" i="13" s="1"/>
  <c r="S89" i="13" s="1"/>
  <c r="T89" i="13" s="1"/>
  <c r="U89" i="13" s="1"/>
  <c r="Y53" i="13"/>
  <c r="J41" i="10"/>
  <c r="J39" i="10"/>
  <c r="H50" i="10"/>
  <c r="I79" i="10"/>
  <c r="E15" i="10"/>
  <c r="E15" i="13"/>
  <c r="E12" i="10"/>
  <c r="E12" i="13"/>
  <c r="D42" i="14"/>
  <c r="D98" i="10"/>
  <c r="J68" i="13"/>
  <c r="J25" i="13" s="1"/>
  <c r="E25" i="11"/>
  <c r="E71" i="14"/>
  <c r="E46" i="10" s="1"/>
  <c r="I28" i="8"/>
  <c r="I39" i="8" s="1"/>
  <c r="K20" i="14"/>
  <c r="J58" i="10"/>
  <c r="J48" i="14"/>
  <c r="K90" i="13"/>
  <c r="K28" i="13" s="1"/>
  <c r="K41" i="10" s="1"/>
  <c r="K78" i="13"/>
  <c r="K26" i="13" s="1"/>
  <c r="K66" i="13"/>
  <c r="L61" i="13"/>
  <c r="K58" i="13"/>
  <c r="I38" i="14"/>
  <c r="I40" i="14"/>
  <c r="I41" i="14"/>
  <c r="K7" i="14"/>
  <c r="K58" i="14" s="1"/>
  <c r="K7" i="13"/>
  <c r="K7" i="11"/>
  <c r="L7" i="10"/>
  <c r="L7" i="8"/>
  <c r="J70" i="14"/>
  <c r="J69" i="14"/>
  <c r="J67" i="14"/>
  <c r="J60" i="14"/>
  <c r="J59" i="14"/>
  <c r="J57" i="14"/>
  <c r="I99" i="10"/>
  <c r="I50" i="10"/>
  <c r="J6" i="14"/>
  <c r="J6" i="13"/>
  <c r="J6" i="11"/>
  <c r="J93" i="10"/>
  <c r="J91" i="10" s="1"/>
  <c r="J73" i="10" s="1"/>
  <c r="K6" i="10"/>
  <c r="K6" i="8"/>
  <c r="W56" i="13" l="1"/>
  <c r="V58" i="13"/>
  <c r="V68" i="13" s="1"/>
  <c r="V25" i="13" s="1"/>
  <c r="AE58" i="13"/>
  <c r="Z53" i="13"/>
  <c r="AA53" i="13" s="1"/>
  <c r="K39" i="10"/>
  <c r="J38" i="10"/>
  <c r="AC90" i="13"/>
  <c r="X66" i="13"/>
  <c r="Y65" i="13"/>
  <c r="V89" i="13"/>
  <c r="U90" i="13"/>
  <c r="U28" i="13" s="1"/>
  <c r="AD90" i="13"/>
  <c r="J79" i="10"/>
  <c r="E96" i="10"/>
  <c r="E109" i="10"/>
  <c r="D112" i="10"/>
  <c r="D103" i="10"/>
  <c r="K68" i="13"/>
  <c r="K25" i="13" s="1"/>
  <c r="E16" i="8"/>
  <c r="J28" i="8"/>
  <c r="J39" i="8" s="1"/>
  <c r="K6" i="14"/>
  <c r="K6" i="13"/>
  <c r="K6" i="11"/>
  <c r="K93" i="10"/>
  <c r="K91" i="10" s="1"/>
  <c r="K73" i="10" s="1"/>
  <c r="L6" i="10"/>
  <c r="L6" i="8"/>
  <c r="J99" i="10"/>
  <c r="J50" i="10"/>
  <c r="J38" i="14"/>
  <c r="J40" i="14"/>
  <c r="J41" i="14"/>
  <c r="L7" i="14"/>
  <c r="L58" i="14" s="1"/>
  <c r="L7" i="13"/>
  <c r="L7" i="11"/>
  <c r="M7" i="10"/>
  <c r="N7" i="10" s="1"/>
  <c r="M7" i="8"/>
  <c r="K70" i="14"/>
  <c r="K69" i="14"/>
  <c r="K67" i="14"/>
  <c r="K60" i="14"/>
  <c r="K59" i="14"/>
  <c r="K57" i="14"/>
  <c r="L58" i="13"/>
  <c r="L66" i="13"/>
  <c r="M61" i="13"/>
  <c r="L78" i="13"/>
  <c r="L26" i="13" s="1"/>
  <c r="L90" i="13"/>
  <c r="L28" i="13" s="1"/>
  <c r="L20" i="14"/>
  <c r="K58" i="10"/>
  <c r="K48" i="14"/>
  <c r="L41" i="10" l="1"/>
  <c r="K38" i="10"/>
  <c r="V90" i="13"/>
  <c r="V28" i="13" s="1"/>
  <c r="W89" i="13"/>
  <c r="AE90" i="13"/>
  <c r="X56" i="13"/>
  <c r="W58" i="13"/>
  <c r="W68" i="13" s="1"/>
  <c r="W25" i="13" s="1"/>
  <c r="L39" i="10"/>
  <c r="Z65" i="13"/>
  <c r="Y66" i="13"/>
  <c r="N7" i="13"/>
  <c r="N7" i="11"/>
  <c r="K79" i="10"/>
  <c r="L68" i="13"/>
  <c r="L25" i="13" s="1"/>
  <c r="E45" i="13"/>
  <c r="K28" i="8"/>
  <c r="K39" i="8" s="1"/>
  <c r="M20" i="14"/>
  <c r="L58" i="10"/>
  <c r="L48" i="14"/>
  <c r="M90" i="13"/>
  <c r="M28" i="13" s="1"/>
  <c r="M41" i="10" s="1"/>
  <c r="M78" i="13"/>
  <c r="M26" i="13" s="1"/>
  <c r="M39" i="10" s="1"/>
  <c r="M66" i="13"/>
  <c r="N61" i="13"/>
  <c r="M58" i="13"/>
  <c r="K38" i="14"/>
  <c r="K40" i="14"/>
  <c r="K41" i="14"/>
  <c r="M7" i="14"/>
  <c r="M58" i="14" s="1"/>
  <c r="M7" i="13"/>
  <c r="M7" i="11"/>
  <c r="O7" i="10"/>
  <c r="N7" i="8"/>
  <c r="L70" i="14"/>
  <c r="L69" i="14"/>
  <c r="L67" i="14"/>
  <c r="L60" i="14"/>
  <c r="L59" i="14"/>
  <c r="L57" i="14"/>
  <c r="K99" i="10"/>
  <c r="K50" i="10"/>
  <c r="L6" i="14"/>
  <c r="L6" i="13"/>
  <c r="L6" i="11"/>
  <c r="L93" i="10"/>
  <c r="L91" i="10" s="1"/>
  <c r="L73" i="10" s="1"/>
  <c r="M6" i="10"/>
  <c r="N6" i="10" s="1"/>
  <c r="M6" i="8"/>
  <c r="Z66" i="13" l="1"/>
  <c r="AA65" i="13"/>
  <c r="AA66" i="13" s="1"/>
  <c r="W90" i="13"/>
  <c r="W28" i="13" s="1"/>
  <c r="X89" i="13"/>
  <c r="Y56" i="13"/>
  <c r="X58" i="13"/>
  <c r="X68" i="13" s="1"/>
  <c r="X25" i="13" s="1"/>
  <c r="N6" i="13"/>
  <c r="N6" i="11"/>
  <c r="L38" i="10"/>
  <c r="L79" i="10"/>
  <c r="M68" i="13"/>
  <c r="M25" i="13" s="1"/>
  <c r="M38" i="10" s="1"/>
  <c r="F68" i="14"/>
  <c r="E61" i="14"/>
  <c r="E98" i="10" s="1"/>
  <c r="E39" i="14"/>
  <c r="E37" i="14" s="1"/>
  <c r="E65" i="10" s="1"/>
  <c r="E69" i="10" s="1"/>
  <c r="L28" i="8"/>
  <c r="L39" i="8" s="1"/>
  <c r="M6" i="14"/>
  <c r="M6" i="13"/>
  <c r="M6" i="11"/>
  <c r="M93" i="10"/>
  <c r="M91" i="10" s="1"/>
  <c r="M73" i="10" s="1"/>
  <c r="N6" i="8"/>
  <c r="L99" i="10"/>
  <c r="L50" i="10"/>
  <c r="L38" i="14"/>
  <c r="L40" i="14"/>
  <c r="L41" i="14"/>
  <c r="N7" i="14"/>
  <c r="N58" i="14" s="1"/>
  <c r="O7" i="8"/>
  <c r="M70" i="14"/>
  <c r="M69" i="14"/>
  <c r="M67" i="14"/>
  <c r="M60" i="14"/>
  <c r="M59" i="14"/>
  <c r="M57" i="14"/>
  <c r="N58" i="13"/>
  <c r="N66" i="13"/>
  <c r="O61" i="13"/>
  <c r="N78" i="13"/>
  <c r="N26" i="13" s="1"/>
  <c r="N90" i="13"/>
  <c r="N28" i="13" s="1"/>
  <c r="N41" i="10" s="1"/>
  <c r="N20" i="14"/>
  <c r="M58" i="10"/>
  <c r="M48" i="14"/>
  <c r="X90" i="13" l="1"/>
  <c r="X28" i="13" s="1"/>
  <c r="Y89" i="13"/>
  <c r="Z56" i="13"/>
  <c r="Y58" i="13"/>
  <c r="Y68" i="13" s="1"/>
  <c r="Y25" i="13" s="1"/>
  <c r="N39" i="10"/>
  <c r="M79" i="10"/>
  <c r="E112" i="10"/>
  <c r="E103" i="10"/>
  <c r="N68" i="13"/>
  <c r="N25" i="13" s="1"/>
  <c r="E42" i="14"/>
  <c r="F71" i="14"/>
  <c r="F46" i="10" s="1"/>
  <c r="F43" i="14"/>
  <c r="M28" i="8"/>
  <c r="M39" i="8" s="1"/>
  <c r="O20" i="14"/>
  <c r="N58" i="10"/>
  <c r="N48" i="14"/>
  <c r="O90" i="13"/>
  <c r="O28" i="13" s="1"/>
  <c r="O41" i="10" s="1"/>
  <c r="O78" i="13"/>
  <c r="O26" i="13" s="1"/>
  <c r="AD26" i="13" s="1"/>
  <c r="O66" i="13"/>
  <c r="P61" i="13"/>
  <c r="O58" i="13"/>
  <c r="M38" i="14"/>
  <c r="M40" i="14"/>
  <c r="M41" i="14"/>
  <c r="O7" i="14"/>
  <c r="O58" i="14" s="1"/>
  <c r="O7" i="13"/>
  <c r="O7" i="11"/>
  <c r="P7" i="10"/>
  <c r="P7" i="8"/>
  <c r="N70" i="14"/>
  <c r="N69" i="14"/>
  <c r="N67" i="14"/>
  <c r="N60" i="14"/>
  <c r="N59" i="14"/>
  <c r="N57" i="14"/>
  <c r="M99" i="10"/>
  <c r="M50" i="10"/>
  <c r="N6" i="14"/>
  <c r="N93" i="10"/>
  <c r="N91" i="10" s="1"/>
  <c r="N73" i="10" s="1"/>
  <c r="O6" i="10"/>
  <c r="O6" i="8"/>
  <c r="Z58" i="13" l="1"/>
  <c r="Z68" i="13" s="1"/>
  <c r="Z25" i="13" s="1"/>
  <c r="AA56" i="13"/>
  <c r="AA58" i="13" s="1"/>
  <c r="AA68" i="13" s="1"/>
  <c r="AA25" i="13" s="1"/>
  <c r="O39" i="10"/>
  <c r="N38" i="10"/>
  <c r="Y90" i="13"/>
  <c r="Y28" i="13" s="1"/>
  <c r="Z89" i="13"/>
  <c r="O68" i="13"/>
  <c r="O25" i="13" s="1"/>
  <c r="O38" i="10" s="1"/>
  <c r="N79" i="10"/>
  <c r="F96" i="10"/>
  <c r="F109" i="10"/>
  <c r="F16" i="8"/>
  <c r="N28" i="8"/>
  <c r="N39" i="8" s="1"/>
  <c r="O6" i="14"/>
  <c r="O6" i="13"/>
  <c r="O6" i="11"/>
  <c r="O93" i="10"/>
  <c r="O91" i="10" s="1"/>
  <c r="O73" i="10" s="1"/>
  <c r="P6" i="10"/>
  <c r="P6" i="8"/>
  <c r="N99" i="10"/>
  <c r="N50" i="10"/>
  <c r="N38" i="14"/>
  <c r="N40" i="14"/>
  <c r="N41" i="14"/>
  <c r="P7" i="14"/>
  <c r="P58" i="14" s="1"/>
  <c r="P7" i="13"/>
  <c r="P7" i="11"/>
  <c r="Q7" i="10"/>
  <c r="Q7" i="8"/>
  <c r="O70" i="14"/>
  <c r="O69" i="14"/>
  <c r="O67" i="14"/>
  <c r="O60" i="14"/>
  <c r="O59" i="14"/>
  <c r="O57" i="14"/>
  <c r="P58" i="13"/>
  <c r="P66" i="13"/>
  <c r="Q61" i="13"/>
  <c r="P78" i="13"/>
  <c r="P26" i="13" s="1"/>
  <c r="P90" i="13"/>
  <c r="P28" i="13" s="1"/>
  <c r="P41" i="10" s="1"/>
  <c r="P20" i="14"/>
  <c r="O58" i="10"/>
  <c r="O48" i="14"/>
  <c r="P39" i="10" l="1"/>
  <c r="Z90" i="13"/>
  <c r="Z28" i="13" s="1"/>
  <c r="Z30" i="13" s="1"/>
  <c r="AA89" i="13"/>
  <c r="AA90" i="13" s="1"/>
  <c r="AA30" i="13"/>
  <c r="O79" i="10"/>
  <c r="P68" i="13"/>
  <c r="P25" i="13" s="1"/>
  <c r="P38" i="10" s="1"/>
  <c r="O28" i="8"/>
  <c r="O39" i="8" s="1"/>
  <c r="Q20" i="14"/>
  <c r="P58" i="10"/>
  <c r="P48" i="14"/>
  <c r="Q90" i="13"/>
  <c r="Q28" i="13" s="1"/>
  <c r="Q41" i="10" s="1"/>
  <c r="Q78" i="13"/>
  <c r="Q26" i="13" s="1"/>
  <c r="Q39" i="10" s="1"/>
  <c r="Q66" i="13"/>
  <c r="R61" i="13"/>
  <c r="Q58" i="13"/>
  <c r="O38" i="14"/>
  <c r="O40" i="14"/>
  <c r="O41" i="14"/>
  <c r="Q7" i="14"/>
  <c r="Q58" i="14" s="1"/>
  <c r="Q7" i="13"/>
  <c r="Q7" i="11"/>
  <c r="R7" i="10"/>
  <c r="R7" i="8"/>
  <c r="P70" i="14"/>
  <c r="P69" i="14"/>
  <c r="P67" i="14"/>
  <c r="P60" i="14"/>
  <c r="P59" i="14"/>
  <c r="P57" i="14"/>
  <c r="O99" i="10"/>
  <c r="O50" i="10"/>
  <c r="P6" i="14"/>
  <c r="P6" i="13"/>
  <c r="P6" i="11"/>
  <c r="P93" i="10"/>
  <c r="P91" i="10" s="1"/>
  <c r="P73" i="10" s="1"/>
  <c r="Q6" i="10"/>
  <c r="Q6" i="8"/>
  <c r="P79" i="10" l="1"/>
  <c r="Q68" i="13"/>
  <c r="Q25" i="13" s="1"/>
  <c r="Q38" i="10" s="1"/>
  <c r="P28" i="8"/>
  <c r="P39" i="8" s="1"/>
  <c r="Q6" i="14"/>
  <c r="Q6" i="13"/>
  <c r="Q6" i="11"/>
  <c r="Q93" i="10"/>
  <c r="Q91" i="10" s="1"/>
  <c r="Q73" i="10" s="1"/>
  <c r="Q50" i="10" s="1"/>
  <c r="R6" i="10"/>
  <c r="R6" i="8"/>
  <c r="P99" i="10"/>
  <c r="P50" i="10"/>
  <c r="P38" i="14"/>
  <c r="P40" i="14"/>
  <c r="P41" i="14"/>
  <c r="R7" i="14"/>
  <c r="R58" i="14" s="1"/>
  <c r="R7" i="13"/>
  <c r="R7" i="11"/>
  <c r="S7" i="10"/>
  <c r="T7" i="10" s="1"/>
  <c r="U7" i="10" s="1"/>
  <c r="S7" i="8"/>
  <c r="Q70" i="14"/>
  <c r="Q69" i="14"/>
  <c r="Q67" i="14"/>
  <c r="Q60" i="14"/>
  <c r="Q59" i="14"/>
  <c r="Q57" i="14"/>
  <c r="R58" i="13"/>
  <c r="R66" i="13"/>
  <c r="R68" i="13" s="1"/>
  <c r="R25" i="13" s="1"/>
  <c r="R38" i="10" s="1"/>
  <c r="S61" i="13"/>
  <c r="R78" i="13"/>
  <c r="R26" i="13" s="1"/>
  <c r="R39" i="10" s="1"/>
  <c r="R90" i="13"/>
  <c r="R28" i="13" s="1"/>
  <c r="R41" i="10" s="1"/>
  <c r="R20" i="14"/>
  <c r="Q58" i="10"/>
  <c r="Q48" i="14"/>
  <c r="U7" i="11" l="1"/>
  <c r="U7" i="13"/>
  <c r="V7" i="10"/>
  <c r="Q79" i="10"/>
  <c r="Q28" i="8"/>
  <c r="Q39" i="8" s="1"/>
  <c r="S20" i="14"/>
  <c r="R58" i="10"/>
  <c r="R48" i="14"/>
  <c r="S90" i="13"/>
  <c r="S28" i="13" s="1"/>
  <c r="S41" i="10" s="1"/>
  <c r="S78" i="13"/>
  <c r="S26" i="13" s="1"/>
  <c r="S39" i="10" s="1"/>
  <c r="S66" i="13"/>
  <c r="S58" i="13"/>
  <c r="Q38" i="14"/>
  <c r="Q40" i="14"/>
  <c r="Q41" i="14"/>
  <c r="S7" i="14"/>
  <c r="S58" i="14" s="1"/>
  <c r="S7" i="13"/>
  <c r="S7" i="11"/>
  <c r="T7" i="8"/>
  <c r="R70" i="14"/>
  <c r="R69" i="14"/>
  <c r="R67" i="14"/>
  <c r="R60" i="14"/>
  <c r="R59" i="14"/>
  <c r="R57" i="14"/>
  <c r="Q99" i="10"/>
  <c r="R6" i="14"/>
  <c r="R6" i="13"/>
  <c r="R6" i="11"/>
  <c r="R93" i="10"/>
  <c r="R91" i="10" s="1"/>
  <c r="R73" i="10" s="1"/>
  <c r="S6" i="10"/>
  <c r="T6" i="10" s="1"/>
  <c r="U6" i="10" s="1"/>
  <c r="S6" i="8"/>
  <c r="AC66" i="13" l="1"/>
  <c r="AC68" i="13" s="1"/>
  <c r="AE66" i="13"/>
  <c r="V6" i="10"/>
  <c r="U6" i="11"/>
  <c r="U6" i="13"/>
  <c r="U93" i="10"/>
  <c r="U91" i="10" s="1"/>
  <c r="W7" i="10"/>
  <c r="V7" i="13"/>
  <c r="V7" i="11"/>
  <c r="R79" i="10"/>
  <c r="T93" i="10"/>
  <c r="T91" i="10" s="1"/>
  <c r="T6" i="11"/>
  <c r="S68" i="13"/>
  <c r="S25" i="13" s="1"/>
  <c r="S38" i="10" s="1"/>
  <c r="R28" i="8"/>
  <c r="R39" i="8" s="1"/>
  <c r="S6" i="14"/>
  <c r="S6" i="13"/>
  <c r="S6" i="11"/>
  <c r="S93" i="10"/>
  <c r="S91" i="10" s="1"/>
  <c r="S73" i="10" s="1"/>
  <c r="T6" i="8"/>
  <c r="R99" i="10"/>
  <c r="R50" i="10"/>
  <c r="R38" i="14"/>
  <c r="R40" i="14"/>
  <c r="R41" i="14"/>
  <c r="T7" i="14"/>
  <c r="T58" i="14" s="1"/>
  <c r="T7" i="13"/>
  <c r="T7" i="11"/>
  <c r="U7" i="8"/>
  <c r="S70" i="14"/>
  <c r="S69" i="14"/>
  <c r="S67" i="14"/>
  <c r="S60" i="14"/>
  <c r="S59" i="14"/>
  <c r="S57" i="14"/>
  <c r="T58" i="13"/>
  <c r="T66" i="13"/>
  <c r="T78" i="13"/>
  <c r="T26" i="13" s="1"/>
  <c r="AC26" i="13" s="1"/>
  <c r="T90" i="13"/>
  <c r="T28" i="13" s="1"/>
  <c r="T20" i="14"/>
  <c r="T58" i="10" s="1"/>
  <c r="S58" i="10"/>
  <c r="S48" i="14"/>
  <c r="AE26" i="13" l="1"/>
  <c r="AE58" i="10"/>
  <c r="AD58" i="10"/>
  <c r="W7" i="13"/>
  <c r="W7" i="11"/>
  <c r="X7" i="10"/>
  <c r="V6" i="13"/>
  <c r="V6" i="11"/>
  <c r="V93" i="10"/>
  <c r="V91" i="10" s="1"/>
  <c r="W6" i="10"/>
  <c r="T41" i="10"/>
  <c r="T39" i="10"/>
  <c r="AC58" i="10"/>
  <c r="T73" i="10"/>
  <c r="T50" i="10" s="1"/>
  <c r="S79" i="10"/>
  <c r="T68" i="13"/>
  <c r="T25" i="13" s="1"/>
  <c r="S28" i="8"/>
  <c r="S39" i="8" s="1"/>
  <c r="T48" i="14"/>
  <c r="S38" i="14"/>
  <c r="S40" i="14"/>
  <c r="S41" i="14"/>
  <c r="V7" i="8"/>
  <c r="T70" i="14"/>
  <c r="T69" i="14"/>
  <c r="T67" i="14"/>
  <c r="T60" i="14"/>
  <c r="T59" i="14"/>
  <c r="T57" i="14"/>
  <c r="S99" i="10"/>
  <c r="S50" i="10"/>
  <c r="T6" i="14"/>
  <c r="T6" i="13"/>
  <c r="U6" i="8"/>
  <c r="AC39" i="10" l="1"/>
  <c r="AD39" i="10"/>
  <c r="AE41" i="10"/>
  <c r="AC41" i="10"/>
  <c r="AD41" i="10"/>
  <c r="AE39" i="10"/>
  <c r="X7" i="11"/>
  <c r="X7" i="13"/>
  <c r="Y7" i="10"/>
  <c r="W93" i="10"/>
  <c r="W91" i="10" s="1"/>
  <c r="W6" i="11"/>
  <c r="W6" i="13"/>
  <c r="X6" i="10"/>
  <c r="AC73" i="10"/>
  <c r="AC50" i="10" s="1"/>
  <c r="U73" i="10"/>
  <c r="AD73" i="10" s="1"/>
  <c r="T38" i="10"/>
  <c r="AE38" i="10" s="1"/>
  <c r="T99" i="10"/>
  <c r="AC99" i="10" s="1"/>
  <c r="T79" i="10"/>
  <c r="T28" i="8"/>
  <c r="T39" i="8" s="1"/>
  <c r="V6" i="8"/>
  <c r="T38" i="14"/>
  <c r="T40" i="14"/>
  <c r="T41" i="14"/>
  <c r="W7" i="8"/>
  <c r="AC38" i="10" l="1"/>
  <c r="AD38" i="10"/>
  <c r="AD50" i="10"/>
  <c r="Y6" i="10"/>
  <c r="X6" i="11"/>
  <c r="X6" i="13"/>
  <c r="X93" i="10"/>
  <c r="X91" i="10" s="1"/>
  <c r="Y7" i="13"/>
  <c r="Y7" i="11"/>
  <c r="Z7" i="10"/>
  <c r="AA7" i="10" s="1"/>
  <c r="AA7" i="13" s="1"/>
  <c r="AC79" i="10"/>
  <c r="U79" i="10"/>
  <c r="V73" i="10"/>
  <c r="AE73" i="10" s="1"/>
  <c r="U99" i="10"/>
  <c r="AD99" i="10" s="1"/>
  <c r="U50" i="10"/>
  <c r="U52" i="10" s="1"/>
  <c r="U77" i="10"/>
  <c r="U28" i="8"/>
  <c r="U39" i="8" s="1"/>
  <c r="D47" i="8" s="1"/>
  <c r="X7" i="8"/>
  <c r="W6" i="8"/>
  <c r="AE50" i="10" l="1"/>
  <c r="V79" i="10"/>
  <c r="AD79" i="10"/>
  <c r="U53" i="10"/>
  <c r="U80" i="10"/>
  <c r="AD80" i="10" s="1"/>
  <c r="U95" i="10"/>
  <c r="U94" i="10" s="1"/>
  <c r="V99" i="10"/>
  <c r="AE99" i="10" s="1"/>
  <c r="W73" i="10"/>
  <c r="V50" i="10"/>
  <c r="Z7" i="11"/>
  <c r="Z7" i="13"/>
  <c r="Y93" i="10"/>
  <c r="Y91" i="10" s="1"/>
  <c r="Y6" i="11"/>
  <c r="Y6" i="13"/>
  <c r="Z6" i="10"/>
  <c r="AA6" i="10" s="1"/>
  <c r="X6" i="8"/>
  <c r="Y7" i="8"/>
  <c r="W79" i="10" l="1"/>
  <c r="X79" i="10" s="1"/>
  <c r="AE79" i="10"/>
  <c r="AA6" i="13"/>
  <c r="X73" i="10"/>
  <c r="W50" i="10"/>
  <c r="W99" i="10"/>
  <c r="Y79" i="10"/>
  <c r="Z6" i="13"/>
  <c r="Z6" i="11"/>
  <c r="Z7" i="8"/>
  <c r="Y6" i="8"/>
  <c r="Y73" i="10" l="1"/>
  <c r="X50" i="10"/>
  <c r="X99" i="10"/>
  <c r="Z6" i="8"/>
  <c r="AA7" i="8"/>
  <c r="Y77" i="10" l="1"/>
  <c r="Y99" i="10"/>
  <c r="Y50" i="10"/>
  <c r="Y52" i="10" s="1"/>
  <c r="AB7" i="8"/>
  <c r="AA6" i="8"/>
  <c r="Y53" i="10" l="1"/>
  <c r="Y80" i="10"/>
  <c r="Y95" i="10"/>
  <c r="Y94" i="10" s="1"/>
  <c r="AB6" i="8"/>
  <c r="AC7" i="8"/>
  <c r="AD7" i="8" l="1"/>
  <c r="AC6" i="8"/>
  <c r="AD6" i="8" l="1"/>
  <c r="AE7" i="8"/>
  <c r="AF7" i="8" l="1"/>
  <c r="AE6" i="8"/>
  <c r="AF6" i="8" l="1"/>
  <c r="AG7" i="8"/>
  <c r="AH7" i="8" l="1"/>
  <c r="AG6" i="8"/>
  <c r="AH6" i="8" l="1"/>
  <c r="AI7" i="8"/>
  <c r="AJ7" i="8" l="1"/>
  <c r="AI6" i="8"/>
  <c r="AJ6" i="8" l="1"/>
  <c r="AK7" i="8"/>
  <c r="AL7" i="8" l="1"/>
  <c r="AK6" i="8"/>
  <c r="AL6" i="8" l="1"/>
  <c r="AM7" i="8"/>
  <c r="AN7" i="8" l="1"/>
  <c r="AM6" i="8"/>
  <c r="AN6" i="8" l="1"/>
  <c r="AO7" i="8"/>
  <c r="AP7" i="8" l="1"/>
  <c r="AO6" i="8"/>
  <c r="AP6" i="8" l="1"/>
  <c r="AQ7" i="8"/>
  <c r="AR7" i="8" l="1"/>
  <c r="AQ6" i="8"/>
  <c r="AR6" i="8" l="1"/>
  <c r="AS7" i="8"/>
  <c r="AT7" i="8" l="1"/>
  <c r="AS6" i="8"/>
  <c r="AT6" i="8" l="1"/>
  <c r="AU7" i="8"/>
  <c r="AV7" i="8" l="1"/>
  <c r="AU6" i="8"/>
  <c r="AV6" i="8" l="1"/>
  <c r="AW7" i="8"/>
  <c r="AX7" i="8" l="1"/>
  <c r="AW6" i="8"/>
  <c r="AX6" i="8" l="1"/>
  <c r="AY7" i="8"/>
  <c r="AZ7" i="8" l="1"/>
  <c r="AY6" i="8"/>
  <c r="AZ6" i="8" l="1"/>
  <c r="BA7" i="8"/>
  <c r="BB7" i="8" l="1"/>
  <c r="BA6" i="8"/>
  <c r="BB6" i="8" l="1"/>
  <c r="BC7" i="8"/>
  <c r="BD7" i="8" l="1"/>
  <c r="BC6" i="8"/>
  <c r="BD6" i="8" l="1"/>
  <c r="BE7" i="8"/>
  <c r="BF7" i="8" l="1"/>
  <c r="BE6" i="8"/>
  <c r="BF6" i="8" l="1"/>
  <c r="BG7" i="8"/>
  <c r="BH7" i="8" l="1"/>
  <c r="BG6" i="8"/>
  <c r="BH6" i="8" l="1"/>
  <c r="BI7" i="8"/>
  <c r="BJ7" i="8" l="1"/>
  <c r="BI6" i="8"/>
  <c r="BJ6" i="8" l="1"/>
  <c r="BK7" i="8"/>
  <c r="BL7" i="8" l="1"/>
  <c r="BK6" i="8"/>
  <c r="BL6" i="8" l="1"/>
  <c r="BM7" i="8"/>
  <c r="BN7" i="8" l="1"/>
  <c r="BM6" i="8"/>
  <c r="BN6" i="8" l="1"/>
  <c r="BO7" i="8"/>
  <c r="BL14" i="8"/>
  <c r="BM14" i="8" l="1"/>
  <c r="BP7" i="8"/>
  <c r="BO6" i="8"/>
  <c r="BP6" i="8" l="1"/>
  <c r="T28" i="14"/>
  <c r="BQ7" i="8"/>
  <c r="BN14" i="8"/>
  <c r="H28" i="14" l="1"/>
  <c r="I28" i="14"/>
  <c r="L28" i="14"/>
  <c r="O28" i="14"/>
  <c r="F28" i="14"/>
  <c r="K28" i="14"/>
  <c r="N28" i="14"/>
  <c r="Q28" i="14"/>
  <c r="R28" i="14"/>
  <c r="G28" i="14"/>
  <c r="E28" i="14"/>
  <c r="J28" i="14"/>
  <c r="C28" i="14"/>
  <c r="P28" i="14"/>
  <c r="D28" i="14"/>
  <c r="S28" i="14"/>
  <c r="M28" i="14"/>
  <c r="BO14" i="8"/>
  <c r="BR7" i="8"/>
  <c r="BQ6" i="8"/>
  <c r="BL15" i="8"/>
  <c r="BL16" i="8" l="1"/>
  <c r="BR6" i="8"/>
  <c r="BM15" i="8"/>
  <c r="BS7" i="8"/>
  <c r="BP14" i="8"/>
  <c r="BQ14" i="8" l="1"/>
  <c r="BT7" i="8"/>
  <c r="BM16" i="8"/>
  <c r="BS6" i="8"/>
  <c r="BN15" i="8"/>
  <c r="BN16" i="8" l="1"/>
  <c r="BT6" i="8"/>
  <c r="BO15" i="8"/>
  <c r="BU7" i="8"/>
  <c r="BR14" i="8"/>
  <c r="BS14" i="8" l="1"/>
  <c r="BV7" i="8"/>
  <c r="BO16" i="8"/>
  <c r="BU6" i="8"/>
  <c r="BP15" i="8"/>
  <c r="BP16" i="8" l="1"/>
  <c r="BV6" i="8"/>
  <c r="BQ15" i="8"/>
  <c r="BW7" i="8"/>
  <c r="BT14" i="8"/>
  <c r="BU14" i="8" l="1"/>
  <c r="BX7" i="8"/>
  <c r="BQ16" i="8"/>
  <c r="BW6" i="8"/>
  <c r="BR15" i="8"/>
  <c r="BR16" i="8" l="1"/>
  <c r="BX6" i="8"/>
  <c r="BS15" i="8"/>
  <c r="BY7" i="8"/>
  <c r="BV14" i="8"/>
  <c r="BW14" i="8" l="1"/>
  <c r="BZ7" i="8"/>
  <c r="BS16" i="8"/>
  <c r="BY6" i="8"/>
  <c r="BT15" i="8"/>
  <c r="BT16" i="8" l="1"/>
  <c r="BZ6" i="8"/>
  <c r="BU15" i="8"/>
  <c r="CA7" i="8"/>
  <c r="BX14" i="8"/>
  <c r="BY14" i="8" l="1"/>
  <c r="CB7" i="8"/>
  <c r="BU16" i="8"/>
  <c r="CA6" i="8"/>
  <c r="BV15" i="8"/>
  <c r="BV16" i="8" l="1"/>
  <c r="CB6" i="8"/>
  <c r="BW15" i="8"/>
  <c r="CC7" i="8"/>
  <c r="BZ14" i="8"/>
  <c r="CA14" i="8" l="1"/>
  <c r="CD7" i="8"/>
  <c r="BW16" i="8"/>
  <c r="CC6" i="8"/>
  <c r="BX15" i="8"/>
  <c r="BX16" i="8" l="1"/>
  <c r="CD6" i="8"/>
  <c r="BY15" i="8"/>
  <c r="CE7" i="8"/>
  <c r="CB14" i="8"/>
  <c r="CC14" i="8" l="1"/>
  <c r="CF7" i="8"/>
  <c r="BY16" i="8"/>
  <c r="CE6" i="8"/>
  <c r="BZ15" i="8"/>
  <c r="BZ16" i="8" l="1"/>
  <c r="CF6" i="8"/>
  <c r="CA15" i="8"/>
  <c r="CG7" i="8"/>
  <c r="CD14" i="8"/>
  <c r="CE14" i="8" l="1"/>
  <c r="CH7" i="8"/>
  <c r="CA16" i="8"/>
  <c r="CG6" i="8"/>
  <c r="CB15" i="8"/>
  <c r="CB16" i="8" l="1"/>
  <c r="CH6" i="8"/>
  <c r="CC15" i="8"/>
  <c r="CI7" i="8"/>
  <c r="CF14" i="8"/>
  <c r="CG14" i="8" l="1"/>
  <c r="CC16" i="8"/>
  <c r="CI6" i="8"/>
  <c r="CD15" i="8"/>
  <c r="CD16" i="8" l="1"/>
  <c r="CE15" i="8"/>
  <c r="CI14" i="8"/>
  <c r="CH14" i="8"/>
  <c r="CE16" i="8" l="1"/>
  <c r="CF15" i="8"/>
  <c r="CF16" i="8" l="1"/>
  <c r="CG15" i="8"/>
  <c r="CG16" i="8" l="1"/>
  <c r="CH15" i="8"/>
  <c r="CH16" i="8" l="1"/>
  <c r="CI15" i="8"/>
  <c r="CI16" i="8" l="1"/>
  <c r="D20" i="11" l="1"/>
  <c r="D20" i="10" l="1"/>
  <c r="D20" i="13"/>
  <c r="D27" i="10"/>
  <c r="E14" i="11"/>
  <c r="D47" i="13"/>
  <c r="E14" i="10" l="1"/>
  <c r="E14" i="13"/>
  <c r="D35" i="13"/>
  <c r="D31" i="10" s="1"/>
  <c r="D29" i="10" s="1"/>
  <c r="D18" i="11"/>
  <c r="E17" i="11"/>
  <c r="E17" i="10" s="1"/>
  <c r="D26" i="10"/>
  <c r="D28" i="11"/>
  <c r="D25" i="14" l="1"/>
  <c r="D60" i="10" s="1"/>
  <c r="D19" i="11"/>
  <c r="D19" i="10" s="1"/>
  <c r="D18" i="10"/>
  <c r="E17" i="13"/>
  <c r="D18" i="13"/>
  <c r="E14" i="8"/>
  <c r="D37" i="13"/>
  <c r="D29" i="14" s="1"/>
  <c r="D33" i="14" s="1"/>
  <c r="D74" i="10" s="1"/>
  <c r="D77" i="10" s="1"/>
  <c r="E26" i="11"/>
  <c r="E20" i="11"/>
  <c r="F29" i="8"/>
  <c r="F40" i="8" s="1"/>
  <c r="E20" i="10" l="1"/>
  <c r="E35" i="13"/>
  <c r="E31" i="10" s="1"/>
  <c r="D25" i="10"/>
  <c r="D24" i="10" s="1"/>
  <c r="D32" i="10" s="1"/>
  <c r="D33" i="10" s="1"/>
  <c r="D19" i="13"/>
  <c r="E34" i="13"/>
  <c r="E30" i="10" s="1"/>
  <c r="E20" i="13"/>
  <c r="D50" i="14"/>
  <c r="F14" i="11"/>
  <c r="E47" i="13"/>
  <c r="D49" i="14"/>
  <c r="F32" i="8"/>
  <c r="D43" i="10" l="1"/>
  <c r="D44" i="10" s="1"/>
  <c r="E27" i="10"/>
  <c r="E13" i="8"/>
  <c r="E29" i="10"/>
  <c r="F17" i="11"/>
  <c r="F17" i="10" s="1"/>
  <c r="F14" i="10"/>
  <c r="F14" i="13"/>
  <c r="E37" i="13"/>
  <c r="E29" i="14" s="1"/>
  <c r="E33" i="14" s="1"/>
  <c r="E74" i="10" s="1"/>
  <c r="E77" i="10" s="1"/>
  <c r="D51" i="14"/>
  <c r="D97" i="10" s="1"/>
  <c r="E28" i="11"/>
  <c r="E18" i="11"/>
  <c r="E26" i="10"/>
  <c r="F15" i="11"/>
  <c r="F12" i="11"/>
  <c r="D47" i="10" l="1"/>
  <c r="F12" i="10"/>
  <c r="F12" i="13"/>
  <c r="F15" i="10"/>
  <c r="F15" i="13"/>
  <c r="F17" i="13"/>
  <c r="F34" i="13" s="1"/>
  <c r="F30" i="10" s="1"/>
  <c r="F26" i="11"/>
  <c r="E19" i="11"/>
  <c r="E19" i="10" s="1"/>
  <c r="E18" i="10"/>
  <c r="D106" i="10"/>
  <c r="D108" i="10" s="1"/>
  <c r="D110" i="10" s="1"/>
  <c r="D52" i="10"/>
  <c r="D80" i="10" s="1"/>
  <c r="D48" i="10"/>
  <c r="D111" i="10"/>
  <c r="E25" i="14"/>
  <c r="E18" i="13"/>
  <c r="F25" i="11"/>
  <c r="E50" i="14"/>
  <c r="F20" i="11"/>
  <c r="F20" i="10" l="1"/>
  <c r="F27" i="10"/>
  <c r="E25" i="10"/>
  <c r="E24" i="10" s="1"/>
  <c r="E32" i="10" s="1"/>
  <c r="E33" i="10" s="1"/>
  <c r="E81" i="10"/>
  <c r="D82" i="10"/>
  <c r="D84" i="10" s="1"/>
  <c r="D53" i="10"/>
  <c r="D95" i="10"/>
  <c r="E49" i="14"/>
  <c r="E51" i="14" s="1"/>
  <c r="E97" i="10" s="1"/>
  <c r="E60" i="10"/>
  <c r="F35" i="13"/>
  <c r="F31" i="10" s="1"/>
  <c r="F29" i="10" s="1"/>
  <c r="D113" i="10"/>
  <c r="E19" i="13"/>
  <c r="F20" i="13"/>
  <c r="G14" i="11"/>
  <c r="F14" i="8"/>
  <c r="G14" i="10" l="1"/>
  <c r="E43" i="10"/>
  <c r="E44" i="10" s="1"/>
  <c r="F37" i="13"/>
  <c r="F29" i="14" s="1"/>
  <c r="F33" i="14" s="1"/>
  <c r="F74" i="10" s="1"/>
  <c r="F77" i="10" s="1"/>
  <c r="D59" i="10"/>
  <c r="D63" i="10" s="1"/>
  <c r="D71" i="10" s="1"/>
  <c r="D85" i="10" s="1"/>
  <c r="D94" i="10"/>
  <c r="D101" i="10" s="1"/>
  <c r="E90" i="10" s="1"/>
  <c r="E111" i="10"/>
  <c r="G14" i="13"/>
  <c r="F13" i="8"/>
  <c r="F18" i="11"/>
  <c r="G17" i="11"/>
  <c r="G17" i="10" s="1"/>
  <c r="F28" i="11"/>
  <c r="F26" i="10"/>
  <c r="F45" i="13"/>
  <c r="G32" i="8"/>
  <c r="E47" i="10" l="1"/>
  <c r="E52" i="10" s="1"/>
  <c r="E80" i="10" s="1"/>
  <c r="F19" i="11"/>
  <c r="F19" i="10" s="1"/>
  <c r="F18" i="10"/>
  <c r="G17" i="13"/>
  <c r="G34" i="13" s="1"/>
  <c r="G30" i="10" s="1"/>
  <c r="F18" i="13"/>
  <c r="G26" i="11"/>
  <c r="F25" i="14"/>
  <c r="F60" i="10" s="1"/>
  <c r="G12" i="11"/>
  <c r="G15" i="11"/>
  <c r="E106" i="10" l="1"/>
  <c r="E108" i="10" s="1"/>
  <c r="E110" i="10" s="1"/>
  <c r="E113" i="10" s="1"/>
  <c r="E48" i="10"/>
  <c r="G27" i="10"/>
  <c r="F25" i="10"/>
  <c r="F24" i="10" s="1"/>
  <c r="F32" i="10" s="1"/>
  <c r="F43" i="10" s="1"/>
  <c r="F81" i="10"/>
  <c r="E82" i="10"/>
  <c r="E84" i="10" s="1"/>
  <c r="G15" i="10"/>
  <c r="G15" i="13"/>
  <c r="G12" i="10"/>
  <c r="G12" i="13"/>
  <c r="E95" i="10"/>
  <c r="E53" i="10"/>
  <c r="F19" i="13"/>
  <c r="F49" i="14"/>
  <c r="G25" i="11"/>
  <c r="G29" i="8"/>
  <c r="G40" i="8" s="1"/>
  <c r="G68" i="14"/>
  <c r="F61" i="14"/>
  <c r="F98" i="10" s="1"/>
  <c r="F39" i="14"/>
  <c r="F37" i="14" s="1"/>
  <c r="F65" i="10" s="1"/>
  <c r="F69" i="10" s="1"/>
  <c r="F47" i="13"/>
  <c r="F50" i="14"/>
  <c r="G20" i="11"/>
  <c r="F33" i="10" l="1"/>
  <c r="G13" i="8"/>
  <c r="G20" i="10"/>
  <c r="G35" i="13"/>
  <c r="G31" i="10" s="1"/>
  <c r="G29" i="10" s="1"/>
  <c r="F44" i="10"/>
  <c r="F47" i="10"/>
  <c r="E94" i="10"/>
  <c r="E101" i="10" s="1"/>
  <c r="F90" i="10" s="1"/>
  <c r="E59" i="10"/>
  <c r="E63" i="10" s="1"/>
  <c r="E71" i="10" s="1"/>
  <c r="E85" i="10" s="1"/>
  <c r="F112" i="10"/>
  <c r="F103" i="10"/>
  <c r="G37" i="13"/>
  <c r="G29" i="14" s="1"/>
  <c r="G33" i="14" s="1"/>
  <c r="G74" i="10" s="1"/>
  <c r="G77" i="10" s="1"/>
  <c r="G20" i="13"/>
  <c r="F51" i="14"/>
  <c r="F97" i="10" s="1"/>
  <c r="H14" i="11"/>
  <c r="F42" i="14"/>
  <c r="G71" i="14"/>
  <c r="G46" i="10" s="1"/>
  <c r="G43" i="14"/>
  <c r="G14" i="8"/>
  <c r="F106" i="10" l="1"/>
  <c r="F108" i="10" s="1"/>
  <c r="F110" i="10" s="1"/>
  <c r="F52" i="10"/>
  <c r="F80" i="10" s="1"/>
  <c r="F48" i="10"/>
  <c r="F111" i="10"/>
  <c r="G109" i="10"/>
  <c r="G96" i="10"/>
  <c r="H14" i="10"/>
  <c r="H14" i="13"/>
  <c r="G18" i="11"/>
  <c r="H17" i="11"/>
  <c r="G28" i="11"/>
  <c r="G26" i="10"/>
  <c r="G45" i="13"/>
  <c r="G16" i="8"/>
  <c r="H32" i="8"/>
  <c r="AD17" i="11" l="1"/>
  <c r="AC17" i="11"/>
  <c r="AC17" i="13"/>
  <c r="G81" i="10"/>
  <c r="F82" i="10"/>
  <c r="F84" i="10" s="1"/>
  <c r="F113" i="10"/>
  <c r="G19" i="11"/>
  <c r="G19" i="10" s="1"/>
  <c r="G18" i="10"/>
  <c r="F95" i="10"/>
  <c r="F53" i="10"/>
  <c r="H17" i="10"/>
  <c r="H74" i="10" s="1"/>
  <c r="H17" i="13"/>
  <c r="G18" i="13"/>
  <c r="G25" i="14"/>
  <c r="G60" i="10" s="1"/>
  <c r="H68" i="14"/>
  <c r="G61" i="14"/>
  <c r="G98" i="10" s="1"/>
  <c r="G39" i="14"/>
  <c r="G37" i="14" s="1"/>
  <c r="G65" i="10" s="1"/>
  <c r="G69" i="10" s="1"/>
  <c r="G47" i="13"/>
  <c r="AD17" i="13" l="1"/>
  <c r="G25" i="10"/>
  <c r="G24" i="10" s="1"/>
  <c r="G32" i="10" s="1"/>
  <c r="G33" i="10" s="1"/>
  <c r="F59" i="10"/>
  <c r="F63" i="10" s="1"/>
  <c r="F71" i="10" s="1"/>
  <c r="F85" i="10" s="1"/>
  <c r="F94" i="10"/>
  <c r="F101" i="10" s="1"/>
  <c r="G90" i="10" s="1"/>
  <c r="G112" i="10"/>
  <c r="G103" i="10"/>
  <c r="G49" i="14"/>
  <c r="G19" i="13"/>
  <c r="H12" i="11"/>
  <c r="H29" i="8"/>
  <c r="H40" i="8" s="1"/>
  <c r="G42" i="14"/>
  <c r="H43" i="14"/>
  <c r="H71" i="14"/>
  <c r="H46" i="10" s="1"/>
  <c r="H14" i="8"/>
  <c r="G50" i="14"/>
  <c r="H20" i="11"/>
  <c r="H13" i="8" l="1"/>
  <c r="G43" i="10"/>
  <c r="G47" i="10" s="1"/>
  <c r="G106" i="10" s="1"/>
  <c r="G108" i="10" s="1"/>
  <c r="G110" i="10" s="1"/>
  <c r="H31" i="10"/>
  <c r="H12" i="13"/>
  <c r="H12" i="10"/>
  <c r="G51" i="14"/>
  <c r="G97" i="10" s="1"/>
  <c r="H20" i="10"/>
  <c r="H20" i="13"/>
  <c r="I14" i="11"/>
  <c r="H109" i="10"/>
  <c r="H96" i="10"/>
  <c r="H16" i="8"/>
  <c r="G48" i="10" l="1"/>
  <c r="G52" i="10"/>
  <c r="G80" i="10" s="1"/>
  <c r="G44" i="10"/>
  <c r="G111" i="10"/>
  <c r="G113" i="10" s="1"/>
  <c r="I14" i="10"/>
  <c r="I14" i="13"/>
  <c r="H18" i="11"/>
  <c r="H28" i="11"/>
  <c r="G53" i="10" l="1"/>
  <c r="G95" i="10"/>
  <c r="G82" i="10"/>
  <c r="G84" i="10" s="1"/>
  <c r="G59" i="10" s="1"/>
  <c r="G63" i="10" s="1"/>
  <c r="G71" i="10" s="1"/>
  <c r="G85" i="10" s="1"/>
  <c r="G94" i="10"/>
  <c r="G101" i="10" s="1"/>
  <c r="H19" i="11"/>
  <c r="I17" i="10"/>
  <c r="I74" i="10" s="1"/>
  <c r="I17" i="13"/>
  <c r="H18" i="10"/>
  <c r="H75" i="10" s="1"/>
  <c r="H18" i="13"/>
  <c r="H25" i="14"/>
  <c r="H49" i="14" s="1"/>
  <c r="H61" i="14"/>
  <c r="H45" i="13"/>
  <c r="I32" i="8"/>
  <c r="H39" i="14"/>
  <c r="H37" i="14" s="1"/>
  <c r="H65" i="10" s="1"/>
  <c r="H30" i="10" l="1"/>
  <c r="H37" i="13"/>
  <c r="H23" i="13" s="1"/>
  <c r="H69" i="10"/>
  <c r="H19" i="10"/>
  <c r="H19" i="13"/>
  <c r="I25" i="11"/>
  <c r="I68" i="14"/>
  <c r="I71" i="14" s="1"/>
  <c r="I46" i="10" s="1"/>
  <c r="H47" i="13"/>
  <c r="H24" i="13" s="1"/>
  <c r="I12" i="11"/>
  <c r="I29" i="8"/>
  <c r="I40" i="8" s="1"/>
  <c r="H42" i="14"/>
  <c r="H98" i="10"/>
  <c r="I20" i="11"/>
  <c r="H37" i="10" l="1"/>
  <c r="H29" i="14"/>
  <c r="H33" i="14" s="1"/>
  <c r="H29" i="10"/>
  <c r="I14" i="8" s="1"/>
  <c r="H24" i="10"/>
  <c r="I31" i="10"/>
  <c r="I12" i="13"/>
  <c r="I12" i="10"/>
  <c r="I20" i="10"/>
  <c r="I20" i="13"/>
  <c r="I43" i="14"/>
  <c r="J14" i="11"/>
  <c r="H112" i="10"/>
  <c r="I16" i="8"/>
  <c r="H103" i="10"/>
  <c r="I109" i="10"/>
  <c r="I96" i="10"/>
  <c r="H50" i="14" l="1"/>
  <c r="H51" i="14" s="1"/>
  <c r="H111" i="10" s="1"/>
  <c r="H77" i="10"/>
  <c r="I13" i="8"/>
  <c r="H32" i="10"/>
  <c r="H33" i="10" s="1"/>
  <c r="J14" i="10"/>
  <c r="J14" i="13"/>
  <c r="I18" i="11"/>
  <c r="I28" i="11"/>
  <c r="I19" i="11" l="1"/>
  <c r="I25" i="14"/>
  <c r="AD60" i="10" s="1"/>
  <c r="J17" i="10"/>
  <c r="J74" i="10" s="1"/>
  <c r="J17" i="13"/>
  <c r="I18" i="13"/>
  <c r="I18" i="10"/>
  <c r="I75" i="10" s="1"/>
  <c r="J68" i="14"/>
  <c r="I45" i="13"/>
  <c r="J32" i="8"/>
  <c r="J29" i="8"/>
  <c r="J40" i="8" s="1"/>
  <c r="I30" i="10" l="1"/>
  <c r="I37" i="13"/>
  <c r="I23" i="13" s="1"/>
  <c r="I19" i="10"/>
  <c r="I19" i="13"/>
  <c r="I49" i="14"/>
  <c r="I47" i="13"/>
  <c r="I24" i="13" s="1"/>
  <c r="I39" i="14"/>
  <c r="I37" i="14" s="1"/>
  <c r="I65" i="10" s="1"/>
  <c r="I61" i="14"/>
  <c r="I42" i="14" s="1"/>
  <c r="J12" i="11"/>
  <c r="J71" i="14"/>
  <c r="J46" i="10" s="1"/>
  <c r="J43" i="14"/>
  <c r="I29" i="14" l="1"/>
  <c r="I33" i="14" s="1"/>
  <c r="I50" i="14" s="1"/>
  <c r="I37" i="10"/>
  <c r="I29" i="10"/>
  <c r="I24" i="10"/>
  <c r="J31" i="10"/>
  <c r="I69" i="10"/>
  <c r="J12" i="13"/>
  <c r="J12" i="10"/>
  <c r="I51" i="14"/>
  <c r="AD97" i="10" s="1"/>
  <c r="AD111" i="10" s="1"/>
  <c r="J25" i="11"/>
  <c r="I98" i="10"/>
  <c r="J20" i="11"/>
  <c r="J109" i="10"/>
  <c r="J96" i="10"/>
  <c r="J14" i="8" l="1"/>
  <c r="I32" i="10"/>
  <c r="I77" i="10"/>
  <c r="J13" i="8"/>
  <c r="I112" i="10"/>
  <c r="I103" i="10"/>
  <c r="I111" i="10"/>
  <c r="J20" i="10"/>
  <c r="J20" i="13"/>
  <c r="K14" i="11"/>
  <c r="J16" i="8"/>
  <c r="I33" i="10"/>
  <c r="K14" i="10" l="1"/>
  <c r="K14" i="13"/>
  <c r="J18" i="11"/>
  <c r="J28" i="11"/>
  <c r="K32" i="8"/>
  <c r="J45" i="13"/>
  <c r="K68" i="14"/>
  <c r="K29" i="8"/>
  <c r="K40" i="8" s="1"/>
  <c r="J19" i="11" l="1"/>
  <c r="K17" i="10"/>
  <c r="K74" i="10" s="1"/>
  <c r="K17" i="13"/>
  <c r="J18" i="10"/>
  <c r="J75" i="10" s="1"/>
  <c r="J18" i="13"/>
  <c r="J25" i="14"/>
  <c r="J39" i="14"/>
  <c r="J37" i="14" s="1"/>
  <c r="J65" i="10" s="1"/>
  <c r="J61" i="14"/>
  <c r="J98" i="10" s="1"/>
  <c r="J47" i="13"/>
  <c r="J24" i="13" s="1"/>
  <c r="K43" i="14"/>
  <c r="K71" i="14"/>
  <c r="K46" i="10" s="1"/>
  <c r="K12" i="11"/>
  <c r="J37" i="10" l="1"/>
  <c r="J30" i="10"/>
  <c r="J37" i="13"/>
  <c r="J23" i="13" s="1"/>
  <c r="J69" i="10"/>
  <c r="K12" i="10"/>
  <c r="K12" i="13"/>
  <c r="J19" i="10"/>
  <c r="J19" i="13"/>
  <c r="K25" i="11"/>
  <c r="J49" i="14"/>
  <c r="AE60" i="10"/>
  <c r="J42" i="14"/>
  <c r="K109" i="10"/>
  <c r="K96" i="10"/>
  <c r="J112" i="10"/>
  <c r="K16" i="8"/>
  <c r="J103" i="10"/>
  <c r="K20" i="11"/>
  <c r="J29" i="14" l="1"/>
  <c r="J33" i="14" s="1"/>
  <c r="J50" i="14" s="1"/>
  <c r="J51" i="14" s="1"/>
  <c r="AE97" i="10" s="1"/>
  <c r="AE111" i="10" s="1"/>
  <c r="J29" i="10"/>
  <c r="J24" i="10"/>
  <c r="K31" i="10"/>
  <c r="K20" i="13"/>
  <c r="K20" i="10"/>
  <c r="L14" i="11"/>
  <c r="K14" i="8" l="1"/>
  <c r="J111" i="10"/>
  <c r="J77" i="10"/>
  <c r="J32" i="10"/>
  <c r="J33" i="10" s="1"/>
  <c r="K13" i="8"/>
  <c r="L14" i="10"/>
  <c r="L14" i="13"/>
  <c r="K18" i="11"/>
  <c r="K28" i="11"/>
  <c r="K45" i="13"/>
  <c r="K19" i="11" l="1"/>
  <c r="L17" i="10"/>
  <c r="L74" i="10" s="1"/>
  <c r="L17" i="13"/>
  <c r="K18" i="10"/>
  <c r="K75" i="10" s="1"/>
  <c r="K18" i="13"/>
  <c r="K25" i="14"/>
  <c r="L32" i="8"/>
  <c r="L68" i="14"/>
  <c r="K61" i="14"/>
  <c r="K39" i="14"/>
  <c r="K37" i="14" s="1"/>
  <c r="K65" i="10" s="1"/>
  <c r="K47" i="13"/>
  <c r="K24" i="13" s="1"/>
  <c r="L29" i="8"/>
  <c r="L40" i="8" s="1"/>
  <c r="K37" i="10" l="1"/>
  <c r="K30" i="10"/>
  <c r="K37" i="13"/>
  <c r="K23" i="13" s="1"/>
  <c r="K69" i="10"/>
  <c r="K19" i="10"/>
  <c r="K19" i="13"/>
  <c r="K49" i="14"/>
  <c r="K42" i="14"/>
  <c r="K98" i="10"/>
  <c r="L43" i="14"/>
  <c r="L71" i="14"/>
  <c r="L46" i="10" s="1"/>
  <c r="L12" i="11"/>
  <c r="K29" i="14" l="1"/>
  <c r="K33" i="14" s="1"/>
  <c r="K50" i="14" s="1"/>
  <c r="K29" i="10"/>
  <c r="K24" i="10"/>
  <c r="L31" i="10"/>
  <c r="L12" i="10"/>
  <c r="L12" i="13"/>
  <c r="K51" i="14"/>
  <c r="K111" i="10" s="1"/>
  <c r="L25" i="11"/>
  <c r="L109" i="10"/>
  <c r="L96" i="10"/>
  <c r="K112" i="10"/>
  <c r="L16" i="8"/>
  <c r="K103" i="10"/>
  <c r="L20" i="11"/>
  <c r="L14" i="8" l="1"/>
  <c r="K32" i="10"/>
  <c r="K33" i="10" s="1"/>
  <c r="L13" i="8"/>
  <c r="L20" i="10"/>
  <c r="L20" i="13"/>
  <c r="M14" i="11"/>
  <c r="K77" i="10" l="1"/>
  <c r="M14" i="10"/>
  <c r="M14" i="13"/>
  <c r="L18" i="11"/>
  <c r="L28" i="11"/>
  <c r="L45" i="13"/>
  <c r="M32" i="8"/>
  <c r="L25" i="14" l="1"/>
  <c r="L49" i="14" s="1"/>
  <c r="L19" i="11"/>
  <c r="L18" i="10"/>
  <c r="L75" i="10" s="1"/>
  <c r="L18" i="13"/>
  <c r="M17" i="10"/>
  <c r="M74" i="10" s="1"/>
  <c r="M17" i="13"/>
  <c r="L61" i="14"/>
  <c r="M68" i="14"/>
  <c r="L39" i="14"/>
  <c r="L37" i="14" s="1"/>
  <c r="L65" i="10" s="1"/>
  <c r="L47" i="13"/>
  <c r="L24" i="13" s="1"/>
  <c r="M29" i="8"/>
  <c r="M40" i="8" s="1"/>
  <c r="L37" i="10" l="1"/>
  <c r="L30" i="10"/>
  <c r="L37" i="13"/>
  <c r="L23" i="13" s="1"/>
  <c r="L69" i="10"/>
  <c r="L19" i="10"/>
  <c r="L19" i="13"/>
  <c r="M25" i="11"/>
  <c r="M12" i="11"/>
  <c r="M43" i="14"/>
  <c r="M71" i="14"/>
  <c r="M46" i="10" s="1"/>
  <c r="L42" i="14"/>
  <c r="L98" i="10"/>
  <c r="M20" i="11"/>
  <c r="L29" i="14" l="1"/>
  <c r="L33" i="14" s="1"/>
  <c r="L50" i="14" s="1"/>
  <c r="L51" i="14" s="1"/>
  <c r="L29" i="10"/>
  <c r="L24" i="10"/>
  <c r="M31" i="10"/>
  <c r="M12" i="10"/>
  <c r="M12" i="13"/>
  <c r="M20" i="10"/>
  <c r="M20" i="13"/>
  <c r="N14" i="11"/>
  <c r="M96" i="10"/>
  <c r="M109" i="10"/>
  <c r="L112" i="10"/>
  <c r="M16" i="8"/>
  <c r="L103" i="10"/>
  <c r="L111" i="10" l="1"/>
  <c r="M14" i="8"/>
  <c r="L32" i="10"/>
  <c r="L33" i="10" s="1"/>
  <c r="M13" i="8"/>
  <c r="N14" i="10"/>
  <c r="N14" i="13"/>
  <c r="M18" i="11"/>
  <c r="M28" i="11"/>
  <c r="M45" i="13"/>
  <c r="L77" i="10" l="1"/>
  <c r="M19" i="11"/>
  <c r="M24" i="10"/>
  <c r="N17" i="10"/>
  <c r="N74" i="10" s="1"/>
  <c r="N17" i="13"/>
  <c r="M18" i="10"/>
  <c r="M75" i="10" s="1"/>
  <c r="M18" i="13"/>
  <c r="M25" i="14"/>
  <c r="N32" i="8"/>
  <c r="N68" i="14"/>
  <c r="M61" i="14"/>
  <c r="M39" i="14"/>
  <c r="M37" i="14" s="1"/>
  <c r="M65" i="10" s="1"/>
  <c r="M47" i="13"/>
  <c r="M24" i="13" s="1"/>
  <c r="N29" i="8"/>
  <c r="N40" i="8" s="1"/>
  <c r="N13" i="8" l="1"/>
  <c r="M69" i="10"/>
  <c r="M37" i="10"/>
  <c r="M30" i="10"/>
  <c r="M37" i="13"/>
  <c r="M23" i="13" s="1"/>
  <c r="M19" i="13"/>
  <c r="M19" i="10"/>
  <c r="M49" i="14"/>
  <c r="M98" i="10"/>
  <c r="M42" i="14"/>
  <c r="N43" i="14"/>
  <c r="N71" i="14"/>
  <c r="N46" i="10" s="1"/>
  <c r="N12" i="11"/>
  <c r="M29" i="14" l="1"/>
  <c r="M33" i="14" s="1"/>
  <c r="N31" i="10"/>
  <c r="M29" i="10"/>
  <c r="N12" i="10"/>
  <c r="N12" i="13"/>
  <c r="M51" i="14"/>
  <c r="M111" i="10" s="1"/>
  <c r="N25" i="11"/>
  <c r="N109" i="10"/>
  <c r="N96" i="10"/>
  <c r="N16" i="8"/>
  <c r="M112" i="10"/>
  <c r="M103" i="10"/>
  <c r="N20" i="11"/>
  <c r="M32" i="10" l="1"/>
  <c r="M77" i="10"/>
  <c r="M50" i="14"/>
  <c r="N14" i="8"/>
  <c r="N20" i="13"/>
  <c r="N20" i="10"/>
  <c r="O14" i="11"/>
  <c r="M33" i="10"/>
  <c r="O14" i="10" l="1"/>
  <c r="O14" i="13"/>
  <c r="N18" i="11"/>
  <c r="N28" i="11"/>
  <c r="N45" i="13"/>
  <c r="AD45" i="13" l="1"/>
  <c r="AC45" i="13"/>
  <c r="AC47" i="13" s="1"/>
  <c r="AD47" i="13"/>
  <c r="AE47" i="13"/>
  <c r="N19" i="11"/>
  <c r="O17" i="13"/>
  <c r="O17" i="10"/>
  <c r="O74" i="10" s="1"/>
  <c r="N18" i="10"/>
  <c r="N75" i="10" s="1"/>
  <c r="N18" i="13"/>
  <c r="N24" i="10"/>
  <c r="N25" i="14"/>
  <c r="O32" i="8"/>
  <c r="N61" i="14"/>
  <c r="O68" i="14"/>
  <c r="N39" i="14"/>
  <c r="N37" i="14" s="1"/>
  <c r="N65" i="10" s="1"/>
  <c r="N47" i="13"/>
  <c r="N30" i="10" l="1"/>
  <c r="N37" i="13"/>
  <c r="N23" i="13" s="1"/>
  <c r="N24" i="13"/>
  <c r="N19" i="10"/>
  <c r="N19" i="13"/>
  <c r="N49" i="14"/>
  <c r="O25" i="11"/>
  <c r="O29" i="8"/>
  <c r="O40" i="8" s="1"/>
  <c r="N69" i="10"/>
  <c r="O43" i="14"/>
  <c r="O71" i="14"/>
  <c r="O46" i="10" s="1"/>
  <c r="N42" i="14"/>
  <c r="N98" i="10"/>
  <c r="O12" i="11"/>
  <c r="O13" i="8"/>
  <c r="N29" i="14" l="1"/>
  <c r="N33" i="14" s="1"/>
  <c r="N50" i="14"/>
  <c r="O31" i="10"/>
  <c r="N29" i="10"/>
  <c r="N37" i="10"/>
  <c r="O12" i="13"/>
  <c r="O12" i="10"/>
  <c r="N51" i="14"/>
  <c r="N111" i="10" s="1"/>
  <c r="P25" i="11"/>
  <c r="N112" i="10"/>
  <c r="O16" i="8"/>
  <c r="N103" i="10"/>
  <c r="O109" i="10"/>
  <c r="O96" i="10"/>
  <c r="O20" i="11"/>
  <c r="AD20" i="11" l="1"/>
  <c r="AD14" i="11"/>
  <c r="O14" i="8"/>
  <c r="N77" i="10"/>
  <c r="N32" i="10"/>
  <c r="N33" i="10" s="1"/>
  <c r="O20" i="10"/>
  <c r="O20" i="13"/>
  <c r="P14" i="11"/>
  <c r="AD14" i="13" l="1"/>
  <c r="AD20" i="13"/>
  <c r="P14" i="13"/>
  <c r="P14" i="10"/>
  <c r="O18" i="11"/>
  <c r="O28" i="11"/>
  <c r="AD28" i="11" s="1"/>
  <c r="P12" i="11"/>
  <c r="O19" i="11" l="1"/>
  <c r="AD19" i="11" s="1"/>
  <c r="AD18" i="11"/>
  <c r="AD18" i="13" s="1"/>
  <c r="O25" i="14"/>
  <c r="P12" i="13"/>
  <c r="P12" i="10"/>
  <c r="P17" i="10"/>
  <c r="P74" i="10" s="1"/>
  <c r="P17" i="13"/>
  <c r="O18" i="10"/>
  <c r="O75" i="10" s="1"/>
  <c r="O18" i="13"/>
  <c r="AD34" i="13" s="1"/>
  <c r="P32" i="8"/>
  <c r="O47" i="13"/>
  <c r="O24" i="13" s="1"/>
  <c r="AD24" i="13" s="1"/>
  <c r="O61" i="14"/>
  <c r="P68" i="14"/>
  <c r="O39" i="14"/>
  <c r="O37" i="14" s="1"/>
  <c r="O65" i="10" s="1"/>
  <c r="O69" i="10" s="1"/>
  <c r="P29" i="8"/>
  <c r="P40" i="8" s="1"/>
  <c r="P20" i="11"/>
  <c r="AD37" i="13" l="1"/>
  <c r="W30" i="10"/>
  <c r="AD19" i="13"/>
  <c r="O24" i="10"/>
  <c r="P13" i="8" s="1"/>
  <c r="O30" i="10"/>
  <c r="O37" i="13"/>
  <c r="O23" i="13" s="1"/>
  <c r="O37" i="10"/>
  <c r="O19" i="10"/>
  <c r="O19" i="13"/>
  <c r="P20" i="10"/>
  <c r="P20" i="13"/>
  <c r="O49" i="14"/>
  <c r="Q14" i="11"/>
  <c r="O42" i="14"/>
  <c r="O98" i="10"/>
  <c r="P43" i="14"/>
  <c r="P71" i="14"/>
  <c r="P46" i="10" s="1"/>
  <c r="W77" i="10" l="1"/>
  <c r="W29" i="10"/>
  <c r="W32" i="10" s="1"/>
  <c r="W33" i="10" s="1"/>
  <c r="O29" i="14"/>
  <c r="O33" i="14" s="1"/>
  <c r="O50" i="14" s="1"/>
  <c r="AD23" i="13"/>
  <c r="P31" i="10"/>
  <c r="O29" i="10"/>
  <c r="O32" i="10" s="1"/>
  <c r="Q14" i="10"/>
  <c r="Q14" i="13"/>
  <c r="O51" i="14"/>
  <c r="P28" i="11"/>
  <c r="P18" i="11"/>
  <c r="P109" i="10"/>
  <c r="P96" i="10"/>
  <c r="O112" i="10"/>
  <c r="P16" i="8"/>
  <c r="O103" i="10"/>
  <c r="P19" i="11" l="1"/>
  <c r="O77" i="10"/>
  <c r="P14" i="8"/>
  <c r="O111" i="10"/>
  <c r="P18" i="10"/>
  <c r="P75" i="10" s="1"/>
  <c r="P18" i="13"/>
  <c r="P25" i="14"/>
  <c r="Q17" i="13"/>
  <c r="Q17" i="10"/>
  <c r="Q74" i="10" s="1"/>
  <c r="Q25" i="11"/>
  <c r="Q32" i="8"/>
  <c r="Q29" i="8"/>
  <c r="Q40" i="8" s="1"/>
  <c r="O33" i="10"/>
  <c r="P30" i="10" l="1"/>
  <c r="P37" i="13"/>
  <c r="P23" i="13" s="1"/>
  <c r="P24" i="10"/>
  <c r="Q13" i="8" s="1"/>
  <c r="P49" i="14"/>
  <c r="P19" i="10"/>
  <c r="P19" i="13"/>
  <c r="P61" i="14"/>
  <c r="Q68" i="14"/>
  <c r="P39" i="14"/>
  <c r="P37" i="14" s="1"/>
  <c r="P65" i="10" s="1"/>
  <c r="P69" i="10" s="1"/>
  <c r="P47" i="13"/>
  <c r="P24" i="13" s="1"/>
  <c r="Q12" i="11"/>
  <c r="P29" i="14" l="1"/>
  <c r="P33" i="14" s="1"/>
  <c r="P50" i="14" s="1"/>
  <c r="Q31" i="10"/>
  <c r="P29" i="10"/>
  <c r="Q14" i="8" s="1"/>
  <c r="P37" i="10"/>
  <c r="Q12" i="10"/>
  <c r="Q12" i="13"/>
  <c r="P51" i="14"/>
  <c r="P111" i="10" s="1"/>
  <c r="Q43" i="14"/>
  <c r="Q71" i="14"/>
  <c r="Q46" i="10" s="1"/>
  <c r="P42" i="14"/>
  <c r="P98" i="10"/>
  <c r="Q20" i="11"/>
  <c r="P77" i="10" l="1"/>
  <c r="P32" i="10"/>
  <c r="P33" i="10" s="1"/>
  <c r="Q20" i="10"/>
  <c r="Q20" i="13"/>
  <c r="R14" i="11"/>
  <c r="Q16" i="8"/>
  <c r="P112" i="10"/>
  <c r="P103" i="10"/>
  <c r="Q96" i="10"/>
  <c r="Q109" i="10"/>
  <c r="R14" i="10" l="1"/>
  <c r="R14" i="13"/>
  <c r="Q18" i="11"/>
  <c r="Q28" i="11"/>
  <c r="R32" i="8"/>
  <c r="Q19" i="11" l="1"/>
  <c r="R17" i="10"/>
  <c r="R74" i="10" s="1"/>
  <c r="R17" i="13"/>
  <c r="Q18" i="10"/>
  <c r="Q75" i="10" s="1"/>
  <c r="Q18" i="13"/>
  <c r="Q25" i="14"/>
  <c r="R68" i="14"/>
  <c r="Q61" i="14"/>
  <c r="Q39" i="14"/>
  <c r="Q37" i="14" s="1"/>
  <c r="Q65" i="10" s="1"/>
  <c r="Q69" i="10" s="1"/>
  <c r="Q47" i="13"/>
  <c r="Q24" i="13" s="1"/>
  <c r="R29" i="8"/>
  <c r="R40" i="8" s="1"/>
  <c r="Q24" i="10" l="1"/>
  <c r="Q30" i="10"/>
  <c r="Q37" i="13"/>
  <c r="Q23" i="13" s="1"/>
  <c r="Q37" i="10"/>
  <c r="Q19" i="10"/>
  <c r="Q19" i="13"/>
  <c r="Q49" i="14"/>
  <c r="R25" i="11"/>
  <c r="Q98" i="10"/>
  <c r="Q42" i="14"/>
  <c r="R43" i="14"/>
  <c r="R71" i="14"/>
  <c r="R46" i="10" s="1"/>
  <c r="R12" i="11"/>
  <c r="R13" i="8"/>
  <c r="Q29" i="14" l="1"/>
  <c r="Q33" i="14" s="1"/>
  <c r="Q50" i="14"/>
  <c r="R31" i="10"/>
  <c r="Q77" i="10"/>
  <c r="Q29" i="10"/>
  <c r="R14" i="8" s="1"/>
  <c r="R12" i="13"/>
  <c r="R12" i="10"/>
  <c r="Q51" i="14"/>
  <c r="Q111" i="10" s="1"/>
  <c r="R109" i="10"/>
  <c r="R96" i="10"/>
  <c r="Q112" i="10"/>
  <c r="R16" i="8"/>
  <c r="Q103" i="10"/>
  <c r="R20" i="11"/>
  <c r="Q32" i="10" l="1"/>
  <c r="R20" i="10"/>
  <c r="R20" i="13"/>
  <c r="S14" i="11"/>
  <c r="Q33" i="10" l="1"/>
  <c r="S14" i="10"/>
  <c r="S14" i="13"/>
  <c r="R18" i="11"/>
  <c r="R28" i="11"/>
  <c r="R19" i="11" l="1"/>
  <c r="R25" i="14"/>
  <c r="R49" i="14" s="1"/>
  <c r="R18" i="10"/>
  <c r="R75" i="10" s="1"/>
  <c r="R18" i="13"/>
  <c r="S17" i="10"/>
  <c r="S74" i="10" s="1"/>
  <c r="S17" i="13"/>
  <c r="S32" i="8"/>
  <c r="S12" i="11"/>
  <c r="T12" i="11" s="1"/>
  <c r="R61" i="14"/>
  <c r="S68" i="14"/>
  <c r="R39" i="14"/>
  <c r="R37" i="14" s="1"/>
  <c r="R65" i="10" s="1"/>
  <c r="R69" i="10" s="1"/>
  <c r="R47" i="13"/>
  <c r="R24" i="13" s="1"/>
  <c r="S29" i="8"/>
  <c r="S40" i="8" s="1"/>
  <c r="R24" i="10" l="1"/>
  <c r="S13" i="8" s="1"/>
  <c r="R30" i="10"/>
  <c r="R37" i="13"/>
  <c r="R23" i="13" s="1"/>
  <c r="R37" i="10"/>
  <c r="S12" i="10"/>
  <c r="S12" i="13"/>
  <c r="R19" i="10"/>
  <c r="R19" i="13"/>
  <c r="S31" i="10"/>
  <c r="S25" i="11"/>
  <c r="S20" i="11"/>
  <c r="S43" i="14"/>
  <c r="S71" i="14"/>
  <c r="S46" i="10" s="1"/>
  <c r="R42" i="14"/>
  <c r="R98" i="10"/>
  <c r="R29" i="14" l="1"/>
  <c r="R33" i="14" s="1"/>
  <c r="R50" i="14" s="1"/>
  <c r="R51" i="14" s="1"/>
  <c r="R29" i="10"/>
  <c r="R32" i="10" s="1"/>
  <c r="S20" i="13"/>
  <c r="S20" i="10"/>
  <c r="T14" i="11"/>
  <c r="R112" i="10"/>
  <c r="S16" i="8"/>
  <c r="R103" i="10"/>
  <c r="S96" i="10"/>
  <c r="S109" i="10"/>
  <c r="R111" i="10"/>
  <c r="T32" i="8"/>
  <c r="T14" i="10" l="1"/>
  <c r="R77" i="10"/>
  <c r="S14" i="8"/>
  <c r="T14" i="13"/>
  <c r="S18" i="11"/>
  <c r="S28" i="11"/>
  <c r="R33" i="10"/>
  <c r="S19" i="11" l="1"/>
  <c r="S25" i="14"/>
  <c r="S18" i="10"/>
  <c r="S75" i="10" s="1"/>
  <c r="S18" i="13"/>
  <c r="T17" i="13"/>
  <c r="T25" i="11"/>
  <c r="T29" i="8"/>
  <c r="T40" i="8" s="1"/>
  <c r="S61" i="14"/>
  <c r="T68" i="14"/>
  <c r="S39" i="14"/>
  <c r="S37" i="14" s="1"/>
  <c r="S65" i="10" s="1"/>
  <c r="S69" i="10" s="1"/>
  <c r="S47" i="13"/>
  <c r="S24" i="13" s="1"/>
  <c r="S37" i="10" s="1"/>
  <c r="U12" i="11" l="1"/>
  <c r="S30" i="10"/>
  <c r="S37" i="13"/>
  <c r="S23" i="13" s="1"/>
  <c r="T12" i="10"/>
  <c r="S24" i="10"/>
  <c r="T13" i="8" s="1"/>
  <c r="T12" i="13"/>
  <c r="S19" i="10"/>
  <c r="S19" i="13"/>
  <c r="S49" i="14"/>
  <c r="T71" i="14"/>
  <c r="T46" i="10" s="1"/>
  <c r="T43" i="14"/>
  <c r="S98" i="10"/>
  <c r="S42" i="14"/>
  <c r="T20" i="11"/>
  <c r="S29" i="14" l="1"/>
  <c r="S33" i="14" s="1"/>
  <c r="S50" i="14" s="1"/>
  <c r="U14" i="11"/>
  <c r="U20" i="11" s="1"/>
  <c r="V12" i="11"/>
  <c r="U12" i="13"/>
  <c r="T31" i="10"/>
  <c r="V31" i="10"/>
  <c r="S29" i="10"/>
  <c r="T14" i="8" s="1"/>
  <c r="T20" i="10"/>
  <c r="T96" i="10"/>
  <c r="T109" i="10"/>
  <c r="T20" i="13"/>
  <c r="S51" i="14"/>
  <c r="S111" i="10" s="1"/>
  <c r="S112" i="10"/>
  <c r="T16" i="8"/>
  <c r="S103" i="10"/>
  <c r="AD96" i="10" l="1"/>
  <c r="AE96" i="10"/>
  <c r="U14" i="13"/>
  <c r="U20" i="13"/>
  <c r="T28" i="11"/>
  <c r="W12" i="11"/>
  <c r="V12" i="13"/>
  <c r="S77" i="10"/>
  <c r="V14" i="11"/>
  <c r="S32" i="10"/>
  <c r="S33" i="10" s="1"/>
  <c r="AC96" i="10"/>
  <c r="T18" i="11"/>
  <c r="V14" i="13" l="1"/>
  <c r="T25" i="14"/>
  <c r="AC60" i="10" s="1"/>
  <c r="X12" i="11"/>
  <c r="W12" i="13"/>
  <c r="U18" i="11"/>
  <c r="U18" i="13" s="1"/>
  <c r="U28" i="11"/>
  <c r="V20" i="11"/>
  <c r="T19" i="11"/>
  <c r="T18" i="10"/>
  <c r="T75" i="10" s="1"/>
  <c r="T18" i="13"/>
  <c r="U32" i="8"/>
  <c r="V20" i="13" l="1"/>
  <c r="Y12" i="11"/>
  <c r="Z12" i="11" s="1"/>
  <c r="X12" i="13"/>
  <c r="W14" i="11"/>
  <c r="U19" i="11"/>
  <c r="U19" i="13" s="1"/>
  <c r="T30" i="10"/>
  <c r="T37" i="13"/>
  <c r="T23" i="13" s="1"/>
  <c r="T19" i="10"/>
  <c r="T24" i="10"/>
  <c r="T19" i="13"/>
  <c r="T49" i="14"/>
  <c r="U29" i="8"/>
  <c r="U40" i="8" s="1"/>
  <c r="D48" i="8" s="1"/>
  <c r="T61" i="14"/>
  <c r="T98" i="10" s="1"/>
  <c r="T39" i="14"/>
  <c r="T37" i="14" s="1"/>
  <c r="T65" i="10" s="1"/>
  <c r="T47" i="13"/>
  <c r="T24" i="13" s="1"/>
  <c r="Z12" i="10" l="1"/>
  <c r="AA12" i="11"/>
  <c r="AC24" i="13"/>
  <c r="AE24" i="13"/>
  <c r="U37" i="13"/>
  <c r="U23" i="13" s="1"/>
  <c r="U30" i="13" s="1"/>
  <c r="AC65" i="10"/>
  <c r="AC69" i="10" s="1"/>
  <c r="AD65" i="10"/>
  <c r="AD69" i="10" s="1"/>
  <c r="AE65" i="10"/>
  <c r="AE69" i="10" s="1"/>
  <c r="AD98" i="10"/>
  <c r="AE98" i="10"/>
  <c r="W14" i="13"/>
  <c r="V24" i="10"/>
  <c r="Z12" i="13"/>
  <c r="Y12" i="13"/>
  <c r="W20" i="11"/>
  <c r="V18" i="11"/>
  <c r="V28" i="11"/>
  <c r="AC98" i="10"/>
  <c r="AC112" i="10" s="1"/>
  <c r="U103" i="10"/>
  <c r="Y103" i="10"/>
  <c r="X103" i="10"/>
  <c r="W103" i="10"/>
  <c r="V103" i="10"/>
  <c r="U13" i="8"/>
  <c r="T29" i="14"/>
  <c r="T33" i="14" s="1"/>
  <c r="T29" i="10"/>
  <c r="T37" i="10"/>
  <c r="AE37" i="10" s="1"/>
  <c r="T69" i="10"/>
  <c r="T112" i="10"/>
  <c r="T103" i="10"/>
  <c r="T42" i="14"/>
  <c r="AA12" i="10" l="1"/>
  <c r="AE12" i="11"/>
  <c r="AE12" i="13" s="1"/>
  <c r="AA12" i="13"/>
  <c r="AC12" i="11"/>
  <c r="AC12" i="13" s="1"/>
  <c r="AC75" i="10"/>
  <c r="AD75" i="10"/>
  <c r="AD112" i="10"/>
  <c r="AD103" i="10"/>
  <c r="AC37" i="10"/>
  <c r="AD37" i="10"/>
  <c r="AD32" i="10"/>
  <c r="AE112" i="10"/>
  <c r="AE103" i="10"/>
  <c r="W20" i="13"/>
  <c r="V19" i="11"/>
  <c r="V19" i="13" s="1"/>
  <c r="V18" i="13"/>
  <c r="AC103" i="10"/>
  <c r="X14" i="11"/>
  <c r="U14" i="8"/>
  <c r="T32" i="10"/>
  <c r="T33" i="10" s="1"/>
  <c r="T50" i="14"/>
  <c r="T51" i="14" s="1"/>
  <c r="U16" i="8"/>
  <c r="AC12" i="10" l="1"/>
  <c r="AE12" i="10"/>
  <c r="AC74" i="10"/>
  <c r="AC77" i="10" s="1"/>
  <c r="AD74" i="10"/>
  <c r="AD77" i="10" s="1"/>
  <c r="AE74" i="10"/>
  <c r="AD33" i="10"/>
  <c r="X14" i="13"/>
  <c r="W18" i="11"/>
  <c r="W28" i="11"/>
  <c r="X20" i="11"/>
  <c r="AC97" i="10"/>
  <c r="AC111" i="10" s="1"/>
  <c r="T111" i="10"/>
  <c r="T77" i="10"/>
  <c r="V13" i="8"/>
  <c r="V37" i="13" l="1"/>
  <c r="V23" i="13" s="1"/>
  <c r="V30" i="13" s="1"/>
  <c r="X20" i="13"/>
  <c r="W19" i="11"/>
  <c r="W19" i="13" s="1"/>
  <c r="W18" i="13"/>
  <c r="Y14" i="11"/>
  <c r="V14" i="8"/>
  <c r="W37" i="13" l="1"/>
  <c r="W23" i="13" s="1"/>
  <c r="W30" i="13" s="1"/>
  <c r="Y14" i="13"/>
  <c r="X28" i="11"/>
  <c r="X18" i="11"/>
  <c r="Y20" i="11"/>
  <c r="Z14" i="11" s="1"/>
  <c r="V16" i="8"/>
  <c r="Z20" i="11" l="1"/>
  <c r="Z14" i="13"/>
  <c r="Y20" i="13"/>
  <c r="X19" i="11"/>
  <c r="X19" i="13" s="1"/>
  <c r="X18" i="13"/>
  <c r="Y28" i="11"/>
  <c r="Y18" i="11"/>
  <c r="W13" i="8"/>
  <c r="AA14" i="11" l="1"/>
  <c r="AA14" i="10" s="1"/>
  <c r="Z20" i="10"/>
  <c r="AC18" i="11"/>
  <c r="AE18" i="11"/>
  <c r="AE18" i="13" s="1"/>
  <c r="X37" i="13"/>
  <c r="X23" i="13" s="1"/>
  <c r="X30" i="13" s="1"/>
  <c r="AC28" i="11"/>
  <c r="AE28" i="11"/>
  <c r="AA14" i="13"/>
  <c r="AA20" i="11"/>
  <c r="AA20" i="10" s="1"/>
  <c r="Z20" i="13"/>
  <c r="Y19" i="11"/>
  <c r="Y18" i="13"/>
  <c r="W14" i="8"/>
  <c r="AE14" i="10" l="1"/>
  <c r="AE20" i="10"/>
  <c r="AC14" i="10"/>
  <c r="AC20" i="10"/>
  <c r="AA20" i="13"/>
  <c r="AE20" i="11"/>
  <c r="AE20" i="13" s="1"/>
  <c r="AC14" i="11"/>
  <c r="AC14" i="13" s="1"/>
  <c r="AC20" i="11"/>
  <c r="AC20" i="13" s="1"/>
  <c r="AE14" i="11"/>
  <c r="AE14" i="13" s="1"/>
  <c r="Y37" i="13"/>
  <c r="Y23" i="13" s="1"/>
  <c r="AC18" i="13"/>
  <c r="Y19" i="13"/>
  <c r="Z19" i="11"/>
  <c r="W16" i="8"/>
  <c r="AA19" i="11" l="1"/>
  <c r="AA19" i="10" s="1"/>
  <c r="Z19" i="10"/>
  <c r="AC23" i="13"/>
  <c r="AE23" i="13"/>
  <c r="Y30" i="13"/>
  <c r="AA19" i="13"/>
  <c r="AE19" i="11"/>
  <c r="AE19" i="13" s="1"/>
  <c r="AC19" i="11"/>
  <c r="AC34" i="13"/>
  <c r="AE34" i="13"/>
  <c r="Z19" i="13"/>
  <c r="X13" i="8"/>
  <c r="AE19" i="10" l="1"/>
  <c r="AC19" i="10"/>
  <c r="AE37" i="13"/>
  <c r="X30" i="10"/>
  <c r="V30" i="10"/>
  <c r="AC37" i="13"/>
  <c r="AC19" i="13"/>
  <c r="X14" i="8"/>
  <c r="X16" i="8"/>
  <c r="AC30" i="10" l="1"/>
  <c r="AE30" i="10"/>
  <c r="V29" i="10"/>
  <c r="X77" i="10"/>
  <c r="X29" i="10"/>
  <c r="X32" i="10" s="1"/>
  <c r="X33" i="10" s="1"/>
  <c r="Y14" i="8"/>
  <c r="Y13" i="8"/>
  <c r="AC29" i="10" l="1"/>
  <c r="AC32" i="10" s="1"/>
  <c r="AC33" i="10" s="1"/>
  <c r="AE29" i="10"/>
  <c r="V32" i="10"/>
  <c r="V33" i="10" s="1"/>
  <c r="AE32" i="10"/>
  <c r="AE33" i="10" s="1"/>
  <c r="V77" i="10"/>
  <c r="AE75" i="10"/>
  <c r="AE77" i="10" s="1"/>
  <c r="Y16" i="8"/>
  <c r="Z13" i="8" l="1"/>
  <c r="Z14" i="8" l="1"/>
  <c r="Z16" i="8" l="1"/>
  <c r="AA14" i="8" l="1"/>
  <c r="AA13" i="8"/>
  <c r="AA16" i="8" l="1"/>
  <c r="AB14" i="8" l="1"/>
  <c r="AB13" i="8"/>
  <c r="AB16" i="8" l="1"/>
  <c r="AC13" i="8" l="1"/>
  <c r="AC14" i="8" l="1"/>
  <c r="AC16" i="8" l="1"/>
  <c r="AD13" i="8"/>
  <c r="AD14" i="8" l="1"/>
  <c r="AD16" i="8" l="1"/>
  <c r="AE14" i="8" l="1"/>
  <c r="AE13" i="8"/>
  <c r="AE16" i="8" l="1"/>
  <c r="AF14" i="8" l="1"/>
  <c r="AF13" i="8" l="1"/>
  <c r="AF16" i="8" l="1"/>
  <c r="AG13" i="8" l="1"/>
  <c r="AG14" i="8"/>
  <c r="AG16" i="8" l="1"/>
  <c r="AH13" i="8" l="1"/>
  <c r="AH14" i="8" l="1"/>
  <c r="AH16" i="8" l="1"/>
  <c r="AI13" i="8" l="1"/>
  <c r="AI14" i="8" l="1"/>
  <c r="AI16" i="8" l="1"/>
  <c r="AJ13" i="8" l="1"/>
  <c r="AJ14" i="8" l="1"/>
  <c r="AJ16" i="8" l="1"/>
  <c r="AK13" i="8" l="1"/>
  <c r="AK14" i="8" l="1"/>
  <c r="AK16" i="8" l="1"/>
  <c r="AL13" i="8" l="1"/>
  <c r="AL14" i="8" l="1"/>
  <c r="AL16" i="8" l="1"/>
  <c r="AM14" i="8" l="1"/>
  <c r="AM13" i="8" l="1"/>
  <c r="AM16" i="8" l="1"/>
  <c r="AN13" i="8" l="1"/>
  <c r="AN14" i="8"/>
  <c r="AN16" i="8" l="1"/>
  <c r="AO13" i="8" l="1"/>
  <c r="AO14" i="8" l="1"/>
  <c r="AO16" i="8" l="1"/>
  <c r="AP14" i="8" l="1"/>
  <c r="AP13" i="8"/>
  <c r="AP16" i="8" l="1"/>
  <c r="AQ14" i="8" l="1"/>
  <c r="AQ13" i="8"/>
  <c r="AQ16" i="8" l="1"/>
  <c r="AR13" i="8" l="1"/>
  <c r="AR14" i="8" l="1"/>
  <c r="AR16" i="8" l="1"/>
  <c r="AS14" i="8" l="1"/>
  <c r="AS13" i="8"/>
  <c r="AS16" i="8" l="1"/>
  <c r="AT13" i="8" l="1"/>
  <c r="AT14" i="8"/>
  <c r="AT16" i="8" l="1"/>
  <c r="AU14" i="8" l="1"/>
  <c r="AU13" i="8" l="1"/>
  <c r="AU16" i="8" l="1"/>
  <c r="AV13" i="8" l="1"/>
  <c r="AV14" i="8" l="1"/>
  <c r="AV16" i="8" l="1"/>
  <c r="AW13" i="8" l="1"/>
  <c r="AW14" i="8" l="1"/>
  <c r="AW16" i="8" l="1"/>
  <c r="AX13" i="8" l="1"/>
  <c r="AX14" i="8" l="1"/>
  <c r="AX16" i="8" l="1"/>
  <c r="AY13" i="8" l="1"/>
  <c r="AY14" i="8" l="1"/>
  <c r="AY16" i="8"/>
  <c r="AZ13" i="8" l="1"/>
  <c r="AZ14" i="8"/>
  <c r="AZ16" i="8" l="1"/>
  <c r="BA13" i="8" l="1"/>
  <c r="BA14" i="8" l="1"/>
  <c r="BA16" i="8" l="1"/>
  <c r="BB14" i="8" l="1"/>
  <c r="BB13" i="8"/>
  <c r="BB16" i="8" l="1"/>
  <c r="BC14" i="8" l="1"/>
  <c r="BC13" i="8"/>
  <c r="BC16" i="8" l="1"/>
  <c r="BD14" i="8" l="1"/>
  <c r="BD13" i="8" l="1"/>
  <c r="BD16" i="8" l="1"/>
  <c r="BE13" i="8" l="1"/>
  <c r="BE14" i="8"/>
  <c r="BE16" i="8" l="1"/>
  <c r="BF13" i="8" l="1"/>
  <c r="BF14" i="8" l="1"/>
  <c r="BF16" i="8" l="1"/>
  <c r="BG13" i="8" l="1"/>
  <c r="BG14" i="8" l="1"/>
  <c r="BG16" i="8"/>
  <c r="BH13" i="8" l="1"/>
  <c r="BH14" i="8" l="1"/>
  <c r="BH16" i="8"/>
  <c r="BI13" i="8" l="1"/>
  <c r="BI14" i="8" l="1"/>
  <c r="BI16" i="8" l="1"/>
  <c r="BJ13" i="8" l="1"/>
  <c r="BJ14" i="8"/>
  <c r="BJ16" i="8" l="1"/>
  <c r="BK13" i="8" l="1"/>
  <c r="BK14" i="8"/>
  <c r="BL13" i="8" l="1"/>
  <c r="BK16" i="8" l="1"/>
  <c r="BM13" i="8"/>
  <c r="BN13" i="8" l="1"/>
  <c r="BO13" i="8" l="1"/>
  <c r="BP13" i="8" l="1"/>
  <c r="BQ13" i="8" l="1"/>
  <c r="BR13" i="8" l="1"/>
  <c r="BS13" i="8" l="1"/>
  <c r="BT13" i="8" l="1"/>
  <c r="BU13" i="8" l="1"/>
  <c r="BV13" i="8" l="1"/>
  <c r="BW13" i="8" l="1"/>
  <c r="BX13" i="8" l="1"/>
  <c r="BY13" i="8" l="1"/>
  <c r="BZ13" i="8" l="1"/>
  <c r="CA13" i="8" l="1"/>
  <c r="CB13" i="8" l="1"/>
  <c r="CC13" i="8" l="1"/>
  <c r="CD13" i="8" l="1"/>
  <c r="CE13" i="8" l="1"/>
  <c r="CF13" i="8" l="1"/>
  <c r="CG13" i="8" l="1"/>
  <c r="CH13" i="8" l="1"/>
  <c r="CI13" i="8" l="1"/>
  <c r="C103" i="13" l="1"/>
  <c r="D27" i="8"/>
  <c r="D38" i="8" s="1"/>
  <c r="C30" i="13" l="1"/>
  <c r="D103" i="13"/>
  <c r="E27" i="8"/>
  <c r="E38" i="8" s="1"/>
  <c r="D42" i="8" l="1"/>
  <c r="D15" i="8"/>
  <c r="D30" i="13"/>
  <c r="T103" i="13"/>
  <c r="S103" i="13"/>
  <c r="R103" i="13"/>
  <c r="O103" i="13"/>
  <c r="O29" i="13" s="1"/>
  <c r="O42" i="10" s="1"/>
  <c r="Q103" i="13"/>
  <c r="P103" i="13"/>
  <c r="N103" i="13"/>
  <c r="M103" i="13"/>
  <c r="L103" i="13"/>
  <c r="K103" i="13"/>
  <c r="J103" i="13"/>
  <c r="I103" i="13"/>
  <c r="H103" i="13"/>
  <c r="E103" i="13"/>
  <c r="G103" i="13"/>
  <c r="H27" i="8" s="1"/>
  <c r="H38" i="8" s="1"/>
  <c r="F103" i="13"/>
  <c r="G27" i="8" s="1"/>
  <c r="G38" i="8" s="1"/>
  <c r="M27" i="8" l="1"/>
  <c r="M38" i="8" s="1"/>
  <c r="L29" i="13"/>
  <c r="L42" i="10" s="1"/>
  <c r="U27" i="8"/>
  <c r="U38" i="8" s="1"/>
  <c r="T29" i="13"/>
  <c r="T42" i="10" s="1"/>
  <c r="T35" i="10" s="1"/>
  <c r="T43" i="10" s="1"/>
  <c r="N27" i="8"/>
  <c r="N38" i="8" s="1"/>
  <c r="M29" i="13"/>
  <c r="M42" i="10" s="1"/>
  <c r="O27" i="8"/>
  <c r="O38" i="8" s="1"/>
  <c r="N29" i="13"/>
  <c r="N42" i="10" s="1"/>
  <c r="Q27" i="8"/>
  <c r="Q38" i="8" s="1"/>
  <c r="P29" i="13"/>
  <c r="I27" i="8"/>
  <c r="I38" i="8" s="1"/>
  <c r="H29" i="13"/>
  <c r="R27" i="8"/>
  <c r="R38" i="8" s="1"/>
  <c r="Q29" i="13"/>
  <c r="Q42" i="10" s="1"/>
  <c r="J27" i="8"/>
  <c r="J38" i="8" s="1"/>
  <c r="I29" i="13"/>
  <c r="K27" i="8"/>
  <c r="K38" i="8" s="1"/>
  <c r="J29" i="13"/>
  <c r="S27" i="8"/>
  <c r="S38" i="8" s="1"/>
  <c r="R29" i="13"/>
  <c r="R42" i="10" s="1"/>
  <c r="L27" i="8"/>
  <c r="L38" i="8" s="1"/>
  <c r="K29" i="13"/>
  <c r="K42" i="10" s="1"/>
  <c r="T27" i="8"/>
  <c r="T38" i="8" s="1"/>
  <c r="S29" i="13"/>
  <c r="S42" i="10" s="1"/>
  <c r="G30" i="13"/>
  <c r="P27" i="8"/>
  <c r="P38" i="8" s="1"/>
  <c r="F30" i="13"/>
  <c r="F27" i="8"/>
  <c r="F38" i="8" s="1"/>
  <c r="E42" i="8"/>
  <c r="E41" i="8" s="1"/>
  <c r="E15" i="8"/>
  <c r="D41" i="8"/>
  <c r="E30" i="13"/>
  <c r="O30" i="13"/>
  <c r="AD29" i="13" l="1"/>
  <c r="AD30" i="13" s="1"/>
  <c r="AC29" i="13"/>
  <c r="AC30" i="13" s="1"/>
  <c r="P42" i="10"/>
  <c r="AE29" i="13"/>
  <c r="AE30" i="13" s="1"/>
  <c r="I42" i="10"/>
  <c r="W35" i="10"/>
  <c r="W43" i="10" s="1"/>
  <c r="J42" i="10"/>
  <c r="X35" i="10"/>
  <c r="X43" i="10" s="1"/>
  <c r="N30" i="13"/>
  <c r="H42" i="10"/>
  <c r="H35" i="10" s="1"/>
  <c r="V35" i="10"/>
  <c r="V43" i="10" s="1"/>
  <c r="S30" i="13"/>
  <c r="Q30" i="13"/>
  <c r="T47" i="10"/>
  <c r="T44" i="10"/>
  <c r="K30" i="13"/>
  <c r="M30" i="13"/>
  <c r="L30" i="13"/>
  <c r="S35" i="10"/>
  <c r="D46" i="8"/>
  <c r="L35" i="10"/>
  <c r="L43" i="10" s="1"/>
  <c r="L47" i="10" s="1"/>
  <c r="Q35" i="10"/>
  <c r="Q43" i="10" s="1"/>
  <c r="AB15" i="8"/>
  <c r="AD15" i="8"/>
  <c r="AK15" i="8"/>
  <c r="BB15" i="8"/>
  <c r="AR15" i="8"/>
  <c r="AO15" i="8"/>
  <c r="AN15" i="8"/>
  <c r="M35" i="10"/>
  <c r="M43" i="10" s="1"/>
  <c r="M47" i="10" s="1"/>
  <c r="AA15" i="8"/>
  <c r="G42" i="8"/>
  <c r="G41" i="8" s="1"/>
  <c r="W15" i="8"/>
  <c r="X15" i="8"/>
  <c r="AU15" i="8"/>
  <c r="AZ15" i="8"/>
  <c r="BJ15" i="8"/>
  <c r="K35" i="10"/>
  <c r="BC15" i="8"/>
  <c r="BK15" i="8"/>
  <c r="AT15" i="8"/>
  <c r="AL15" i="8"/>
  <c r="AW15" i="8"/>
  <c r="AC15" i="8"/>
  <c r="AI15" i="8"/>
  <c r="Z15" i="8"/>
  <c r="Y15" i="8"/>
  <c r="AJ15" i="8"/>
  <c r="BE15" i="8"/>
  <c r="N35" i="10"/>
  <c r="AX15" i="8"/>
  <c r="BF15" i="8"/>
  <c r="I30" i="13"/>
  <c r="I35" i="10"/>
  <c r="AS15" i="8"/>
  <c r="AQ15" i="8"/>
  <c r="AP15" i="8"/>
  <c r="R30" i="13"/>
  <c r="R35" i="10"/>
  <c r="T30" i="13"/>
  <c r="AG15" i="8"/>
  <c r="BI15" i="8"/>
  <c r="AF15" i="8"/>
  <c r="H30" i="13"/>
  <c r="AH15" i="8"/>
  <c r="BH15" i="8"/>
  <c r="AM15" i="8"/>
  <c r="P30" i="13"/>
  <c r="P35" i="10"/>
  <c r="BD15" i="8"/>
  <c r="AV15" i="8"/>
  <c r="AE15" i="8"/>
  <c r="V15" i="8"/>
  <c r="AY15" i="8"/>
  <c r="J30" i="13"/>
  <c r="BG15" i="8"/>
  <c r="O35" i="10"/>
  <c r="O43" i="10" s="1"/>
  <c r="O47" i="10" s="1"/>
  <c r="Q44" i="10" l="1"/>
  <c r="Q47" i="10"/>
  <c r="J35" i="10"/>
  <c r="AE43" i="10" s="1"/>
  <c r="AE42" i="10"/>
  <c r="AD42" i="10"/>
  <c r="W47" i="10"/>
  <c r="W44" i="10"/>
  <c r="X47" i="10"/>
  <c r="X44" i="10"/>
  <c r="AC42" i="10"/>
  <c r="V47" i="10"/>
  <c r="V44" i="10"/>
  <c r="AC43" i="10"/>
  <c r="T48" i="10"/>
  <c r="T52" i="10"/>
  <c r="T80" i="10" s="1"/>
  <c r="T106" i="10"/>
  <c r="T108" i="10" s="1"/>
  <c r="T110" i="10" s="1"/>
  <c r="T113" i="10" s="1"/>
  <c r="M42" i="8"/>
  <c r="M41" i="8" s="1"/>
  <c r="H42" i="8"/>
  <c r="H41" i="8" s="1"/>
  <c r="R42" i="8"/>
  <c r="R41" i="8" s="1"/>
  <c r="R15" i="8"/>
  <c r="BA15" i="8"/>
  <c r="H15" i="8"/>
  <c r="L44" i="10"/>
  <c r="S43" i="10"/>
  <c r="T42" i="8"/>
  <c r="T41" i="8" s="1"/>
  <c r="T15" i="8"/>
  <c r="M15" i="8"/>
  <c r="M44" i="10"/>
  <c r="N42" i="8"/>
  <c r="N41" i="8" s="1"/>
  <c r="N15" i="8"/>
  <c r="G15" i="8"/>
  <c r="K43" i="10"/>
  <c r="L15" i="8"/>
  <c r="L42" i="8"/>
  <c r="L41" i="8" s="1"/>
  <c r="I43" i="10"/>
  <c r="J42" i="8"/>
  <c r="J41" i="8" s="1"/>
  <c r="J15" i="8"/>
  <c r="N43" i="10"/>
  <c r="O42" i="8"/>
  <c r="O41" i="8" s="1"/>
  <c r="O15" i="8"/>
  <c r="U15" i="8"/>
  <c r="U42" i="8"/>
  <c r="U41" i="8" s="1"/>
  <c r="R43" i="10"/>
  <c r="S15" i="8"/>
  <c r="S42" i="8"/>
  <c r="S41" i="8" s="1"/>
  <c r="H43" i="10"/>
  <c r="I15" i="8"/>
  <c r="I42" i="8"/>
  <c r="I41" i="8" s="1"/>
  <c r="J43" i="10"/>
  <c r="K15" i="8"/>
  <c r="K42" i="8"/>
  <c r="K41" i="8" s="1"/>
  <c r="P43" i="10"/>
  <c r="Q42" i="8"/>
  <c r="Q41" i="8" s="1"/>
  <c r="Q15" i="8"/>
  <c r="L106" i="10"/>
  <c r="L108" i="10" s="1"/>
  <c r="L110" i="10" s="1"/>
  <c r="L113" i="10" s="1"/>
  <c r="L48" i="10"/>
  <c r="L52" i="10"/>
  <c r="L80" i="10" s="1"/>
  <c r="M106" i="10"/>
  <c r="M108" i="10" s="1"/>
  <c r="M110" i="10" s="1"/>
  <c r="M113" i="10" s="1"/>
  <c r="M52" i="10"/>
  <c r="M80" i="10" s="1"/>
  <c r="M48" i="10"/>
  <c r="Q106" i="10"/>
  <c r="F15" i="8"/>
  <c r="F42" i="8"/>
  <c r="P15" i="8"/>
  <c r="P42" i="8"/>
  <c r="P41" i="8" s="1"/>
  <c r="Q48" i="10" l="1"/>
  <c r="Q52" i="10"/>
  <c r="Q53" i="10" s="1"/>
  <c r="AD43" i="10"/>
  <c r="AE47" i="10"/>
  <c r="AE44" i="10"/>
  <c r="X48" i="10"/>
  <c r="X52" i="10"/>
  <c r="W48" i="10"/>
  <c r="W52" i="10"/>
  <c r="V52" i="10"/>
  <c r="V48" i="10"/>
  <c r="AC80" i="10"/>
  <c r="AC44" i="10"/>
  <c r="AC47" i="10"/>
  <c r="T95" i="10"/>
  <c r="T94" i="10" s="1"/>
  <c r="T53" i="10"/>
  <c r="S47" i="10"/>
  <c r="S44" i="10"/>
  <c r="K47" i="10"/>
  <c r="K44" i="10"/>
  <c r="N47" i="10"/>
  <c r="N44" i="10"/>
  <c r="I47" i="10"/>
  <c r="I44" i="10"/>
  <c r="H47" i="10"/>
  <c r="H44" i="10"/>
  <c r="R47" i="10"/>
  <c r="R44" i="10"/>
  <c r="P47" i="10"/>
  <c r="P44" i="10"/>
  <c r="J47" i="10"/>
  <c r="J44" i="10"/>
  <c r="O44" i="10"/>
  <c r="F41" i="8"/>
  <c r="D49" i="8" s="1"/>
  <c r="D50" i="8"/>
  <c r="M95" i="10"/>
  <c r="M94" i="10" s="1"/>
  <c r="M53" i="10"/>
  <c r="L95" i="10"/>
  <c r="L94" i="10" s="1"/>
  <c r="L53" i="10"/>
  <c r="AE48" i="10" l="1"/>
  <c r="AE52" i="10"/>
  <c r="AE53" i="10" s="1"/>
  <c r="AE106" i="10"/>
  <c r="AE108" i="10" s="1"/>
  <c r="AE110" i="10" s="1"/>
  <c r="AE113" i="10" s="1"/>
  <c r="AD47" i="10"/>
  <c r="AD44" i="10"/>
  <c r="W80" i="10"/>
  <c r="W53" i="10"/>
  <c r="W95" i="10"/>
  <c r="W94" i="10" s="1"/>
  <c r="X95" i="10"/>
  <c r="X94" i="10" s="1"/>
  <c r="X53" i="10"/>
  <c r="X80" i="10"/>
  <c r="V95" i="10"/>
  <c r="V94" i="10" s="1"/>
  <c r="V80" i="10"/>
  <c r="AE80" i="10" s="1"/>
  <c r="V53" i="10"/>
  <c r="AC52" i="10"/>
  <c r="AC53" i="10" s="1"/>
  <c r="AC106" i="10"/>
  <c r="AC108" i="10" s="1"/>
  <c r="AC110" i="10" s="1"/>
  <c r="AC113" i="10" s="1"/>
  <c r="AC48" i="10"/>
  <c r="S106" i="10"/>
  <c r="S108" i="10" s="1"/>
  <c r="S110" i="10" s="1"/>
  <c r="S113" i="10" s="1"/>
  <c r="S52" i="10"/>
  <c r="S80" i="10" s="1"/>
  <c r="S48" i="10"/>
  <c r="K52" i="10"/>
  <c r="K80" i="10" s="1"/>
  <c r="K106" i="10"/>
  <c r="K108" i="10" s="1"/>
  <c r="K110" i="10" s="1"/>
  <c r="K113" i="10" s="1"/>
  <c r="K48" i="10"/>
  <c r="N106" i="10"/>
  <c r="N108" i="10" s="1"/>
  <c r="N110" i="10" s="1"/>
  <c r="N113" i="10" s="1"/>
  <c r="N52" i="10"/>
  <c r="N80" i="10" s="1"/>
  <c r="N48" i="10"/>
  <c r="I106" i="10"/>
  <c r="I108" i="10" s="1"/>
  <c r="I110" i="10" s="1"/>
  <c r="I113" i="10" s="1"/>
  <c r="I52" i="10"/>
  <c r="I80" i="10" s="1"/>
  <c r="I48" i="10"/>
  <c r="R52" i="10"/>
  <c r="R80" i="10" s="1"/>
  <c r="R48" i="10"/>
  <c r="R106" i="10"/>
  <c r="R108" i="10" s="1"/>
  <c r="R110" i="10" s="1"/>
  <c r="R113" i="10" s="1"/>
  <c r="H48" i="10"/>
  <c r="H106" i="10"/>
  <c r="H108" i="10" s="1"/>
  <c r="H110" i="10" s="1"/>
  <c r="H113" i="10" s="1"/>
  <c r="H52" i="10"/>
  <c r="H80" i="10" s="1"/>
  <c r="J48" i="10"/>
  <c r="J106" i="10"/>
  <c r="J108" i="10" s="1"/>
  <c r="J110" i="10" s="1"/>
  <c r="J113" i="10" s="1"/>
  <c r="J52" i="10"/>
  <c r="J80" i="10" s="1"/>
  <c r="P52" i="10"/>
  <c r="P80" i="10" s="1"/>
  <c r="P48" i="10"/>
  <c r="P106" i="10"/>
  <c r="P108" i="10" s="1"/>
  <c r="P110" i="10" s="1"/>
  <c r="P113" i="10" s="1"/>
  <c r="D20" i="8"/>
  <c r="C47" i="8"/>
  <c r="C48" i="8"/>
  <c r="C46" i="8"/>
  <c r="C49" i="8"/>
  <c r="O52" i="10"/>
  <c r="O80" i="10" s="1"/>
  <c r="O106" i="10"/>
  <c r="O108" i="10" s="1"/>
  <c r="O110" i="10" s="1"/>
  <c r="O113" i="10" s="1"/>
  <c r="O48" i="10"/>
  <c r="AD48" i="10" l="1"/>
  <c r="AD106" i="10"/>
  <c r="AD108" i="10" s="1"/>
  <c r="AD110" i="10" s="1"/>
  <c r="AD113" i="10" s="1"/>
  <c r="AD52" i="10"/>
  <c r="AD53" i="10" s="1"/>
  <c r="I81" i="10"/>
  <c r="J81" i="10" s="1"/>
  <c r="H82" i="10"/>
  <c r="H84" i="10" s="1"/>
  <c r="S53" i="10"/>
  <c r="S95" i="10"/>
  <c r="S94" i="10" s="1"/>
  <c r="K95" i="10"/>
  <c r="K94" i="10" s="1"/>
  <c r="K53" i="10"/>
  <c r="I53" i="10"/>
  <c r="I95" i="10"/>
  <c r="N95" i="10"/>
  <c r="N94" i="10" s="1"/>
  <c r="N53" i="10"/>
  <c r="H95" i="10"/>
  <c r="H53" i="10"/>
  <c r="R53" i="10"/>
  <c r="R95" i="10"/>
  <c r="R94" i="10" s="1"/>
  <c r="P53" i="10"/>
  <c r="P95" i="10"/>
  <c r="P94" i="10" s="1"/>
  <c r="J95" i="10"/>
  <c r="J53" i="10"/>
  <c r="O95" i="10"/>
  <c r="O94" i="10" s="1"/>
  <c r="O53" i="10"/>
  <c r="Q107" i="10"/>
  <c r="Q108" i="10" s="1"/>
  <c r="Q110" i="10" s="1"/>
  <c r="Q113" i="10" s="1"/>
  <c r="Q80" i="10"/>
  <c r="I94" i="10" l="1"/>
  <c r="J94" i="10"/>
  <c r="K81" i="10"/>
  <c r="J82" i="10"/>
  <c r="J84" i="10" s="1"/>
  <c r="I82" i="10"/>
  <c r="I84" i="10" s="1"/>
  <c r="H94" i="10"/>
  <c r="E20" i="8"/>
  <c r="Q95" i="10"/>
  <c r="AC95" i="10" s="1"/>
  <c r="AE95" i="10" l="1"/>
  <c r="AD95" i="10"/>
  <c r="L81" i="10"/>
  <c r="K82" i="10"/>
  <c r="K84" i="10" s="1"/>
  <c r="Q94" i="10"/>
  <c r="AC94" i="10" s="1"/>
  <c r="AD94" i="10" l="1"/>
  <c r="AE94" i="10"/>
  <c r="M81" i="10"/>
  <c r="L82" i="10"/>
  <c r="L84" i="10" s="1"/>
  <c r="F20" i="8"/>
  <c r="N81" i="10" l="1"/>
  <c r="M82" i="10"/>
  <c r="M84" i="10" s="1"/>
  <c r="G20" i="8"/>
  <c r="H59" i="10"/>
  <c r="H63" i="10" s="1"/>
  <c r="H71" i="10" s="1"/>
  <c r="H85" i="10" s="1"/>
  <c r="AC90" i="10"/>
  <c r="AC101" i="10" s="1"/>
  <c r="H20" i="8"/>
  <c r="O81" i="10" l="1"/>
  <c r="N82" i="10"/>
  <c r="N84" i="10" s="1"/>
  <c r="H101" i="10"/>
  <c r="I90" i="10" s="1"/>
  <c r="I59" i="10"/>
  <c r="I63" i="10" s="1"/>
  <c r="I71" i="10" s="1"/>
  <c r="I85" i="10" s="1"/>
  <c r="I101" i="10" l="1"/>
  <c r="AD90" i="10"/>
  <c r="AD101" i="10" s="1"/>
  <c r="P81" i="10"/>
  <c r="O82" i="10"/>
  <c r="O84" i="10" s="1"/>
  <c r="I20" i="8"/>
  <c r="J59" i="10"/>
  <c r="J63" i="10" s="1"/>
  <c r="J71" i="10" s="1"/>
  <c r="J85" i="10" s="1"/>
  <c r="J90" i="10"/>
  <c r="J20" i="8"/>
  <c r="J101" i="10" l="1"/>
  <c r="K20" i="8" s="1"/>
  <c r="AE90" i="10"/>
  <c r="AE101" i="10" s="1"/>
  <c r="Q81" i="10"/>
  <c r="P82" i="10"/>
  <c r="P84" i="10" s="1"/>
  <c r="K90" i="10"/>
  <c r="K101" i="10" s="1"/>
  <c r="K59" i="10"/>
  <c r="K63" i="10" s="1"/>
  <c r="K71" i="10" s="1"/>
  <c r="K85" i="10" s="1"/>
  <c r="R81" i="10" l="1"/>
  <c r="Q82" i="10"/>
  <c r="Q84" i="10" s="1"/>
  <c r="L59" i="10"/>
  <c r="L63" i="10" s="1"/>
  <c r="L71" i="10" s="1"/>
  <c r="L85" i="10" s="1"/>
  <c r="L20" i="8"/>
  <c r="L90" i="10"/>
  <c r="L101" i="10" s="1"/>
  <c r="S81" i="10" l="1"/>
  <c r="R82" i="10"/>
  <c r="R84" i="10" s="1"/>
  <c r="M90" i="10"/>
  <c r="M101" i="10" s="1"/>
  <c r="M20" i="8"/>
  <c r="M59" i="10"/>
  <c r="M63" i="10" s="1"/>
  <c r="M71" i="10" s="1"/>
  <c r="M85" i="10" s="1"/>
  <c r="T81" i="10" l="1"/>
  <c r="S82" i="10"/>
  <c r="S84" i="10" s="1"/>
  <c r="N59" i="10"/>
  <c r="N20" i="8"/>
  <c r="N90" i="10"/>
  <c r="N101" i="10" s="1"/>
  <c r="AC81" i="10" l="1"/>
  <c r="AC82" i="10" s="1"/>
  <c r="AC84" i="10" s="1"/>
  <c r="U81" i="10"/>
  <c r="AD81" i="10" s="1"/>
  <c r="AD82" i="10" s="1"/>
  <c r="AD84" i="10" s="1"/>
  <c r="T82" i="10"/>
  <c r="T84" i="10" s="1"/>
  <c r="O90" i="10"/>
  <c r="O101" i="10" s="1"/>
  <c r="O20" i="8"/>
  <c r="O59" i="10"/>
  <c r="O63" i="10" s="1"/>
  <c r="O71" i="10" s="1"/>
  <c r="O85" i="10" s="1"/>
  <c r="N63" i="10"/>
  <c r="N71" i="10" s="1"/>
  <c r="N85" i="10" s="1"/>
  <c r="V81" i="10" l="1"/>
  <c r="AE81" i="10" s="1"/>
  <c r="AE82" i="10" s="1"/>
  <c r="AE84" i="10" s="1"/>
  <c r="U82" i="10"/>
  <c r="U84" i="10" s="1"/>
  <c r="U59" i="10" s="1"/>
  <c r="P59" i="10"/>
  <c r="P63" i="10" s="1"/>
  <c r="P71" i="10" s="1"/>
  <c r="P85" i="10" s="1"/>
  <c r="P90" i="10"/>
  <c r="P101" i="10" s="1"/>
  <c r="P20" i="8"/>
  <c r="U63" i="10" l="1"/>
  <c r="U71" i="10" s="1"/>
  <c r="U85" i="10" s="1"/>
  <c r="AD59" i="10"/>
  <c r="AD63" i="10" s="1"/>
  <c r="AD71" i="10" s="1"/>
  <c r="W81" i="10"/>
  <c r="V82" i="10"/>
  <c r="V84" i="10" s="1"/>
  <c r="V59" i="10" s="1"/>
  <c r="Q90" i="10"/>
  <c r="Q101" i="10" s="1"/>
  <c r="Q20" i="8"/>
  <c r="Q59" i="10"/>
  <c r="Q63" i="10" s="1"/>
  <c r="Q71" i="10" s="1"/>
  <c r="Q85" i="10" s="1"/>
  <c r="V63" i="10" l="1"/>
  <c r="V71" i="10" s="1"/>
  <c r="V85" i="10" s="1"/>
  <c r="AE59" i="10"/>
  <c r="AE63" i="10" s="1"/>
  <c r="AE71" i="10" s="1"/>
  <c r="X81" i="10"/>
  <c r="W82" i="10"/>
  <c r="W84" i="10" s="1"/>
  <c r="W59" i="10" s="1"/>
  <c r="W63" i="10" s="1"/>
  <c r="W71" i="10" s="1"/>
  <c r="W85" i="10" s="1"/>
  <c r="R59" i="10"/>
  <c r="R63" i="10" s="1"/>
  <c r="R71" i="10" s="1"/>
  <c r="R85" i="10" s="1"/>
  <c r="R20" i="8"/>
  <c r="R90" i="10"/>
  <c r="R101" i="10" s="1"/>
  <c r="Y81" i="10" l="1"/>
  <c r="Z81" i="10" s="1"/>
  <c r="X82" i="10"/>
  <c r="X84" i="10" s="1"/>
  <c r="X59" i="10" s="1"/>
  <c r="X63" i="10" s="1"/>
  <c r="X71" i="10" s="1"/>
  <c r="X85" i="10" s="1"/>
  <c r="S20" i="8"/>
  <c r="S90" i="10"/>
  <c r="S101" i="10" s="1"/>
  <c r="T90" i="10" s="1"/>
  <c r="T101" i="10" s="1"/>
  <c r="U90" i="10" s="1"/>
  <c r="U101" i="10" s="1"/>
  <c r="V90" i="10" s="1"/>
  <c r="V101" i="10" s="1"/>
  <c r="W90" i="10" s="1"/>
  <c r="W101" i="10" s="1"/>
  <c r="X90" i="10" s="1"/>
  <c r="X101" i="10" s="1"/>
  <c r="Y90" i="10" s="1"/>
  <c r="Y101" i="10" s="1"/>
  <c r="Z90" i="10" s="1"/>
  <c r="Z101" i="10" s="1"/>
  <c r="AA90" i="10" s="1"/>
  <c r="AA101" i="10" s="1"/>
  <c r="S59" i="10"/>
  <c r="S63" i="10" s="1"/>
  <c r="S71" i="10" s="1"/>
  <c r="S85" i="10" s="1"/>
  <c r="AA81" i="10" l="1"/>
  <c r="AA82" i="10" s="1"/>
  <c r="AA84" i="10" s="1"/>
  <c r="AA59" i="10" s="1"/>
  <c r="AA63" i="10" s="1"/>
  <c r="AA71" i="10" s="1"/>
  <c r="AA85" i="10" s="1"/>
  <c r="Z82" i="10"/>
  <c r="Z84" i="10" s="1"/>
  <c r="Z59" i="10" s="1"/>
  <c r="Z63" i="10" s="1"/>
  <c r="Z71" i="10" s="1"/>
  <c r="Z85" i="10" s="1"/>
  <c r="Y82" i="10"/>
  <c r="Y84" i="10" s="1"/>
  <c r="T59" i="10"/>
  <c r="AC59" i="10" s="1"/>
  <c r="AC63" i="10" s="1"/>
  <c r="AC71" i="10" s="1"/>
  <c r="T20" i="8"/>
  <c r="Y59" i="10" l="1"/>
  <c r="Y63" i="10" s="1"/>
  <c r="Y71" i="10" s="1"/>
  <c r="Y85" i="10" s="1"/>
  <c r="T63" i="10"/>
  <c r="T71" i="10" s="1"/>
  <c r="T85" i="10" s="1"/>
  <c r="U20" i="8"/>
  <c r="V20" i="8" l="1"/>
  <c r="W20" i="8" l="1"/>
  <c r="X20" i="8" l="1"/>
  <c r="Y20" i="8" l="1"/>
  <c r="Z20" i="8" l="1"/>
  <c r="AA20" i="8" l="1"/>
  <c r="AB20" i="8" l="1"/>
  <c r="AC20" i="8" l="1"/>
  <c r="AD20" i="8" l="1"/>
  <c r="AE20" i="8" l="1"/>
  <c r="AF20" i="8" l="1"/>
  <c r="AG20" i="8" l="1"/>
  <c r="AH20" i="8" l="1"/>
  <c r="AI20" i="8" l="1"/>
  <c r="AJ20" i="8" l="1"/>
  <c r="AK20" i="8" l="1"/>
  <c r="AL20" i="8" l="1"/>
  <c r="AM20" i="8" l="1"/>
  <c r="AN20" i="8" l="1"/>
  <c r="AO20" i="8" l="1"/>
  <c r="AP20" i="8" l="1"/>
  <c r="AQ20" i="8" l="1"/>
  <c r="AR20" i="8" l="1"/>
  <c r="AS20" i="8" l="1"/>
  <c r="AT20" i="8" l="1"/>
  <c r="AU20" i="8" l="1"/>
  <c r="AV20" i="8" l="1"/>
  <c r="AW20" i="8" l="1"/>
  <c r="AX20" i="8" l="1"/>
  <c r="AY20" i="8" l="1"/>
  <c r="AZ20" i="8" l="1"/>
  <c r="BA20" i="8" l="1"/>
  <c r="BB20" i="8" l="1"/>
  <c r="BC20" i="8" l="1"/>
  <c r="BD20" i="8" l="1"/>
  <c r="BE20" i="8" l="1"/>
  <c r="BF20" i="8" l="1"/>
  <c r="BG20" i="8" l="1"/>
  <c r="BH20" i="8" l="1"/>
  <c r="BI20" i="8" l="1"/>
  <c r="BJ20" i="8" l="1"/>
  <c r="C102" i="10"/>
  <c r="BK20" i="8" l="1"/>
  <c r="BL20" i="8" l="1"/>
  <c r="BM20" i="8" l="1"/>
  <c r="BN20" i="8" l="1"/>
  <c r="BO20" i="8" l="1"/>
  <c r="BP20" i="8" l="1"/>
  <c r="BQ20" i="8" l="1"/>
  <c r="BR20" i="8" l="1"/>
  <c r="BS20" i="8" l="1"/>
  <c r="BT20" i="8" l="1"/>
  <c r="BU20" i="8" l="1"/>
  <c r="BV20" i="8" l="1"/>
  <c r="BW20" i="8" l="1"/>
  <c r="BX20" i="8" l="1"/>
  <c r="BY20" i="8" l="1"/>
  <c r="BZ20" i="8" l="1"/>
  <c r="CA20" i="8" l="1"/>
  <c r="CB20" i="8" l="1"/>
  <c r="CC20" i="8" l="1"/>
  <c r="CD20" i="8" l="1"/>
  <c r="CE20" i="8" l="1"/>
  <c r="CF20" i="8" l="1"/>
  <c r="CG20" i="8" l="1"/>
  <c r="CH20" i="8" l="1"/>
  <c r="CI20" i="8"/>
</calcChain>
</file>

<file path=xl/sharedStrings.xml><?xml version="1.0" encoding="utf-8"?>
<sst xmlns="http://schemas.openxmlformats.org/spreadsheetml/2006/main" count="603" uniqueCount="438">
  <si>
    <t>Financial Model Guide</t>
  </si>
  <si>
    <t>COLOR CODING</t>
  </si>
  <si>
    <t>Inputs/assumptions</t>
  </si>
  <si>
    <t>BLUE</t>
  </si>
  <si>
    <t>Inputs, or any hard-coded data, such as historical values, assumptions, and drivers.</t>
  </si>
  <si>
    <t>Formulas/results</t>
  </si>
  <si>
    <t>BLACK</t>
  </si>
  <si>
    <t>Formulas, calculations, or references deriving from inputs</t>
  </si>
  <si>
    <t>CONTENTS</t>
  </si>
  <si>
    <t>LL Settings</t>
  </si>
  <si>
    <t>Lady Loans settings</t>
  </si>
  <si>
    <t>Settings</t>
  </si>
  <si>
    <t>General settings</t>
  </si>
  <si>
    <t>Projections</t>
  </si>
  <si>
    <t>Use this sheet to summarize the variables that directly affect the business projections</t>
  </si>
  <si>
    <t>FS-Annual</t>
  </si>
  <si>
    <t>Projected annual financial statements</t>
  </si>
  <si>
    <t>FS-Month</t>
  </si>
  <si>
    <t>Projected monthly financial statements</t>
  </si>
  <si>
    <t>Revenue</t>
  </si>
  <si>
    <t>Detailed monthly revenue assumptions &amp; projections</t>
  </si>
  <si>
    <t>COGS</t>
  </si>
  <si>
    <t>Detailed monthly cost of goods sold (COGS) assumptions &amp; projections</t>
  </si>
  <si>
    <t>SG&amp;A</t>
  </si>
  <si>
    <t>Detailed monthly selling, general &amp; administrative expenses (SG&amp;A) assumptions &amp; projections</t>
  </si>
  <si>
    <t>WK+CAPEX</t>
  </si>
  <si>
    <t>Detailed monthly working capital (WK) &amp; capital expenditures (CAPEX) assumptions &amp; projections</t>
  </si>
  <si>
    <t>Client Settings</t>
  </si>
  <si>
    <t>Year 0</t>
  </si>
  <si>
    <t>Year 1</t>
  </si>
  <si>
    <t>Year 2</t>
  </si>
  <si>
    <t>Year 3</t>
  </si>
  <si>
    <t>Year 4</t>
  </si>
  <si>
    <t>Year 5</t>
  </si>
  <si>
    <t>Expense Settings</t>
  </si>
  <si>
    <t xml:space="preserve">Salaries and Wages </t>
  </si>
  <si>
    <t>Questions</t>
  </si>
  <si>
    <t>Number of Loans in Month 1</t>
  </si>
  <si>
    <t>If Ladies payout or roll to collections, do they stay in the Sisterhood? If so, for how long?</t>
  </si>
  <si>
    <t>New Cosign Loans Percentage Growth Per Month</t>
  </si>
  <si>
    <t>Growth Operations Manager</t>
  </si>
  <si>
    <t>Why cap growth at 100 ladies per month?</t>
  </si>
  <si>
    <t>Average Loan Written</t>
  </si>
  <si>
    <t>Business Analyst</t>
  </si>
  <si>
    <t>Any other employees?</t>
  </si>
  <si>
    <t>Borrower Calls (Charge Off %) BK &amp; Judgement</t>
  </si>
  <si>
    <t>Collector</t>
  </si>
  <si>
    <t>Hire triggers for Deputy and Assistants?</t>
  </si>
  <si>
    <t>Therefore, Monthly Borrower Calls (WriteOff %)</t>
  </si>
  <si>
    <t>Monthly Payout/Paydown %</t>
  </si>
  <si>
    <t>Benefits, CPP, WCB, and EI Expenses as % of Wages</t>
  </si>
  <si>
    <t>Monthly Increase %</t>
  </si>
  <si>
    <t>Performance Pay Weekly ($) Per Employee</t>
  </si>
  <si>
    <t>Per Employee</t>
  </si>
  <si>
    <t>Cosign Borrower Fee Charged</t>
  </si>
  <si>
    <t>Digital Marketing</t>
  </si>
  <si>
    <t>Overall</t>
  </si>
  <si>
    <t>Lender Calls 210+ Days | Lender Fee</t>
  </si>
  <si>
    <t>Lender Calls 150+ Days | Lender Fee</t>
  </si>
  <si>
    <t>Lender Calls 45+ Days | Lender Fee</t>
  </si>
  <si>
    <t>Rent</t>
  </si>
  <si>
    <t>Interest Rate Charged</t>
  </si>
  <si>
    <t>Repairs &amp; Maintenance</t>
  </si>
  <si>
    <t>Recoverable % from Loans in Judgement</t>
  </si>
  <si>
    <t>Insurance Expense - Corporate</t>
  </si>
  <si>
    <t>Bankruptcy %</t>
  </si>
  <si>
    <t>Cosign Reserve Account Cap of Call Fees</t>
  </si>
  <si>
    <t>NSF Payment %</t>
  </si>
  <si>
    <t>NSF Fee Charge</t>
  </si>
  <si>
    <t>Telephone Expense - Voip and Cell</t>
  </si>
  <si>
    <t>Per Month</t>
  </si>
  <si>
    <t>Loan Discount (as Percentage of Int. Rev)</t>
  </si>
  <si>
    <t>Internet Expense</t>
  </si>
  <si>
    <t>Commissions (as % of Int Rev)</t>
  </si>
  <si>
    <t>Utilities Expense</t>
  </si>
  <si>
    <t>Avg Loan Payout Program Payout (from BST)</t>
  </si>
  <si>
    <t>Bank Charges</t>
  </si>
  <si>
    <t>Game Changer Foundation Contribution</t>
  </si>
  <si>
    <t>Computer &amp; Licensing Expense</t>
  </si>
  <si>
    <t>Courier/Postage</t>
  </si>
  <si>
    <t>Credit / Collections Expense</t>
  </si>
  <si>
    <t>Office Expense</t>
  </si>
  <si>
    <t>Travel</t>
  </si>
  <si>
    <t>Meals and Entertainment</t>
  </si>
  <si>
    <t>Legal</t>
  </si>
  <si>
    <t>Professional</t>
  </si>
  <si>
    <t>Accounting</t>
  </si>
  <si>
    <t>Other</t>
  </si>
  <si>
    <t>CashCo Agency Agreement</t>
  </si>
  <si>
    <t>Annual Interest Rate (on Debt)</t>
  </si>
  <si>
    <t>Credit Card Fees</t>
  </si>
  <si>
    <t>Item</t>
  </si>
  <si>
    <t>Format</t>
  </si>
  <si>
    <t>Input</t>
  </si>
  <si>
    <t>Notes</t>
  </si>
  <si>
    <t>GENERAL</t>
  </si>
  <si>
    <t>Company Name</t>
  </si>
  <si>
    <t>CosignSimple</t>
  </si>
  <si>
    <t>Currency</t>
  </si>
  <si>
    <t>CAD</t>
  </si>
  <si>
    <t>Model Start Date</t>
  </si>
  <si>
    <t xml:space="preserve">Model can only start on calendar years. </t>
  </si>
  <si>
    <t>FS-MONTH</t>
  </si>
  <si>
    <t>Initial Cash Balance</t>
  </si>
  <si>
    <t>FS-ANNUAL</t>
  </si>
  <si>
    <t>Taxes &amp; Inflation</t>
  </si>
  <si>
    <t>Income tax rate</t>
  </si>
  <si>
    <t>%</t>
  </si>
  <si>
    <t>Will be used to estimate the the annual tax payment, that will be added to FS-Month</t>
  </si>
  <si>
    <t>Inflation</t>
  </si>
  <si>
    <t>Used for buiness valuation calculations and depretiation repurchases</t>
  </si>
  <si>
    <t>Valuation</t>
  </si>
  <si>
    <t>Business terminal value</t>
  </si>
  <si>
    <t>xEBITDA</t>
  </si>
  <si>
    <t>This model will estimate your current business valuation based on a Discounted Cash Flow Model:</t>
  </si>
  <si>
    <t>Discount rate - Today</t>
  </si>
  <si>
    <t>https://www.investopedia.com/terms/d/dcf.asp#:~:text=Discounted%20cash%20flow%20(DCF)%20is,will%20generate%20in%20the%20future.</t>
  </si>
  <si>
    <t>Multiplier</t>
  </si>
  <si>
    <t>Debt/Capital Ratio</t>
  </si>
  <si>
    <t>Debt interest rate</t>
  </si>
  <si>
    <t>CAPEX</t>
  </si>
  <si>
    <t>Operating Cash</t>
  </si>
  <si>
    <t>Balance</t>
  </si>
  <si>
    <t>Percentage of revenues</t>
  </si>
  <si>
    <t>Accounts Receivable</t>
  </si>
  <si>
    <t>Pending Income/Total Income</t>
  </si>
  <si>
    <t>Pre-paid expenses</t>
  </si>
  <si>
    <t>Pre-paid Days Outstanding</t>
  </si>
  <si>
    <t>days</t>
  </si>
  <si>
    <t>Accounts Payable</t>
  </si>
  <si>
    <t>A/P as % of total COGS</t>
  </si>
  <si>
    <t>CAPITAL EXPENDITURES</t>
  </si>
  <si>
    <t>Automatically estimate new computer purchases for new employees</t>
  </si>
  <si>
    <t>Dropdown</t>
  </si>
  <si>
    <t>YES</t>
  </si>
  <si>
    <t>Price per computer</t>
  </si>
  <si>
    <t>TIME FOR ASSETS TO DEPRECIATE</t>
  </si>
  <si>
    <t>Office fixings</t>
  </si>
  <si>
    <t>Years</t>
  </si>
  <si>
    <t>Office furniture</t>
  </si>
  <si>
    <t>Computers</t>
  </si>
  <si>
    <t>Telecom equipment</t>
  </si>
  <si>
    <t>Servers &amp; other tech infrastructure</t>
  </si>
  <si>
    <t>Scenario A</t>
  </si>
  <si>
    <t>Scenario B</t>
  </si>
  <si>
    <t>Scenario C</t>
  </si>
  <si>
    <t>General Settings</t>
  </si>
  <si>
    <t>Fundraising Close Date</t>
  </si>
  <si>
    <t>Date</t>
  </si>
  <si>
    <t>Investment Amount</t>
  </si>
  <si>
    <t>USD</t>
  </si>
  <si>
    <t>REVENUE</t>
  </si>
  <si>
    <t>Office &gt; Per Desk Cost</t>
  </si>
  <si>
    <t>Data for Charts</t>
  </si>
  <si>
    <t>P&amp;L Bar Chart</t>
  </si>
  <si>
    <t>Cash in the Bank</t>
  </si>
  <si>
    <t>Use of Funds - first 18 months</t>
  </si>
  <si>
    <t>Ops</t>
  </si>
  <si>
    <t>R&amp;D</t>
  </si>
  <si>
    <t>Growth</t>
  </si>
  <si>
    <t>Total</t>
  </si>
  <si>
    <t>Total Expenses</t>
  </si>
  <si>
    <t>Pie Chart</t>
  </si>
  <si>
    <t>Financial Statement (Monthly)</t>
  </si>
  <si>
    <t>Unit</t>
  </si>
  <si>
    <t>KEY INDICATORS</t>
  </si>
  <si>
    <t>INCOME STATEMENT</t>
  </si>
  <si>
    <t>COS</t>
  </si>
  <si>
    <t>Gross Profit</t>
  </si>
  <si>
    <t>Gross margin</t>
  </si>
  <si>
    <t>EBITDA</t>
  </si>
  <si>
    <t>EBITDA margin</t>
  </si>
  <si>
    <t>D&amp;A</t>
  </si>
  <si>
    <t>EBIT</t>
  </si>
  <si>
    <t>EBIT margin</t>
  </si>
  <si>
    <t>Interest expense</t>
  </si>
  <si>
    <t>Income taxes</t>
  </si>
  <si>
    <t>Net income</t>
  </si>
  <si>
    <t>Net margin</t>
  </si>
  <si>
    <t>BALANCE SHEET</t>
  </si>
  <si>
    <t>Operating cash</t>
  </si>
  <si>
    <t>Excess cash</t>
  </si>
  <si>
    <t>Accounts receivable</t>
  </si>
  <si>
    <t>Inventories</t>
  </si>
  <si>
    <t>Prepaid expenses</t>
  </si>
  <si>
    <t>Current Assets</t>
  </si>
  <si>
    <t>PP&amp;E (net)</t>
  </si>
  <si>
    <t>Intangible assets</t>
  </si>
  <si>
    <t>Investments</t>
  </si>
  <si>
    <t>Other assets (net)</t>
  </si>
  <si>
    <t>Non-Current Assets</t>
  </si>
  <si>
    <t>Total Assets</t>
  </si>
  <si>
    <t>Financial obligations (Debt)</t>
  </si>
  <si>
    <t>Accounts payable</t>
  </si>
  <si>
    <t>Unearned revenues</t>
  </si>
  <si>
    <t>Total Liabilities</t>
  </si>
  <si>
    <t>Common equity</t>
  </si>
  <si>
    <t>Net earnings</t>
  </si>
  <si>
    <t>Retained earnings</t>
  </si>
  <si>
    <t>Total Equity</t>
  </si>
  <si>
    <t>Total Liabilities + Equity</t>
  </si>
  <si>
    <t>Check</t>
  </si>
  <si>
    <t>CASH FLOW</t>
  </si>
  <si>
    <t>Initial cash balance</t>
  </si>
  <si>
    <t>Cash infusions</t>
  </si>
  <si>
    <t>Capital calls (share of commitment)</t>
  </si>
  <si>
    <t>Investor Cash</t>
  </si>
  <si>
    <t>Operating change in cash</t>
  </si>
  <si>
    <t>(+) D&amp;A</t>
  </si>
  <si>
    <t>(+) Change in WC</t>
  </si>
  <si>
    <t>(-) CAPEX</t>
  </si>
  <si>
    <t>(+) Change in debt</t>
  </si>
  <si>
    <t>(-) Dividends</t>
  </si>
  <si>
    <t>Ending cash balance</t>
  </si>
  <si>
    <t xml:space="preserve">Total capital requirements </t>
  </si>
  <si>
    <t>VALUATION</t>
  </si>
  <si>
    <t>(-) Taxes</t>
  </si>
  <si>
    <t>EBIAT</t>
  </si>
  <si>
    <t>Gross cash flow</t>
  </si>
  <si>
    <t>(-) Change in WC</t>
  </si>
  <si>
    <t>Free cash flow</t>
  </si>
  <si>
    <t>Cosign Simple</t>
  </si>
  <si>
    <t># of Loans</t>
  </si>
  <si>
    <t>Total # of Loans</t>
  </si>
  <si>
    <t>Total $ on Loan (Outstanding Loans) BOM</t>
  </si>
  <si>
    <t>New Loans Written</t>
  </si>
  <si>
    <t>Cosign Reserve Account</t>
  </si>
  <si>
    <t>Total $ in Reserve Account EOM</t>
  </si>
  <si>
    <t>Total $ on Loan (Outstanding Loans) EOM</t>
  </si>
  <si>
    <t>Borrower Fees</t>
  </si>
  <si>
    <t>TOTAL</t>
  </si>
  <si>
    <t>Cosign Revenue from Operations</t>
  </si>
  <si>
    <t>Collected on Defaulted Loans</t>
  </si>
  <si>
    <t>NSF Fees Collected</t>
  </si>
  <si>
    <t>Revenue Source 2</t>
  </si>
  <si>
    <t>CosginSimple</t>
  </si>
  <si>
    <t>Operating Expenses</t>
  </si>
  <si>
    <t>CONSOLIDATED SG&amp;A</t>
  </si>
  <si>
    <t>COST OF SERVICE</t>
  </si>
  <si>
    <t>AFDA</t>
  </si>
  <si>
    <t>Total Cost of Services</t>
  </si>
  <si>
    <t>PAYROLL</t>
  </si>
  <si>
    <t>General</t>
  </si>
  <si>
    <t>Total Payroll</t>
  </si>
  <si>
    <t>MARKETING &amp; GROWTH</t>
  </si>
  <si>
    <t>Platforms</t>
  </si>
  <si>
    <t>Mailchimp</t>
  </si>
  <si>
    <t>Hubspot</t>
  </si>
  <si>
    <t>Platform 4</t>
  </si>
  <si>
    <t>Platform 5</t>
  </si>
  <si>
    <t xml:space="preserve">Direct Response Campaigns </t>
  </si>
  <si>
    <t>Social Media Support</t>
  </si>
  <si>
    <t>Facebook Ads</t>
  </si>
  <si>
    <t>Google Ads</t>
  </si>
  <si>
    <t>Total Marketing &amp; Growth</t>
  </si>
  <si>
    <t>ADVISORY &amp; PROF. SERVICES</t>
  </si>
  <si>
    <t xml:space="preserve">Recurring </t>
  </si>
  <si>
    <t>Total Advisory &amp; Prof</t>
  </si>
  <si>
    <t>RENT</t>
  </si>
  <si>
    <t>Office</t>
  </si>
  <si>
    <t>Total Rent</t>
  </si>
  <si>
    <t>SERVICE AGREEMENTS</t>
  </si>
  <si>
    <t>Service Agreement 2</t>
  </si>
  <si>
    <t>Service Agreement 3</t>
  </si>
  <si>
    <t>Total General</t>
  </si>
  <si>
    <t>OTHER EXPENSES</t>
  </si>
  <si>
    <t>Total Other Expenses</t>
  </si>
  <si>
    <t>CAPEX &amp; Working Capital</t>
  </si>
  <si>
    <t>BALANCE SHEET ACCOUNTS</t>
  </si>
  <si>
    <t>A/R from Revenues</t>
  </si>
  <si>
    <t>COS Accounts</t>
  </si>
  <si>
    <t>Assets</t>
  </si>
  <si>
    <t>Depreciation</t>
  </si>
  <si>
    <t>WORKING CAPITAL</t>
  </si>
  <si>
    <t>Change in Operating Cash</t>
  </si>
  <si>
    <t>Change in Accounts Receivable</t>
  </si>
  <si>
    <t>Change in Accounts Payable</t>
  </si>
  <si>
    <t>Total Working Capital</t>
  </si>
  <si>
    <t>By type of asset:</t>
  </si>
  <si>
    <t>Total CAPEX</t>
  </si>
  <si>
    <t>DEPRECIATION &amp; AMORTIZATION</t>
  </si>
  <si>
    <t>Senario</t>
  </si>
  <si>
    <t>Total Funds</t>
  </si>
  <si>
    <t>Regulatory</t>
  </si>
  <si>
    <t>Reg A Prep</t>
  </si>
  <si>
    <t>Reg A Marketing 5% Raise</t>
  </si>
  <si>
    <t>Form 1-A</t>
  </si>
  <si>
    <t>Audit</t>
  </si>
  <si>
    <t>Legal Fees</t>
  </si>
  <si>
    <t>Ongoing Legal</t>
  </si>
  <si>
    <t>Broker Dealer</t>
  </si>
  <si>
    <t>Transfer/Escrow</t>
  </si>
  <si>
    <t>Operating &amp; Admin</t>
  </si>
  <si>
    <t>Salaries</t>
  </si>
  <si>
    <t>SG&amp;A (Non Sal)</t>
  </si>
  <si>
    <t>Interest (On $2M)</t>
  </si>
  <si>
    <t>Foundation</t>
  </si>
  <si>
    <t>LPP</t>
  </si>
  <si>
    <t>Customer</t>
  </si>
  <si>
    <t>Marketing (5% Funds)</t>
  </si>
  <si>
    <t>Raise Marketing Strategy</t>
  </si>
  <si>
    <t>Sisterhood (Comm + Mark) 2% Loans</t>
  </si>
  <si>
    <t>Product/Tech</t>
  </si>
  <si>
    <t>FLS</t>
  </si>
  <si>
    <t>FLS Development</t>
  </si>
  <si>
    <t>App Development</t>
  </si>
  <si>
    <t>Loans</t>
  </si>
  <si>
    <t>Villages</t>
  </si>
  <si>
    <t>Ladies</t>
  </si>
  <si>
    <t>Total with loans</t>
  </si>
  <si>
    <t>Company</t>
  </si>
  <si>
    <t>GroundFloor</t>
  </si>
  <si>
    <t>Gatsby</t>
  </si>
  <si>
    <t>Caliber</t>
  </si>
  <si>
    <t>Vital</t>
  </si>
  <si>
    <t>Hundy</t>
  </si>
  <si>
    <t>Year Founded</t>
  </si>
  <si>
    <t>2018 Loans</t>
  </si>
  <si>
    <t>2019 Loans</t>
  </si>
  <si>
    <t>2018 Revenue</t>
  </si>
  <si>
    <t>2019 Revenue</t>
  </si>
  <si>
    <t>Employees</t>
  </si>
  <si>
    <t>100+</t>
  </si>
  <si>
    <t>Past Funding</t>
  </si>
  <si>
    <t>Seed</t>
  </si>
  <si>
    <t>568,796 Prefferd</t>
  </si>
  <si>
    <t>11,651,963 Preferred</t>
  </si>
  <si>
    <t>Series A</t>
  </si>
  <si>
    <t>747,373 Preferred</t>
  </si>
  <si>
    <t>2,564,103 Preferred</t>
  </si>
  <si>
    <t>1,732,585 Common</t>
  </si>
  <si>
    <t>11,466,966 Common</t>
  </si>
  <si>
    <t>15,000,000 Class B 10x Vote</t>
  </si>
  <si>
    <t>Raise</t>
  </si>
  <si>
    <t>Type</t>
  </si>
  <si>
    <t>Reg A+ Tier 2</t>
  </si>
  <si>
    <t>Reg CF</t>
  </si>
  <si>
    <t>Pre Money Valuation</t>
  </si>
  <si>
    <t>Round Size</t>
  </si>
  <si>
    <t>Security Type</t>
  </si>
  <si>
    <t>Preferred Equity</t>
  </si>
  <si>
    <t>Common Equity</t>
  </si>
  <si>
    <t>Convertible Note</t>
  </si>
  <si>
    <t>Voting</t>
  </si>
  <si>
    <t>6% Interest, 20% Discount, $5.75 Cap</t>
  </si>
  <si>
    <t>Security</t>
  </si>
  <si>
    <t>548,546 Series B (Common)</t>
  </si>
  <si>
    <t>5,434,782 Series A (Preferred)</t>
  </si>
  <si>
    <t>12,500,000 Series B (Preferred)</t>
  </si>
  <si>
    <t>Price per share</t>
  </si>
  <si>
    <t>Min Investment</t>
  </si>
  <si>
    <t>Platform</t>
  </si>
  <si>
    <t>Seed Invest (SI Securities)</t>
  </si>
  <si>
    <t>StartEngine</t>
  </si>
  <si>
    <t>Reg Filed</t>
  </si>
  <si>
    <t>Notes:</t>
  </si>
  <si>
    <t>10,000 Accounts</t>
  </si>
  <si>
    <t>$440M assets under management</t>
  </si>
  <si>
    <t>$2500/account</t>
  </si>
  <si>
    <t>P2P Microloans</t>
  </si>
  <si>
    <t>Limited to no Revenue</t>
  </si>
  <si>
    <t>2019 EBITA $8M</t>
  </si>
  <si>
    <t>Loan of $500 in a few minutes</t>
  </si>
  <si>
    <t>Comparables Method Valuation - Purchase $ / Accounts</t>
  </si>
  <si>
    <t>Seed 2015 - $2.165M Val $20M</t>
  </si>
  <si>
    <t>31 day repayment + 60 days grace</t>
  </si>
  <si>
    <t>Series A 2016 - $1.82M Val $37.2M</t>
  </si>
  <si>
    <t>Repay for access to more</t>
  </si>
  <si>
    <t>Series B 2016 - $9.6m Val $52M</t>
  </si>
  <si>
    <t>10,000 loan, 1.1M Loan Book</t>
  </si>
  <si>
    <t>1/3 pay off early or ontime</t>
  </si>
  <si>
    <t>177% AOR fior 31 days, 60% if extended to 90 days</t>
  </si>
  <si>
    <t>300 loans per month</t>
  </si>
  <si>
    <t>Cap Table Calculator - Equity Round</t>
  </si>
  <si>
    <t>Compant Details</t>
  </si>
  <si>
    <t xml:space="preserve">1. How many shares of stock have been issued? </t>
  </si>
  <si>
    <t>You can find this information on your incorporation documents. If you haven't incorporated, use the default 10,000,000.</t>
  </si>
  <si>
    <t>2. What is the initial % ownership</t>
  </si>
  <si>
    <t>Percentage (pre-funding)</t>
  </si>
  <si>
    <t>Stock</t>
  </si>
  <si>
    <t>Founder 1</t>
  </si>
  <si>
    <t>Founder 2</t>
  </si>
  <si>
    <t>Founder 3</t>
  </si>
  <si>
    <t>Other Founders or employees</t>
  </si>
  <si>
    <t xml:space="preserve">3. How much money are you looking to raise? </t>
  </si>
  <si>
    <t>4. What is your pre-money valuation?</t>
  </si>
  <si>
    <t>Results</t>
  </si>
  <si>
    <t>Basics</t>
  </si>
  <si>
    <t>Post-Money Valuation</t>
  </si>
  <si>
    <t>Stock that needs to be issued</t>
  </si>
  <si>
    <t>shares</t>
  </si>
  <si>
    <t>Total company stock after funding</t>
  </si>
  <si>
    <t>Investor's ownership</t>
  </si>
  <si>
    <t>percentage</t>
  </si>
  <si>
    <t>Cap Table</t>
  </si>
  <si>
    <t>Percentage Ownership</t>
  </si>
  <si>
    <t>Investors</t>
  </si>
  <si>
    <t>Cap Table Calculator - Convertible Note</t>
  </si>
  <si>
    <t>You can find this information on your incorporation documents. If you haven't incorporated, use the default 1,000,000.</t>
  </si>
  <si>
    <t xml:space="preserve">3. How much money are you looking to raise on the convertible note? </t>
  </si>
  <si>
    <t xml:space="preserve">4. What are the convertible note terms? </t>
  </si>
  <si>
    <t>Discount</t>
  </si>
  <si>
    <t>Interest Rate</t>
  </si>
  <si>
    <t>Cap</t>
  </si>
  <si>
    <t xml:space="preserve">5. What are your expectations for a Series A? </t>
  </si>
  <si>
    <t>pre-money</t>
  </si>
  <si>
    <t xml:space="preserve">Time after convertible note </t>
  </si>
  <si>
    <t>months</t>
  </si>
  <si>
    <t>Investment size</t>
  </si>
  <si>
    <t xml:space="preserve">Convertible Note </t>
  </si>
  <si>
    <t>Accrued interest before conversion</t>
  </si>
  <si>
    <t>Withstanding Convertible Note investment</t>
  </si>
  <si>
    <t>including interest</t>
  </si>
  <si>
    <t>Applicable valuation for Convertible Note</t>
  </si>
  <si>
    <t>Shares issued to Convertible Note Investors</t>
  </si>
  <si>
    <t>Total shares issued after Convertible Note</t>
  </si>
  <si>
    <t>Convertible Note Investors Ownership</t>
  </si>
  <si>
    <t>Stock that needs to be issued for Series A</t>
  </si>
  <si>
    <t xml:space="preserve">Total Company Stock after Series A </t>
  </si>
  <si>
    <t>Percentage Onwership of Series A Investors</t>
  </si>
  <si>
    <t>Cap Table after Series A</t>
  </si>
  <si>
    <t>Convertible Note Investors</t>
  </si>
  <si>
    <t>Series A Investors</t>
  </si>
  <si>
    <t>EIR (part time)</t>
  </si>
  <si>
    <t>CS Collect</t>
  </si>
  <si>
    <t>Performance Pay ($) Per Employee</t>
  </si>
  <si>
    <t>CashCo Management Services Agreement</t>
  </si>
  <si>
    <t>LTD</t>
  </si>
  <si>
    <t>FY2020</t>
  </si>
  <si>
    <t>H:O</t>
  </si>
  <si>
    <t>Year End Jan 31</t>
  </si>
  <si>
    <t>P:AA</t>
  </si>
  <si>
    <t>FY2021(YTD)</t>
  </si>
  <si>
    <t>Lender Admin Fee</t>
  </si>
  <si>
    <t>Borower Payout Bonus</t>
  </si>
  <si>
    <t>% of Loans Eligible for Admin Fee</t>
  </si>
  <si>
    <t>% of Loans Eligible for Payout Bonus</t>
  </si>
  <si>
    <t>***Forcast***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</si>
</sst>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"/>
    <numFmt numFmtId="166" formatCode="&quot;$&quot;#,##0"/>
    <numFmt numFmtId="167" formatCode="[$-409]mmmm\ d\,\ yyyy"/>
    <numFmt numFmtId="168" formatCode="&quot;$&quot;0&quot;/ton&quot;"/>
    <numFmt numFmtId="169" formatCode="&quot;$&quot;#,##0.00"/>
    <numFmt numFmtId="170" formatCode="[$-409]mmm\-yy"/>
    <numFmt numFmtId="171" formatCode="&quot;Month&quot;\ 0"/>
    <numFmt numFmtId="172" formatCode="0.0&quot;x&quot;"/>
    <numFmt numFmtId="173" formatCode="#,##0.0_);\(#,##0.0\)"/>
    <numFmt numFmtId="174" formatCode="mmm&quot;-&quot;yyyy"/>
    <numFmt numFmtId="175" formatCode="_(&quot;$&quot;* #,##0_);_(&quot;$&quot;* \(#,##0\);_(&quot;$&quot;* &quot;-&quot;??_);_(@_)"/>
    <numFmt numFmtId="176" formatCode="#,##0.000_);\(#,##0.000\)"/>
    <numFmt numFmtId="177" formatCode="#,##0.00000_);\(#,##0.00000\)"/>
    <numFmt numFmtId="178" formatCode="_(* #,##0.000_);_(* \(#,##0.000\);_(* &quot;-&quot;_);_(@_)"/>
    <numFmt numFmtId="179" formatCode="#,##0.0000_);\(#,##0.0000\)"/>
    <numFmt numFmtId="180" formatCode="_(* #,##0_);_(* \(#,##0\);_(* &quot;-&quot;??_);_(@_)"/>
    <numFmt numFmtId="181" formatCode="_([$$-409]* #,##0.00_);_([$$-409]* \(#,##0.00\);_([$$-409]* &quot;-&quot;??_);_(@_)"/>
    <numFmt numFmtId="182" formatCode="_(* #,##0.0_);_(* \(#,##0.0\);_(* &quot;-&quot;??_);_(@_)"/>
    <numFmt numFmtId="183" formatCode="_(&quot;$&quot;* #,##0.0_);_(&quot;$&quot;* \(#,##0.0\);_(&quot;$&quot;* &quot;-&quot;??_);_(@_)"/>
  </numFmts>
  <fonts count="109" x14ac:knownFonts="1">
    <font>
      <sz val="11"/>
      <color theme="1"/>
      <name val="Arial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</font>
    <font>
      <b/>
      <i/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rgb="FF7F7F7F"/>
      <name val="Arial"/>
      <family val="2"/>
    </font>
    <font>
      <i/>
      <sz val="14"/>
      <color theme="0"/>
      <name val="Arial"/>
      <family val="2"/>
    </font>
    <font>
      <sz val="14"/>
      <color rgb="FF1F497D"/>
      <name val="Arial"/>
      <family val="2"/>
    </font>
    <font>
      <b/>
      <u/>
      <sz val="14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14425E"/>
      <name val="Arial"/>
      <family val="2"/>
    </font>
    <font>
      <sz val="18"/>
      <color rgb="FF14425E"/>
      <name val="Arial"/>
      <family val="2"/>
    </font>
    <font>
      <sz val="14"/>
      <color rgb="FF0B5394"/>
      <name val="Arial"/>
      <family val="2"/>
    </font>
    <font>
      <b/>
      <sz val="14"/>
      <color rgb="FF0B5394"/>
      <name val="Arial"/>
      <family val="2"/>
    </font>
    <font>
      <sz val="11"/>
      <color rgb="FF0B5394"/>
      <name val="Calibri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b/>
      <sz val="14"/>
      <color rgb="FF64D8C2"/>
      <name val="Arial"/>
      <family val="2"/>
    </font>
    <font>
      <i/>
      <sz val="14"/>
      <color rgb="FF7F7F7F"/>
      <name val="Arial"/>
      <family val="2"/>
    </font>
    <font>
      <b/>
      <sz val="12"/>
      <color rgb="FF14425E"/>
      <name val="Arial"/>
      <family val="2"/>
    </font>
    <font>
      <sz val="12"/>
      <color rgb="FF0B5394"/>
      <name val="Arial"/>
      <family val="2"/>
    </font>
    <font>
      <b/>
      <sz val="18"/>
      <color theme="0"/>
      <name val="Arial"/>
      <family val="2"/>
    </font>
    <font>
      <b/>
      <sz val="12"/>
      <color rgb="FF0B5394"/>
      <name val="Arial"/>
      <family val="2"/>
    </font>
    <font>
      <sz val="18"/>
      <color theme="0"/>
      <name val="Arial"/>
      <family val="2"/>
    </font>
    <font>
      <sz val="11"/>
      <color rgb="FF0B5394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2"/>
      <color rgb="FFF9BE61"/>
      <name val="Arial"/>
      <family val="2"/>
    </font>
    <font>
      <u/>
      <sz val="12"/>
      <color theme="1"/>
      <name val="Arial"/>
      <family val="2"/>
    </font>
    <font>
      <sz val="12"/>
      <color rgb="FF1F497D"/>
      <name val="Arial"/>
      <family val="2"/>
    </font>
    <font>
      <sz val="12"/>
      <color rgb="FF7F7F7F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808080"/>
      <name val="Arial"/>
      <family val="2"/>
    </font>
    <font>
      <sz val="11"/>
      <color rgb="FF7F7F7F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1"/>
      <color rgb="FF1F497D"/>
      <name val="Arial"/>
      <family val="2"/>
    </font>
    <font>
      <b/>
      <i/>
      <sz val="12"/>
      <color theme="0"/>
      <name val="Arial"/>
      <family val="2"/>
    </font>
    <font>
      <b/>
      <u/>
      <sz val="11"/>
      <color theme="1"/>
      <name val="Arial"/>
      <family val="2"/>
    </font>
    <font>
      <i/>
      <sz val="12"/>
      <color theme="0"/>
      <name val="Arial"/>
      <family val="2"/>
    </font>
    <font>
      <b/>
      <sz val="11"/>
      <color theme="0"/>
      <name val="Arial"/>
      <family val="2"/>
    </font>
    <font>
      <i/>
      <sz val="12"/>
      <color rgb="FF000000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b/>
      <sz val="11"/>
      <color rgb="FFFFFFFF"/>
      <name val="Arial"/>
      <family val="2"/>
    </font>
    <font>
      <i/>
      <sz val="11"/>
      <color rgb="FF7F7F7F"/>
      <name val="Arial"/>
      <family val="2"/>
    </font>
    <font>
      <b/>
      <sz val="11"/>
      <color rgb="FF1F497D"/>
      <name val="Arial"/>
      <family val="2"/>
    </font>
    <font>
      <b/>
      <i/>
      <sz val="12"/>
      <color rgb="FFFFFFFF"/>
      <name val="Arial"/>
      <family val="2"/>
    </font>
    <font>
      <sz val="12"/>
      <color rgb="FFFFFFFF"/>
      <name val="Arial"/>
      <family val="2"/>
    </font>
    <font>
      <i/>
      <sz val="12"/>
      <color rgb="FFFFFFFF"/>
      <name val="Arial"/>
      <family val="2"/>
    </font>
    <font>
      <b/>
      <sz val="24"/>
      <color rgb="FFFFFFFF"/>
      <name val="Arial"/>
      <family val="2"/>
    </font>
    <font>
      <b/>
      <sz val="10"/>
      <color rgb="FF3D85C6"/>
      <name val="Arial"/>
      <family val="2"/>
    </font>
    <font>
      <b/>
      <sz val="11"/>
      <color rgb="FF0B5394"/>
      <name val="Arial"/>
      <family val="2"/>
    </font>
    <font>
      <b/>
      <sz val="11"/>
      <color rgb="FF3D85C6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434343"/>
      <name val="Arial"/>
      <family val="2"/>
    </font>
    <font>
      <sz val="11"/>
      <color theme="1"/>
      <name val="Arial"/>
      <family val="2"/>
    </font>
    <font>
      <b/>
      <sz val="11"/>
      <color rgb="FF14425E"/>
      <name val="Arial"/>
      <family val="2"/>
    </font>
    <font>
      <u/>
      <sz val="11"/>
      <color theme="1"/>
      <name val="Arial"/>
      <family val="2"/>
    </font>
    <font>
      <b/>
      <i/>
      <sz val="11"/>
      <color theme="0"/>
      <name val="Arial"/>
      <family val="2"/>
    </font>
    <font>
      <i/>
      <sz val="11"/>
      <color theme="0"/>
      <name val="Arial"/>
      <family val="2"/>
    </font>
    <font>
      <b/>
      <i/>
      <sz val="11"/>
      <color theme="1"/>
      <name val="Arial"/>
      <family val="2"/>
    </font>
    <font>
      <b/>
      <sz val="11"/>
      <color rgb="FF64D8C2"/>
      <name val="Arial"/>
      <family val="2"/>
    </font>
    <font>
      <b/>
      <sz val="11"/>
      <color rgb="FFFF506F"/>
      <name val="Arial"/>
      <family val="2"/>
    </font>
    <font>
      <b/>
      <sz val="11"/>
      <color theme="4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7F7F7F"/>
      <name val="Arial"/>
      <family val="2"/>
    </font>
    <font>
      <i/>
      <sz val="10"/>
      <color theme="1"/>
      <name val="Arial"/>
      <family val="2"/>
    </font>
    <font>
      <sz val="10"/>
      <color rgb="FF1F497D"/>
      <name val="Arial"/>
      <family val="2"/>
    </font>
    <font>
      <b/>
      <sz val="10"/>
      <color theme="0"/>
      <name val="Arial"/>
      <family val="2"/>
    </font>
    <font>
      <sz val="10"/>
      <color rgb="FF0B5394"/>
      <name val="Arial"/>
      <family val="2"/>
    </font>
    <font>
      <u/>
      <sz val="10"/>
      <color theme="1"/>
      <name val="Arial"/>
      <family val="2"/>
    </font>
    <font>
      <b/>
      <sz val="10"/>
      <color rgb="FF0B5394"/>
      <name val="Arial"/>
      <family val="2"/>
    </font>
    <font>
      <b/>
      <sz val="10"/>
      <color rgb="FF3ABEFF"/>
      <name val="Arial"/>
      <family val="2"/>
    </font>
    <font>
      <b/>
      <sz val="10"/>
      <color rgb="FF1F497D"/>
      <name val="Arial"/>
      <family val="2"/>
    </font>
    <font>
      <u/>
      <sz val="10"/>
      <color rgb="FF000000"/>
      <name val="Arial"/>
      <family val="2"/>
    </font>
    <font>
      <b/>
      <sz val="10"/>
      <color rgb="FFF9BE61"/>
      <name val="Arial"/>
      <family val="2"/>
    </font>
    <font>
      <u/>
      <sz val="10"/>
      <color rgb="FFF9BE61"/>
      <name val="Arial"/>
      <family val="2"/>
    </font>
    <font>
      <sz val="10"/>
      <color rgb="FF000000"/>
      <name val="Calibri"/>
      <family val="2"/>
    </font>
    <font>
      <sz val="10"/>
      <color rgb="FF000000"/>
      <name val="Inconsolata"/>
    </font>
    <font>
      <sz val="11"/>
      <color theme="0"/>
      <name val="Arial"/>
      <family val="2"/>
    </font>
    <font>
      <sz val="11"/>
      <color rgb="FFF2F2F2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rgb="FFFF0000"/>
      <name val="Arial"/>
      <family val="2"/>
    </font>
    <font>
      <sz val="11"/>
      <color rgb="FFFF506F"/>
      <name val="Arial"/>
      <family val="2"/>
    </font>
    <font>
      <sz val="11"/>
      <color theme="4"/>
      <name val="Arial"/>
      <family val="2"/>
    </font>
    <font>
      <b/>
      <sz val="11"/>
      <color rgb="FF00B0F0"/>
      <name val="Arial"/>
      <family val="2"/>
    </font>
    <font>
      <sz val="11"/>
      <color theme="0" tint="-0.49998474074526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1627"/>
        <bgColor rgb="FF001627"/>
      </patternFill>
    </fill>
    <fill>
      <patternFill patternType="solid">
        <fgColor rgb="FFFFFFFF"/>
        <bgColor rgb="FFFFFFFF"/>
      </patternFill>
    </fill>
    <fill>
      <patternFill patternType="solid">
        <fgColor rgb="FF3ABEFF"/>
        <bgColor rgb="FF3ABEFF"/>
      </patternFill>
    </fill>
    <fill>
      <patternFill patternType="solid">
        <fgColor rgb="FFFFE066"/>
        <bgColor rgb="FFFFE066"/>
      </patternFill>
    </fill>
    <fill>
      <patternFill patternType="solid">
        <fgColor rgb="FF14425E"/>
        <bgColor rgb="FF14425E"/>
      </patternFill>
    </fill>
    <fill>
      <patternFill patternType="solid">
        <fgColor rgb="FFD8D8D8"/>
        <bgColor rgb="FFD8D8D8"/>
      </patternFill>
    </fill>
    <fill>
      <patternFill patternType="solid">
        <fgColor rgb="FF64D8C2"/>
        <bgColor rgb="FF64D8C2"/>
      </patternFill>
    </fill>
    <fill>
      <patternFill patternType="solid">
        <fgColor rgb="FFFF506F"/>
        <bgColor rgb="FFFF506F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C0EFE6"/>
        <bgColor rgb="FFC0EFE6"/>
      </patternFill>
    </fill>
    <fill>
      <patternFill patternType="solid">
        <fgColor rgb="FFF993A8"/>
        <bgColor rgb="FFF993A8"/>
      </patternFill>
    </fill>
    <fill>
      <patternFill patternType="solid">
        <fgColor rgb="FFC7EDFF"/>
        <bgColor rgb="FFC7EDFF"/>
      </patternFill>
    </fill>
    <fill>
      <patternFill patternType="solid">
        <fgColor rgb="FFFFF0B3"/>
        <bgColor rgb="FFFFF0B3"/>
      </patternFill>
    </fill>
    <fill>
      <patternFill patternType="solid">
        <fgColor rgb="FF80D5FF"/>
        <bgColor rgb="FF80D5FF"/>
      </patternFill>
    </fill>
    <fill>
      <patternFill patternType="solid">
        <fgColor rgb="FFFFFF99"/>
        <bgColor rgb="FFFFFF99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3ABEFF"/>
      </patternFill>
    </fill>
    <fill>
      <patternFill patternType="solid">
        <fgColor theme="5" tint="0.59999389629810485"/>
        <bgColor rgb="FF80D5FF"/>
      </patternFill>
    </fill>
    <fill>
      <patternFill patternType="solid">
        <fgColor theme="5" tint="0.59999389629810485"/>
        <bgColor rgb="FFC7EDFF"/>
      </patternFill>
    </fill>
    <fill>
      <patternFill patternType="solid">
        <fgColor theme="5" tint="0.59999389629810485"/>
        <bgColor rgb="FF64D8C2"/>
      </patternFill>
    </fill>
    <fill>
      <patternFill patternType="solid">
        <fgColor theme="5" tint="0.59999389629810485"/>
        <bgColor rgb="FFC0EFE6"/>
      </patternFill>
    </fill>
    <fill>
      <patternFill patternType="solid">
        <fgColor theme="5" tint="0.59999389629810485"/>
        <bgColor rgb="FF14425E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5" tint="0.59999389629810485"/>
        <bgColor rgb="FFFF506F"/>
      </patternFill>
    </fill>
    <fill>
      <patternFill patternType="solid">
        <fgColor theme="5" tint="0.59999389629810485"/>
        <bgColor rgb="FFF993A8"/>
      </patternFill>
    </fill>
    <fill>
      <patternFill patternType="solid">
        <fgColor theme="5" tint="0.59999389629810485"/>
        <bgColor rgb="FFFFF0B3"/>
      </patternFill>
    </fill>
    <fill>
      <patternFill patternType="solid">
        <fgColor theme="5" tint="0.59999389629810485"/>
        <bgColor rgb="FFFFE066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4425E"/>
      </bottom>
      <diagonal/>
    </border>
    <border>
      <left/>
      <right/>
      <top/>
      <bottom style="medium">
        <color rgb="FF3ABEF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7F7F7F"/>
      </right>
      <top/>
      <bottom/>
      <diagonal/>
    </border>
    <border>
      <left/>
      <right/>
      <top/>
      <bottom style="thin">
        <color rgb="FF14425E"/>
      </bottom>
      <diagonal/>
    </border>
    <border>
      <left/>
      <right/>
      <top/>
      <bottom style="medium">
        <color rgb="FF64D8C2"/>
      </bottom>
      <diagonal/>
    </border>
    <border>
      <left/>
      <right/>
      <top/>
      <bottom/>
      <diagonal/>
    </border>
    <border>
      <left/>
      <right style="thick">
        <color rgb="FF3ABEFF"/>
      </right>
      <top/>
      <bottom/>
      <diagonal/>
    </border>
    <border>
      <left style="thick">
        <color rgb="FF3ABEFF"/>
      </left>
      <right/>
      <top style="thin">
        <color rgb="FF000000"/>
      </top>
      <bottom style="thin">
        <color rgb="FF000000"/>
      </bottom>
      <diagonal/>
    </border>
    <border>
      <left style="thick">
        <color rgb="FF3ABEFF"/>
      </left>
      <right/>
      <top/>
      <bottom/>
      <diagonal/>
    </border>
    <border>
      <left/>
      <right style="thick">
        <color rgb="FF3ABEFF"/>
      </right>
      <top/>
      <bottom style="medium">
        <color rgb="FF3ABEFF"/>
      </bottom>
      <diagonal/>
    </border>
    <border>
      <left style="thick">
        <color rgb="FF3ABEFF"/>
      </left>
      <right/>
      <top/>
      <bottom style="medium">
        <color rgb="FF3ABEFF"/>
      </bottom>
      <diagonal/>
    </border>
    <border>
      <left style="thick">
        <color rgb="FF3ABEFF"/>
      </left>
      <right/>
      <top style="thin">
        <color rgb="FF000000"/>
      </top>
      <bottom/>
      <diagonal/>
    </border>
    <border>
      <left/>
      <right style="thick">
        <color rgb="FF3ABEFF"/>
      </right>
      <top/>
      <bottom style="thin">
        <color rgb="FFBFBFBF"/>
      </bottom>
      <diagonal/>
    </border>
    <border>
      <left style="thick">
        <color rgb="FF3ABEFF"/>
      </left>
      <right/>
      <top/>
      <bottom style="thin">
        <color rgb="FFBFBFBF"/>
      </bottom>
      <diagonal/>
    </border>
    <border>
      <left/>
      <right style="thick">
        <color rgb="FFFFE066"/>
      </right>
      <top/>
      <bottom/>
      <diagonal/>
    </border>
    <border>
      <left/>
      <right/>
      <top/>
      <bottom style="medium">
        <color rgb="FFFFE066"/>
      </bottom>
      <diagonal/>
    </border>
    <border>
      <left/>
      <right style="thick">
        <color rgb="FFFFE066"/>
      </right>
      <top/>
      <bottom style="medium">
        <color rgb="FFFFE066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43" fontId="78" fillId="0" borderId="0" applyFont="0" applyFill="0" applyBorder="0" applyAlignment="0" applyProtection="0"/>
  </cellStyleXfs>
  <cellXfs count="693">
    <xf numFmtId="0" fontId="0" fillId="0" borderId="0" xfId="0"/>
    <xf numFmtId="0" fontId="10" fillId="0" borderId="0" xfId="0" applyFont="1"/>
    <xf numFmtId="3" fontId="10" fillId="0" borderId="0" xfId="0" applyNumberFormat="1" applyFont="1"/>
    <xf numFmtId="164" fontId="12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left"/>
    </xf>
    <xf numFmtId="165" fontId="10" fillId="0" borderId="0" xfId="0" applyNumberFormat="1" applyFont="1"/>
    <xf numFmtId="166" fontId="12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/>
    </xf>
    <xf numFmtId="171" fontId="11" fillId="0" borderId="0" xfId="0" applyNumberFormat="1" applyFont="1" applyAlignment="1">
      <alignment horizontal="center"/>
    </xf>
    <xf numFmtId="3" fontId="16" fillId="0" borderId="0" xfId="0" applyNumberFormat="1" applyFont="1"/>
    <xf numFmtId="3" fontId="16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7" fillId="0" borderId="2" xfId="0" applyNumberFormat="1" applyFont="1" applyBorder="1"/>
    <xf numFmtId="3" fontId="17" fillId="0" borderId="2" xfId="0" applyNumberFormat="1" applyFont="1" applyBorder="1" applyAlignment="1">
      <alignment horizontal="center"/>
    </xf>
    <xf numFmtId="3" fontId="18" fillId="0" borderId="2" xfId="0" applyNumberFormat="1" applyFont="1" applyBorder="1"/>
    <xf numFmtId="3" fontId="10" fillId="0" borderId="0" xfId="0" applyNumberFormat="1" applyFont="1" applyAlignment="1">
      <alignment horizontal="center"/>
    </xf>
    <xf numFmtId="3" fontId="19" fillId="0" borderId="0" xfId="0" applyNumberFormat="1" applyFont="1"/>
    <xf numFmtId="37" fontId="20" fillId="0" borderId="0" xfId="0" applyNumberFormat="1" applyFont="1" applyAlignment="1">
      <alignment horizontal="center"/>
    </xf>
    <xf numFmtId="37" fontId="19" fillId="0" borderId="0" xfId="0" applyNumberFormat="1" applyFont="1"/>
    <xf numFmtId="37" fontId="16" fillId="0" borderId="0" xfId="0" applyNumberFormat="1" applyFont="1" applyAlignment="1">
      <alignment horizontal="center"/>
    </xf>
    <xf numFmtId="37" fontId="14" fillId="0" borderId="0" xfId="0" applyNumberFormat="1" applyFont="1"/>
    <xf numFmtId="4" fontId="16" fillId="0" borderId="0" xfId="0" applyNumberFormat="1" applyFont="1" applyAlignment="1">
      <alignment horizontal="center"/>
    </xf>
    <xf numFmtId="37" fontId="10" fillId="0" borderId="0" xfId="0" applyNumberFormat="1" applyFont="1"/>
    <xf numFmtId="3" fontId="22" fillId="6" borderId="0" xfId="0" applyNumberFormat="1" applyFont="1" applyFill="1"/>
    <xf numFmtId="3" fontId="11" fillId="6" borderId="0" xfId="0" applyNumberFormat="1" applyFont="1" applyFill="1" applyAlignment="1">
      <alignment horizontal="center"/>
    </xf>
    <xf numFmtId="37" fontId="23" fillId="0" borderId="0" xfId="0" applyNumberFormat="1" applyFont="1"/>
    <xf numFmtId="3" fontId="24" fillId="6" borderId="0" xfId="0" applyNumberFormat="1" applyFont="1" applyFill="1"/>
    <xf numFmtId="37" fontId="25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26" fillId="0" borderId="0" xfId="0" applyNumberFormat="1" applyFont="1"/>
    <xf numFmtId="0" fontId="0" fillId="0" borderId="0" xfId="0" applyAlignment="1">
      <alignment horizontal="right"/>
    </xf>
    <xf numFmtId="164" fontId="27" fillId="0" borderId="0" xfId="0" applyNumberFormat="1" applyFont="1" applyAlignment="1">
      <alignment horizontal="center"/>
    </xf>
    <xf numFmtId="0" fontId="27" fillId="0" borderId="1" xfId="0" applyFont="1" applyBorder="1" applyAlignment="1">
      <alignment horizontal="center"/>
    </xf>
    <xf numFmtId="14" fontId="31" fillId="0" borderId="1" xfId="0" applyNumberFormat="1" applyFont="1" applyBorder="1" applyAlignment="1">
      <alignment horizontal="center" vertical="center"/>
    </xf>
    <xf numFmtId="3" fontId="27" fillId="0" borderId="0" xfId="0" applyNumberFormat="1" applyFont="1" applyAlignment="1">
      <alignment horizontal="right"/>
    </xf>
    <xf numFmtId="7" fontId="31" fillId="0" borderId="0" xfId="0" applyNumberFormat="1" applyFont="1"/>
    <xf numFmtId="7" fontId="0" fillId="0" borderId="0" xfId="0" applyNumberFormat="1"/>
    <xf numFmtId="3" fontId="0" fillId="0" borderId="0" xfId="0" applyNumberFormat="1" applyAlignment="1">
      <alignment horizontal="left"/>
    </xf>
    <xf numFmtId="3" fontId="33" fillId="0" borderId="0" xfId="0" applyNumberFormat="1" applyFont="1" applyAlignment="1">
      <alignment horizontal="right"/>
    </xf>
    <xf numFmtId="0" fontId="31" fillId="0" borderId="0" xfId="0" applyFont="1"/>
    <xf numFmtId="3" fontId="34" fillId="0" borderId="0" xfId="0" applyNumberFormat="1" applyFont="1"/>
    <xf numFmtId="3" fontId="33" fillId="0" borderId="0" xfId="0" applyNumberFormat="1" applyFont="1"/>
    <xf numFmtId="37" fontId="27" fillId="0" borderId="0" xfId="0" applyNumberFormat="1" applyFont="1" applyAlignment="1">
      <alignment horizontal="center"/>
    </xf>
    <xf numFmtId="3" fontId="35" fillId="0" borderId="0" xfId="0" applyNumberFormat="1" applyFont="1"/>
    <xf numFmtId="37" fontId="36" fillId="0" borderId="0" xfId="0" applyNumberFormat="1" applyFont="1"/>
    <xf numFmtId="3" fontId="33" fillId="0" borderId="0" xfId="0" applyNumberFormat="1" applyFont="1" applyAlignment="1">
      <alignment horizontal="left"/>
    </xf>
    <xf numFmtId="9" fontId="27" fillId="0" borderId="0" xfId="0" applyNumberFormat="1" applyFont="1" applyAlignment="1">
      <alignment horizontal="center"/>
    </xf>
    <xf numFmtId="3" fontId="29" fillId="0" borderId="0" xfId="0" applyNumberFormat="1" applyFont="1" applyAlignment="1">
      <alignment horizontal="center"/>
    </xf>
    <xf numFmtId="9" fontId="37" fillId="0" borderId="0" xfId="0" applyNumberFormat="1" applyFont="1"/>
    <xf numFmtId="3" fontId="38" fillId="0" borderId="0" xfId="0" applyNumberFormat="1" applyFont="1" applyAlignment="1">
      <alignment horizontal="center"/>
    </xf>
    <xf numFmtId="173" fontId="27" fillId="0" borderId="0" xfId="0" applyNumberFormat="1" applyFont="1" applyAlignment="1">
      <alignment horizontal="center"/>
    </xf>
    <xf numFmtId="173" fontId="36" fillId="0" borderId="0" xfId="0" applyNumberFormat="1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39" fillId="0" borderId="0" xfId="0" applyNumberFormat="1" applyFont="1"/>
    <xf numFmtId="0" fontId="4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4" fontId="44" fillId="0" borderId="1" xfId="0" applyNumberFormat="1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44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3" fontId="49" fillId="0" borderId="0" xfId="0" applyNumberFormat="1" applyFont="1" applyAlignment="1">
      <alignment horizontal="left" vertical="center"/>
    </xf>
    <xf numFmtId="3" fontId="0" fillId="0" borderId="5" xfId="0" applyNumberFormat="1" applyBorder="1" applyAlignment="1">
      <alignment horizontal="left"/>
    </xf>
    <xf numFmtId="3" fontId="0" fillId="0" borderId="5" xfId="0" applyNumberFormat="1" applyBorder="1"/>
    <xf numFmtId="164" fontId="44" fillId="0" borderId="5" xfId="0" applyNumberFormat="1" applyFont="1" applyBorder="1" applyAlignment="1">
      <alignment horizontal="center"/>
    </xf>
    <xf numFmtId="165" fontId="0" fillId="0" borderId="5" xfId="0" applyNumberFormat="1" applyBorder="1"/>
    <xf numFmtId="166" fontId="44" fillId="0" borderId="5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left"/>
    </xf>
    <xf numFmtId="3" fontId="0" fillId="0" borderId="6" xfId="0" applyNumberFormat="1" applyBorder="1"/>
    <xf numFmtId="170" fontId="38" fillId="6" borderId="7" xfId="0" applyNumberFormat="1" applyFont="1" applyFill="1" applyBorder="1" applyAlignment="1">
      <alignment horizontal="center"/>
    </xf>
    <xf numFmtId="3" fontId="0" fillId="0" borderId="8" xfId="0" applyNumberFormat="1" applyBorder="1"/>
    <xf numFmtId="171" fontId="51" fillId="12" borderId="0" xfId="0" applyNumberFormat="1" applyFont="1" applyFill="1" applyAlignment="1">
      <alignment horizontal="center"/>
    </xf>
    <xf numFmtId="3" fontId="5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3" fontId="3" fillId="0" borderId="0" xfId="0" applyNumberFormat="1" applyFont="1"/>
    <xf numFmtId="9" fontId="1" fillId="0" borderId="0" xfId="0" applyNumberFormat="1" applyFont="1"/>
    <xf numFmtId="3" fontId="40" fillId="0" borderId="0" xfId="0" applyNumberFormat="1" applyFont="1"/>
    <xf numFmtId="3" fontId="53" fillId="0" borderId="0" xfId="0" applyNumberFormat="1" applyFont="1" applyAlignment="1">
      <alignment horizontal="left"/>
    </xf>
    <xf numFmtId="3" fontId="51" fillId="0" borderId="0" xfId="0" applyNumberFormat="1" applyFont="1" applyAlignment="1">
      <alignment horizontal="left"/>
    </xf>
    <xf numFmtId="3" fontId="56" fillId="0" borderId="0" xfId="0" applyNumberFormat="1" applyFont="1" applyAlignment="1">
      <alignment horizontal="right"/>
    </xf>
    <xf numFmtId="37" fontId="57" fillId="0" borderId="0" xfId="0" applyNumberFormat="1" applyFont="1" applyAlignment="1">
      <alignment horizontal="left"/>
    </xf>
    <xf numFmtId="0" fontId="33" fillId="0" borderId="0" xfId="0" applyFont="1"/>
    <xf numFmtId="3" fontId="41" fillId="0" borderId="0" xfId="0" applyNumberFormat="1" applyFont="1"/>
    <xf numFmtId="0" fontId="61" fillId="2" borderId="0" xfId="0" applyFont="1" applyFill="1" applyAlignment="1">
      <alignment horizontal="left" vertical="center"/>
    </xf>
    <xf numFmtId="0" fontId="62" fillId="2" borderId="0" xfId="0" applyFont="1" applyFill="1" applyAlignment="1">
      <alignment horizontal="left" vertical="center" wrapText="1"/>
    </xf>
    <xf numFmtId="0" fontId="32" fillId="19" borderId="0" xfId="0" applyFont="1" applyFill="1" applyAlignment="1">
      <alignment horizontal="left" vertical="center" wrapText="1"/>
    </xf>
    <xf numFmtId="3" fontId="63" fillId="19" borderId="0" xfId="0" applyNumberFormat="1" applyFont="1" applyFill="1" applyAlignment="1">
      <alignment horizontal="left" vertical="center" wrapText="1"/>
    </xf>
    <xf numFmtId="0" fontId="63" fillId="19" borderId="0" xfId="0" applyFont="1" applyFill="1" applyAlignment="1">
      <alignment horizontal="left" vertical="center" wrapText="1"/>
    </xf>
    <xf numFmtId="3" fontId="32" fillId="0" borderId="0" xfId="0" applyNumberFormat="1" applyFont="1" applyAlignment="1">
      <alignment horizontal="left" vertical="center" wrapText="1"/>
    </xf>
    <xf numFmtId="0" fontId="6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9" fontId="63" fillId="0" borderId="0" xfId="0" applyNumberFormat="1" applyFont="1" applyAlignment="1">
      <alignment horizontal="left"/>
    </xf>
    <xf numFmtId="0" fontId="32" fillId="0" borderId="0" xfId="0" applyFont="1" applyAlignment="1">
      <alignment horizontal="left" vertical="center" wrapText="1"/>
    </xf>
    <xf numFmtId="9" fontId="32" fillId="0" borderId="0" xfId="0" applyNumberFormat="1" applyFont="1" applyAlignment="1">
      <alignment horizontal="left" vertical="center" wrapText="1"/>
    </xf>
    <xf numFmtId="166" fontId="63" fillId="19" borderId="0" xfId="0" applyNumberFormat="1" applyFont="1" applyFill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3" fontId="32" fillId="19" borderId="0" xfId="0" applyNumberFormat="1" applyFont="1" applyFill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166" fontId="39" fillId="0" borderId="0" xfId="0" applyNumberFormat="1" applyFont="1" applyAlignment="1">
      <alignment horizontal="left" vertical="center" wrapText="1"/>
    </xf>
    <xf numFmtId="3" fontId="39" fillId="0" borderId="0" xfId="0" applyNumberFormat="1" applyFont="1" applyAlignment="1">
      <alignment horizontal="left" vertical="center" wrapText="1"/>
    </xf>
    <xf numFmtId="10" fontId="39" fillId="0" borderId="0" xfId="0" applyNumberFormat="1" applyFont="1" applyAlignment="1">
      <alignment horizontal="left" vertical="center" wrapText="1"/>
    </xf>
    <xf numFmtId="0" fontId="65" fillId="0" borderId="0" xfId="0" applyFont="1" applyAlignment="1">
      <alignment horizontal="left"/>
    </xf>
    <xf numFmtId="3" fontId="66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39" fillId="0" borderId="0" xfId="0" applyFont="1" applyAlignment="1">
      <alignment horizontal="left" vertical="center" wrapText="1"/>
    </xf>
    <xf numFmtId="3" fontId="29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64" fillId="2" borderId="0" xfId="0" applyFont="1" applyFill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3" fontId="63" fillId="0" borderId="0" xfId="0" applyNumberFormat="1" applyFont="1" applyAlignment="1">
      <alignment horizontal="left" vertical="center" wrapText="1"/>
    </xf>
    <xf numFmtId="0" fontId="67" fillId="0" borderId="0" xfId="0" applyFont="1" applyAlignment="1">
      <alignment horizontal="left" vertical="center" wrapText="1"/>
    </xf>
    <xf numFmtId="166" fontId="63" fillId="0" borderId="0" xfId="0" applyNumberFormat="1" applyFont="1" applyAlignment="1">
      <alignment horizontal="left"/>
    </xf>
    <xf numFmtId="166" fontId="32" fillId="0" borderId="0" xfId="0" applyNumberFormat="1" applyFont="1" applyAlignment="1">
      <alignment horizontal="left"/>
    </xf>
    <xf numFmtId="0" fontId="63" fillId="0" borderId="0" xfId="0" applyFont="1" applyAlignment="1">
      <alignment horizontal="left"/>
    </xf>
    <xf numFmtId="166" fontId="32" fillId="0" borderId="0" xfId="0" applyNumberFormat="1" applyFont="1" applyAlignment="1">
      <alignment horizontal="left" vertical="center" wrapText="1"/>
    </xf>
    <xf numFmtId="10" fontId="32" fillId="0" borderId="0" xfId="0" applyNumberFormat="1" applyFont="1" applyAlignment="1">
      <alignment horizontal="left" vertical="center" wrapText="1"/>
    </xf>
    <xf numFmtId="0" fontId="33" fillId="0" borderId="0" xfId="0" applyFont="1" applyAlignment="1">
      <alignment horizontal="left"/>
    </xf>
    <xf numFmtId="9" fontId="8" fillId="6" borderId="13" xfId="0" applyNumberFormat="1" applyFont="1" applyFill="1" applyBorder="1" applyAlignment="1">
      <alignment horizontal="left"/>
    </xf>
    <xf numFmtId="3" fontId="9" fillId="6" borderId="13" xfId="0" applyNumberFormat="1" applyFont="1" applyFill="1" applyBorder="1" applyAlignment="1">
      <alignment horizontal="center"/>
    </xf>
    <xf numFmtId="3" fontId="11" fillId="6" borderId="13" xfId="0" applyNumberFormat="1" applyFont="1" applyFill="1" applyBorder="1"/>
    <xf numFmtId="167" fontId="13" fillId="6" borderId="13" xfId="0" applyNumberFormat="1" applyFont="1" applyFill="1" applyBorder="1" applyAlignment="1">
      <alignment horizontal="left"/>
    </xf>
    <xf numFmtId="3" fontId="13" fillId="6" borderId="13" xfId="0" applyNumberFormat="1" applyFont="1" applyFill="1" applyBorder="1" applyAlignment="1">
      <alignment horizontal="right"/>
    </xf>
    <xf numFmtId="0" fontId="8" fillId="6" borderId="13" xfId="0" applyFont="1" applyFill="1" applyBorder="1" applyAlignment="1">
      <alignment horizontal="left"/>
    </xf>
    <xf numFmtId="3" fontId="10" fillId="7" borderId="8" xfId="0" applyNumberFormat="1" applyFont="1" applyFill="1" applyBorder="1"/>
    <xf numFmtId="3" fontId="15" fillId="7" borderId="13" xfId="0" applyNumberFormat="1" applyFont="1" applyFill="1" applyBorder="1" applyAlignment="1">
      <alignment horizontal="center"/>
    </xf>
    <xf numFmtId="3" fontId="19" fillId="0" borderId="13" xfId="0" applyNumberFormat="1" applyFont="1" applyBorder="1"/>
    <xf numFmtId="37" fontId="21" fillId="0" borderId="13" xfId="0" applyNumberFormat="1" applyFont="1" applyBorder="1"/>
    <xf numFmtId="3" fontId="10" fillId="0" borderId="13" xfId="0" applyNumberFormat="1" applyFont="1" applyBorder="1"/>
    <xf numFmtId="37" fontId="7" fillId="0" borderId="13" xfId="0" applyNumberFormat="1" applyFont="1" applyBorder="1"/>
    <xf numFmtId="3" fontId="22" fillId="6" borderId="13" xfId="0" applyNumberFormat="1" applyFont="1" applyFill="1" applyBorder="1"/>
    <xf numFmtId="3" fontId="11" fillId="6" borderId="13" xfId="0" applyNumberFormat="1" applyFont="1" applyFill="1" applyBorder="1" applyAlignment="1">
      <alignment horizontal="center"/>
    </xf>
    <xf numFmtId="3" fontId="23" fillId="8" borderId="13" xfId="0" applyNumberFormat="1" applyFont="1" applyFill="1" applyBorder="1"/>
    <xf numFmtId="3" fontId="10" fillId="8" borderId="13" xfId="0" applyNumberFormat="1" applyFont="1" applyFill="1" applyBorder="1" applyAlignment="1">
      <alignment horizontal="center"/>
    </xf>
    <xf numFmtId="3" fontId="23" fillId="9" borderId="13" xfId="0" applyNumberFormat="1" applyFont="1" applyFill="1" applyBorder="1"/>
    <xf numFmtId="3" fontId="10" fillId="9" borderId="13" xfId="0" applyNumberFormat="1" applyFont="1" applyFill="1" applyBorder="1" applyAlignment="1">
      <alignment horizontal="center"/>
    </xf>
    <xf numFmtId="3" fontId="23" fillId="10" borderId="13" xfId="0" applyNumberFormat="1" applyFont="1" applyFill="1" applyBorder="1"/>
    <xf numFmtId="3" fontId="10" fillId="10" borderId="13" xfId="0" applyNumberFormat="1" applyFont="1" applyFill="1" applyBorder="1" applyAlignment="1">
      <alignment horizontal="center"/>
    </xf>
    <xf numFmtId="3" fontId="23" fillId="5" borderId="13" xfId="0" applyNumberFormat="1" applyFont="1" applyFill="1" applyBorder="1"/>
    <xf numFmtId="3" fontId="10" fillId="5" borderId="1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3" fontId="28" fillId="6" borderId="13" xfId="0" applyNumberFormat="1" applyFont="1" applyFill="1" applyBorder="1" applyAlignment="1">
      <alignment horizontal="right"/>
    </xf>
    <xf numFmtId="3" fontId="29" fillId="6" borderId="13" xfId="0" applyNumberFormat="1" applyFont="1" applyFill="1" applyBorder="1" applyAlignment="1">
      <alignment horizontal="center"/>
    </xf>
    <xf numFmtId="3" fontId="28" fillId="6" borderId="13" xfId="0" applyNumberFormat="1" applyFont="1" applyFill="1" applyBorder="1" applyAlignment="1">
      <alignment horizontal="center"/>
    </xf>
    <xf numFmtId="3" fontId="30" fillId="6" borderId="13" xfId="0" applyNumberFormat="1" applyFont="1" applyFill="1" applyBorder="1"/>
    <xf numFmtId="3" fontId="7" fillId="0" borderId="0" xfId="0" applyNumberFormat="1" applyFont="1"/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3" fontId="6" fillId="5" borderId="13" xfId="0" applyNumberFormat="1" applyFont="1" applyFill="1" applyBorder="1" applyAlignment="1">
      <alignment horizontal="right"/>
    </xf>
    <xf numFmtId="3" fontId="29" fillId="5" borderId="13" xfId="0" applyNumberFormat="1" applyFont="1" applyFill="1" applyBorder="1" applyAlignment="1">
      <alignment horizontal="center"/>
    </xf>
    <xf numFmtId="3" fontId="6" fillId="5" borderId="13" xfId="0" applyNumberFormat="1" applyFont="1" applyFill="1" applyBorder="1" applyAlignment="1">
      <alignment horizontal="center"/>
    </xf>
    <xf numFmtId="3" fontId="2" fillId="5" borderId="13" xfId="0" applyNumberFormat="1" applyFont="1" applyFill="1" applyBorder="1"/>
    <xf numFmtId="3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3" fontId="6" fillId="11" borderId="13" xfId="0" applyNumberFormat="1" applyFont="1" applyFill="1" applyBorder="1" applyAlignment="1">
      <alignment horizontal="left" vertical="center"/>
    </xf>
    <xf numFmtId="3" fontId="6" fillId="11" borderId="13" xfId="0" applyNumberFormat="1" applyFont="1" applyFill="1" applyBorder="1" applyAlignment="1">
      <alignment horizontal="center" vertical="center"/>
    </xf>
    <xf numFmtId="3" fontId="40" fillId="11" borderId="1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28" fillId="8" borderId="13" xfId="0" applyNumberFormat="1" applyFont="1" applyFill="1" applyBorder="1" applyAlignment="1">
      <alignment horizontal="left" vertical="center"/>
    </xf>
    <xf numFmtId="3" fontId="28" fillId="8" borderId="13" xfId="0" applyNumberFormat="1" applyFont="1" applyFill="1" applyBorder="1" applyAlignment="1">
      <alignment horizontal="center" vertical="center"/>
    </xf>
    <xf numFmtId="3" fontId="38" fillId="8" borderId="13" xfId="0" applyNumberFormat="1" applyFont="1" applyFill="1" applyBorder="1" applyAlignment="1">
      <alignment horizontal="center" vertical="center"/>
    </xf>
    <xf numFmtId="3" fontId="28" fillId="10" borderId="13" xfId="0" applyNumberFormat="1" applyFont="1" applyFill="1" applyBorder="1" applyAlignment="1">
      <alignment horizontal="left" vertical="center"/>
    </xf>
    <xf numFmtId="3" fontId="28" fillId="10" borderId="13" xfId="0" applyNumberFormat="1" applyFont="1" applyFill="1" applyBorder="1" applyAlignment="1">
      <alignment horizontal="center" vertical="center"/>
    </xf>
    <xf numFmtId="3" fontId="38" fillId="10" borderId="13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3" fontId="45" fillId="9" borderId="13" xfId="0" applyNumberFormat="1" applyFont="1" applyFill="1" applyBorder="1" applyAlignment="1">
      <alignment horizontal="left" vertical="center"/>
    </xf>
    <xf numFmtId="3" fontId="45" fillId="9" borderId="13" xfId="0" applyNumberFormat="1" applyFont="1" applyFill="1" applyBorder="1" applyAlignment="1">
      <alignment horizontal="center" vertical="center"/>
    </xf>
    <xf numFmtId="3" fontId="46" fillId="9" borderId="13" xfId="0" applyNumberFormat="1" applyFont="1" applyFill="1" applyBorder="1" applyAlignment="1">
      <alignment horizontal="center" vertical="center"/>
    </xf>
    <xf numFmtId="3" fontId="45" fillId="5" borderId="13" xfId="0" applyNumberFormat="1" applyFont="1" applyFill="1" applyBorder="1" applyAlignment="1">
      <alignment horizontal="left" vertical="center"/>
    </xf>
    <xf numFmtId="3" fontId="45" fillId="5" borderId="13" xfId="0" applyNumberFormat="1" applyFont="1" applyFill="1" applyBorder="1" applyAlignment="1">
      <alignment horizontal="center" vertical="center"/>
    </xf>
    <xf numFmtId="3" fontId="46" fillId="5" borderId="13" xfId="0" applyNumberFormat="1" applyFont="1" applyFill="1" applyBorder="1" applyAlignment="1">
      <alignment horizontal="center" vertical="center"/>
    </xf>
    <xf numFmtId="0" fontId="48" fillId="6" borderId="13" xfId="0" applyFont="1" applyFill="1" applyBorder="1" applyAlignment="1">
      <alignment horizontal="left"/>
    </xf>
    <xf numFmtId="3" fontId="45" fillId="6" borderId="13" xfId="0" applyNumberFormat="1" applyFont="1" applyFill="1" applyBorder="1"/>
    <xf numFmtId="167" fontId="50" fillId="6" borderId="13" xfId="0" applyNumberFormat="1" applyFont="1" applyFill="1" applyBorder="1" applyAlignment="1">
      <alignment horizontal="left"/>
    </xf>
    <xf numFmtId="169" fontId="47" fillId="0" borderId="5" xfId="0" applyNumberFormat="1" applyFont="1" applyBorder="1" applyAlignment="1">
      <alignment horizontal="center"/>
    </xf>
    <xf numFmtId="3" fontId="38" fillId="6" borderId="13" xfId="0" applyNumberFormat="1" applyFont="1" applyFill="1" applyBorder="1" applyAlignment="1">
      <alignment horizontal="right"/>
    </xf>
    <xf numFmtId="170" fontId="38" fillId="6" borderId="13" xfId="0" applyNumberFormat="1" applyFont="1" applyFill="1" applyBorder="1" applyAlignment="1">
      <alignment horizontal="center"/>
    </xf>
    <xf numFmtId="171" fontId="51" fillId="12" borderId="13" xfId="0" applyNumberFormat="1" applyFont="1" applyFill="1" applyBorder="1" applyAlignment="1">
      <alignment horizontal="center"/>
    </xf>
    <xf numFmtId="164" fontId="47" fillId="0" borderId="0" xfId="0" applyNumberFormat="1" applyFont="1"/>
    <xf numFmtId="3" fontId="41" fillId="6" borderId="13" xfId="0" applyNumberFormat="1" applyFont="1" applyFill="1" applyBorder="1" applyAlignment="1">
      <alignment horizontal="center"/>
    </xf>
    <xf numFmtId="3" fontId="52" fillId="6" borderId="13" xfId="0" applyNumberFormat="1" applyFont="1" applyFill="1" applyBorder="1" applyAlignment="1">
      <alignment horizontal="right"/>
    </xf>
    <xf numFmtId="3" fontId="50" fillId="6" borderId="13" xfId="0" applyNumberFormat="1" applyFont="1" applyFill="1" applyBorder="1" applyAlignment="1">
      <alignment horizontal="right"/>
    </xf>
    <xf numFmtId="5" fontId="38" fillId="6" borderId="13" xfId="0" applyNumberFormat="1" applyFont="1" applyFill="1" applyBorder="1" applyAlignment="1">
      <alignment horizontal="center"/>
    </xf>
    <xf numFmtId="3" fontId="49" fillId="0" borderId="10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7" fontId="47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58" fillId="6" borderId="13" xfId="0" applyFont="1" applyFill="1" applyBorder="1" applyAlignment="1">
      <alignment horizontal="left"/>
    </xf>
    <xf numFmtId="3" fontId="59" fillId="6" borderId="13" xfId="0" applyNumberFormat="1" applyFont="1" applyFill="1" applyBorder="1" applyAlignment="1">
      <alignment horizontal="center"/>
    </xf>
    <xf numFmtId="167" fontId="60" fillId="6" borderId="13" xfId="0" applyNumberFormat="1" applyFont="1" applyFill="1" applyBorder="1" applyAlignment="1">
      <alignment horizontal="left"/>
    </xf>
    <xf numFmtId="3" fontId="60" fillId="6" borderId="13" xfId="0" applyNumberFormat="1" applyFont="1" applyFill="1" applyBorder="1" applyAlignment="1">
      <alignment horizontal="right"/>
    </xf>
    <xf numFmtId="0" fontId="5" fillId="0" borderId="0" xfId="0" applyFont="1" applyAlignment="1">
      <alignment horizontal="left" vertical="center" wrapText="1"/>
    </xf>
    <xf numFmtId="5" fontId="39" fillId="6" borderId="13" xfId="0" applyNumberFormat="1" applyFont="1" applyFill="1" applyBorder="1" applyAlignment="1">
      <alignment horizontal="center"/>
    </xf>
    <xf numFmtId="0" fontId="4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3" fontId="51" fillId="6" borderId="13" xfId="0" applyNumberFormat="1" applyFont="1" applyFill="1" applyBorder="1"/>
    <xf numFmtId="3" fontId="1" fillId="0" borderId="0" xfId="0" applyNumberFormat="1" applyFont="1" applyAlignment="1">
      <alignment horizontal="left"/>
    </xf>
    <xf numFmtId="3" fontId="38" fillId="6" borderId="13" xfId="0" applyNumberFormat="1" applyFont="1" applyFill="1" applyBorder="1"/>
    <xf numFmtId="3" fontId="40" fillId="5" borderId="13" xfId="0" applyNumberFormat="1" applyFont="1" applyFill="1" applyBorder="1"/>
    <xf numFmtId="0" fontId="71" fillId="6" borderId="13" xfId="0" applyFont="1" applyFill="1" applyBorder="1" applyAlignment="1">
      <alignment horizontal="left"/>
    </xf>
    <xf numFmtId="167" fontId="72" fillId="6" borderId="13" xfId="0" applyNumberFormat="1" applyFont="1" applyFill="1" applyBorder="1" applyAlignment="1">
      <alignment horizontal="left"/>
    </xf>
    <xf numFmtId="3" fontId="1" fillId="0" borderId="0" xfId="0" applyNumberFormat="1" applyFont="1" applyAlignment="1">
      <alignment horizontal="center"/>
    </xf>
    <xf numFmtId="3" fontId="69" fillId="0" borderId="2" xfId="0" applyNumberFormat="1" applyFont="1" applyBorder="1"/>
    <xf numFmtId="3" fontId="69" fillId="0" borderId="2" xfId="0" applyNumberFormat="1" applyFont="1" applyBorder="1" applyAlignment="1">
      <alignment horizontal="center"/>
    </xf>
    <xf numFmtId="3" fontId="3" fillId="8" borderId="13" xfId="0" applyNumberFormat="1" applyFont="1" applyFill="1" applyBorder="1"/>
    <xf numFmtId="37" fontId="1" fillId="0" borderId="0" xfId="0" applyNumberFormat="1" applyFont="1" applyAlignment="1">
      <alignment horizontal="left"/>
    </xf>
    <xf numFmtId="0" fontId="73" fillId="8" borderId="13" xfId="0" applyFont="1" applyFill="1" applyBorder="1" applyAlignment="1">
      <alignment horizontal="left"/>
    </xf>
    <xf numFmtId="3" fontId="1" fillId="8" borderId="13" xfId="0" applyNumberFormat="1" applyFont="1" applyFill="1" applyBorder="1" applyAlignment="1">
      <alignment horizontal="center"/>
    </xf>
    <xf numFmtId="44" fontId="1" fillId="0" borderId="0" xfId="0" applyNumberFormat="1" applyFont="1" applyAlignment="1">
      <alignment horizontal="left"/>
    </xf>
    <xf numFmtId="164" fontId="44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/>
    </xf>
    <xf numFmtId="166" fontId="44" fillId="0" borderId="0" xfId="0" applyNumberFormat="1" applyFont="1" applyAlignment="1">
      <alignment horizontal="left"/>
    </xf>
    <xf numFmtId="167" fontId="53" fillId="8" borderId="13" xfId="0" applyNumberFormat="1" applyFont="1" applyFill="1" applyBorder="1" applyAlignment="1">
      <alignment horizontal="left"/>
    </xf>
    <xf numFmtId="1" fontId="44" fillId="0" borderId="0" xfId="0" applyNumberFormat="1" applyFont="1" applyAlignment="1">
      <alignment horizontal="left"/>
    </xf>
    <xf numFmtId="3" fontId="53" fillId="8" borderId="13" xfId="0" applyNumberFormat="1" applyFont="1" applyFill="1" applyBorder="1" applyAlignment="1">
      <alignment horizontal="right"/>
    </xf>
    <xf numFmtId="3" fontId="3" fillId="8" borderId="13" xfId="0" applyNumberFormat="1" applyFont="1" applyFill="1" applyBorder="1" applyAlignment="1">
      <alignment horizontal="right"/>
    </xf>
    <xf numFmtId="5" fontId="3" fillId="8" borderId="13" xfId="0" applyNumberFormat="1" applyFont="1" applyFill="1" applyBorder="1" applyAlignment="1">
      <alignment horizontal="center"/>
    </xf>
    <xf numFmtId="170" fontId="51" fillId="8" borderId="7" xfId="0" applyNumberFormat="1" applyFont="1" applyFill="1" applyBorder="1" applyAlignment="1">
      <alignment horizontal="left"/>
    </xf>
    <xf numFmtId="3" fontId="1" fillId="0" borderId="8" xfId="0" applyNumberFormat="1" applyFont="1" applyBorder="1" applyAlignment="1">
      <alignment horizontal="left"/>
    </xf>
    <xf numFmtId="171" fontId="51" fillId="13" borderId="13" xfId="0" applyNumberFormat="1" applyFont="1" applyFill="1" applyBorder="1" applyAlignment="1">
      <alignment horizontal="left"/>
    </xf>
    <xf numFmtId="3" fontId="74" fillId="0" borderId="12" xfId="0" applyNumberFormat="1" applyFont="1" applyBorder="1"/>
    <xf numFmtId="3" fontId="75" fillId="0" borderId="12" xfId="0" applyNumberFormat="1" applyFont="1" applyBorder="1" applyAlignment="1">
      <alignment horizontal="center"/>
    </xf>
    <xf numFmtId="3" fontId="70" fillId="0" borderId="0" xfId="0" applyNumberFormat="1" applyFont="1" applyAlignment="1">
      <alignment horizontal="left"/>
    </xf>
    <xf numFmtId="173" fontId="47" fillId="0" borderId="0" xfId="0" applyNumberFormat="1" applyFont="1" applyAlignment="1">
      <alignment horizontal="left"/>
    </xf>
    <xf numFmtId="3" fontId="32" fillId="0" borderId="0" xfId="0" applyNumberFormat="1" applyFont="1" applyAlignment="1">
      <alignment horizontal="center"/>
    </xf>
    <xf numFmtId="3" fontId="75" fillId="0" borderId="0" xfId="0" applyNumberFormat="1" applyFont="1" applyAlignment="1">
      <alignment horizontal="center"/>
    </xf>
    <xf numFmtId="3" fontId="74" fillId="0" borderId="12" xfId="0" applyNumberFormat="1" applyFont="1" applyBorder="1" applyAlignment="1">
      <alignment wrapText="1"/>
    </xf>
    <xf numFmtId="3" fontId="76" fillId="0" borderId="12" xfId="0" applyNumberFormat="1" applyFont="1" applyBorder="1" applyAlignment="1">
      <alignment wrapText="1"/>
    </xf>
    <xf numFmtId="37" fontId="57" fillId="8" borderId="9" xfId="0" applyNumberFormat="1" applyFont="1" applyFill="1" applyBorder="1" applyAlignment="1">
      <alignment horizontal="left"/>
    </xf>
    <xf numFmtId="7" fontId="47" fillId="0" borderId="0" xfId="0" applyNumberFormat="1" applyFont="1" applyAlignment="1">
      <alignment horizontal="left"/>
    </xf>
    <xf numFmtId="176" fontId="47" fillId="0" borderId="0" xfId="0" applyNumberFormat="1" applyFont="1" applyAlignment="1">
      <alignment horizontal="left"/>
    </xf>
    <xf numFmtId="177" fontId="47" fillId="0" borderId="0" xfId="0" applyNumberFormat="1" applyFont="1" applyAlignment="1">
      <alignment horizontal="left"/>
    </xf>
    <xf numFmtId="178" fontId="47" fillId="0" borderId="0" xfId="0" applyNumberFormat="1" applyFont="1" applyAlignment="1">
      <alignment horizontal="left"/>
    </xf>
    <xf numFmtId="0" fontId="5" fillId="0" borderId="13" xfId="0" applyFont="1" applyBorder="1" applyAlignment="1">
      <alignment horizontal="left"/>
    </xf>
    <xf numFmtId="0" fontId="32" fillId="0" borderId="13" xfId="0" applyFont="1" applyBorder="1" applyAlignment="1">
      <alignment horizontal="left"/>
    </xf>
    <xf numFmtId="0" fontId="77" fillId="0" borderId="13" xfId="0" applyFont="1" applyBorder="1" applyAlignment="1">
      <alignment horizontal="left"/>
    </xf>
    <xf numFmtId="0" fontId="27" fillId="20" borderId="0" xfId="0" applyFont="1" applyFill="1" applyAlignment="1">
      <alignment horizontal="center"/>
    </xf>
    <xf numFmtId="10" fontId="27" fillId="20" borderId="0" xfId="2" applyNumberFormat="1" applyFont="1" applyFill="1" applyAlignment="1">
      <alignment horizontal="center"/>
    </xf>
    <xf numFmtId="3" fontId="80" fillId="0" borderId="0" xfId="0" applyNumberFormat="1" applyFont="1"/>
    <xf numFmtId="0" fontId="80" fillId="0" borderId="0" xfId="0" applyFont="1"/>
    <xf numFmtId="3" fontId="80" fillId="0" borderId="0" xfId="0" applyNumberFormat="1" applyFont="1" applyAlignment="1">
      <alignment horizontal="left"/>
    </xf>
    <xf numFmtId="164" fontId="83" fillId="0" borderId="0" xfId="0" applyNumberFormat="1" applyFont="1" applyAlignment="1">
      <alignment horizontal="center"/>
    </xf>
    <xf numFmtId="3" fontId="81" fillId="0" borderId="0" xfId="0" applyNumberFormat="1" applyFont="1"/>
    <xf numFmtId="3" fontId="82" fillId="0" borderId="14" xfId="0" applyNumberFormat="1" applyFont="1" applyBorder="1" applyAlignment="1">
      <alignment horizontal="center"/>
    </xf>
    <xf numFmtId="3" fontId="82" fillId="0" borderId="0" xfId="0" applyNumberFormat="1" applyFont="1"/>
    <xf numFmtId="3" fontId="86" fillId="0" borderId="0" xfId="0" applyNumberFormat="1" applyFont="1" applyAlignment="1">
      <alignment horizontal="center"/>
    </xf>
    <xf numFmtId="3" fontId="80" fillId="0" borderId="0" xfId="0" applyNumberFormat="1" applyFont="1" applyAlignment="1">
      <alignment horizontal="center"/>
    </xf>
    <xf numFmtId="39" fontId="85" fillId="0" borderId="0" xfId="0" applyNumberFormat="1" applyFont="1"/>
    <xf numFmtId="37" fontId="87" fillId="0" borderId="0" xfId="0" applyNumberFormat="1" applyFont="1"/>
    <xf numFmtId="3" fontId="87" fillId="0" borderId="0" xfId="0" applyNumberFormat="1" applyFont="1"/>
    <xf numFmtId="3" fontId="88" fillId="0" borderId="0" xfId="0" applyNumberFormat="1" applyFont="1"/>
    <xf numFmtId="37" fontId="80" fillId="0" borderId="0" xfId="0" applyNumberFormat="1" applyFont="1"/>
    <xf numFmtId="0" fontId="79" fillId="4" borderId="13" xfId="0" applyFont="1" applyFill="1" applyBorder="1" applyAlignment="1">
      <alignment horizontal="left"/>
    </xf>
    <xf numFmtId="3" fontId="80" fillId="4" borderId="14" xfId="0" applyNumberFormat="1" applyFont="1" applyFill="1" applyBorder="1" applyAlignment="1">
      <alignment horizontal="center"/>
    </xf>
    <xf numFmtId="3" fontId="80" fillId="0" borderId="16" xfId="0" applyNumberFormat="1" applyFont="1" applyBorder="1"/>
    <xf numFmtId="3" fontId="82" fillId="4" borderId="13" xfId="0" applyNumberFormat="1" applyFont="1" applyFill="1" applyBorder="1"/>
    <xf numFmtId="4" fontId="80" fillId="0" borderId="16" xfId="0" applyNumberFormat="1" applyFont="1" applyBorder="1"/>
    <xf numFmtId="4" fontId="80" fillId="0" borderId="0" xfId="0" applyNumberFormat="1" applyFont="1"/>
    <xf numFmtId="167" fontId="84" fillId="4" borderId="13" xfId="0" applyNumberFormat="1" applyFont="1" applyFill="1" applyBorder="1" applyAlignment="1">
      <alignment horizontal="left"/>
    </xf>
    <xf numFmtId="3" fontId="84" fillId="4" borderId="14" xfId="0" applyNumberFormat="1" applyFont="1" applyFill="1" applyBorder="1" applyAlignment="1">
      <alignment horizontal="right"/>
    </xf>
    <xf numFmtId="3" fontId="80" fillId="0" borderId="16" xfId="0" applyNumberFormat="1" applyFont="1" applyBorder="1" applyAlignment="1">
      <alignment horizontal="left"/>
    </xf>
    <xf numFmtId="3" fontId="82" fillId="4" borderId="13" xfId="0" applyNumberFormat="1" applyFont="1" applyFill="1" applyBorder="1" applyAlignment="1">
      <alignment horizontal="right"/>
    </xf>
    <xf numFmtId="5" fontId="82" fillId="4" borderId="14" xfId="0" applyNumberFormat="1" applyFont="1" applyFill="1" applyBorder="1" applyAlignment="1">
      <alignment horizontal="center"/>
    </xf>
    <xf numFmtId="170" fontId="86" fillId="4" borderId="15" xfId="0" applyNumberFormat="1" applyFont="1" applyFill="1" applyBorder="1" applyAlignment="1">
      <alignment horizontal="center"/>
    </xf>
    <xf numFmtId="170" fontId="86" fillId="4" borderId="7" xfId="0" applyNumberFormat="1" applyFont="1" applyFill="1" applyBorder="1" applyAlignment="1">
      <alignment horizontal="center"/>
    </xf>
    <xf numFmtId="171" fontId="86" fillId="17" borderId="16" xfId="0" applyNumberFormat="1" applyFont="1" applyFill="1" applyBorder="1" applyAlignment="1">
      <alignment horizontal="center"/>
    </xf>
    <xf numFmtId="171" fontId="86" fillId="17" borderId="13" xfId="0" applyNumberFormat="1" applyFont="1" applyFill="1" applyBorder="1" applyAlignment="1">
      <alignment horizontal="center"/>
    </xf>
    <xf numFmtId="3" fontId="86" fillId="0" borderId="16" xfId="0" applyNumberFormat="1" applyFont="1" applyBorder="1" applyAlignment="1">
      <alignment horizontal="center"/>
    </xf>
    <xf numFmtId="3" fontId="90" fillId="0" borderId="3" xfId="0" applyNumberFormat="1" applyFont="1" applyBorder="1"/>
    <xf numFmtId="3" fontId="90" fillId="0" borderId="17" xfId="0" applyNumberFormat="1" applyFont="1" applyBorder="1" applyAlignment="1">
      <alignment horizontal="center"/>
    </xf>
    <xf numFmtId="3" fontId="88" fillId="0" borderId="18" xfId="0" applyNumberFormat="1" applyFont="1" applyBorder="1" applyAlignment="1">
      <alignment horizontal="center"/>
    </xf>
    <xf numFmtId="3" fontId="86" fillId="0" borderId="3" xfId="0" applyNumberFormat="1" applyFont="1" applyBorder="1" applyAlignment="1">
      <alignment horizontal="center"/>
    </xf>
    <xf numFmtId="3" fontId="80" fillId="0" borderId="14" xfId="0" applyNumberFormat="1" applyFont="1" applyBorder="1" applyAlignment="1">
      <alignment horizontal="center"/>
    </xf>
    <xf numFmtId="37" fontId="85" fillId="0" borderId="16" xfId="0" applyNumberFormat="1" applyFont="1" applyBorder="1"/>
    <xf numFmtId="37" fontId="85" fillId="0" borderId="0" xfId="0" applyNumberFormat="1" applyFont="1"/>
    <xf numFmtId="3" fontId="65" fillId="15" borderId="13" xfId="0" applyNumberFormat="1" applyFont="1" applyFill="1" applyBorder="1"/>
    <xf numFmtId="3" fontId="65" fillId="15" borderId="14" xfId="0" applyNumberFormat="1" applyFont="1" applyFill="1" applyBorder="1" applyAlignment="1">
      <alignment horizontal="center"/>
    </xf>
    <xf numFmtId="37" fontId="91" fillId="0" borderId="16" xfId="0" applyNumberFormat="1" applyFont="1" applyBorder="1"/>
    <xf numFmtId="3" fontId="91" fillId="0" borderId="0" xfId="0" applyNumberFormat="1" applyFont="1" applyAlignment="1">
      <alignment horizontal="center"/>
    </xf>
    <xf numFmtId="3" fontId="66" fillId="0" borderId="4" xfId="0" applyNumberFormat="1" applyFont="1" applyBorder="1" applyAlignment="1">
      <alignment horizontal="center" wrapText="1"/>
    </xf>
    <xf numFmtId="3" fontId="66" fillId="0" borderId="20" xfId="0" applyNumberFormat="1" applyFont="1" applyBorder="1" applyAlignment="1">
      <alignment horizontal="center" wrapText="1"/>
    </xf>
    <xf numFmtId="3" fontId="65" fillId="0" borderId="0" xfId="0" applyNumberFormat="1" applyFont="1"/>
    <xf numFmtId="3" fontId="65" fillId="0" borderId="14" xfId="0" applyNumberFormat="1" applyFont="1" applyBorder="1" applyAlignment="1">
      <alignment horizontal="center"/>
    </xf>
    <xf numFmtId="37" fontId="65" fillId="0" borderId="0" xfId="0" applyNumberFormat="1" applyFont="1"/>
    <xf numFmtId="3" fontId="65" fillId="0" borderId="4" xfId="0" applyNumberFormat="1" applyFont="1" applyBorder="1" applyAlignment="1">
      <alignment wrapText="1"/>
    </xf>
    <xf numFmtId="3" fontId="89" fillId="0" borderId="0" xfId="0" applyNumberFormat="1" applyFont="1"/>
    <xf numFmtId="3" fontId="89" fillId="0" borderId="14" xfId="0" applyNumberFormat="1" applyFont="1" applyBorder="1" applyAlignment="1">
      <alignment horizontal="center"/>
    </xf>
    <xf numFmtId="37" fontId="91" fillId="0" borderId="0" xfId="0" applyNumberFormat="1" applyFont="1"/>
    <xf numFmtId="37" fontId="80" fillId="0" borderId="16" xfId="0" applyNumberFormat="1" applyFont="1" applyBorder="1"/>
    <xf numFmtId="37" fontId="65" fillId="0" borderId="0" xfId="0" applyNumberFormat="1" applyFont="1" applyAlignment="1">
      <alignment horizontal="right"/>
    </xf>
    <xf numFmtId="37" fontId="66" fillId="15" borderId="9" xfId="0" applyNumberFormat="1" applyFont="1" applyFill="1" applyBorder="1"/>
    <xf numFmtId="3" fontId="88" fillId="0" borderId="14" xfId="0" applyNumberFormat="1" applyFont="1" applyBorder="1" applyAlignment="1">
      <alignment horizontal="center"/>
    </xf>
    <xf numFmtId="173" fontId="85" fillId="0" borderId="0" xfId="0" applyNumberFormat="1" applyFont="1"/>
    <xf numFmtId="37" fontId="83" fillId="0" borderId="16" xfId="0" applyNumberFormat="1" applyFont="1" applyBorder="1"/>
    <xf numFmtId="3" fontId="82" fillId="0" borderId="20" xfId="0" applyNumberFormat="1" applyFont="1" applyBorder="1" applyAlignment="1">
      <alignment horizontal="center" wrapText="1"/>
    </xf>
    <xf numFmtId="37" fontId="82" fillId="0" borderId="21" xfId="0" applyNumberFormat="1" applyFont="1" applyBorder="1" applyAlignment="1">
      <alignment wrapText="1"/>
    </xf>
    <xf numFmtId="37" fontId="82" fillId="0" borderId="4" xfId="0" applyNumberFormat="1" applyFont="1" applyBorder="1" applyAlignment="1">
      <alignment wrapText="1"/>
    </xf>
    <xf numFmtId="3" fontId="82" fillId="0" borderId="4" xfId="0" applyNumberFormat="1" applyFont="1" applyBorder="1" applyAlignment="1">
      <alignment wrapText="1"/>
    </xf>
    <xf numFmtId="37" fontId="87" fillId="0" borderId="16" xfId="0" applyNumberFormat="1" applyFont="1" applyBorder="1"/>
    <xf numFmtId="37" fontId="66" fillId="15" borderId="19" xfId="0" applyNumberFormat="1" applyFont="1" applyFill="1" applyBorder="1"/>
    <xf numFmtId="37" fontId="83" fillId="0" borderId="0" xfId="0" applyNumberFormat="1" applyFont="1"/>
    <xf numFmtId="37" fontId="66" fillId="0" borderId="4" xfId="0" applyNumberFormat="1" applyFont="1" applyBorder="1" applyAlignment="1">
      <alignment wrapText="1"/>
    </xf>
    <xf numFmtId="37" fontId="89" fillId="0" borderId="21" xfId="0" applyNumberFormat="1" applyFont="1" applyBorder="1" applyAlignment="1">
      <alignment wrapText="1"/>
    </xf>
    <xf numFmtId="37" fontId="89" fillId="0" borderId="4" xfId="0" applyNumberFormat="1" applyFont="1" applyBorder="1" applyAlignment="1">
      <alignment wrapText="1"/>
    </xf>
    <xf numFmtId="179" fontId="85" fillId="0" borderId="0" xfId="0" applyNumberFormat="1" applyFont="1"/>
    <xf numFmtId="39" fontId="83" fillId="0" borderId="16" xfId="0" applyNumberFormat="1" applyFont="1" applyBorder="1"/>
    <xf numFmtId="0" fontId="79" fillId="5" borderId="13" xfId="0" applyFont="1" applyFill="1" applyBorder="1" applyAlignment="1">
      <alignment horizontal="left"/>
    </xf>
    <xf numFmtId="3" fontId="80" fillId="5" borderId="22" xfId="0" applyNumberFormat="1" applyFont="1" applyFill="1" applyBorder="1" applyAlignment="1">
      <alignment horizontal="center"/>
    </xf>
    <xf numFmtId="3" fontId="82" fillId="5" borderId="13" xfId="0" applyNumberFormat="1" applyFont="1" applyFill="1" applyBorder="1"/>
    <xf numFmtId="167" fontId="84" fillId="5" borderId="13" xfId="0" applyNumberFormat="1" applyFont="1" applyFill="1" applyBorder="1" applyAlignment="1">
      <alignment horizontal="left"/>
    </xf>
    <xf numFmtId="3" fontId="84" fillId="5" borderId="22" xfId="0" applyNumberFormat="1" applyFont="1" applyFill="1" applyBorder="1" applyAlignment="1">
      <alignment horizontal="right"/>
    </xf>
    <xf numFmtId="3" fontId="82" fillId="5" borderId="13" xfId="0" applyNumberFormat="1" applyFont="1" applyFill="1" applyBorder="1" applyAlignment="1">
      <alignment horizontal="right"/>
    </xf>
    <xf numFmtId="5" fontId="82" fillId="5" borderId="22" xfId="0" applyNumberFormat="1" applyFont="1" applyFill="1" applyBorder="1" applyAlignment="1">
      <alignment horizontal="center"/>
    </xf>
    <xf numFmtId="170" fontId="82" fillId="5" borderId="7" xfId="0" applyNumberFormat="1" applyFont="1" applyFill="1" applyBorder="1" applyAlignment="1">
      <alignment horizontal="center"/>
    </xf>
    <xf numFmtId="3" fontId="82" fillId="0" borderId="22" xfId="0" applyNumberFormat="1" applyFont="1" applyBorder="1" applyAlignment="1">
      <alignment horizontal="center"/>
    </xf>
    <xf numFmtId="171" fontId="82" fillId="18" borderId="13" xfId="0" applyNumberFormat="1" applyFont="1" applyFill="1" applyBorder="1" applyAlignment="1">
      <alignment horizontal="center"/>
    </xf>
    <xf numFmtId="3" fontId="93" fillId="0" borderId="23" xfId="0" applyNumberFormat="1" applyFont="1" applyBorder="1"/>
    <xf numFmtId="3" fontId="93" fillId="0" borderId="23" xfId="0" applyNumberFormat="1" applyFont="1" applyBorder="1" applyAlignment="1">
      <alignment horizontal="center"/>
    </xf>
    <xf numFmtId="3" fontId="93" fillId="0" borderId="24" xfId="0" applyNumberFormat="1" applyFont="1" applyBorder="1" applyAlignment="1">
      <alignment horizontal="center"/>
    </xf>
    <xf numFmtId="3" fontId="94" fillId="0" borderId="23" xfId="0" applyNumberFormat="1" applyFont="1" applyBorder="1" applyAlignment="1">
      <alignment horizontal="center"/>
    </xf>
    <xf numFmtId="3" fontId="80" fillId="0" borderId="22" xfId="0" applyNumberFormat="1" applyFont="1" applyBorder="1" applyAlignment="1">
      <alignment horizontal="center"/>
    </xf>
    <xf numFmtId="3" fontId="92" fillId="0" borderId="0" xfId="0" applyNumberFormat="1" applyFont="1"/>
    <xf numFmtId="3" fontId="65" fillId="0" borderId="22" xfId="0" applyNumberFormat="1" applyFont="1" applyBorder="1" applyAlignment="1">
      <alignment horizontal="center"/>
    </xf>
    <xf numFmtId="164" fontId="65" fillId="0" borderId="0" xfId="0" applyNumberFormat="1" applyFont="1"/>
    <xf numFmtId="3" fontId="66" fillId="0" borderId="0" xfId="0" applyNumberFormat="1" applyFont="1" applyAlignment="1">
      <alignment horizontal="center"/>
    </xf>
    <xf numFmtId="3" fontId="65" fillId="0" borderId="0" xfId="0" applyNumberFormat="1" applyFont="1" applyAlignment="1">
      <alignment horizontal="left"/>
    </xf>
    <xf numFmtId="9" fontId="65" fillId="0" borderId="0" xfId="0" applyNumberFormat="1" applyFont="1"/>
    <xf numFmtId="173" fontId="65" fillId="0" borderId="0" xfId="0" applyNumberFormat="1" applyFont="1"/>
    <xf numFmtId="3" fontId="65" fillId="16" borderId="13" xfId="0" applyNumberFormat="1" applyFont="1" applyFill="1" applyBorder="1" applyAlignment="1">
      <alignment horizontal="left"/>
    </xf>
    <xf numFmtId="3" fontId="65" fillId="16" borderId="22" xfId="0" applyNumberFormat="1" applyFont="1" applyFill="1" applyBorder="1" applyAlignment="1">
      <alignment horizontal="center"/>
    </xf>
    <xf numFmtId="37" fontId="65" fillId="16" borderId="13" xfId="0" applyNumberFormat="1" applyFont="1" applyFill="1" applyBorder="1"/>
    <xf numFmtId="3" fontId="66" fillId="16" borderId="13" xfId="0" applyNumberFormat="1" applyFont="1" applyFill="1" applyBorder="1"/>
    <xf numFmtId="37" fontId="66" fillId="16" borderId="9" xfId="0" applyNumberFormat="1" applyFont="1" applyFill="1" applyBorder="1"/>
    <xf numFmtId="3" fontId="66" fillId="5" borderId="13" xfId="0" applyNumberFormat="1" applyFont="1" applyFill="1" applyBorder="1"/>
    <xf numFmtId="3" fontId="66" fillId="5" borderId="13" xfId="0" applyNumberFormat="1" applyFont="1" applyFill="1" applyBorder="1" applyAlignment="1">
      <alignment horizontal="center"/>
    </xf>
    <xf numFmtId="37" fontId="66" fillId="5" borderId="9" xfId="0" applyNumberFormat="1" applyFont="1" applyFill="1" applyBorder="1"/>
    <xf numFmtId="3" fontId="95" fillId="0" borderId="0" xfId="0" applyNumberFormat="1" applyFont="1"/>
    <xf numFmtId="37" fontId="95" fillId="0" borderId="0" xfId="0" applyNumberFormat="1" applyFont="1"/>
    <xf numFmtId="37" fontId="96" fillId="3" borderId="0" xfId="0" applyNumberFormat="1" applyFont="1" applyFill="1"/>
    <xf numFmtId="3" fontId="65" fillId="0" borderId="13" xfId="0" applyNumberFormat="1" applyFont="1" applyBorder="1"/>
    <xf numFmtId="37" fontId="66" fillId="5" borderId="19" xfId="0" applyNumberFormat="1" applyFont="1" applyFill="1" applyBorder="1"/>
    <xf numFmtId="164" fontId="80" fillId="0" borderId="0" xfId="0" applyNumberFormat="1" applyFont="1"/>
    <xf numFmtId="44" fontId="47" fillId="0" borderId="0" xfId="1" applyFont="1" applyAlignment="1">
      <alignment horizontal="left"/>
    </xf>
    <xf numFmtId="44" fontId="80" fillId="0" borderId="0" xfId="1" applyFont="1" applyAlignment="1"/>
    <xf numFmtId="9" fontId="0" fillId="0" borderId="0" xfId="2" applyFont="1"/>
    <xf numFmtId="175" fontId="0" fillId="0" borderId="0" xfId="1" applyNumberFormat="1" applyFont="1"/>
    <xf numFmtId="3" fontId="66" fillId="0" borderId="4" xfId="0" applyNumberFormat="1" applyFont="1" applyBorder="1" applyAlignment="1">
      <alignment horizontal="left" wrapText="1"/>
    </xf>
    <xf numFmtId="181" fontId="0" fillId="0" borderId="0" xfId="0" applyNumberFormat="1"/>
    <xf numFmtId="175" fontId="80" fillId="0" borderId="0" xfId="1" applyNumberFormat="1" applyFont="1" applyAlignment="1"/>
    <xf numFmtId="3" fontId="90" fillId="0" borderId="13" xfId="0" applyNumberFormat="1" applyFont="1" applyBorder="1"/>
    <xf numFmtId="3" fontId="90" fillId="0" borderId="14" xfId="0" applyNumberFormat="1" applyFont="1" applyBorder="1" applyAlignment="1">
      <alignment horizontal="center"/>
    </xf>
    <xf numFmtId="3" fontId="88" fillId="0" borderId="16" xfId="0" applyNumberFormat="1" applyFont="1" applyBorder="1" applyAlignment="1">
      <alignment horizontal="center"/>
    </xf>
    <xf numFmtId="3" fontId="86" fillId="0" borderId="13" xfId="0" applyNumberFormat="1" applyFont="1" applyBorder="1" applyAlignment="1">
      <alignment horizontal="center"/>
    </xf>
    <xf numFmtId="175" fontId="66" fillId="4" borderId="13" xfId="1" applyNumberFormat="1" applyFont="1" applyFill="1" applyBorder="1"/>
    <xf numFmtId="175" fontId="66" fillId="4" borderId="14" xfId="1" applyNumberFormat="1" applyFont="1" applyFill="1" applyBorder="1" applyAlignment="1">
      <alignment horizontal="center"/>
    </xf>
    <xf numFmtId="175" fontId="66" fillId="4" borderId="19" xfId="1" applyNumberFormat="1" applyFont="1" applyFill="1" applyBorder="1"/>
    <xf numFmtId="175" fontId="66" fillId="4" borderId="9" xfId="1" applyNumberFormat="1" applyFont="1" applyFill="1" applyBorder="1"/>
    <xf numFmtId="0" fontId="82" fillId="0" borderId="0" xfId="0" applyFont="1"/>
    <xf numFmtId="44" fontId="80" fillId="0" borderId="14" xfId="1" applyFont="1" applyBorder="1" applyAlignment="1">
      <alignment horizontal="center"/>
    </xf>
    <xf numFmtId="175" fontId="65" fillId="0" borderId="0" xfId="1" applyNumberFormat="1" applyFont="1"/>
    <xf numFmtId="175" fontId="80" fillId="0" borderId="14" xfId="1" applyNumberFormat="1" applyFont="1" applyBorder="1" applyAlignment="1">
      <alignment horizontal="center"/>
    </xf>
    <xf numFmtId="175" fontId="80" fillId="0" borderId="13" xfId="1" applyNumberFormat="1" applyFont="1" applyBorder="1"/>
    <xf numFmtId="44" fontId="66" fillId="17" borderId="13" xfId="1" applyFont="1" applyFill="1" applyBorder="1"/>
    <xf numFmtId="44" fontId="66" fillId="17" borderId="14" xfId="1" applyFont="1" applyFill="1" applyBorder="1" applyAlignment="1">
      <alignment horizontal="center"/>
    </xf>
    <xf numFmtId="44" fontId="66" fillId="17" borderId="9" xfId="1" applyFont="1" applyFill="1" applyBorder="1"/>
    <xf numFmtId="175" fontId="65" fillId="0" borderId="14" xfId="1" applyNumberFormat="1" applyFont="1" applyBorder="1" applyAlignment="1">
      <alignment horizontal="center"/>
    </xf>
    <xf numFmtId="175" fontId="66" fillId="17" borderId="13" xfId="1" applyNumberFormat="1" applyFont="1" applyFill="1" applyBorder="1"/>
    <xf numFmtId="175" fontId="66" fillId="17" borderId="14" xfId="1" applyNumberFormat="1" applyFont="1" applyFill="1" applyBorder="1" applyAlignment="1">
      <alignment horizontal="center"/>
    </xf>
    <xf numFmtId="175" fontId="66" fillId="17" borderId="9" xfId="1" applyNumberFormat="1" applyFont="1" applyFill="1" applyBorder="1"/>
    <xf numFmtId="44" fontId="80" fillId="0" borderId="0" xfId="1" applyFont="1"/>
    <xf numFmtId="44" fontId="66" fillId="17" borderId="19" xfId="1" applyFont="1" applyFill="1" applyBorder="1"/>
    <xf numFmtId="175" fontId="66" fillId="17" borderId="19" xfId="1" applyNumberFormat="1" applyFont="1" applyFill="1" applyBorder="1"/>
    <xf numFmtId="44" fontId="65" fillId="0" borderId="0" xfId="1" applyFont="1"/>
    <xf numFmtId="44" fontId="65" fillId="0" borderId="14" xfId="1" applyFont="1" applyBorder="1" applyAlignment="1">
      <alignment horizontal="center"/>
    </xf>
    <xf numFmtId="44" fontId="65" fillId="0" borderId="0" xfId="1" applyFont="1" applyAlignment="1">
      <alignment horizontal="left"/>
    </xf>
    <xf numFmtId="44" fontId="66" fillId="0" borderId="4" xfId="1" applyFont="1" applyBorder="1" applyAlignment="1">
      <alignment wrapText="1"/>
    </xf>
    <xf numFmtId="44" fontId="65" fillId="15" borderId="13" xfId="1" applyFont="1" applyFill="1" applyBorder="1"/>
    <xf numFmtId="44" fontId="65" fillId="15" borderId="14" xfId="1" applyFont="1" applyFill="1" applyBorder="1" applyAlignment="1">
      <alignment horizontal="center"/>
    </xf>
    <xf numFmtId="3" fontId="97" fillId="6" borderId="13" xfId="0" applyNumberFormat="1" applyFont="1" applyFill="1" applyBorder="1" applyAlignment="1">
      <alignment horizontal="center"/>
    </xf>
    <xf numFmtId="7" fontId="1" fillId="0" borderId="0" xfId="0" applyNumberFormat="1" applyFont="1" applyAlignment="1">
      <alignment horizontal="left"/>
    </xf>
    <xf numFmtId="3" fontId="1" fillId="0" borderId="5" xfId="0" applyNumberFormat="1" applyFont="1" applyBorder="1" applyAlignment="1">
      <alignment horizontal="left"/>
    </xf>
    <xf numFmtId="164" fontId="44" fillId="0" borderId="5" xfId="0" applyNumberFormat="1" applyFont="1" applyBorder="1" applyAlignment="1">
      <alignment horizontal="left"/>
    </xf>
    <xf numFmtId="165" fontId="1" fillId="0" borderId="5" xfId="0" applyNumberFormat="1" applyFont="1" applyBorder="1" applyAlignment="1">
      <alignment horizontal="left"/>
    </xf>
    <xf numFmtId="166" fontId="44" fillId="0" borderId="5" xfId="0" applyNumberFormat="1" applyFont="1" applyBorder="1" applyAlignment="1">
      <alignment horizontal="left"/>
    </xf>
    <xf numFmtId="3" fontId="1" fillId="0" borderId="6" xfId="0" applyNumberFormat="1" applyFont="1" applyBorder="1" applyAlignment="1">
      <alignment horizontal="left"/>
    </xf>
    <xf numFmtId="169" fontId="47" fillId="0" borderId="5" xfId="0" applyNumberFormat="1" applyFont="1" applyBorder="1" applyAlignment="1">
      <alignment horizontal="left"/>
    </xf>
    <xf numFmtId="3" fontId="72" fillId="6" borderId="13" xfId="0" applyNumberFormat="1" applyFont="1" applyFill="1" applyBorder="1" applyAlignment="1">
      <alignment horizontal="right"/>
    </xf>
    <xf numFmtId="3" fontId="51" fillId="6" borderId="13" xfId="0" applyNumberFormat="1" applyFont="1" applyFill="1" applyBorder="1" applyAlignment="1">
      <alignment horizontal="right"/>
    </xf>
    <xf numFmtId="5" fontId="51" fillId="6" borderId="13" xfId="0" applyNumberFormat="1" applyFont="1" applyFill="1" applyBorder="1" applyAlignment="1">
      <alignment horizontal="center"/>
    </xf>
    <xf numFmtId="170" fontId="55" fillId="6" borderId="7" xfId="0" applyNumberFormat="1" applyFont="1" applyFill="1" applyBorder="1" applyAlignment="1">
      <alignment horizontal="left"/>
    </xf>
    <xf numFmtId="3" fontId="1" fillId="0" borderId="8" xfId="0" applyNumberFormat="1" applyFont="1" applyBorder="1"/>
    <xf numFmtId="171" fontId="55" fillId="12" borderId="13" xfId="0" applyNumberFormat="1" applyFont="1" applyFill="1" applyBorder="1" applyAlignment="1">
      <alignment horizontal="left"/>
    </xf>
    <xf numFmtId="171" fontId="51" fillId="12" borderId="13" xfId="0" applyNumberFormat="1" applyFont="1" applyFill="1" applyBorder="1" applyAlignment="1">
      <alignment horizontal="left"/>
    </xf>
    <xf numFmtId="3" fontId="69" fillId="0" borderId="2" xfId="0" applyNumberFormat="1" applyFont="1" applyBorder="1" applyAlignment="1">
      <alignment horizontal="left"/>
    </xf>
    <xf numFmtId="0" fontId="3" fillId="0" borderId="0" xfId="0" applyFont="1"/>
    <xf numFmtId="175" fontId="1" fillId="0" borderId="0" xfId="1" applyNumberFormat="1" applyFont="1"/>
    <xf numFmtId="175" fontId="1" fillId="0" borderId="0" xfId="1" applyNumberFormat="1" applyFont="1" applyAlignment="1"/>
    <xf numFmtId="164" fontId="47" fillId="0" borderId="0" xfId="0" applyNumberFormat="1" applyFont="1" applyAlignment="1">
      <alignment horizontal="left"/>
    </xf>
    <xf numFmtId="3" fontId="1" fillId="11" borderId="13" xfId="0" applyNumberFormat="1" applyFont="1" applyFill="1" applyBorder="1" applyAlignment="1">
      <alignment horizontal="center"/>
    </xf>
    <xf numFmtId="175" fontId="3" fillId="8" borderId="13" xfId="1" applyNumberFormat="1" applyFont="1" applyFill="1" applyBorder="1"/>
    <xf numFmtId="175" fontId="3" fillId="8" borderId="13" xfId="1" applyNumberFormat="1" applyFont="1" applyFill="1" applyBorder="1" applyAlignment="1">
      <alignment horizontal="center"/>
    </xf>
    <xf numFmtId="175" fontId="32" fillId="8" borderId="13" xfId="1" applyNumberFormat="1" applyFont="1" applyFill="1" applyBorder="1" applyAlignment="1">
      <alignment horizontal="left"/>
    </xf>
    <xf numFmtId="175" fontId="1" fillId="13" borderId="13" xfId="1" applyNumberFormat="1" applyFont="1" applyFill="1" applyBorder="1" applyAlignment="1">
      <alignment horizontal="left"/>
    </xf>
    <xf numFmtId="175" fontId="1" fillId="13" borderId="13" xfId="1" applyNumberFormat="1" applyFont="1" applyFill="1" applyBorder="1" applyAlignment="1">
      <alignment horizontal="center"/>
    </xf>
    <xf numFmtId="175" fontId="5" fillId="13" borderId="13" xfId="1" applyNumberFormat="1" applyFont="1" applyFill="1" applyBorder="1" applyAlignment="1">
      <alignment horizontal="left"/>
    </xf>
    <xf numFmtId="175" fontId="1" fillId="0" borderId="0" xfId="1" applyNumberFormat="1" applyFont="1" applyAlignment="1">
      <alignment horizontal="left"/>
    </xf>
    <xf numFmtId="175" fontId="1" fillId="0" borderId="0" xfId="1" applyNumberFormat="1" applyFont="1" applyAlignment="1">
      <alignment horizontal="center"/>
    </xf>
    <xf numFmtId="175" fontId="5" fillId="0" borderId="0" xfId="1" applyNumberFormat="1" applyFont="1" applyAlignment="1">
      <alignment horizontal="left"/>
    </xf>
    <xf numFmtId="175" fontId="3" fillId="9" borderId="13" xfId="1" applyNumberFormat="1" applyFont="1" applyFill="1" applyBorder="1"/>
    <xf numFmtId="175" fontId="3" fillId="9" borderId="13" xfId="1" applyNumberFormat="1" applyFont="1" applyFill="1" applyBorder="1" applyAlignment="1">
      <alignment horizontal="center"/>
    </xf>
    <xf numFmtId="175" fontId="32" fillId="9" borderId="13" xfId="1" applyNumberFormat="1" applyFont="1" applyFill="1" applyBorder="1" applyAlignment="1">
      <alignment horizontal="left"/>
    </xf>
    <xf numFmtId="175" fontId="1" fillId="14" borderId="13" xfId="1" applyNumberFormat="1" applyFont="1" applyFill="1" applyBorder="1" applyAlignment="1">
      <alignment horizontal="left"/>
    </xf>
    <xf numFmtId="175" fontId="1" fillId="14" borderId="13" xfId="1" applyNumberFormat="1" applyFont="1" applyFill="1" applyBorder="1" applyAlignment="1">
      <alignment horizontal="center"/>
    </xf>
    <xf numFmtId="175" fontId="5" fillId="14" borderId="13" xfId="1" applyNumberFormat="1" applyFont="1" applyFill="1" applyBorder="1" applyAlignment="1">
      <alignment horizontal="left"/>
    </xf>
    <xf numFmtId="175" fontId="3" fillId="0" borderId="0" xfId="1" applyNumberFormat="1" applyFont="1"/>
    <xf numFmtId="175" fontId="32" fillId="0" borderId="9" xfId="1" applyNumberFormat="1" applyFont="1" applyBorder="1" applyAlignment="1">
      <alignment horizontal="left"/>
    </xf>
    <xf numFmtId="3" fontId="53" fillId="0" borderId="0" xfId="0" applyNumberFormat="1" applyFont="1" applyAlignment="1">
      <alignment horizontal="center"/>
    </xf>
    <xf numFmtId="164" fontId="54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175" fontId="3" fillId="4" borderId="13" xfId="1" applyNumberFormat="1" applyFont="1" applyFill="1" applyBorder="1"/>
    <xf numFmtId="175" fontId="3" fillId="4" borderId="13" xfId="1" applyNumberFormat="1" applyFont="1" applyFill="1" applyBorder="1" applyAlignment="1">
      <alignment horizontal="center"/>
    </xf>
    <xf numFmtId="175" fontId="32" fillId="4" borderId="13" xfId="1" applyNumberFormat="1" applyFont="1" applyFill="1" applyBorder="1" applyAlignment="1">
      <alignment horizontal="left"/>
    </xf>
    <xf numFmtId="175" fontId="1" fillId="15" borderId="13" xfId="1" applyNumberFormat="1" applyFont="1" applyFill="1" applyBorder="1" applyAlignment="1">
      <alignment horizontal="left"/>
    </xf>
    <xf numFmtId="175" fontId="1" fillId="15" borderId="13" xfId="1" applyNumberFormat="1" applyFont="1" applyFill="1" applyBorder="1" applyAlignment="1">
      <alignment horizontal="center"/>
    </xf>
    <xf numFmtId="175" fontId="5" fillId="15" borderId="13" xfId="1" applyNumberFormat="1" applyFont="1" applyFill="1" applyBorder="1" applyAlignment="1">
      <alignment horizontal="left"/>
    </xf>
    <xf numFmtId="37" fontId="5" fillId="0" borderId="0" xfId="0" applyNumberFormat="1" applyFont="1" applyAlignment="1">
      <alignment horizontal="left"/>
    </xf>
    <xf numFmtId="3" fontId="32" fillId="0" borderId="2" xfId="0" applyNumberFormat="1" applyFont="1" applyBorder="1" applyAlignment="1">
      <alignment horizontal="left"/>
    </xf>
    <xf numFmtId="3" fontId="1" fillId="16" borderId="13" xfId="0" applyNumberFormat="1" applyFont="1" applyFill="1" applyBorder="1"/>
    <xf numFmtId="3" fontId="1" fillId="16" borderId="13" xfId="0" applyNumberFormat="1" applyFont="1" applyFill="1" applyBorder="1" applyAlignment="1">
      <alignment horizontal="center"/>
    </xf>
    <xf numFmtId="37" fontId="5" fillId="16" borderId="13" xfId="0" applyNumberFormat="1" applyFont="1" applyFill="1" applyBorder="1" applyAlignment="1">
      <alignment horizontal="left"/>
    </xf>
    <xf numFmtId="173" fontId="54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3" fontId="98" fillId="0" borderId="0" xfId="0" applyNumberFormat="1" applyFont="1" applyAlignment="1">
      <alignment horizontal="left"/>
    </xf>
    <xf numFmtId="175" fontId="5" fillId="0" borderId="9" xfId="1" applyNumberFormat="1" applyFont="1" applyBorder="1" applyAlignment="1">
      <alignment horizontal="left"/>
    </xf>
    <xf numFmtId="44" fontId="1" fillId="0" borderId="0" xfId="1" applyFont="1" applyAlignment="1">
      <alignment horizontal="left"/>
    </xf>
    <xf numFmtId="175" fontId="3" fillId="0" borderId="0" xfId="1" applyNumberFormat="1" applyFont="1" applyAlignment="1">
      <alignment horizontal="left"/>
    </xf>
    <xf numFmtId="175" fontId="3" fillId="5" borderId="13" xfId="1" applyNumberFormat="1" applyFont="1" applyFill="1" applyBorder="1"/>
    <xf numFmtId="175" fontId="1" fillId="5" borderId="13" xfId="1" applyNumberFormat="1" applyFont="1" applyFill="1" applyBorder="1" applyAlignment="1">
      <alignment horizontal="center"/>
    </xf>
    <xf numFmtId="175" fontId="5" fillId="5" borderId="9" xfId="1" applyNumberFormat="1" applyFont="1" applyFill="1" applyBorder="1" applyAlignment="1">
      <alignment horizontal="left"/>
    </xf>
    <xf numFmtId="175" fontId="1" fillId="16" borderId="13" xfId="1" applyNumberFormat="1" applyFont="1" applyFill="1" applyBorder="1"/>
    <xf numFmtId="175" fontId="1" fillId="16" borderId="13" xfId="1" applyNumberFormat="1" applyFont="1" applyFill="1" applyBorder="1" applyAlignment="1">
      <alignment horizontal="center"/>
    </xf>
    <xf numFmtId="175" fontId="5" fillId="16" borderId="13" xfId="1" applyNumberFormat="1" applyFont="1" applyFill="1" applyBorder="1" applyAlignment="1">
      <alignment horizontal="left"/>
    </xf>
    <xf numFmtId="175" fontId="32" fillId="5" borderId="9" xfId="1" applyNumberFormat="1" applyFont="1" applyFill="1" applyBorder="1" applyAlignment="1">
      <alignment horizontal="left"/>
    </xf>
    <xf numFmtId="175" fontId="3" fillId="16" borderId="13" xfId="1" applyNumberFormat="1" applyFont="1" applyFill="1" applyBorder="1"/>
    <xf numFmtId="175" fontId="5" fillId="16" borderId="9" xfId="1" applyNumberFormat="1" applyFont="1" applyFill="1" applyBorder="1" applyAlignment="1">
      <alignment horizontal="left"/>
    </xf>
    <xf numFmtId="175" fontId="1" fillId="0" borderId="11" xfId="1" applyNumberFormat="1" applyFont="1" applyBorder="1" applyAlignment="1">
      <alignment horizontal="left"/>
    </xf>
    <xf numFmtId="175" fontId="1" fillId="0" borderId="11" xfId="1" applyNumberFormat="1" applyFont="1" applyBorder="1" applyAlignment="1">
      <alignment horizontal="center"/>
    </xf>
    <xf numFmtId="175" fontId="5" fillId="0" borderId="11" xfId="1" applyNumberFormat="1" applyFont="1" applyBorder="1" applyAlignment="1">
      <alignment horizontal="left"/>
    </xf>
    <xf numFmtId="175" fontId="32" fillId="0" borderId="0" xfId="1" applyNumberFormat="1" applyFont="1" applyAlignment="1">
      <alignment horizontal="left"/>
    </xf>
    <xf numFmtId="175" fontId="57" fillId="0" borderId="0" xfId="1" applyNumberFormat="1" applyFont="1" applyAlignment="1">
      <alignment horizontal="left"/>
    </xf>
    <xf numFmtId="175" fontId="5" fillId="0" borderId="0" xfId="1" applyNumberFormat="1" applyFont="1"/>
    <xf numFmtId="175" fontId="5" fillId="0" borderId="0" xfId="1" applyNumberFormat="1" applyFont="1" applyAlignment="1">
      <alignment horizontal="center"/>
    </xf>
    <xf numFmtId="175" fontId="5" fillId="0" borderId="0" xfId="1" applyNumberFormat="1" applyFont="1" applyAlignment="1"/>
    <xf numFmtId="175" fontId="32" fillId="0" borderId="0" xfId="1" applyNumberFormat="1" applyFont="1"/>
    <xf numFmtId="175" fontId="32" fillId="0" borderId="0" xfId="1" applyNumberFormat="1" applyFont="1" applyAlignment="1"/>
    <xf numFmtId="44" fontId="27" fillId="21" borderId="0" xfId="1" applyFont="1" applyFill="1" applyAlignment="1">
      <alignment horizontal="center"/>
    </xf>
    <xf numFmtId="10" fontId="27" fillId="21" borderId="0" xfId="2" applyNumberFormat="1" applyFont="1" applyFill="1" applyAlignment="1">
      <alignment horizontal="center"/>
    </xf>
    <xf numFmtId="175" fontId="0" fillId="21" borderId="0" xfId="1" applyNumberFormat="1" applyFont="1" applyFill="1"/>
    <xf numFmtId="9" fontId="0" fillId="21" borderId="0" xfId="2" applyFont="1" applyFill="1"/>
    <xf numFmtId="9" fontId="0" fillId="21" borderId="0" xfId="1" applyNumberFormat="1" applyFont="1" applyFill="1"/>
    <xf numFmtId="10" fontId="0" fillId="21" borderId="0" xfId="2" applyNumberFormat="1" applyFont="1" applyFill="1"/>
    <xf numFmtId="9" fontId="27" fillId="21" borderId="1" xfId="2" applyFont="1" applyFill="1" applyBorder="1" applyAlignment="1">
      <alignment horizontal="center"/>
    </xf>
    <xf numFmtId="37" fontId="27" fillId="21" borderId="1" xfId="0" applyNumberFormat="1" applyFont="1" applyFill="1" applyBorder="1" applyAlignment="1">
      <alignment horizontal="center"/>
    </xf>
    <xf numFmtId="9" fontId="27" fillId="21" borderId="1" xfId="0" applyNumberFormat="1" applyFont="1" applyFill="1" applyBorder="1" applyAlignment="1">
      <alignment horizontal="center"/>
    </xf>
    <xf numFmtId="164" fontId="27" fillId="21" borderId="1" xfId="0" applyNumberFormat="1" applyFont="1" applyFill="1" applyBorder="1" applyAlignment="1">
      <alignment horizontal="center"/>
    </xf>
    <xf numFmtId="172" fontId="31" fillId="21" borderId="1" xfId="0" applyNumberFormat="1" applyFont="1" applyFill="1" applyBorder="1" applyAlignment="1">
      <alignment horizontal="center"/>
    </xf>
    <xf numFmtId="10" fontId="27" fillId="21" borderId="1" xfId="0" applyNumberFormat="1" applyFont="1" applyFill="1" applyBorder="1" applyAlignment="1">
      <alignment horizontal="center"/>
    </xf>
    <xf numFmtId="10" fontId="27" fillId="21" borderId="1" xfId="2" applyNumberFormat="1" applyFont="1" applyFill="1" applyBorder="1" applyAlignment="1">
      <alignment horizontal="center"/>
    </xf>
    <xf numFmtId="44" fontId="27" fillId="21" borderId="1" xfId="1" applyFont="1" applyFill="1" applyBorder="1" applyAlignment="1">
      <alignment horizontal="center"/>
    </xf>
    <xf numFmtId="173" fontId="27" fillId="21" borderId="1" xfId="0" applyNumberFormat="1" applyFont="1" applyFill="1" applyBorder="1" applyAlignment="1">
      <alignment horizontal="center"/>
    </xf>
    <xf numFmtId="3" fontId="31" fillId="21" borderId="1" xfId="0" applyNumberFormat="1" applyFont="1" applyFill="1" applyBorder="1" applyAlignment="1">
      <alignment horizontal="center" vertical="center"/>
    </xf>
    <xf numFmtId="174" fontId="31" fillId="21" borderId="1" xfId="0" applyNumberFormat="1" applyFont="1" applyFill="1" applyBorder="1" applyAlignment="1">
      <alignment horizontal="center" vertical="center"/>
    </xf>
    <xf numFmtId="180" fontId="1" fillId="0" borderId="0" xfId="3" applyNumberFormat="1" applyFont="1" applyAlignment="1">
      <alignment horizontal="right"/>
    </xf>
    <xf numFmtId="180" fontId="1" fillId="0" borderId="0" xfId="3" applyNumberFormat="1" applyFont="1" applyAlignment="1">
      <alignment horizontal="left"/>
    </xf>
    <xf numFmtId="173" fontId="1" fillId="0" borderId="0" xfId="0" applyNumberFormat="1" applyFont="1" applyAlignment="1">
      <alignment horizontal="left"/>
    </xf>
    <xf numFmtId="175" fontId="3" fillId="8" borderId="13" xfId="1" applyNumberFormat="1" applyFont="1" applyFill="1" applyBorder="1" applyAlignment="1"/>
    <xf numFmtId="175" fontId="1" fillId="8" borderId="13" xfId="1" applyNumberFormat="1" applyFont="1" applyFill="1" applyBorder="1" applyAlignment="1">
      <alignment horizontal="center"/>
    </xf>
    <xf numFmtId="175" fontId="3" fillId="8" borderId="9" xfId="1" applyNumberFormat="1" applyFont="1" applyFill="1" applyBorder="1" applyAlignment="1">
      <alignment horizontal="left"/>
    </xf>
    <xf numFmtId="180" fontId="80" fillId="0" borderId="0" xfId="3" applyNumberFormat="1" applyFont="1"/>
    <xf numFmtId="44" fontId="80" fillId="0" borderId="16" xfId="1" applyFont="1" applyBorder="1"/>
    <xf numFmtId="44" fontId="80" fillId="0" borderId="13" xfId="1" applyFont="1" applyBorder="1"/>
    <xf numFmtId="44" fontId="99" fillId="0" borderId="16" xfId="1" applyFont="1" applyBorder="1"/>
    <xf numFmtId="44" fontId="99" fillId="0" borderId="0" xfId="1" applyFont="1"/>
    <xf numFmtId="44" fontId="99" fillId="0" borderId="25" xfId="1" applyFont="1" applyBorder="1"/>
    <xf numFmtId="44" fontId="99" fillId="0" borderId="0" xfId="1" applyFont="1" applyAlignment="1"/>
    <xf numFmtId="44" fontId="99" fillId="0" borderId="14" xfId="1" applyFont="1" applyBorder="1" applyAlignment="1">
      <alignment horizontal="center"/>
    </xf>
    <xf numFmtId="44" fontId="99" fillId="0" borderId="13" xfId="1" applyFont="1" applyBorder="1"/>
    <xf numFmtId="0" fontId="32" fillId="0" borderId="13" xfId="0" applyFont="1" applyBorder="1"/>
    <xf numFmtId="175" fontId="32" fillId="0" borderId="13" xfId="0" applyNumberFormat="1" applyFont="1" applyBorder="1"/>
    <xf numFmtId="0" fontId="5" fillId="0" borderId="13" xfId="0" applyFont="1" applyBorder="1"/>
    <xf numFmtId="9" fontId="0" fillId="0" borderId="0" xfId="0" applyNumberFormat="1"/>
    <xf numFmtId="175" fontId="0" fillId="0" borderId="0" xfId="1" applyNumberFormat="1" applyFont="1" applyFill="1"/>
    <xf numFmtId="9" fontId="32" fillId="0" borderId="13" xfId="0" applyNumberFormat="1" applyFont="1" applyBorder="1"/>
    <xf numFmtId="175" fontId="0" fillId="0" borderId="0" xfId="1" applyNumberFormat="1" applyFont="1" applyAlignment="1"/>
    <xf numFmtId="0" fontId="1" fillId="0" borderId="0" xfId="0" applyFont="1" applyAlignment="1">
      <alignment horizontal="right"/>
    </xf>
    <xf numFmtId="175" fontId="1" fillId="0" borderId="0" xfId="1" applyNumberFormat="1" applyFont="1" applyAlignment="1">
      <alignment horizontal="right"/>
    </xf>
    <xf numFmtId="44" fontId="0" fillId="0" borderId="0" xfId="0" applyNumberFormat="1"/>
    <xf numFmtId="0" fontId="3" fillId="0" borderId="0" xfId="0" applyFont="1" applyAlignment="1">
      <alignment horizontal="right"/>
    </xf>
    <xf numFmtId="17" fontId="0" fillId="0" borderId="0" xfId="0" applyNumberFormat="1" applyAlignment="1">
      <alignment horizontal="right"/>
    </xf>
    <xf numFmtId="175" fontId="0" fillId="0" borderId="0" xfId="1" applyNumberFormat="1" applyFont="1" applyAlignment="1">
      <alignment horizontal="right"/>
    </xf>
    <xf numFmtId="8" fontId="1" fillId="0" borderId="0" xfId="0" applyNumberFormat="1" applyFont="1" applyAlignment="1">
      <alignment horizontal="right"/>
    </xf>
    <xf numFmtId="44" fontId="0" fillId="0" borderId="0" xfId="1" applyFont="1" applyAlignment="1">
      <alignment horizontal="right"/>
    </xf>
    <xf numFmtId="0" fontId="100" fillId="0" borderId="0" xfId="0" applyFont="1" applyAlignment="1">
      <alignment horizontal="right"/>
    </xf>
    <xf numFmtId="15" fontId="0" fillId="0" borderId="0" xfId="0" applyNumberFormat="1" applyAlignment="1">
      <alignment horizontal="right"/>
    </xf>
    <xf numFmtId="0" fontId="102" fillId="0" borderId="0" xfId="0" applyFont="1" applyAlignment="1">
      <alignment horizontal="right"/>
    </xf>
    <xf numFmtId="182" fontId="3" fillId="0" borderId="0" xfId="3" applyNumberFormat="1" applyFont="1" applyAlignment="1">
      <alignment horizontal="right"/>
    </xf>
    <xf numFmtId="44" fontId="3" fillId="0" borderId="0" xfId="0" applyNumberFormat="1" applyFont="1"/>
    <xf numFmtId="17" fontId="0" fillId="0" borderId="0" xfId="0" applyNumberFormat="1"/>
    <xf numFmtId="17" fontId="1" fillId="0" borderId="0" xfId="0" applyNumberFormat="1" applyFont="1" applyAlignment="1">
      <alignment horizontal="right"/>
    </xf>
    <xf numFmtId="175" fontId="5" fillId="0" borderId="13" xfId="0" applyNumberFormat="1" applyFont="1" applyBorder="1" applyAlignment="1">
      <alignment horizontal="right"/>
    </xf>
    <xf numFmtId="175" fontId="0" fillId="0" borderId="0" xfId="1" applyNumberFormat="1" applyFont="1" applyAlignment="1">
      <alignment horizontal="right" indent="2"/>
    </xf>
    <xf numFmtId="0" fontId="27" fillId="0" borderId="0" xfId="0" applyFont="1" applyAlignment="1">
      <alignment horizontal="center"/>
    </xf>
    <xf numFmtId="0" fontId="27" fillId="0" borderId="0" xfId="0" applyFont="1"/>
    <xf numFmtId="9" fontId="27" fillId="21" borderId="0" xfId="2" applyFont="1" applyFill="1" applyAlignment="1">
      <alignment horizontal="center"/>
    </xf>
    <xf numFmtId="10" fontId="104" fillId="21" borderId="0" xfId="2" applyNumberFormat="1" applyFont="1" applyFill="1" applyAlignment="1">
      <alignment horizontal="center"/>
    </xf>
    <xf numFmtId="44" fontId="104" fillId="21" borderId="0" xfId="1" applyFont="1" applyFill="1" applyAlignment="1">
      <alignment horizontal="center"/>
    </xf>
    <xf numFmtId="0" fontId="104" fillId="21" borderId="0" xfId="0" applyFont="1" applyFill="1" applyAlignment="1">
      <alignment horizontal="center"/>
    </xf>
    <xf numFmtId="180" fontId="80" fillId="0" borderId="14" xfId="3" applyNumberFormat="1" applyFont="1" applyBorder="1" applyAlignment="1">
      <alignment horizontal="center"/>
    </xf>
    <xf numFmtId="180" fontId="80" fillId="0" borderId="13" xfId="3" applyNumberFormat="1" applyFont="1" applyBorder="1"/>
    <xf numFmtId="180" fontId="80" fillId="0" borderId="0" xfId="3" applyNumberFormat="1" applyFont="1" applyAlignment="1"/>
    <xf numFmtId="175" fontId="3" fillId="0" borderId="0" xfId="1" applyNumberFormat="1" applyFont="1" applyAlignment="1"/>
    <xf numFmtId="3" fontId="105" fillId="0" borderId="0" xfId="0" applyNumberFormat="1" applyFont="1" applyAlignment="1">
      <alignment horizontal="right"/>
    </xf>
    <xf numFmtId="175" fontId="5" fillId="0" borderId="13" xfId="1" applyNumberFormat="1" applyFont="1" applyBorder="1" applyAlignment="1">
      <alignment horizontal="left"/>
    </xf>
    <xf numFmtId="175" fontId="3" fillId="0" borderId="0" xfId="1" applyNumberFormat="1" applyFont="1" applyAlignment="1">
      <alignment horizontal="center"/>
    </xf>
    <xf numFmtId="175" fontId="5" fillId="22" borderId="13" xfId="1" applyNumberFormat="1" applyFont="1" applyFill="1" applyBorder="1" applyAlignment="1">
      <alignment horizontal="left"/>
    </xf>
    <xf numFmtId="175" fontId="3" fillId="22" borderId="0" xfId="1" applyNumberFormat="1" applyFont="1" applyFill="1" applyAlignment="1">
      <alignment horizontal="center"/>
    </xf>
    <xf numFmtId="175" fontId="1" fillId="22" borderId="0" xfId="1" applyNumberFormat="1" applyFont="1" applyFill="1" applyAlignment="1">
      <alignment horizontal="left"/>
    </xf>
    <xf numFmtId="175" fontId="77" fillId="0" borderId="13" xfId="1" applyNumberFormat="1" applyFont="1" applyBorder="1" applyAlignment="1">
      <alignment horizontal="left"/>
    </xf>
    <xf numFmtId="175" fontId="75" fillId="0" borderId="0" xfId="1" applyNumberFormat="1" applyFont="1" applyAlignment="1">
      <alignment horizontal="center"/>
    </xf>
    <xf numFmtId="171" fontId="51" fillId="0" borderId="13" xfId="0" applyNumberFormat="1" applyFont="1" applyBorder="1" applyAlignment="1">
      <alignment horizontal="left"/>
    </xf>
    <xf numFmtId="175" fontId="32" fillId="0" borderId="13" xfId="1" applyNumberFormat="1" applyFont="1" applyFill="1" applyBorder="1" applyAlignment="1">
      <alignment horizontal="left"/>
    </xf>
    <xf numFmtId="175" fontId="5" fillId="0" borderId="13" xfId="1" applyNumberFormat="1" applyFont="1" applyFill="1" applyBorder="1" applyAlignment="1">
      <alignment horizontal="left"/>
    </xf>
    <xf numFmtId="37" fontId="5" fillId="0" borderId="13" xfId="0" applyNumberFormat="1" applyFont="1" applyBorder="1" applyAlignment="1">
      <alignment horizontal="left"/>
    </xf>
    <xf numFmtId="3" fontId="1" fillId="0" borderId="13" xfId="0" applyNumberFormat="1" applyFont="1" applyBorder="1" applyAlignment="1">
      <alignment horizontal="left"/>
    </xf>
    <xf numFmtId="170" fontId="55" fillId="0" borderId="13" xfId="0" applyNumberFormat="1" applyFont="1" applyBorder="1" applyAlignment="1">
      <alignment horizontal="left"/>
    </xf>
    <xf numFmtId="3" fontId="51" fillId="0" borderId="13" xfId="0" applyNumberFormat="1" applyFont="1" applyBorder="1" applyAlignment="1">
      <alignment horizontal="left"/>
    </xf>
    <xf numFmtId="3" fontId="69" fillId="0" borderId="13" xfId="0" applyNumberFormat="1" applyFont="1" applyBorder="1" applyAlignment="1">
      <alignment horizontal="left"/>
    </xf>
    <xf numFmtId="3" fontId="1" fillId="0" borderId="13" xfId="0" applyNumberFormat="1" applyFont="1" applyBorder="1"/>
    <xf numFmtId="175" fontId="1" fillId="0" borderId="13" xfId="1" applyNumberFormat="1" applyFont="1" applyFill="1" applyBorder="1"/>
    <xf numFmtId="175" fontId="3" fillId="0" borderId="13" xfId="1" applyNumberFormat="1" applyFont="1" applyFill="1" applyBorder="1"/>
    <xf numFmtId="164" fontId="54" fillId="0" borderId="13" xfId="0" applyNumberFormat="1" applyFont="1" applyBorder="1" applyAlignment="1">
      <alignment horizontal="left"/>
    </xf>
    <xf numFmtId="3" fontId="5" fillId="0" borderId="13" xfId="0" applyNumberFormat="1" applyFont="1" applyBorder="1" applyAlignment="1">
      <alignment horizontal="left"/>
    </xf>
    <xf numFmtId="3" fontId="32" fillId="0" borderId="13" xfId="0" applyNumberFormat="1" applyFont="1" applyBorder="1" applyAlignment="1">
      <alignment horizontal="left"/>
    </xf>
    <xf numFmtId="173" fontId="54" fillId="0" borderId="13" xfId="0" applyNumberFormat="1" applyFont="1" applyBorder="1" applyAlignment="1">
      <alignment horizontal="left"/>
    </xf>
    <xf numFmtId="164" fontId="5" fillId="0" borderId="13" xfId="0" applyNumberFormat="1" applyFont="1" applyBorder="1" applyAlignment="1">
      <alignment horizontal="left"/>
    </xf>
    <xf numFmtId="175" fontId="1" fillId="0" borderId="13" xfId="1" applyNumberFormat="1" applyFont="1" applyFill="1" applyBorder="1" applyAlignment="1">
      <alignment horizontal="left"/>
    </xf>
    <xf numFmtId="3" fontId="98" fillId="0" borderId="13" xfId="0" applyNumberFormat="1" applyFont="1" applyBorder="1" applyAlignment="1">
      <alignment horizontal="left"/>
    </xf>
    <xf numFmtId="37" fontId="57" fillId="0" borderId="13" xfId="0" applyNumberFormat="1" applyFont="1" applyBorder="1" applyAlignment="1">
      <alignment horizontal="left"/>
    </xf>
    <xf numFmtId="37" fontId="1" fillId="0" borderId="13" xfId="0" applyNumberFormat="1" applyFont="1" applyBorder="1" applyAlignment="1">
      <alignment horizontal="left"/>
    </xf>
    <xf numFmtId="0" fontId="1" fillId="0" borderId="13" xfId="0" applyFont="1" applyBorder="1"/>
    <xf numFmtId="180" fontId="106" fillId="0" borderId="0" xfId="3" applyNumberFormat="1" applyFont="1" applyAlignment="1">
      <alignment horizontal="right"/>
    </xf>
    <xf numFmtId="175" fontId="106" fillId="0" borderId="0" xfId="1" applyNumberFormat="1" applyFont="1" applyAlignment="1">
      <alignment horizontal="right"/>
    </xf>
    <xf numFmtId="170" fontId="51" fillId="0" borderId="13" xfId="0" applyNumberFormat="1" applyFont="1" applyBorder="1" applyAlignment="1">
      <alignment horizontal="left"/>
    </xf>
    <xf numFmtId="3" fontId="75" fillId="0" borderId="13" xfId="0" applyNumberFormat="1" applyFont="1" applyBorder="1" applyAlignment="1">
      <alignment horizontal="center"/>
    </xf>
    <xf numFmtId="180" fontId="106" fillId="0" borderId="13" xfId="3" applyNumberFormat="1" applyFont="1" applyFill="1" applyBorder="1" applyAlignment="1">
      <alignment horizontal="right"/>
    </xf>
    <xf numFmtId="180" fontId="1" fillId="0" borderId="13" xfId="3" applyNumberFormat="1" applyFont="1" applyFill="1" applyBorder="1" applyAlignment="1">
      <alignment horizontal="left"/>
    </xf>
    <xf numFmtId="173" fontId="1" fillId="0" borderId="13" xfId="0" applyNumberFormat="1" applyFont="1" applyBorder="1" applyAlignment="1">
      <alignment horizontal="left"/>
    </xf>
    <xf numFmtId="175" fontId="106" fillId="0" borderId="13" xfId="1" applyNumberFormat="1" applyFont="1" applyFill="1" applyBorder="1" applyAlignment="1">
      <alignment horizontal="right"/>
    </xf>
    <xf numFmtId="175" fontId="3" fillId="0" borderId="13" xfId="1" applyNumberFormat="1" applyFont="1" applyFill="1" applyBorder="1" applyAlignment="1">
      <alignment horizontal="left"/>
    </xf>
    <xf numFmtId="3" fontId="105" fillId="0" borderId="13" xfId="0" applyNumberFormat="1" applyFont="1" applyBorder="1" applyAlignment="1">
      <alignment horizontal="right"/>
    </xf>
    <xf numFmtId="37" fontId="47" fillId="0" borderId="13" xfId="0" applyNumberFormat="1" applyFont="1" applyBorder="1" applyAlignment="1">
      <alignment horizontal="left"/>
    </xf>
    <xf numFmtId="44" fontId="1" fillId="0" borderId="13" xfId="1" applyFont="1" applyFill="1" applyBorder="1" applyAlignment="1">
      <alignment horizontal="left"/>
    </xf>
    <xf numFmtId="7" fontId="47" fillId="0" borderId="13" xfId="0" applyNumberFormat="1" applyFont="1" applyBorder="1" applyAlignment="1">
      <alignment horizontal="left"/>
    </xf>
    <xf numFmtId="164" fontId="44" fillId="0" borderId="13" xfId="0" applyNumberFormat="1" applyFont="1" applyBorder="1" applyAlignment="1">
      <alignment horizontal="left"/>
    </xf>
    <xf numFmtId="173" fontId="47" fillId="0" borderId="13" xfId="0" applyNumberFormat="1" applyFont="1" applyBorder="1" applyAlignment="1">
      <alignment horizontal="left"/>
    </xf>
    <xf numFmtId="44" fontId="105" fillId="0" borderId="0" xfId="0" applyNumberFormat="1" applyFont="1" applyAlignment="1">
      <alignment horizontal="right"/>
    </xf>
    <xf numFmtId="44" fontId="75" fillId="0" borderId="12" xfId="0" applyNumberFormat="1" applyFont="1" applyBorder="1" applyAlignment="1">
      <alignment horizontal="center"/>
    </xf>
    <xf numFmtId="44" fontId="57" fillId="0" borderId="0" xfId="0" applyNumberFormat="1" applyFont="1" applyAlignment="1">
      <alignment horizontal="left"/>
    </xf>
    <xf numFmtId="44" fontId="3" fillId="8" borderId="9" xfId="1" applyFont="1" applyFill="1" applyBorder="1" applyAlignment="1">
      <alignment horizontal="left"/>
    </xf>
    <xf numFmtId="175" fontId="5" fillId="0" borderId="13" xfId="0" applyNumberFormat="1" applyFont="1" applyBorder="1"/>
    <xf numFmtId="9" fontId="5" fillId="0" borderId="13" xfId="0" applyNumberFormat="1" applyFont="1" applyBorder="1"/>
    <xf numFmtId="9" fontId="5" fillId="0" borderId="13" xfId="2" applyFont="1" applyBorder="1" applyAlignment="1"/>
    <xf numFmtId="180" fontId="5" fillId="0" borderId="13" xfId="0" applyNumberFormat="1" applyFont="1" applyBorder="1"/>
    <xf numFmtId="180" fontId="5" fillId="0" borderId="13" xfId="3" applyNumberFormat="1" applyFont="1" applyBorder="1" applyAlignment="1"/>
    <xf numFmtId="3" fontId="28" fillId="6" borderId="13" xfId="0" applyNumberFormat="1" applyFont="1" applyFill="1" applyBorder="1" applyAlignment="1">
      <alignment horizontal="left"/>
    </xf>
    <xf numFmtId="3" fontId="74" fillId="0" borderId="12" xfId="0" applyNumberFormat="1" applyFont="1" applyBorder="1" applyAlignment="1">
      <alignment horizontal="left" wrapText="1"/>
    </xf>
    <xf numFmtId="175" fontId="32" fillId="0" borderId="13" xfId="1" applyNumberFormat="1" applyFont="1" applyBorder="1" applyAlignment="1">
      <alignment horizontal="left"/>
    </xf>
    <xf numFmtId="180" fontId="100" fillId="0" borderId="0" xfId="3" applyNumberFormat="1" applyFont="1" applyAlignment="1">
      <alignment horizontal="right"/>
    </xf>
    <xf numFmtId="183" fontId="1" fillId="0" borderId="0" xfId="1" applyNumberFormat="1" applyFont="1" applyAlignment="1">
      <alignment horizontal="left"/>
    </xf>
    <xf numFmtId="175" fontId="106" fillId="0" borderId="0" xfId="1" applyNumberFormat="1" applyFont="1" applyFill="1"/>
    <xf numFmtId="175" fontId="106" fillId="0" borderId="13" xfId="1" applyNumberFormat="1" applyFont="1" applyFill="1" applyBorder="1"/>
    <xf numFmtId="175" fontId="1" fillId="0" borderId="0" xfId="1" applyNumberFormat="1" applyFont="1" applyFill="1"/>
    <xf numFmtId="175" fontId="100" fillId="0" borderId="0" xfId="1" applyNumberFormat="1" applyFont="1" applyFill="1"/>
    <xf numFmtId="175" fontId="100" fillId="0" borderId="0" xfId="1" applyNumberFormat="1" applyFont="1" applyAlignment="1">
      <alignment horizontal="right"/>
    </xf>
    <xf numFmtId="171" fontId="107" fillId="13" borderId="13" xfId="0" applyNumberFormat="1" applyFont="1" applyFill="1" applyBorder="1" applyAlignment="1">
      <alignment horizontal="left"/>
    </xf>
    <xf numFmtId="0" fontId="108" fillId="0" borderId="0" xfId="0" applyFont="1" applyAlignment="1">
      <alignment horizontal="center"/>
    </xf>
    <xf numFmtId="175" fontId="51" fillId="8" borderId="7" xfId="1" applyNumberFormat="1" applyFont="1" applyFill="1" applyBorder="1" applyAlignment="1">
      <alignment horizontal="left"/>
    </xf>
    <xf numFmtId="175" fontId="107" fillId="13" borderId="13" xfId="1" applyNumberFormat="1" applyFont="1" applyFill="1" applyBorder="1" applyAlignment="1">
      <alignment horizontal="left"/>
    </xf>
    <xf numFmtId="175" fontId="51" fillId="0" borderId="0" xfId="1" applyNumberFormat="1" applyFont="1" applyAlignment="1">
      <alignment horizontal="left"/>
    </xf>
    <xf numFmtId="175" fontId="75" fillId="0" borderId="12" xfId="1" applyNumberFormat="1" applyFont="1" applyBorder="1" applyAlignment="1">
      <alignment horizontal="center"/>
    </xf>
    <xf numFmtId="175" fontId="105" fillId="0" borderId="0" xfId="1" applyNumberFormat="1" applyFont="1" applyAlignment="1">
      <alignment horizontal="right"/>
    </xf>
    <xf numFmtId="175" fontId="47" fillId="0" borderId="0" xfId="1" applyNumberFormat="1" applyFont="1" applyAlignment="1">
      <alignment horizontal="left"/>
    </xf>
    <xf numFmtId="175" fontId="44" fillId="0" borderId="0" xfId="1" applyNumberFormat="1" applyFont="1" applyAlignment="1">
      <alignment horizontal="left"/>
    </xf>
    <xf numFmtId="175" fontId="57" fillId="8" borderId="9" xfId="1" applyNumberFormat="1" applyFont="1" applyFill="1" applyBorder="1" applyAlignment="1">
      <alignment horizontal="left"/>
    </xf>
    <xf numFmtId="3" fontId="80" fillId="23" borderId="0" xfId="0" applyNumberFormat="1" applyFont="1" applyFill="1"/>
    <xf numFmtId="170" fontId="86" fillId="24" borderId="7" xfId="0" applyNumberFormat="1" applyFont="1" applyFill="1" applyBorder="1" applyAlignment="1">
      <alignment horizontal="center"/>
    </xf>
    <xf numFmtId="171" fontId="86" fillId="25" borderId="13" xfId="0" applyNumberFormat="1" applyFont="1" applyFill="1" applyBorder="1" applyAlignment="1">
      <alignment horizontal="center"/>
    </xf>
    <xf numFmtId="3" fontId="86" fillId="23" borderId="0" xfId="0" applyNumberFormat="1" applyFont="1" applyFill="1" applyAlignment="1">
      <alignment horizontal="center"/>
    </xf>
    <xf numFmtId="3" fontId="86" fillId="23" borderId="3" xfId="0" applyNumberFormat="1" applyFont="1" applyFill="1" applyBorder="1" applyAlignment="1">
      <alignment horizontal="center"/>
    </xf>
    <xf numFmtId="3" fontId="86" fillId="23" borderId="13" xfId="0" applyNumberFormat="1" applyFont="1" applyFill="1" applyBorder="1" applyAlignment="1">
      <alignment horizontal="center"/>
    </xf>
    <xf numFmtId="180" fontId="80" fillId="23" borderId="13" xfId="3" applyNumberFormat="1" applyFont="1" applyFill="1" applyBorder="1"/>
    <xf numFmtId="175" fontId="80" fillId="23" borderId="13" xfId="1" applyNumberFormat="1" applyFont="1" applyFill="1" applyBorder="1"/>
    <xf numFmtId="44" fontId="65" fillId="26" borderId="13" xfId="1" applyFont="1" applyFill="1" applyBorder="1"/>
    <xf numFmtId="175" fontId="66" fillId="24" borderId="9" xfId="1" applyNumberFormat="1" applyFont="1" applyFill="1" applyBorder="1"/>
    <xf numFmtId="3" fontId="91" fillId="23" borderId="0" xfId="0" applyNumberFormat="1" applyFont="1" applyFill="1" applyAlignment="1">
      <alignment horizontal="center"/>
    </xf>
    <xf numFmtId="3" fontId="65" fillId="23" borderId="4" xfId="0" applyNumberFormat="1" applyFont="1" applyFill="1" applyBorder="1" applyAlignment="1">
      <alignment wrapText="1"/>
    </xf>
    <xf numFmtId="175" fontId="65" fillId="23" borderId="0" xfId="1" applyNumberFormat="1" applyFont="1" applyFill="1"/>
    <xf numFmtId="44" fontId="65" fillId="23" borderId="0" xfId="1" applyFont="1" applyFill="1"/>
    <xf numFmtId="175" fontId="66" fillId="25" borderId="9" xfId="1" applyNumberFormat="1" applyFont="1" applyFill="1" applyBorder="1"/>
    <xf numFmtId="44" fontId="66" fillId="23" borderId="4" xfId="1" applyFont="1" applyFill="1" applyBorder="1" applyAlignment="1">
      <alignment wrapText="1"/>
    </xf>
    <xf numFmtId="37" fontId="91" fillId="23" borderId="0" xfId="0" applyNumberFormat="1" applyFont="1" applyFill="1"/>
    <xf numFmtId="37" fontId="85" fillId="23" borderId="0" xfId="0" applyNumberFormat="1" applyFont="1" applyFill="1"/>
    <xf numFmtId="37" fontId="82" fillId="23" borderId="4" xfId="0" applyNumberFormat="1" applyFont="1" applyFill="1" applyBorder="1" applyAlignment="1">
      <alignment wrapText="1"/>
    </xf>
    <xf numFmtId="44" fontId="80" fillId="23" borderId="0" xfId="1" applyFont="1" applyFill="1"/>
    <xf numFmtId="44" fontId="99" fillId="23" borderId="0" xfId="1" applyFont="1" applyFill="1"/>
    <xf numFmtId="37" fontId="66" fillId="26" borderId="9" xfId="0" applyNumberFormat="1" applyFont="1" applyFill="1" applyBorder="1"/>
    <xf numFmtId="37" fontId="83" fillId="23" borderId="0" xfId="0" applyNumberFormat="1" applyFont="1" applyFill="1"/>
    <xf numFmtId="37" fontId="66" fillId="23" borderId="4" xfId="0" applyNumberFormat="1" applyFont="1" applyFill="1" applyBorder="1" applyAlignment="1">
      <alignment wrapText="1"/>
    </xf>
    <xf numFmtId="37" fontId="87" fillId="23" borderId="0" xfId="0" applyNumberFormat="1" applyFont="1" applyFill="1"/>
    <xf numFmtId="175" fontId="66" fillId="25" borderId="19" xfId="1" applyNumberFormat="1" applyFont="1" applyFill="1" applyBorder="1"/>
    <xf numFmtId="37" fontId="80" fillId="23" borderId="0" xfId="0" applyNumberFormat="1" applyFont="1" applyFill="1"/>
    <xf numFmtId="39" fontId="85" fillId="23" borderId="0" xfId="0" applyNumberFormat="1" applyFont="1" applyFill="1"/>
    <xf numFmtId="37" fontId="89" fillId="23" borderId="4" xfId="0" applyNumberFormat="1" applyFont="1" applyFill="1" applyBorder="1" applyAlignment="1">
      <alignment wrapText="1"/>
    </xf>
    <xf numFmtId="173" fontId="85" fillId="23" borderId="0" xfId="0" applyNumberFormat="1" applyFont="1" applyFill="1"/>
    <xf numFmtId="44" fontId="99" fillId="23" borderId="25" xfId="1" applyFont="1" applyFill="1" applyBorder="1"/>
    <xf numFmtId="44" fontId="66" fillId="25" borderId="9" xfId="1" applyFont="1" applyFill="1" applyBorder="1"/>
    <xf numFmtId="44" fontId="80" fillId="23" borderId="13" xfId="1" applyFont="1" applyFill="1" applyBorder="1"/>
    <xf numFmtId="44" fontId="99" fillId="23" borderId="13" xfId="1" applyFont="1" applyFill="1" applyBorder="1"/>
    <xf numFmtId="170" fontId="51" fillId="27" borderId="7" xfId="0" applyNumberFormat="1" applyFont="1" applyFill="1" applyBorder="1" applyAlignment="1">
      <alignment horizontal="left"/>
    </xf>
    <xf numFmtId="171" fontId="51" fillId="28" borderId="13" xfId="0" applyNumberFormat="1" applyFont="1" applyFill="1" applyBorder="1" applyAlignment="1">
      <alignment horizontal="left"/>
    </xf>
    <xf numFmtId="3" fontId="51" fillId="23" borderId="0" xfId="0" applyNumberFormat="1" applyFont="1" applyFill="1" applyAlignment="1">
      <alignment horizontal="left"/>
    </xf>
    <xf numFmtId="3" fontId="75" fillId="23" borderId="12" xfId="0" applyNumberFormat="1" applyFont="1" applyFill="1" applyBorder="1" applyAlignment="1">
      <alignment horizontal="center"/>
    </xf>
    <xf numFmtId="3" fontId="1" fillId="23" borderId="0" xfId="0" applyNumberFormat="1" applyFont="1" applyFill="1" applyAlignment="1">
      <alignment horizontal="left"/>
    </xf>
    <xf numFmtId="180" fontId="100" fillId="23" borderId="0" xfId="3" applyNumberFormat="1" applyFont="1" applyFill="1" applyAlignment="1">
      <alignment horizontal="right"/>
    </xf>
    <xf numFmtId="180" fontId="1" fillId="23" borderId="0" xfId="3" applyNumberFormat="1" applyFont="1" applyFill="1" applyAlignment="1">
      <alignment horizontal="left"/>
    </xf>
    <xf numFmtId="173" fontId="1" fillId="23" borderId="0" xfId="0" applyNumberFormat="1" applyFont="1" applyFill="1" applyAlignment="1">
      <alignment horizontal="left"/>
    </xf>
    <xf numFmtId="175" fontId="1" fillId="23" borderId="0" xfId="1" applyNumberFormat="1" applyFont="1" applyFill="1" applyAlignment="1">
      <alignment horizontal="left"/>
    </xf>
    <xf numFmtId="175" fontId="100" fillId="23" borderId="0" xfId="1" applyNumberFormat="1" applyFont="1" applyFill="1"/>
    <xf numFmtId="175" fontId="100" fillId="23" borderId="0" xfId="1" applyNumberFormat="1" applyFont="1" applyFill="1" applyAlignment="1">
      <alignment horizontal="right"/>
    </xf>
    <xf numFmtId="175" fontId="3" fillId="23" borderId="0" xfId="1" applyNumberFormat="1" applyFont="1" applyFill="1" applyAlignment="1">
      <alignment horizontal="left"/>
    </xf>
    <xf numFmtId="3" fontId="105" fillId="23" borderId="0" xfId="0" applyNumberFormat="1" applyFont="1" applyFill="1" applyAlignment="1">
      <alignment horizontal="right"/>
    </xf>
    <xf numFmtId="37" fontId="57" fillId="23" borderId="0" xfId="0" applyNumberFormat="1" applyFont="1" applyFill="1" applyAlignment="1">
      <alignment horizontal="left"/>
    </xf>
    <xf numFmtId="44" fontId="1" fillId="23" borderId="0" xfId="1" applyFont="1" applyFill="1" applyAlignment="1">
      <alignment horizontal="left"/>
    </xf>
    <xf numFmtId="175" fontId="3" fillId="27" borderId="9" xfId="1" applyNumberFormat="1" applyFont="1" applyFill="1" applyBorder="1" applyAlignment="1">
      <alignment horizontal="left"/>
    </xf>
    <xf numFmtId="44" fontId="65" fillId="0" borderId="13" xfId="1" applyFont="1" applyFill="1" applyBorder="1"/>
    <xf numFmtId="175" fontId="66" fillId="15" borderId="9" xfId="1" applyNumberFormat="1" applyFont="1" applyFill="1" applyBorder="1"/>
    <xf numFmtId="175" fontId="108" fillId="0" borderId="0" xfId="1" applyNumberFormat="1" applyFont="1" applyAlignment="1">
      <alignment horizontal="center"/>
    </xf>
    <xf numFmtId="0" fontId="108" fillId="0" borderId="0" xfId="0" applyFont="1" applyAlignment="1">
      <alignment horizontal="center"/>
    </xf>
    <xf numFmtId="170" fontId="55" fillId="29" borderId="7" xfId="0" applyNumberFormat="1" applyFont="1" applyFill="1" applyBorder="1" applyAlignment="1">
      <alignment horizontal="left"/>
    </xf>
    <xf numFmtId="171" fontId="51" fillId="30" borderId="13" xfId="0" applyNumberFormat="1" applyFont="1" applyFill="1" applyBorder="1" applyAlignment="1">
      <alignment horizontal="left"/>
    </xf>
    <xf numFmtId="3" fontId="69" fillId="23" borderId="2" xfId="0" applyNumberFormat="1" applyFont="1" applyFill="1" applyBorder="1" applyAlignment="1">
      <alignment horizontal="left"/>
    </xf>
    <xf numFmtId="3" fontId="1" fillId="23" borderId="0" xfId="0" applyNumberFormat="1" applyFont="1" applyFill="1"/>
    <xf numFmtId="175" fontId="1" fillId="23" borderId="0" xfId="1" applyNumberFormat="1" applyFont="1" applyFill="1"/>
    <xf numFmtId="175" fontId="3" fillId="23" borderId="0" xfId="1" applyNumberFormat="1" applyFont="1" applyFill="1"/>
    <xf numFmtId="175" fontId="32" fillId="27" borderId="13" xfId="1" applyNumberFormat="1" applyFont="1" applyFill="1" applyBorder="1" applyAlignment="1">
      <alignment horizontal="left"/>
    </xf>
    <xf numFmtId="175" fontId="5" fillId="28" borderId="13" xfId="1" applyNumberFormat="1" applyFont="1" applyFill="1" applyBorder="1" applyAlignment="1">
      <alignment horizontal="left"/>
    </xf>
    <xf numFmtId="175" fontId="5" fillId="23" borderId="0" xfId="1" applyNumberFormat="1" applyFont="1" applyFill="1" applyAlignment="1">
      <alignment horizontal="left"/>
    </xf>
    <xf numFmtId="175" fontId="32" fillId="31" borderId="13" xfId="1" applyNumberFormat="1" applyFont="1" applyFill="1" applyBorder="1" applyAlignment="1">
      <alignment horizontal="left"/>
    </xf>
    <xf numFmtId="175" fontId="5" fillId="32" borderId="13" xfId="1" applyNumberFormat="1" applyFont="1" applyFill="1" applyBorder="1" applyAlignment="1">
      <alignment horizontal="left"/>
    </xf>
    <xf numFmtId="175" fontId="32" fillId="23" borderId="9" xfId="1" applyNumberFormat="1" applyFont="1" applyFill="1" applyBorder="1" applyAlignment="1">
      <alignment horizontal="left"/>
    </xf>
    <xf numFmtId="164" fontId="54" fillId="23" borderId="0" xfId="0" applyNumberFormat="1" applyFont="1" applyFill="1" applyAlignment="1">
      <alignment horizontal="left"/>
    </xf>
    <xf numFmtId="3" fontId="5" fillId="23" borderId="0" xfId="0" applyNumberFormat="1" applyFont="1" applyFill="1" applyAlignment="1">
      <alignment horizontal="left"/>
    </xf>
    <xf numFmtId="175" fontId="32" fillId="24" borderId="13" xfId="1" applyNumberFormat="1" applyFont="1" applyFill="1" applyBorder="1" applyAlignment="1">
      <alignment horizontal="left"/>
    </xf>
    <xf numFmtId="175" fontId="5" fillId="26" borderId="13" xfId="1" applyNumberFormat="1" applyFont="1" applyFill="1" applyBorder="1" applyAlignment="1">
      <alignment horizontal="left"/>
    </xf>
    <xf numFmtId="175" fontId="5" fillId="23" borderId="9" xfId="1" applyNumberFormat="1" applyFont="1" applyFill="1" applyBorder="1" applyAlignment="1">
      <alignment horizontal="left"/>
    </xf>
    <xf numFmtId="37" fontId="5" fillId="23" borderId="0" xfId="0" applyNumberFormat="1" applyFont="1" applyFill="1" applyAlignment="1">
      <alignment horizontal="left"/>
    </xf>
    <xf numFmtId="3" fontId="32" fillId="23" borderId="2" xfId="0" applyNumberFormat="1" applyFont="1" applyFill="1" applyBorder="1" applyAlignment="1">
      <alignment horizontal="left"/>
    </xf>
    <xf numFmtId="37" fontId="5" fillId="33" borderId="13" xfId="0" applyNumberFormat="1" applyFont="1" applyFill="1" applyBorder="1" applyAlignment="1">
      <alignment horizontal="left"/>
    </xf>
    <xf numFmtId="175" fontId="5" fillId="34" borderId="9" xfId="1" applyNumberFormat="1" applyFont="1" applyFill="1" applyBorder="1" applyAlignment="1">
      <alignment horizontal="left"/>
    </xf>
    <xf numFmtId="175" fontId="5" fillId="33" borderId="13" xfId="1" applyNumberFormat="1" applyFont="1" applyFill="1" applyBorder="1" applyAlignment="1">
      <alignment horizontal="left"/>
    </xf>
    <xf numFmtId="175" fontId="32" fillId="34" borderId="9" xfId="1" applyNumberFormat="1" applyFont="1" applyFill="1" applyBorder="1" applyAlignment="1">
      <alignment horizontal="left"/>
    </xf>
    <xf numFmtId="183" fontId="5" fillId="23" borderId="0" xfId="1" applyNumberFormat="1" applyFont="1" applyFill="1" applyAlignment="1">
      <alignment horizontal="left"/>
    </xf>
    <xf numFmtId="175" fontId="5" fillId="33" borderId="9" xfId="1" applyNumberFormat="1" applyFont="1" applyFill="1" applyBorder="1" applyAlignment="1">
      <alignment horizontal="left"/>
    </xf>
    <xf numFmtId="173" fontId="54" fillId="23" borderId="0" xfId="0" applyNumberFormat="1" applyFont="1" applyFill="1" applyAlignment="1">
      <alignment horizontal="left"/>
    </xf>
    <xf numFmtId="164" fontId="5" fillId="23" borderId="0" xfId="0" applyNumberFormat="1" applyFont="1" applyFill="1" applyAlignment="1">
      <alignment horizontal="left"/>
    </xf>
    <xf numFmtId="175" fontId="5" fillId="23" borderId="11" xfId="1" applyNumberFormat="1" applyFont="1" applyFill="1" applyBorder="1" applyAlignment="1">
      <alignment horizontal="left"/>
    </xf>
    <xf numFmtId="175" fontId="32" fillId="23" borderId="0" xfId="1" applyNumberFormat="1" applyFont="1" applyFill="1" applyAlignment="1">
      <alignment horizontal="left"/>
    </xf>
    <xf numFmtId="3" fontId="98" fillId="23" borderId="0" xfId="0" applyNumberFormat="1" applyFont="1" applyFill="1" applyAlignment="1">
      <alignment horizontal="left"/>
    </xf>
    <xf numFmtId="9" fontId="0" fillId="0" borderId="0" xfId="0" applyNumberFormat="1" applyAlignment="1">
      <alignment horizontal="right"/>
    </xf>
    <xf numFmtId="44" fontId="5" fillId="16" borderId="13" xfId="1" applyFont="1" applyFill="1" applyBorder="1" applyAlignment="1">
      <alignment horizontal="left"/>
    </xf>
    <xf numFmtId="44" fontId="5" fillId="33" borderId="13" xfId="1" applyFont="1" applyFill="1" applyBorder="1" applyAlignment="1">
      <alignment horizontal="left"/>
    </xf>
    <xf numFmtId="3" fontId="3" fillId="23" borderId="0" xfId="0" applyNumberFormat="1" applyFont="1" applyFill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2">
    <dxf>
      <font>
        <b/>
        <color rgb="FFCC0000"/>
      </font>
      <fill>
        <patternFill patternType="solid">
          <fgColor rgb="FFF4C7C3"/>
          <bgColor rgb="FFF4C7C3"/>
        </patternFill>
      </fill>
    </dxf>
    <dxf>
      <font>
        <b/>
        <color rgb="FFCC0000"/>
      </font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Percentage Ownership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'Funding - Equity Round Calculat'!$C$33</c:f>
              <c:strCache>
                <c:ptCount val="1"/>
                <c:pt idx="0">
                  <c:v>Percentage Ownership</c:v>
                </c:pt>
              </c:strCache>
            </c:strRef>
          </c:tx>
          <c:dPt>
            <c:idx val="0"/>
            <c:bubble3D val="0"/>
            <c:spPr>
              <a:solidFill>
                <a:srgbClr val="3ABEFF"/>
              </a:solidFill>
            </c:spPr>
            <c:extLst>
              <c:ext xmlns:c16="http://schemas.microsoft.com/office/drawing/2014/chart" uri="{C3380CC4-5D6E-409C-BE32-E72D297353CC}">
                <c16:uniqueId val="{00000001-EE39-43E4-96FA-EA983509F1F5}"/>
              </c:ext>
            </c:extLst>
          </c:dPt>
          <c:dPt>
            <c:idx val="1"/>
            <c:bubble3D val="0"/>
            <c:spPr>
              <a:solidFill>
                <a:srgbClr val="FF3366"/>
              </a:solidFill>
            </c:spPr>
            <c:extLst>
              <c:ext xmlns:c16="http://schemas.microsoft.com/office/drawing/2014/chart" uri="{C3380CC4-5D6E-409C-BE32-E72D297353CC}">
                <c16:uniqueId val="{00000003-EE39-43E4-96FA-EA983509F1F5}"/>
              </c:ext>
            </c:extLst>
          </c:dPt>
          <c:dPt>
            <c:idx val="2"/>
            <c:bubble3D val="0"/>
            <c:spPr>
              <a:solidFill>
                <a:srgbClr val="2EC4B6"/>
              </a:solidFill>
            </c:spPr>
            <c:extLst>
              <c:ext xmlns:c16="http://schemas.microsoft.com/office/drawing/2014/chart" uri="{C3380CC4-5D6E-409C-BE32-E72D297353CC}">
                <c16:uniqueId val="{00000005-EE39-43E4-96FA-EA983509F1F5}"/>
              </c:ext>
            </c:extLst>
          </c:dPt>
          <c:dPt>
            <c:idx val="3"/>
            <c:bubble3D val="0"/>
            <c:spPr>
              <a:solidFill>
                <a:srgbClr val="FFE066"/>
              </a:solidFill>
            </c:spPr>
            <c:extLst>
              <c:ext xmlns:c16="http://schemas.microsoft.com/office/drawing/2014/chart" uri="{C3380CC4-5D6E-409C-BE32-E72D297353CC}">
                <c16:uniqueId val="{00000007-EE39-43E4-96FA-EA983509F1F5}"/>
              </c:ext>
            </c:extLst>
          </c:dPt>
          <c:dPt>
            <c:idx val="4"/>
            <c:bubble3D val="0"/>
            <c:spPr>
              <a:solidFill>
                <a:srgbClr val="999999"/>
              </a:solidFill>
            </c:spPr>
            <c:extLst>
              <c:ext xmlns:c16="http://schemas.microsoft.com/office/drawing/2014/chart" uri="{C3380CC4-5D6E-409C-BE32-E72D297353CC}">
                <c16:uniqueId val="{00000009-EE39-43E4-96FA-EA983509F1F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A-EE39-43E4-96FA-EA983509F1F5}"/>
              </c:ext>
            </c:extLst>
          </c:dPt>
          <c:cat>
            <c:strRef>
              <c:f>'Funding - Equity Round Calculat'!$A$34:$A$39</c:f>
              <c:strCache>
                <c:ptCount val="5"/>
                <c:pt idx="0">
                  <c:v>Founder 1</c:v>
                </c:pt>
                <c:pt idx="1">
                  <c:v>Founder 2</c:v>
                </c:pt>
                <c:pt idx="2">
                  <c:v>Founder 3</c:v>
                </c:pt>
                <c:pt idx="3">
                  <c:v>Other Founders or employees</c:v>
                </c:pt>
                <c:pt idx="4">
                  <c:v>Investors</c:v>
                </c:pt>
              </c:strCache>
            </c:strRef>
          </c:cat>
          <c:val>
            <c:numRef>
              <c:f>'Funding - Equity Round Calculat'!$C$34:$C$39</c:f>
              <c:numCache>
                <c:formatCode>0.00%</c:formatCode>
                <c:ptCount val="6"/>
                <c:pt idx="0">
                  <c:v>0.29333333333333333</c:v>
                </c:pt>
                <c:pt idx="1">
                  <c:v>0.29333333333333333</c:v>
                </c:pt>
                <c:pt idx="2">
                  <c:v>0.29333333333333333</c:v>
                </c:pt>
                <c:pt idx="3">
                  <c:v>8.8888888888888889E-3</c:v>
                </c:pt>
                <c:pt idx="4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39-43E4-96FA-EA983509F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Percentage Ownership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'Funding - Convertible Note Calc'!$C$52</c:f>
              <c:strCache>
                <c:ptCount val="1"/>
                <c:pt idx="0">
                  <c:v>Percentage Ownership</c:v>
                </c:pt>
              </c:strCache>
            </c:strRef>
          </c:tx>
          <c:dPt>
            <c:idx val="0"/>
            <c:bubble3D val="0"/>
            <c:spPr>
              <a:solidFill>
                <a:srgbClr val="3ABEFF"/>
              </a:solidFill>
            </c:spPr>
            <c:extLst>
              <c:ext xmlns:c16="http://schemas.microsoft.com/office/drawing/2014/chart" uri="{C3380CC4-5D6E-409C-BE32-E72D297353CC}">
                <c16:uniqueId val="{00000001-1E40-47F5-B3E6-928597FC01E8}"/>
              </c:ext>
            </c:extLst>
          </c:dPt>
          <c:dPt>
            <c:idx val="1"/>
            <c:bubble3D val="0"/>
            <c:spPr>
              <a:solidFill>
                <a:srgbClr val="FF3366"/>
              </a:solidFill>
            </c:spPr>
            <c:extLst>
              <c:ext xmlns:c16="http://schemas.microsoft.com/office/drawing/2014/chart" uri="{C3380CC4-5D6E-409C-BE32-E72D297353CC}">
                <c16:uniqueId val="{00000003-1E40-47F5-B3E6-928597FC01E8}"/>
              </c:ext>
            </c:extLst>
          </c:dPt>
          <c:dPt>
            <c:idx val="2"/>
            <c:bubble3D val="0"/>
            <c:spPr>
              <a:solidFill>
                <a:srgbClr val="2EC4B6"/>
              </a:solidFill>
            </c:spPr>
            <c:extLst>
              <c:ext xmlns:c16="http://schemas.microsoft.com/office/drawing/2014/chart" uri="{C3380CC4-5D6E-409C-BE32-E72D297353CC}">
                <c16:uniqueId val="{00000005-1E40-47F5-B3E6-928597FC01E8}"/>
              </c:ext>
            </c:extLst>
          </c:dPt>
          <c:dPt>
            <c:idx val="3"/>
            <c:bubble3D val="0"/>
            <c:spPr>
              <a:solidFill>
                <a:srgbClr val="FFE066"/>
              </a:solidFill>
            </c:spPr>
            <c:extLst>
              <c:ext xmlns:c16="http://schemas.microsoft.com/office/drawing/2014/chart" uri="{C3380CC4-5D6E-409C-BE32-E72D297353CC}">
                <c16:uniqueId val="{00000007-1E40-47F5-B3E6-928597FC01E8}"/>
              </c:ext>
            </c:extLst>
          </c:dPt>
          <c:dPt>
            <c:idx val="4"/>
            <c:bubble3D val="0"/>
            <c:spPr>
              <a:solidFill>
                <a:srgbClr val="CCCCCC"/>
              </a:solidFill>
            </c:spPr>
            <c:extLst>
              <c:ext xmlns:c16="http://schemas.microsoft.com/office/drawing/2014/chart" uri="{C3380CC4-5D6E-409C-BE32-E72D297353CC}">
                <c16:uniqueId val="{00000009-1E40-47F5-B3E6-928597FC01E8}"/>
              </c:ext>
            </c:extLst>
          </c:dPt>
          <c:dPt>
            <c:idx val="5"/>
            <c:bubble3D val="0"/>
            <c:spPr>
              <a:solidFill>
                <a:srgbClr val="999999"/>
              </a:solidFill>
            </c:spPr>
            <c:extLst>
              <c:ext xmlns:c16="http://schemas.microsoft.com/office/drawing/2014/chart" uri="{C3380CC4-5D6E-409C-BE32-E72D297353CC}">
                <c16:uniqueId val="{0000000B-1E40-47F5-B3E6-928597FC01E8}"/>
              </c:ext>
            </c:extLst>
          </c:dPt>
          <c:cat>
            <c:strRef>
              <c:f>'Funding - Convertible Note Calc'!$A$53:$A$59</c:f>
              <c:strCache>
                <c:ptCount val="7"/>
                <c:pt idx="0">
                  <c:v>Founder 1</c:v>
                </c:pt>
                <c:pt idx="1">
                  <c:v>Founder 2</c:v>
                </c:pt>
                <c:pt idx="2">
                  <c:v>Founder 3</c:v>
                </c:pt>
                <c:pt idx="3">
                  <c:v>Other Founders or employees</c:v>
                </c:pt>
                <c:pt idx="4">
                  <c:v>Convertible Note Investors</c:v>
                </c:pt>
                <c:pt idx="5">
                  <c:v>Series A Investors</c:v>
                </c:pt>
                <c:pt idx="6">
                  <c:v>Total</c:v>
                </c:pt>
              </c:strCache>
            </c:strRef>
          </c:cat>
          <c:val>
            <c:numRef>
              <c:f>'Funding - Convertible Note Calc'!$C$53:$C$58</c:f>
              <c:numCache>
                <c:formatCode>0.00%</c:formatCode>
                <c:ptCount val="6"/>
                <c:pt idx="0">
                  <c:v>0.21674876847290642</c:v>
                </c:pt>
                <c:pt idx="1">
                  <c:v>0.21674876847290642</c:v>
                </c:pt>
                <c:pt idx="2">
                  <c:v>0.21674876847290642</c:v>
                </c:pt>
                <c:pt idx="3">
                  <c:v>6.5681444991789817E-3</c:v>
                </c:pt>
                <c:pt idx="4">
                  <c:v>0.17651888341543515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40-47F5-B3E6-928597FC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39</xdr:row>
      <xdr:rowOff>19050</xdr:rowOff>
    </xdr:from>
    <xdr:ext cx="6562725" cy="405765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60</xdr:row>
      <xdr:rowOff>85725</xdr:rowOff>
    </xdr:from>
    <xdr:ext cx="7258050" cy="44862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opedia.com/terms/d/dcf.asp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Z998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28" sqref="C28"/>
    </sheetView>
  </sheetViews>
  <sheetFormatPr baseColWidth="10" defaultColWidth="12.6640625" defaultRowHeight="15" customHeight="1" x14ac:dyDescent="0.15"/>
  <cols>
    <col min="1" max="1" width="31.1640625" customWidth="1"/>
    <col min="2" max="2" width="18.5" customWidth="1"/>
    <col min="3" max="23" width="11.1640625" customWidth="1"/>
    <col min="24" max="26" width="7.6640625" customWidth="1"/>
  </cols>
  <sheetData>
    <row r="1" spans="1:26" ht="18" customHeight="1" x14ac:dyDescent="0.2">
      <c r="A1" s="126"/>
      <c r="B1" s="127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128" t="s">
        <v>0</v>
      </c>
      <c r="B2" s="127"/>
      <c r="C2" s="2"/>
      <c r="D2" s="3"/>
      <c r="E2" s="4"/>
      <c r="F2" s="5"/>
      <c r="G2" s="6"/>
      <c r="H2" s="4"/>
      <c r="I2" s="5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129">
        <f ca="1">+TODAY()</f>
        <v>44539</v>
      </c>
      <c r="B3" s="127"/>
      <c r="C3" s="2"/>
      <c r="D3" s="7"/>
      <c r="E3" s="4"/>
      <c r="F3" s="2"/>
      <c r="G3" s="6"/>
      <c r="H3" s="4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2">
      <c r="A4" s="129"/>
      <c r="B4" s="130"/>
      <c r="C4" s="2"/>
      <c r="D4" s="7"/>
      <c r="E4" s="4"/>
      <c r="F4" s="2"/>
      <c r="G4" s="3"/>
      <c r="H4" s="4"/>
      <c r="I4" s="2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.75" customHeight="1" x14ac:dyDescent="0.2">
      <c r="A5" s="129"/>
      <c r="B5" s="130"/>
      <c r="C5" s="2"/>
      <c r="D5" s="3"/>
      <c r="E5" s="4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131"/>
      <c r="B6" s="12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"/>
      <c r="W6" s="2"/>
      <c r="X6" s="2"/>
      <c r="Y6" s="2"/>
      <c r="Z6" s="2"/>
    </row>
    <row r="7" spans="1:26" ht="18" customHeight="1" x14ac:dyDescent="0.2">
      <c r="A7" s="132"/>
      <c r="B7" s="133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2"/>
      <c r="W7" s="2"/>
      <c r="X7" s="2"/>
      <c r="Y7" s="2"/>
      <c r="Z7" s="2"/>
    </row>
    <row r="8" spans="1:26" ht="18" customHeight="1" x14ac:dyDescent="0.2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2"/>
      <c r="W8" s="2"/>
      <c r="X8" s="2"/>
      <c r="Y8" s="2"/>
      <c r="Z8" s="2"/>
    </row>
    <row r="9" spans="1:26" ht="18" customHeight="1" x14ac:dyDescent="0.25">
      <c r="A9" s="14" t="s">
        <v>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  <c r="Y9" s="16"/>
      <c r="Z9" s="16"/>
    </row>
    <row r="10" spans="1:26" ht="4.5" customHeight="1" x14ac:dyDescent="0.2">
      <c r="A10" s="2"/>
      <c r="B10" s="1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2">
      <c r="A11" s="18" t="s">
        <v>2</v>
      </c>
      <c r="B11" s="19" t="s">
        <v>3</v>
      </c>
      <c r="C11" s="134" t="s">
        <v>4</v>
      </c>
      <c r="D11" s="135"/>
      <c r="E11" s="135"/>
      <c r="F11" s="135"/>
      <c r="G11" s="135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18"/>
      <c r="Y11" s="18"/>
      <c r="Z11" s="18"/>
    </row>
    <row r="12" spans="1:26" ht="18" customHeight="1" x14ac:dyDescent="0.2">
      <c r="A12" s="2" t="s">
        <v>5</v>
      </c>
      <c r="B12" s="21" t="s">
        <v>6</v>
      </c>
      <c r="C12" s="136" t="s">
        <v>7</v>
      </c>
      <c r="D12" s="137"/>
      <c r="E12" s="137"/>
      <c r="F12" s="137"/>
      <c r="G12" s="137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"/>
      <c r="Y12" s="2"/>
      <c r="Z12" s="2"/>
    </row>
    <row r="13" spans="1:26" ht="18" customHeight="1" x14ac:dyDescent="0.2">
      <c r="A13" s="11"/>
      <c r="B13" s="12"/>
      <c r="C13" s="12"/>
      <c r="D13" s="2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2"/>
      <c r="Y13" s="2"/>
      <c r="Z13" s="2"/>
    </row>
    <row r="14" spans="1:26" ht="18" customHeight="1" x14ac:dyDescent="0.2">
      <c r="A14" s="11"/>
      <c r="B14" s="12"/>
      <c r="C14" s="12"/>
      <c r="D14" s="2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2"/>
      <c r="Y14" s="2"/>
      <c r="Z14" s="2"/>
    </row>
    <row r="15" spans="1:26" ht="18" customHeight="1" x14ac:dyDescent="0.25">
      <c r="A15" s="14" t="s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  <c r="Y15" s="16"/>
      <c r="Z15" s="16"/>
    </row>
    <row r="16" spans="1:26" ht="4.5" customHeight="1" x14ac:dyDescent="0.2">
      <c r="A16" s="2"/>
      <c r="B16" s="1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2">
      <c r="A17" s="25" t="s">
        <v>9</v>
      </c>
      <c r="B17" s="26"/>
      <c r="C17" s="27" t="s">
        <v>10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"/>
      <c r="Y17" s="2"/>
      <c r="Z17" s="2"/>
    </row>
    <row r="18" spans="1:26" ht="18" customHeight="1" x14ac:dyDescent="0.2">
      <c r="A18" s="25" t="s">
        <v>11</v>
      </c>
      <c r="B18" s="26"/>
      <c r="C18" s="27" t="s">
        <v>12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"/>
      <c r="Y18" s="2"/>
      <c r="Z18" s="2"/>
    </row>
    <row r="19" spans="1:26" ht="18" customHeight="1" x14ac:dyDescent="0.2">
      <c r="A19" s="28" t="s">
        <v>13</v>
      </c>
      <c r="B19" s="26"/>
      <c r="C19" s="27" t="s">
        <v>14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"/>
      <c r="Y19" s="2"/>
      <c r="Z19" s="2"/>
    </row>
    <row r="20" spans="1:26" ht="18" customHeight="1" x14ac:dyDescent="0.2">
      <c r="A20" s="138" t="s">
        <v>15</v>
      </c>
      <c r="B20" s="139"/>
      <c r="C20" s="27" t="s">
        <v>16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"/>
      <c r="Y20" s="2"/>
      <c r="Z20" s="2"/>
    </row>
    <row r="21" spans="1:26" ht="18" customHeight="1" x14ac:dyDescent="0.2">
      <c r="A21" s="138" t="s">
        <v>17</v>
      </c>
      <c r="B21" s="139"/>
      <c r="C21" s="27" t="s">
        <v>18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"/>
      <c r="Y21" s="2"/>
      <c r="Z21" s="2"/>
    </row>
    <row r="22" spans="1:26" ht="18" customHeight="1" x14ac:dyDescent="0.2">
      <c r="A22" s="140" t="s">
        <v>19</v>
      </c>
      <c r="B22" s="141"/>
      <c r="C22" s="27" t="s">
        <v>20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"/>
      <c r="Y22" s="2"/>
      <c r="Z22" s="2"/>
    </row>
    <row r="23" spans="1:26" ht="18" customHeight="1" x14ac:dyDescent="0.2">
      <c r="A23" s="142" t="s">
        <v>21</v>
      </c>
      <c r="B23" s="143"/>
      <c r="C23" s="27" t="s">
        <v>22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"/>
      <c r="Y23" s="2"/>
      <c r="Z23" s="2"/>
    </row>
    <row r="24" spans="1:26" ht="18" customHeight="1" x14ac:dyDescent="0.2">
      <c r="A24" s="144" t="s">
        <v>23</v>
      </c>
      <c r="B24" s="145"/>
      <c r="C24" s="27" t="s">
        <v>24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"/>
      <c r="Y24" s="2"/>
      <c r="Z24" s="2"/>
    </row>
    <row r="25" spans="1:26" ht="18" customHeight="1" x14ac:dyDescent="0.2">
      <c r="A25" s="146" t="s">
        <v>25</v>
      </c>
      <c r="B25" s="147"/>
      <c r="C25" s="27" t="s">
        <v>26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"/>
      <c r="Y25" s="2"/>
      <c r="Z25" s="2"/>
    </row>
    <row r="26" spans="1:26" ht="18" customHeight="1" x14ac:dyDescent="0.2">
      <c r="A26" s="2"/>
      <c r="B26" s="17"/>
      <c r="C26" s="29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"/>
      <c r="Y26" s="2"/>
      <c r="Z26" s="2"/>
    </row>
    <row r="27" spans="1:26" ht="18" customHeight="1" x14ac:dyDescent="0.2">
      <c r="A27" s="2"/>
      <c r="B27" s="17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"/>
      <c r="Y27" s="2"/>
      <c r="Z27" s="2"/>
    </row>
    <row r="28" spans="1:26" ht="18" customHeight="1" x14ac:dyDescent="0.2">
      <c r="A28" s="2"/>
      <c r="B28" s="17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"/>
      <c r="Y28" s="2"/>
      <c r="Z28" s="2"/>
    </row>
    <row r="29" spans="1:26" ht="18" customHeight="1" x14ac:dyDescent="0.2">
      <c r="A29" s="2"/>
      <c r="B29" s="17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"/>
      <c r="Y29" s="2"/>
      <c r="Z29" s="2"/>
    </row>
    <row r="30" spans="1:26" ht="18" customHeight="1" x14ac:dyDescent="0.2">
      <c r="A30" s="2"/>
      <c r="B30" s="17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"/>
      <c r="Y30" s="2"/>
      <c r="Z30" s="2"/>
    </row>
    <row r="31" spans="1:26" ht="18" customHeight="1" x14ac:dyDescent="0.2">
      <c r="A31" s="2"/>
      <c r="B31" s="17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"/>
      <c r="Y31" s="2"/>
      <c r="Z31" s="2"/>
    </row>
    <row r="32" spans="1:26" ht="18" customHeight="1" x14ac:dyDescent="0.2">
      <c r="A32" s="2"/>
      <c r="B32" s="17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"/>
      <c r="Y32" s="2"/>
      <c r="Z32" s="2"/>
    </row>
    <row r="33" spans="1:26" ht="18" customHeight="1" x14ac:dyDescent="0.2">
      <c r="A33" s="2"/>
      <c r="B33" s="17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"/>
      <c r="Y33" s="2"/>
      <c r="Z33" s="2"/>
    </row>
    <row r="34" spans="1:26" ht="18" customHeight="1" x14ac:dyDescent="0.2">
      <c r="A34" s="2"/>
      <c r="B34" s="17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"/>
      <c r="Y34" s="2"/>
      <c r="Z34" s="2"/>
    </row>
    <row r="35" spans="1:26" ht="18" customHeight="1" x14ac:dyDescent="0.2">
      <c r="A35" s="2"/>
      <c r="B35" s="17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"/>
      <c r="Y35" s="2"/>
      <c r="Z35" s="2"/>
    </row>
    <row r="36" spans="1:26" ht="18" customHeight="1" x14ac:dyDescent="0.2">
      <c r="A36" s="2"/>
      <c r="B36" s="17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"/>
      <c r="Y36" s="2"/>
      <c r="Z36" s="2"/>
    </row>
    <row r="37" spans="1:26" ht="18" customHeight="1" x14ac:dyDescent="0.2">
      <c r="A37" s="2"/>
      <c r="B37" s="17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"/>
      <c r="Y37" s="2"/>
      <c r="Z37" s="2"/>
    </row>
    <row r="38" spans="1:26" ht="18" customHeight="1" x14ac:dyDescent="0.2">
      <c r="A38" s="2"/>
      <c r="B38" s="17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"/>
      <c r="Y38" s="2"/>
      <c r="Z38" s="2"/>
    </row>
    <row r="39" spans="1:26" ht="18" customHeight="1" x14ac:dyDescent="0.2">
      <c r="A39" s="2"/>
      <c r="B39" s="17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"/>
      <c r="Y39" s="2"/>
      <c r="Z39" s="2"/>
    </row>
    <row r="40" spans="1:26" ht="18" customHeight="1" x14ac:dyDescent="0.2">
      <c r="A40" s="2"/>
      <c r="B40" s="17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"/>
      <c r="Y40" s="2"/>
      <c r="Z40" s="2"/>
    </row>
    <row r="41" spans="1:26" ht="18" customHeight="1" x14ac:dyDescent="0.2">
      <c r="A41" s="2"/>
      <c r="B41" s="17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"/>
      <c r="Y41" s="2"/>
      <c r="Z41" s="2"/>
    </row>
    <row r="42" spans="1:26" ht="18" customHeight="1" x14ac:dyDescent="0.2">
      <c r="A42" s="2"/>
      <c r="B42" s="17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"/>
      <c r="Y42" s="2"/>
      <c r="Z42" s="2"/>
    </row>
    <row r="43" spans="1:26" ht="18" customHeight="1" x14ac:dyDescent="0.2">
      <c r="A43" s="2"/>
      <c r="B43" s="17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"/>
      <c r="Y43" s="2"/>
      <c r="Z43" s="2"/>
    </row>
    <row r="44" spans="1:26" ht="18" customHeight="1" x14ac:dyDescent="0.2">
      <c r="A44" s="2"/>
      <c r="B44" s="17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"/>
      <c r="Y44" s="2"/>
      <c r="Z44" s="2"/>
    </row>
    <row r="45" spans="1:26" ht="18" customHeight="1" x14ac:dyDescent="0.2">
      <c r="A45" s="2"/>
      <c r="B45" s="17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"/>
      <c r="Y45" s="2"/>
      <c r="Z45" s="2"/>
    </row>
    <row r="46" spans="1:26" ht="18" customHeight="1" x14ac:dyDescent="0.2">
      <c r="A46" s="2"/>
      <c r="B46" s="17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"/>
      <c r="Y46" s="2"/>
      <c r="Z46" s="2"/>
    </row>
    <row r="47" spans="1:26" ht="18" customHeight="1" x14ac:dyDescent="0.2">
      <c r="A47" s="2"/>
      <c r="B47" s="17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"/>
      <c r="Y47" s="2"/>
      <c r="Z47" s="2"/>
    </row>
    <row r="48" spans="1:26" ht="18" customHeight="1" x14ac:dyDescent="0.2">
      <c r="A48" s="2"/>
      <c r="B48" s="17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"/>
      <c r="Y48" s="2"/>
      <c r="Z48" s="2"/>
    </row>
    <row r="49" spans="1:26" ht="18" customHeight="1" x14ac:dyDescent="0.2">
      <c r="A49" s="2"/>
      <c r="B49" s="17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"/>
      <c r="Y49" s="2"/>
      <c r="Z49" s="2"/>
    </row>
    <row r="50" spans="1:26" ht="18" customHeight="1" x14ac:dyDescent="0.2">
      <c r="A50" s="2"/>
      <c r="B50" s="17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"/>
      <c r="Y50" s="2"/>
      <c r="Z50" s="2"/>
    </row>
    <row r="51" spans="1:26" ht="18" customHeight="1" x14ac:dyDescent="0.2">
      <c r="A51" s="2"/>
      <c r="B51" s="17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"/>
      <c r="Y51" s="2"/>
      <c r="Z51" s="2"/>
    </row>
    <row r="52" spans="1:26" ht="18" customHeight="1" x14ac:dyDescent="0.2">
      <c r="A52" s="2"/>
      <c r="B52" s="17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"/>
      <c r="Y52" s="2"/>
      <c r="Z52" s="2"/>
    </row>
    <row r="53" spans="1:26" ht="18" customHeight="1" x14ac:dyDescent="0.2">
      <c r="A53" s="2"/>
      <c r="B53" s="17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"/>
      <c r="Y53" s="2"/>
      <c r="Z53" s="2"/>
    </row>
    <row r="54" spans="1:26" ht="18" customHeight="1" x14ac:dyDescent="0.2">
      <c r="A54" s="2"/>
      <c r="B54" s="17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"/>
      <c r="Y54" s="2"/>
      <c r="Z54" s="2"/>
    </row>
    <row r="55" spans="1:26" ht="18" customHeight="1" x14ac:dyDescent="0.2">
      <c r="A55" s="2"/>
      <c r="B55" s="17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"/>
      <c r="Y55" s="2"/>
      <c r="Z55" s="2"/>
    </row>
    <row r="56" spans="1:26" ht="18" customHeight="1" x14ac:dyDescent="0.2">
      <c r="A56" s="2"/>
      <c r="B56" s="17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"/>
      <c r="Y56" s="2"/>
      <c r="Z56" s="2"/>
    </row>
    <row r="57" spans="1:26" ht="18" customHeight="1" x14ac:dyDescent="0.2">
      <c r="A57" s="2"/>
      <c r="B57" s="17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"/>
      <c r="Y57" s="2"/>
      <c r="Z57" s="2"/>
    </row>
    <row r="58" spans="1:26" ht="18" customHeight="1" x14ac:dyDescent="0.2">
      <c r="A58" s="2"/>
      <c r="B58" s="17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"/>
      <c r="Y58" s="2"/>
      <c r="Z58" s="2"/>
    </row>
    <row r="59" spans="1:26" ht="18" customHeight="1" x14ac:dyDescent="0.2">
      <c r="A59" s="2"/>
      <c r="B59" s="17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"/>
      <c r="Y59" s="2"/>
      <c r="Z59" s="2"/>
    </row>
    <row r="60" spans="1:26" ht="18" customHeight="1" x14ac:dyDescent="0.2">
      <c r="A60" s="2"/>
      <c r="B60" s="17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"/>
      <c r="Y60" s="2"/>
      <c r="Z60" s="2"/>
    </row>
    <row r="61" spans="1:26" ht="18" customHeight="1" x14ac:dyDescent="0.2">
      <c r="A61" s="2"/>
      <c r="B61" s="17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"/>
      <c r="Y61" s="2"/>
      <c r="Z61" s="2"/>
    </row>
    <row r="62" spans="1:26" ht="18" customHeight="1" x14ac:dyDescent="0.2">
      <c r="A62" s="2"/>
      <c r="B62" s="17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"/>
      <c r="Y62" s="2"/>
      <c r="Z62" s="2"/>
    </row>
    <row r="63" spans="1:26" ht="18" customHeight="1" x14ac:dyDescent="0.2">
      <c r="A63" s="2"/>
      <c r="B63" s="17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"/>
      <c r="Y63" s="2"/>
      <c r="Z63" s="2"/>
    </row>
    <row r="64" spans="1:26" ht="18" customHeight="1" x14ac:dyDescent="0.2">
      <c r="A64" s="2"/>
      <c r="B64" s="17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"/>
      <c r="Y64" s="2"/>
      <c r="Z64" s="2"/>
    </row>
    <row r="65" spans="1:26" ht="18" customHeight="1" x14ac:dyDescent="0.2">
      <c r="A65" s="2"/>
      <c r="B65" s="17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"/>
      <c r="Y65" s="2"/>
      <c r="Z65" s="2"/>
    </row>
    <row r="66" spans="1:26" ht="18" customHeight="1" x14ac:dyDescent="0.2">
      <c r="A66" s="2"/>
      <c r="B66" s="17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"/>
      <c r="Y66" s="2"/>
      <c r="Z66" s="2"/>
    </row>
    <row r="67" spans="1:26" ht="18" customHeight="1" x14ac:dyDescent="0.2">
      <c r="A67" s="2"/>
      <c r="B67" s="17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"/>
      <c r="Y67" s="2"/>
      <c r="Z67" s="2"/>
    </row>
    <row r="68" spans="1:26" ht="18" customHeight="1" x14ac:dyDescent="0.2">
      <c r="A68" s="2"/>
      <c r="B68" s="17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"/>
      <c r="Y68" s="2"/>
      <c r="Z68" s="2"/>
    </row>
    <row r="69" spans="1:26" ht="18" customHeight="1" x14ac:dyDescent="0.2">
      <c r="A69" s="2"/>
      <c r="B69" s="17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"/>
      <c r="Y69" s="2"/>
      <c r="Z69" s="2"/>
    </row>
    <row r="70" spans="1:26" ht="18" customHeight="1" x14ac:dyDescent="0.2">
      <c r="A70" s="2"/>
      <c r="B70" s="17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"/>
      <c r="Y70" s="2"/>
      <c r="Z70" s="2"/>
    </row>
    <row r="71" spans="1:26" ht="18" customHeight="1" x14ac:dyDescent="0.2">
      <c r="A71" s="2"/>
      <c r="B71" s="1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"/>
      <c r="Y71" s="2"/>
      <c r="Z71" s="2"/>
    </row>
    <row r="72" spans="1:26" ht="18" customHeight="1" x14ac:dyDescent="0.2">
      <c r="A72" s="2"/>
      <c r="B72" s="17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"/>
      <c r="Y72" s="2"/>
      <c r="Z72" s="2"/>
    </row>
    <row r="73" spans="1:26" ht="18" customHeight="1" x14ac:dyDescent="0.2">
      <c r="A73" s="2"/>
      <c r="B73" s="17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"/>
      <c r="Y73" s="2"/>
      <c r="Z73" s="2"/>
    </row>
    <row r="74" spans="1:26" ht="18" customHeight="1" x14ac:dyDescent="0.2">
      <c r="A74" s="2"/>
      <c r="B74" s="17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"/>
      <c r="Y74" s="2"/>
      <c r="Z74" s="2"/>
    </row>
    <row r="75" spans="1:26" ht="18" customHeight="1" x14ac:dyDescent="0.2">
      <c r="A75" s="2"/>
      <c r="B75" s="17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"/>
      <c r="Y75" s="2"/>
      <c r="Z75" s="2"/>
    </row>
    <row r="76" spans="1:26" ht="18" customHeight="1" x14ac:dyDescent="0.2">
      <c r="A76" s="2"/>
      <c r="B76" s="17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"/>
      <c r="Y76" s="2"/>
      <c r="Z76" s="2"/>
    </row>
    <row r="77" spans="1:26" ht="18" customHeight="1" x14ac:dyDescent="0.2">
      <c r="A77" s="2"/>
      <c r="B77" s="17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"/>
      <c r="Y77" s="2"/>
      <c r="Z77" s="2"/>
    </row>
    <row r="78" spans="1:26" ht="18" customHeight="1" x14ac:dyDescent="0.2">
      <c r="A78" s="2"/>
      <c r="B78" s="17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"/>
      <c r="Y78" s="2"/>
      <c r="Z78" s="2"/>
    </row>
    <row r="79" spans="1:26" ht="18" customHeight="1" x14ac:dyDescent="0.2">
      <c r="A79" s="2"/>
      <c r="B79" s="17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"/>
      <c r="Y79" s="2"/>
      <c r="Z79" s="2"/>
    </row>
    <row r="80" spans="1:26" ht="18" customHeight="1" x14ac:dyDescent="0.2">
      <c r="A80" s="2"/>
      <c r="B80" s="17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"/>
      <c r="Y80" s="2"/>
      <c r="Z80" s="2"/>
    </row>
    <row r="81" spans="1:26" ht="18" customHeight="1" x14ac:dyDescent="0.2">
      <c r="A81" s="2"/>
      <c r="B81" s="17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"/>
      <c r="Y81" s="2"/>
      <c r="Z81" s="2"/>
    </row>
    <row r="82" spans="1:26" ht="18" customHeight="1" x14ac:dyDescent="0.2">
      <c r="A82" s="2"/>
      <c r="B82" s="17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"/>
      <c r="Y82" s="2"/>
      <c r="Z82" s="2"/>
    </row>
    <row r="83" spans="1:26" ht="18" customHeight="1" x14ac:dyDescent="0.2">
      <c r="A83" s="2"/>
      <c r="B83" s="17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"/>
      <c r="Y83" s="2"/>
      <c r="Z83" s="2"/>
    </row>
    <row r="84" spans="1:26" ht="18" customHeight="1" x14ac:dyDescent="0.2">
      <c r="A84" s="2"/>
      <c r="B84" s="17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"/>
      <c r="Y84" s="2"/>
      <c r="Z84" s="2"/>
    </row>
    <row r="85" spans="1:26" ht="18" customHeight="1" x14ac:dyDescent="0.2">
      <c r="A85" s="2"/>
      <c r="B85" s="17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"/>
      <c r="Y85" s="2"/>
      <c r="Z85" s="2"/>
    </row>
    <row r="86" spans="1:26" ht="18" customHeight="1" x14ac:dyDescent="0.2">
      <c r="A86" s="2"/>
      <c r="B86" s="17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"/>
      <c r="Y86" s="2"/>
      <c r="Z86" s="2"/>
    </row>
    <row r="87" spans="1:26" ht="18" customHeight="1" x14ac:dyDescent="0.2">
      <c r="A87" s="2"/>
      <c r="B87" s="17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"/>
      <c r="Y87" s="2"/>
      <c r="Z87" s="2"/>
    </row>
    <row r="88" spans="1:26" ht="18" customHeight="1" x14ac:dyDescent="0.2">
      <c r="A88" s="2"/>
      <c r="B88" s="17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"/>
      <c r="Y88" s="2"/>
      <c r="Z88" s="2"/>
    </row>
    <row r="89" spans="1:26" ht="18" customHeight="1" x14ac:dyDescent="0.2">
      <c r="A89" s="2"/>
      <c r="B89" s="17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"/>
      <c r="Y89" s="2"/>
      <c r="Z89" s="2"/>
    </row>
    <row r="90" spans="1:26" ht="18" customHeight="1" x14ac:dyDescent="0.2">
      <c r="A90" s="2"/>
      <c r="B90" s="17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"/>
      <c r="Y90" s="2"/>
      <c r="Z90" s="2"/>
    </row>
    <row r="91" spans="1:26" ht="18" customHeight="1" x14ac:dyDescent="0.2">
      <c r="A91" s="2"/>
      <c r="B91" s="17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"/>
      <c r="Y91" s="2"/>
      <c r="Z91" s="2"/>
    </row>
    <row r="92" spans="1:26" ht="18" customHeight="1" x14ac:dyDescent="0.2">
      <c r="A92" s="2"/>
      <c r="B92" s="17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"/>
      <c r="Y92" s="2"/>
      <c r="Z92" s="2"/>
    </row>
    <row r="93" spans="1:26" ht="18" customHeight="1" x14ac:dyDescent="0.2">
      <c r="A93" s="2"/>
      <c r="B93" s="17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"/>
      <c r="Y93" s="2"/>
      <c r="Z93" s="2"/>
    </row>
    <row r="94" spans="1:26" ht="18" customHeight="1" x14ac:dyDescent="0.2">
      <c r="A94" s="2"/>
      <c r="B94" s="17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"/>
      <c r="Y94" s="2"/>
      <c r="Z94" s="2"/>
    </row>
    <row r="95" spans="1:26" ht="18" customHeight="1" x14ac:dyDescent="0.2">
      <c r="A95" s="2"/>
      <c r="B95" s="17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"/>
      <c r="Y95" s="2"/>
      <c r="Z95" s="2"/>
    </row>
    <row r="96" spans="1:26" ht="18" customHeight="1" x14ac:dyDescent="0.2">
      <c r="A96" s="2"/>
      <c r="B96" s="17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"/>
      <c r="Y96" s="2"/>
      <c r="Z96" s="2"/>
    </row>
    <row r="97" spans="1:26" ht="18" customHeight="1" x14ac:dyDescent="0.2">
      <c r="A97" s="2"/>
      <c r="B97" s="17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"/>
      <c r="Y97" s="2"/>
      <c r="Z97" s="2"/>
    </row>
    <row r="98" spans="1:26" ht="18" customHeight="1" x14ac:dyDescent="0.2">
      <c r="A98" s="2"/>
      <c r="B98" s="17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"/>
      <c r="Y98" s="2"/>
      <c r="Z98" s="2"/>
    </row>
    <row r="99" spans="1:26" ht="18" customHeight="1" x14ac:dyDescent="0.2">
      <c r="A99" s="2"/>
      <c r="B99" s="17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"/>
      <c r="Y99" s="2"/>
      <c r="Z99" s="2"/>
    </row>
    <row r="100" spans="1:26" ht="18" customHeight="1" x14ac:dyDescent="0.2">
      <c r="A100" s="2"/>
      <c r="B100" s="17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"/>
      <c r="Y100" s="2"/>
      <c r="Z100" s="2"/>
    </row>
    <row r="101" spans="1:26" ht="18" customHeight="1" x14ac:dyDescent="0.2">
      <c r="A101" s="2"/>
      <c r="B101" s="17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"/>
      <c r="Y101" s="2"/>
      <c r="Z101" s="2"/>
    </row>
    <row r="102" spans="1:26" ht="18" customHeight="1" x14ac:dyDescent="0.2">
      <c r="A102" s="2"/>
      <c r="B102" s="17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"/>
      <c r="Y102" s="2"/>
      <c r="Z102" s="2"/>
    </row>
    <row r="103" spans="1:26" ht="18" customHeight="1" x14ac:dyDescent="0.2">
      <c r="A103" s="2"/>
      <c r="B103" s="17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"/>
      <c r="Y103" s="2"/>
      <c r="Z103" s="2"/>
    </row>
    <row r="104" spans="1:26" ht="18" customHeight="1" x14ac:dyDescent="0.2">
      <c r="A104" s="2"/>
      <c r="B104" s="17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"/>
      <c r="Y104" s="2"/>
      <c r="Z104" s="2"/>
    </row>
    <row r="105" spans="1:26" ht="18" customHeight="1" x14ac:dyDescent="0.2">
      <c r="A105" s="2"/>
      <c r="B105" s="17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"/>
      <c r="Y105" s="2"/>
      <c r="Z105" s="2"/>
    </row>
    <row r="106" spans="1:26" ht="18" customHeight="1" x14ac:dyDescent="0.2">
      <c r="A106" s="2"/>
      <c r="B106" s="17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"/>
      <c r="Y106" s="2"/>
      <c r="Z106" s="2"/>
    </row>
    <row r="107" spans="1:26" ht="18" customHeight="1" x14ac:dyDescent="0.2">
      <c r="A107" s="2"/>
      <c r="B107" s="17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"/>
      <c r="Y107" s="2"/>
      <c r="Z107" s="2"/>
    </row>
    <row r="108" spans="1:26" ht="18" customHeight="1" x14ac:dyDescent="0.2">
      <c r="A108" s="2"/>
      <c r="B108" s="17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"/>
      <c r="Y108" s="2"/>
      <c r="Z108" s="2"/>
    </row>
    <row r="109" spans="1:26" ht="18" customHeight="1" x14ac:dyDescent="0.2">
      <c r="A109" s="2"/>
      <c r="B109" s="17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"/>
      <c r="Y109" s="2"/>
      <c r="Z109" s="2"/>
    </row>
    <row r="110" spans="1:26" ht="18" customHeight="1" x14ac:dyDescent="0.2">
      <c r="A110" s="2"/>
      <c r="B110" s="17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"/>
      <c r="Y110" s="2"/>
      <c r="Z110" s="2"/>
    </row>
    <row r="111" spans="1:26" ht="18" customHeight="1" x14ac:dyDescent="0.2">
      <c r="A111" s="2"/>
      <c r="B111" s="17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"/>
      <c r="Y111" s="2"/>
      <c r="Z111" s="2"/>
    </row>
    <row r="112" spans="1:26" ht="18" customHeight="1" x14ac:dyDescent="0.2">
      <c r="A112" s="2"/>
      <c r="B112" s="1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2">
      <c r="A113" s="2"/>
      <c r="B113" s="1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2">
      <c r="A114" s="2"/>
      <c r="B114" s="1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2">
      <c r="A115" s="2"/>
      <c r="B115" s="1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2">
      <c r="A116" s="2"/>
      <c r="B116" s="1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2">
      <c r="A117" s="2"/>
      <c r="B117" s="1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2">
      <c r="A118" s="2"/>
      <c r="B118" s="1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2">
      <c r="A119" s="2"/>
      <c r="B119" s="1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2">
      <c r="A120" s="2"/>
      <c r="B120" s="1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 x14ac:dyDescent="0.2">
      <c r="A121" s="2"/>
      <c r="B121" s="1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 x14ac:dyDescent="0.2">
      <c r="A122" s="2"/>
      <c r="B122" s="1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 x14ac:dyDescent="0.2">
      <c r="A123" s="2"/>
      <c r="B123" s="1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 x14ac:dyDescent="0.2">
      <c r="A124" s="2"/>
      <c r="B124" s="1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 x14ac:dyDescent="0.2">
      <c r="A125" s="2"/>
      <c r="B125" s="1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 x14ac:dyDescent="0.2">
      <c r="A126" s="2"/>
      <c r="B126" s="1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 x14ac:dyDescent="0.2">
      <c r="A127" s="2"/>
      <c r="B127" s="1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 x14ac:dyDescent="0.2">
      <c r="A128" s="2"/>
      <c r="B128" s="1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 x14ac:dyDescent="0.2">
      <c r="A129" s="2"/>
      <c r="B129" s="1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 x14ac:dyDescent="0.2">
      <c r="A130" s="2"/>
      <c r="B130" s="1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 x14ac:dyDescent="0.2">
      <c r="A131" s="2"/>
      <c r="B131" s="1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 x14ac:dyDescent="0.2">
      <c r="A132" s="2"/>
      <c r="B132" s="1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 x14ac:dyDescent="0.2">
      <c r="A133" s="2"/>
      <c r="B133" s="1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 x14ac:dyDescent="0.2">
      <c r="A134" s="2"/>
      <c r="B134" s="1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 x14ac:dyDescent="0.2">
      <c r="A135" s="2"/>
      <c r="B135" s="1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 x14ac:dyDescent="0.2">
      <c r="A136" s="2"/>
      <c r="B136" s="1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 x14ac:dyDescent="0.2">
      <c r="A137" s="2"/>
      <c r="B137" s="1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 x14ac:dyDescent="0.2">
      <c r="A138" s="2"/>
      <c r="B138" s="1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 x14ac:dyDescent="0.2">
      <c r="A139" s="2"/>
      <c r="B139" s="1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 x14ac:dyDescent="0.2">
      <c r="A140" s="2"/>
      <c r="B140" s="1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 x14ac:dyDescent="0.2">
      <c r="A141" s="2"/>
      <c r="B141" s="1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 x14ac:dyDescent="0.2">
      <c r="A142" s="2"/>
      <c r="B142" s="1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 x14ac:dyDescent="0.2">
      <c r="A143" s="2"/>
      <c r="B143" s="1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 x14ac:dyDescent="0.2">
      <c r="A144" s="2"/>
      <c r="B144" s="1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 x14ac:dyDescent="0.2">
      <c r="A145" s="2"/>
      <c r="B145" s="1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 x14ac:dyDescent="0.2">
      <c r="A146" s="2"/>
      <c r="B146" s="1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 x14ac:dyDescent="0.2">
      <c r="A147" s="2"/>
      <c r="B147" s="1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 x14ac:dyDescent="0.2">
      <c r="A148" s="2"/>
      <c r="B148" s="1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 x14ac:dyDescent="0.2">
      <c r="A149" s="2"/>
      <c r="B149" s="1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 x14ac:dyDescent="0.2">
      <c r="A150" s="2"/>
      <c r="B150" s="1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 x14ac:dyDescent="0.2">
      <c r="A151" s="2"/>
      <c r="B151" s="1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 x14ac:dyDescent="0.2">
      <c r="A152" s="2"/>
      <c r="B152" s="1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 x14ac:dyDescent="0.2">
      <c r="A153" s="2"/>
      <c r="B153" s="1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 x14ac:dyDescent="0.2">
      <c r="A154" s="2"/>
      <c r="B154" s="1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 x14ac:dyDescent="0.2">
      <c r="A155" s="2"/>
      <c r="B155" s="1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 x14ac:dyDescent="0.2">
      <c r="A156" s="2"/>
      <c r="B156" s="1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 x14ac:dyDescent="0.2">
      <c r="A157" s="2"/>
      <c r="B157" s="1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 x14ac:dyDescent="0.2">
      <c r="A158" s="2"/>
      <c r="B158" s="1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 x14ac:dyDescent="0.2">
      <c r="A159" s="2"/>
      <c r="B159" s="1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 x14ac:dyDescent="0.2">
      <c r="A160" s="2"/>
      <c r="B160" s="1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 x14ac:dyDescent="0.2">
      <c r="A161" s="2"/>
      <c r="B161" s="1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 x14ac:dyDescent="0.2">
      <c r="A162" s="2"/>
      <c r="B162" s="1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 x14ac:dyDescent="0.2">
      <c r="A163" s="2"/>
      <c r="B163" s="1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 x14ac:dyDescent="0.2">
      <c r="A164" s="2"/>
      <c r="B164" s="1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 x14ac:dyDescent="0.2">
      <c r="A165" s="2"/>
      <c r="B165" s="1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 x14ac:dyDescent="0.2">
      <c r="A166" s="2"/>
      <c r="B166" s="1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 x14ac:dyDescent="0.2">
      <c r="A167" s="2"/>
      <c r="B167" s="1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 x14ac:dyDescent="0.2">
      <c r="A168" s="2"/>
      <c r="B168" s="1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 x14ac:dyDescent="0.2">
      <c r="A169" s="2"/>
      <c r="B169" s="1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 x14ac:dyDescent="0.2">
      <c r="A170" s="2"/>
      <c r="B170" s="1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 x14ac:dyDescent="0.2">
      <c r="A171" s="2"/>
      <c r="B171" s="1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 x14ac:dyDescent="0.2">
      <c r="A172" s="2"/>
      <c r="B172" s="1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 x14ac:dyDescent="0.2">
      <c r="A173" s="2"/>
      <c r="B173" s="1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 x14ac:dyDescent="0.2">
      <c r="A174" s="2"/>
      <c r="B174" s="1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 x14ac:dyDescent="0.2">
      <c r="A175" s="2"/>
      <c r="B175" s="1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 x14ac:dyDescent="0.2">
      <c r="A176" s="2"/>
      <c r="B176" s="1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 x14ac:dyDescent="0.2">
      <c r="A177" s="2"/>
      <c r="B177" s="1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 x14ac:dyDescent="0.2">
      <c r="A178" s="2"/>
      <c r="B178" s="1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 x14ac:dyDescent="0.2">
      <c r="A179" s="2"/>
      <c r="B179" s="1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 x14ac:dyDescent="0.2">
      <c r="A180" s="2"/>
      <c r="B180" s="1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 x14ac:dyDescent="0.2">
      <c r="A181" s="2"/>
      <c r="B181" s="1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 x14ac:dyDescent="0.2">
      <c r="A182" s="2"/>
      <c r="B182" s="1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 x14ac:dyDescent="0.2">
      <c r="A183" s="2"/>
      <c r="B183" s="1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 x14ac:dyDescent="0.2">
      <c r="A184" s="2"/>
      <c r="B184" s="1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 x14ac:dyDescent="0.2">
      <c r="A185" s="2"/>
      <c r="B185" s="1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 x14ac:dyDescent="0.2">
      <c r="A186" s="2"/>
      <c r="B186" s="1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 x14ac:dyDescent="0.2">
      <c r="A187" s="2"/>
      <c r="B187" s="1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 x14ac:dyDescent="0.2">
      <c r="A188" s="2"/>
      <c r="B188" s="1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 x14ac:dyDescent="0.2">
      <c r="A189" s="2"/>
      <c r="B189" s="1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2">
      <c r="A190" s="2"/>
      <c r="B190" s="1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2">
      <c r="A191" s="2"/>
      <c r="B191" s="1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2">
      <c r="A192" s="2"/>
      <c r="B192" s="1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2">
      <c r="A193" s="2"/>
      <c r="B193" s="1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2">
      <c r="A194" s="2"/>
      <c r="B194" s="1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2">
      <c r="A195" s="2"/>
      <c r="B195" s="1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2">
      <c r="A196" s="2"/>
      <c r="B196" s="1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2">
      <c r="A197" s="2"/>
      <c r="B197" s="1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2">
      <c r="A198" s="2"/>
      <c r="B198" s="1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2">
      <c r="A199" s="2"/>
      <c r="B199" s="1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2">
      <c r="A200" s="2"/>
      <c r="B200" s="1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2">
      <c r="A201" s="2"/>
      <c r="B201" s="1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2">
      <c r="A202" s="2"/>
      <c r="B202" s="1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2">
      <c r="A203" s="2"/>
      <c r="B203" s="1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2">
      <c r="A204" s="2"/>
      <c r="B204" s="1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2">
      <c r="A205" s="2"/>
      <c r="B205" s="1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2">
      <c r="A206" s="2"/>
      <c r="B206" s="1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2">
      <c r="A207" s="2"/>
      <c r="B207" s="1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2">
      <c r="A208" s="2"/>
      <c r="B208" s="1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2">
      <c r="A209" s="2"/>
      <c r="B209" s="1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2">
      <c r="A210" s="2"/>
      <c r="B210" s="1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2">
      <c r="A211" s="2"/>
      <c r="B211" s="1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2">
      <c r="A212" s="2"/>
      <c r="B212" s="1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2">
      <c r="A213" s="2"/>
      <c r="B213" s="1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2">
      <c r="A214" s="2"/>
      <c r="B214" s="1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2">
      <c r="A215" s="2"/>
      <c r="B215" s="1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2">
      <c r="A216" s="2"/>
      <c r="B216" s="1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2">
      <c r="A217" s="2"/>
      <c r="B217" s="1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2">
      <c r="A218" s="2"/>
      <c r="B218" s="1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2">
      <c r="A219" s="2"/>
      <c r="B219" s="1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2">
      <c r="A220" s="2"/>
      <c r="B220" s="1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2">
      <c r="A221" s="2"/>
      <c r="B221" s="1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2">
      <c r="A222" s="2"/>
      <c r="B222" s="1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2">
      <c r="A223" s="2"/>
      <c r="B223" s="1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2">
      <c r="A224" s="2"/>
      <c r="B224" s="1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2">
      <c r="A225" s="2"/>
      <c r="B225" s="1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2">
      <c r="A226" s="2"/>
      <c r="B226" s="1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2">
      <c r="A227" s="2"/>
      <c r="B227" s="1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2">
      <c r="A228" s="2"/>
      <c r="B228" s="1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 x14ac:dyDescent="0.2">
      <c r="A229" s="2"/>
      <c r="B229" s="1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 x14ac:dyDescent="0.2">
      <c r="A230" s="2"/>
      <c r="B230" s="1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 x14ac:dyDescent="0.2">
      <c r="A231" s="2"/>
      <c r="B231" s="1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 x14ac:dyDescent="0.2">
      <c r="A232" s="2"/>
      <c r="B232" s="1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 x14ac:dyDescent="0.2">
      <c r="A233" s="2"/>
      <c r="B233" s="1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 x14ac:dyDescent="0.2">
      <c r="A234" s="2"/>
      <c r="B234" s="1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 x14ac:dyDescent="0.2">
      <c r="A235" s="2"/>
      <c r="B235" s="1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 x14ac:dyDescent="0.2">
      <c r="A236" s="2"/>
      <c r="B236" s="1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 x14ac:dyDescent="0.2">
      <c r="A237" s="2"/>
      <c r="B237" s="1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 x14ac:dyDescent="0.2">
      <c r="A238" s="2"/>
      <c r="B238" s="1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 x14ac:dyDescent="0.2">
      <c r="A239" s="2"/>
      <c r="B239" s="1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 x14ac:dyDescent="0.2">
      <c r="A240" s="2"/>
      <c r="B240" s="1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 x14ac:dyDescent="0.2">
      <c r="A241" s="2"/>
      <c r="B241" s="1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 x14ac:dyDescent="0.2">
      <c r="A242" s="2"/>
      <c r="B242" s="1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 x14ac:dyDescent="0.2">
      <c r="A243" s="2"/>
      <c r="B243" s="1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 x14ac:dyDescent="0.2">
      <c r="A244" s="2"/>
      <c r="B244" s="1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 x14ac:dyDescent="0.2">
      <c r="A245" s="2"/>
      <c r="B245" s="1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 x14ac:dyDescent="0.2">
      <c r="A246" s="2"/>
      <c r="B246" s="1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 x14ac:dyDescent="0.2">
      <c r="A247" s="2"/>
      <c r="B247" s="1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 x14ac:dyDescent="0.2">
      <c r="A248" s="2"/>
      <c r="B248" s="1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 x14ac:dyDescent="0.2">
      <c r="A249" s="2"/>
      <c r="B249" s="1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 x14ac:dyDescent="0.2">
      <c r="A250" s="2"/>
      <c r="B250" s="1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 x14ac:dyDescent="0.2">
      <c r="A251" s="2"/>
      <c r="B251" s="1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 x14ac:dyDescent="0.2">
      <c r="A252" s="2"/>
      <c r="B252" s="1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 x14ac:dyDescent="0.2">
      <c r="A253" s="2"/>
      <c r="B253" s="1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 x14ac:dyDescent="0.2">
      <c r="A254" s="2"/>
      <c r="B254" s="1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 x14ac:dyDescent="0.2">
      <c r="A255" s="2"/>
      <c r="B255" s="1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 x14ac:dyDescent="0.2">
      <c r="A256" s="2"/>
      <c r="B256" s="1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 x14ac:dyDescent="0.2">
      <c r="A257" s="2"/>
      <c r="B257" s="1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 x14ac:dyDescent="0.2">
      <c r="A258" s="2"/>
      <c r="B258" s="1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 x14ac:dyDescent="0.2">
      <c r="A259" s="2"/>
      <c r="B259" s="1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 x14ac:dyDescent="0.2">
      <c r="A260" s="2"/>
      <c r="B260" s="1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 x14ac:dyDescent="0.2">
      <c r="A261" s="2"/>
      <c r="B261" s="1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 x14ac:dyDescent="0.2">
      <c r="A262" s="2"/>
      <c r="B262" s="1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 x14ac:dyDescent="0.2">
      <c r="A263" s="2"/>
      <c r="B263" s="1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 x14ac:dyDescent="0.2">
      <c r="A264" s="2"/>
      <c r="B264" s="1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 x14ac:dyDescent="0.2">
      <c r="A265" s="2"/>
      <c r="B265" s="1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 x14ac:dyDescent="0.2">
      <c r="A266" s="2"/>
      <c r="B266" s="1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 x14ac:dyDescent="0.2">
      <c r="A267" s="2"/>
      <c r="B267" s="1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 x14ac:dyDescent="0.2">
      <c r="A268" s="2"/>
      <c r="B268" s="1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 x14ac:dyDescent="0.2">
      <c r="A269" s="2"/>
      <c r="B269" s="1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 x14ac:dyDescent="0.2">
      <c r="A270" s="2"/>
      <c r="B270" s="1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 x14ac:dyDescent="0.2">
      <c r="A271" s="2"/>
      <c r="B271" s="1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 x14ac:dyDescent="0.2">
      <c r="A272" s="2"/>
      <c r="B272" s="1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 x14ac:dyDescent="0.2">
      <c r="A273" s="2"/>
      <c r="B273" s="1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 x14ac:dyDescent="0.2">
      <c r="A274" s="2"/>
      <c r="B274" s="1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 x14ac:dyDescent="0.2">
      <c r="A275" s="2"/>
      <c r="B275" s="1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 x14ac:dyDescent="0.2">
      <c r="A276" s="2"/>
      <c r="B276" s="1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 x14ac:dyDescent="0.2">
      <c r="A277" s="2"/>
      <c r="B277" s="1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 x14ac:dyDescent="0.2">
      <c r="A278" s="2"/>
      <c r="B278" s="1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 x14ac:dyDescent="0.2">
      <c r="A279" s="2"/>
      <c r="B279" s="1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 x14ac:dyDescent="0.2">
      <c r="A280" s="2"/>
      <c r="B280" s="1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 x14ac:dyDescent="0.2">
      <c r="A281" s="2"/>
      <c r="B281" s="1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 x14ac:dyDescent="0.2">
      <c r="A282" s="2"/>
      <c r="B282" s="1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 x14ac:dyDescent="0.2">
      <c r="A283" s="2"/>
      <c r="B283" s="1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 x14ac:dyDescent="0.2">
      <c r="A284" s="2"/>
      <c r="B284" s="1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 x14ac:dyDescent="0.2">
      <c r="A285" s="2"/>
      <c r="B285" s="1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 x14ac:dyDescent="0.2">
      <c r="A286" s="2"/>
      <c r="B286" s="1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 x14ac:dyDescent="0.2">
      <c r="A287" s="2"/>
      <c r="B287" s="1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 x14ac:dyDescent="0.2">
      <c r="A288" s="2"/>
      <c r="B288" s="1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 x14ac:dyDescent="0.2">
      <c r="A289" s="2"/>
      <c r="B289" s="1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 x14ac:dyDescent="0.2">
      <c r="A290" s="2"/>
      <c r="B290" s="1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2">
      <c r="A291" s="2"/>
      <c r="B291" s="1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2">
      <c r="A292" s="2"/>
      <c r="B292" s="1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2">
      <c r="A293" s="2"/>
      <c r="B293" s="1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2">
      <c r="A294" s="2"/>
      <c r="B294" s="1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2">
      <c r="A295" s="2"/>
      <c r="B295" s="1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2">
      <c r="A296" s="2"/>
      <c r="B296" s="1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2">
      <c r="A297" s="2"/>
      <c r="B297" s="1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2">
      <c r="A298" s="2"/>
      <c r="B298" s="1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2">
      <c r="A299" s="2"/>
      <c r="B299" s="1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2">
      <c r="A300" s="2"/>
      <c r="B300" s="1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2">
      <c r="A301" s="2"/>
      <c r="B301" s="1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2">
      <c r="A302" s="2"/>
      <c r="B302" s="1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2">
      <c r="A303" s="2"/>
      <c r="B303" s="1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2">
      <c r="A304" s="2"/>
      <c r="B304" s="1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2">
      <c r="A305" s="2"/>
      <c r="B305" s="1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2">
      <c r="A306" s="2"/>
      <c r="B306" s="1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2">
      <c r="A307" s="2"/>
      <c r="B307" s="1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2">
      <c r="A308" s="2"/>
      <c r="B308" s="1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2">
      <c r="A309" s="2"/>
      <c r="B309" s="1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2">
      <c r="A310" s="2"/>
      <c r="B310" s="1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2">
      <c r="A311" s="2"/>
      <c r="B311" s="1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2">
      <c r="A312" s="2"/>
      <c r="B312" s="1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2">
      <c r="A313" s="2"/>
      <c r="B313" s="1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2">
      <c r="A314" s="2"/>
      <c r="B314" s="1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2">
      <c r="A315" s="2"/>
      <c r="B315" s="1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2">
      <c r="A316" s="2"/>
      <c r="B316" s="1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2">
      <c r="A317" s="2"/>
      <c r="B317" s="1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2">
      <c r="A318" s="2"/>
      <c r="B318" s="1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2">
      <c r="A319" s="2"/>
      <c r="B319" s="1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2">
      <c r="A320" s="2"/>
      <c r="B320" s="1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2">
      <c r="A321" s="2"/>
      <c r="B321" s="1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2">
      <c r="A322" s="2"/>
      <c r="B322" s="1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2">
      <c r="A323" s="2"/>
      <c r="B323" s="1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2">
      <c r="A324" s="2"/>
      <c r="B324" s="1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2">
      <c r="A325" s="2"/>
      <c r="B325" s="1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2">
      <c r="A326" s="2"/>
      <c r="B326" s="1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2">
      <c r="A327" s="2"/>
      <c r="B327" s="1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2">
      <c r="A328" s="2"/>
      <c r="B328" s="1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2">
      <c r="A329" s="2"/>
      <c r="B329" s="1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2">
      <c r="A330" s="2"/>
      <c r="B330" s="1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2">
      <c r="A331" s="2"/>
      <c r="B331" s="1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2">
      <c r="A332" s="2"/>
      <c r="B332" s="1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2">
      <c r="A333" s="2"/>
      <c r="B333" s="1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2">
      <c r="A334" s="2"/>
      <c r="B334" s="1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2">
      <c r="A335" s="2"/>
      <c r="B335" s="1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2">
      <c r="A336" s="2"/>
      <c r="B336" s="1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2">
      <c r="A337" s="2"/>
      <c r="B337" s="1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2">
      <c r="A338" s="2"/>
      <c r="B338" s="1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2">
      <c r="A339" s="2"/>
      <c r="B339" s="1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2">
      <c r="A340" s="2"/>
      <c r="B340" s="1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2">
      <c r="A341" s="2"/>
      <c r="B341" s="1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2">
      <c r="A342" s="2"/>
      <c r="B342" s="1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2">
      <c r="A343" s="2"/>
      <c r="B343" s="1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2">
      <c r="A344" s="2"/>
      <c r="B344" s="1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2">
      <c r="A345" s="2"/>
      <c r="B345" s="1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2">
      <c r="A346" s="2"/>
      <c r="B346" s="1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2">
      <c r="A347" s="2"/>
      <c r="B347" s="1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2">
      <c r="A348" s="2"/>
      <c r="B348" s="1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2">
      <c r="A349" s="2"/>
      <c r="B349" s="1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2">
      <c r="A350" s="2"/>
      <c r="B350" s="1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2">
      <c r="A351" s="2"/>
      <c r="B351" s="1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2">
      <c r="A352" s="2"/>
      <c r="B352" s="1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2">
      <c r="A353" s="2"/>
      <c r="B353" s="1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2">
      <c r="A354" s="2"/>
      <c r="B354" s="1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2">
      <c r="A355" s="2"/>
      <c r="B355" s="1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2">
      <c r="A356" s="2"/>
      <c r="B356" s="1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2">
      <c r="A357" s="2"/>
      <c r="B357" s="1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2">
      <c r="A358" s="2"/>
      <c r="B358" s="1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2">
      <c r="A359" s="2"/>
      <c r="B359" s="1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2">
      <c r="A360" s="2"/>
      <c r="B360" s="1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2">
      <c r="A361" s="2"/>
      <c r="B361" s="1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2">
      <c r="A362" s="2"/>
      <c r="B362" s="1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2">
      <c r="A363" s="2"/>
      <c r="B363" s="1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2">
      <c r="A364" s="2"/>
      <c r="B364" s="1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2">
      <c r="A365" s="2"/>
      <c r="B365" s="1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2">
      <c r="A366" s="2"/>
      <c r="B366" s="1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2">
      <c r="A367" s="2"/>
      <c r="B367" s="1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2">
      <c r="A368" s="2"/>
      <c r="B368" s="1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2">
      <c r="A369" s="2"/>
      <c r="B369" s="1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2">
      <c r="A370" s="2"/>
      <c r="B370" s="1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2">
      <c r="A371" s="2"/>
      <c r="B371" s="1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2">
      <c r="A372" s="2"/>
      <c r="B372" s="1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2">
      <c r="A373" s="2"/>
      <c r="B373" s="1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2">
      <c r="A374" s="2"/>
      <c r="B374" s="1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2">
      <c r="A375" s="2"/>
      <c r="B375" s="1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2">
      <c r="A376" s="2"/>
      <c r="B376" s="1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2">
      <c r="A377" s="2"/>
      <c r="B377" s="1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2">
      <c r="A378" s="2"/>
      <c r="B378" s="1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2">
      <c r="A379" s="2"/>
      <c r="B379" s="1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2">
      <c r="A380" s="2"/>
      <c r="B380" s="1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2">
      <c r="A381" s="2"/>
      <c r="B381" s="1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2">
      <c r="A382" s="2"/>
      <c r="B382" s="1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2">
      <c r="A383" s="2"/>
      <c r="B383" s="1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2">
      <c r="A384" s="2"/>
      <c r="B384" s="1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2">
      <c r="A385" s="2"/>
      <c r="B385" s="1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2">
      <c r="A386" s="2"/>
      <c r="B386" s="1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2">
      <c r="A387" s="2"/>
      <c r="B387" s="1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2">
      <c r="A388" s="2"/>
      <c r="B388" s="1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2">
      <c r="A389" s="2"/>
      <c r="B389" s="1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2">
      <c r="A390" s="2"/>
      <c r="B390" s="1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2">
      <c r="A391" s="2"/>
      <c r="B391" s="1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2">
      <c r="A392" s="2"/>
      <c r="B392" s="1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2">
      <c r="A393" s="2"/>
      <c r="B393" s="1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2">
      <c r="A394" s="2"/>
      <c r="B394" s="1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2">
      <c r="A395" s="2"/>
      <c r="B395" s="1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2">
      <c r="A396" s="2"/>
      <c r="B396" s="1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2">
      <c r="A397" s="2"/>
      <c r="B397" s="1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2">
      <c r="A398" s="2"/>
      <c r="B398" s="1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2">
      <c r="A399" s="2"/>
      <c r="B399" s="1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2">
      <c r="A400" s="2"/>
      <c r="B400" s="1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2">
      <c r="A401" s="2"/>
      <c r="B401" s="1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2">
      <c r="A402" s="2"/>
      <c r="B402" s="1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2">
      <c r="A403" s="2"/>
      <c r="B403" s="1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2">
      <c r="A404" s="2"/>
      <c r="B404" s="1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2">
      <c r="A405" s="2"/>
      <c r="B405" s="1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2">
      <c r="A406" s="2"/>
      <c r="B406" s="1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2">
      <c r="A407" s="2"/>
      <c r="B407" s="1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2">
      <c r="A408" s="2"/>
      <c r="B408" s="1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2">
      <c r="A409" s="2"/>
      <c r="B409" s="1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2">
      <c r="A410" s="2"/>
      <c r="B410" s="1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2">
      <c r="A411" s="2"/>
      <c r="B411" s="1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2">
      <c r="A412" s="2"/>
      <c r="B412" s="1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2">
      <c r="A413" s="2"/>
      <c r="B413" s="1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2">
      <c r="A414" s="2"/>
      <c r="B414" s="1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2">
      <c r="A415" s="2"/>
      <c r="B415" s="1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2">
      <c r="A416" s="2"/>
      <c r="B416" s="1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2">
      <c r="A417" s="2"/>
      <c r="B417" s="1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2">
      <c r="A418" s="2"/>
      <c r="B418" s="1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2">
      <c r="A419" s="2"/>
      <c r="B419" s="1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2">
      <c r="A420" s="2"/>
      <c r="B420" s="1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2">
      <c r="A421" s="2"/>
      <c r="B421" s="1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2">
      <c r="A422" s="2"/>
      <c r="B422" s="1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2">
      <c r="A423" s="2"/>
      <c r="B423" s="1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2">
      <c r="A424" s="2"/>
      <c r="B424" s="1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2">
      <c r="A425" s="2"/>
      <c r="B425" s="1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2">
      <c r="A426" s="2"/>
      <c r="B426" s="1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2">
      <c r="A427" s="2"/>
      <c r="B427" s="1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2">
      <c r="A428" s="2"/>
      <c r="B428" s="1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2">
      <c r="A429" s="2"/>
      <c r="B429" s="1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2">
      <c r="A430" s="2"/>
      <c r="B430" s="1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2">
      <c r="A431" s="2"/>
      <c r="B431" s="1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2">
      <c r="A432" s="2"/>
      <c r="B432" s="1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2">
      <c r="A433" s="2"/>
      <c r="B433" s="1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2">
      <c r="A434" s="2"/>
      <c r="B434" s="1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2">
      <c r="A435" s="2"/>
      <c r="B435" s="1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2">
      <c r="A436" s="2"/>
      <c r="B436" s="1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2">
      <c r="A437" s="2"/>
      <c r="B437" s="1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2">
      <c r="A438" s="2"/>
      <c r="B438" s="1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2">
      <c r="A439" s="2"/>
      <c r="B439" s="1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2">
      <c r="A440" s="2"/>
      <c r="B440" s="1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2">
      <c r="A441" s="2"/>
      <c r="B441" s="1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2">
      <c r="A442" s="2"/>
      <c r="B442" s="1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2">
      <c r="A443" s="2"/>
      <c r="B443" s="1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2">
      <c r="A444" s="2"/>
      <c r="B444" s="1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2">
      <c r="A445" s="2"/>
      <c r="B445" s="1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2">
      <c r="A446" s="2"/>
      <c r="B446" s="1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2">
      <c r="A447" s="2"/>
      <c r="B447" s="1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2">
      <c r="A448" s="2"/>
      <c r="B448" s="1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2">
      <c r="A449" s="2"/>
      <c r="B449" s="1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2">
      <c r="A450" s="2"/>
      <c r="B450" s="1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2">
      <c r="A451" s="2"/>
      <c r="B451" s="1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2">
      <c r="A452" s="2"/>
      <c r="B452" s="1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2">
      <c r="A453" s="2"/>
      <c r="B453" s="1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2">
      <c r="A454" s="2"/>
      <c r="B454" s="1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2">
      <c r="A455" s="2"/>
      <c r="B455" s="1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2">
      <c r="A456" s="2"/>
      <c r="B456" s="1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2">
      <c r="A457" s="2"/>
      <c r="B457" s="1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2">
      <c r="A458" s="2"/>
      <c r="B458" s="1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2">
      <c r="A459" s="2"/>
      <c r="B459" s="1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2">
      <c r="A460" s="2"/>
      <c r="B460" s="1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2">
      <c r="A461" s="2"/>
      <c r="B461" s="1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2">
      <c r="A462" s="2"/>
      <c r="B462" s="1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2">
      <c r="A463" s="2"/>
      <c r="B463" s="1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2">
      <c r="A464" s="2"/>
      <c r="B464" s="1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2">
      <c r="A465" s="2"/>
      <c r="B465" s="1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2">
      <c r="A466" s="2"/>
      <c r="B466" s="1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2">
      <c r="A467" s="2"/>
      <c r="B467" s="1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2">
      <c r="A468" s="2"/>
      <c r="B468" s="1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2">
      <c r="A469" s="2"/>
      <c r="B469" s="1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2">
      <c r="A470" s="2"/>
      <c r="B470" s="1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2">
      <c r="A471" s="2"/>
      <c r="B471" s="1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2">
      <c r="A472" s="2"/>
      <c r="B472" s="1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2">
      <c r="A473" s="2"/>
      <c r="B473" s="1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2">
      <c r="A474" s="2"/>
      <c r="B474" s="1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2">
      <c r="A475" s="2"/>
      <c r="B475" s="1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2">
      <c r="A476" s="2"/>
      <c r="B476" s="1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2">
      <c r="A477" s="2"/>
      <c r="B477" s="1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2">
      <c r="A478" s="2"/>
      <c r="B478" s="1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2">
      <c r="A479" s="2"/>
      <c r="B479" s="1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2">
      <c r="A480" s="2"/>
      <c r="B480" s="1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2">
      <c r="A481" s="2"/>
      <c r="B481" s="1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2">
      <c r="A482" s="2"/>
      <c r="B482" s="1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2">
      <c r="A483" s="2"/>
      <c r="B483" s="1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2">
      <c r="A484" s="2"/>
      <c r="B484" s="1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2">
      <c r="A485" s="2"/>
      <c r="B485" s="1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2">
      <c r="A486" s="2"/>
      <c r="B486" s="1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2">
      <c r="A487" s="2"/>
      <c r="B487" s="1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2">
      <c r="A488" s="2"/>
      <c r="B488" s="1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2">
      <c r="A489" s="2"/>
      <c r="B489" s="1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2">
      <c r="A490" s="2"/>
      <c r="B490" s="1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2">
      <c r="A491" s="2"/>
      <c r="B491" s="1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2">
      <c r="A492" s="2"/>
      <c r="B492" s="1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2">
      <c r="A493" s="2"/>
      <c r="B493" s="1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2">
      <c r="A494" s="2"/>
      <c r="B494" s="1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2">
      <c r="A495" s="2"/>
      <c r="B495" s="1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2">
      <c r="A496" s="2"/>
      <c r="B496" s="1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2">
      <c r="A497" s="2"/>
      <c r="B497" s="1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2">
      <c r="A498" s="2"/>
      <c r="B498" s="1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2">
      <c r="A499" s="2"/>
      <c r="B499" s="1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2">
      <c r="A500" s="2"/>
      <c r="B500" s="1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2">
      <c r="A501" s="2"/>
      <c r="B501" s="1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2">
      <c r="A502" s="2"/>
      <c r="B502" s="1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2">
      <c r="A503" s="2"/>
      <c r="B503" s="1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2">
      <c r="A504" s="2"/>
      <c r="B504" s="1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2">
      <c r="A505" s="2"/>
      <c r="B505" s="1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2">
      <c r="A506" s="2"/>
      <c r="B506" s="1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2">
      <c r="A507" s="2"/>
      <c r="B507" s="1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2">
      <c r="A508" s="2"/>
      <c r="B508" s="1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2">
      <c r="A509" s="2"/>
      <c r="B509" s="1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2">
      <c r="A510" s="2"/>
      <c r="B510" s="1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2">
      <c r="A511" s="2"/>
      <c r="B511" s="1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2">
      <c r="A512" s="2"/>
      <c r="B512" s="1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2">
      <c r="A513" s="2"/>
      <c r="B513" s="1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2">
      <c r="A514" s="2"/>
      <c r="B514" s="1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2">
      <c r="A515" s="2"/>
      <c r="B515" s="1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2">
      <c r="A516" s="2"/>
      <c r="B516" s="1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2">
      <c r="A517" s="2"/>
      <c r="B517" s="1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2">
      <c r="A518" s="2"/>
      <c r="B518" s="1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2">
      <c r="A519" s="2"/>
      <c r="B519" s="1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2">
      <c r="A520" s="2"/>
      <c r="B520" s="1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2">
      <c r="A521" s="2"/>
      <c r="B521" s="1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2">
      <c r="A522" s="2"/>
      <c r="B522" s="1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2">
      <c r="A523" s="2"/>
      <c r="B523" s="1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2">
      <c r="A524" s="2"/>
      <c r="B524" s="1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2">
      <c r="A525" s="2"/>
      <c r="B525" s="1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2">
      <c r="A526" s="2"/>
      <c r="B526" s="1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2">
      <c r="A527" s="2"/>
      <c r="B527" s="1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2">
      <c r="A528" s="2"/>
      <c r="B528" s="1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2">
      <c r="A529" s="2"/>
      <c r="B529" s="1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2">
      <c r="A530" s="2"/>
      <c r="B530" s="1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2">
      <c r="A531" s="2"/>
      <c r="B531" s="1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2">
      <c r="A532" s="2"/>
      <c r="B532" s="1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2">
      <c r="A533" s="2"/>
      <c r="B533" s="1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2">
      <c r="A534" s="2"/>
      <c r="B534" s="1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2">
      <c r="A535" s="2"/>
      <c r="B535" s="1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2">
      <c r="A536" s="2"/>
      <c r="B536" s="1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2">
      <c r="A537" s="2"/>
      <c r="B537" s="1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2">
      <c r="A538" s="2"/>
      <c r="B538" s="1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2">
      <c r="A539" s="2"/>
      <c r="B539" s="1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2">
      <c r="A540" s="2"/>
      <c r="B540" s="1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2">
      <c r="A541" s="2"/>
      <c r="B541" s="1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2">
      <c r="A542" s="2"/>
      <c r="B542" s="1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2">
      <c r="A543" s="2"/>
      <c r="B543" s="1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2">
      <c r="A544" s="2"/>
      <c r="B544" s="1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2">
      <c r="A545" s="2"/>
      <c r="B545" s="1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2">
      <c r="A546" s="2"/>
      <c r="B546" s="1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2">
      <c r="A547" s="2"/>
      <c r="B547" s="1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2">
      <c r="A548" s="2"/>
      <c r="B548" s="1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2">
      <c r="A549" s="2"/>
      <c r="B549" s="1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2">
      <c r="A550" s="2"/>
      <c r="B550" s="1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2">
      <c r="A551" s="2"/>
      <c r="B551" s="1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2">
      <c r="A552" s="2"/>
      <c r="B552" s="1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2">
      <c r="A553" s="2"/>
      <c r="B553" s="1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2">
      <c r="A554" s="2"/>
      <c r="B554" s="1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2">
      <c r="A555" s="2"/>
      <c r="B555" s="1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2">
      <c r="A556" s="2"/>
      <c r="B556" s="1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2">
      <c r="A557" s="2"/>
      <c r="B557" s="1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2">
      <c r="A558" s="2"/>
      <c r="B558" s="1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2">
      <c r="A559" s="2"/>
      <c r="B559" s="1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2">
      <c r="A560" s="2"/>
      <c r="B560" s="1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2">
      <c r="A561" s="2"/>
      <c r="B561" s="1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2">
      <c r="A562" s="2"/>
      <c r="B562" s="1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2">
      <c r="A563" s="2"/>
      <c r="B563" s="1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2">
      <c r="A564" s="2"/>
      <c r="B564" s="1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2">
      <c r="A565" s="2"/>
      <c r="B565" s="1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2">
      <c r="A566" s="2"/>
      <c r="B566" s="1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2">
      <c r="A567" s="2"/>
      <c r="B567" s="1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2">
      <c r="A568" s="2"/>
      <c r="B568" s="1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2">
      <c r="A569" s="2"/>
      <c r="B569" s="1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2">
      <c r="A570" s="2"/>
      <c r="B570" s="1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2">
      <c r="A571" s="2"/>
      <c r="B571" s="1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2">
      <c r="A572" s="2"/>
      <c r="B572" s="1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2">
      <c r="A573" s="2"/>
      <c r="B573" s="1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2">
      <c r="A574" s="2"/>
      <c r="B574" s="1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2">
      <c r="A575" s="2"/>
      <c r="B575" s="1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2">
      <c r="A576" s="2"/>
      <c r="B576" s="1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2">
      <c r="A577" s="2"/>
      <c r="B577" s="1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2">
      <c r="A578" s="2"/>
      <c r="B578" s="1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2">
      <c r="A579" s="2"/>
      <c r="B579" s="1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2">
      <c r="A580" s="2"/>
      <c r="B580" s="1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2">
      <c r="A581" s="2"/>
      <c r="B581" s="1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2">
      <c r="A582" s="2"/>
      <c r="B582" s="1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2">
      <c r="A583" s="2"/>
      <c r="B583" s="1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2">
      <c r="A584" s="2"/>
      <c r="B584" s="1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2">
      <c r="A585" s="2"/>
      <c r="B585" s="1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2">
      <c r="A586" s="2"/>
      <c r="B586" s="1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2">
      <c r="A587" s="2"/>
      <c r="B587" s="1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2">
      <c r="A588" s="2"/>
      <c r="B588" s="1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2">
      <c r="A589" s="2"/>
      <c r="B589" s="1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2">
      <c r="A590" s="2"/>
      <c r="B590" s="1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2">
      <c r="A591" s="2"/>
      <c r="B591" s="1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2">
      <c r="A592" s="2"/>
      <c r="B592" s="1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2">
      <c r="A593" s="2"/>
      <c r="B593" s="1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2">
      <c r="A594" s="2"/>
      <c r="B594" s="1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2">
      <c r="A595" s="2"/>
      <c r="B595" s="1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2">
      <c r="A596" s="2"/>
      <c r="B596" s="1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2">
      <c r="A597" s="2"/>
      <c r="B597" s="1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2">
      <c r="A598" s="2"/>
      <c r="B598" s="1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2">
      <c r="A599" s="2"/>
      <c r="B599" s="1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2">
      <c r="A600" s="2"/>
      <c r="B600" s="1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2">
      <c r="A601" s="2"/>
      <c r="B601" s="1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2">
      <c r="A602" s="2"/>
      <c r="B602" s="1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2">
      <c r="A603" s="2"/>
      <c r="B603" s="1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2">
      <c r="A604" s="2"/>
      <c r="B604" s="1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2">
      <c r="A605" s="2"/>
      <c r="B605" s="1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2">
      <c r="A606" s="2"/>
      <c r="B606" s="1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2">
      <c r="A607" s="2"/>
      <c r="B607" s="1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2">
      <c r="A608" s="2"/>
      <c r="B608" s="1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2">
      <c r="A609" s="2"/>
      <c r="B609" s="1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2">
      <c r="A610" s="2"/>
      <c r="B610" s="1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2">
      <c r="A611" s="2"/>
      <c r="B611" s="1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2">
      <c r="A612" s="2"/>
      <c r="B612" s="1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2">
      <c r="A613" s="2"/>
      <c r="B613" s="1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2">
      <c r="A614" s="2"/>
      <c r="B614" s="1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2">
      <c r="A615" s="2"/>
      <c r="B615" s="1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2">
      <c r="A616" s="2"/>
      <c r="B616" s="1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2">
      <c r="A617" s="2"/>
      <c r="B617" s="1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2">
      <c r="A618" s="2"/>
      <c r="B618" s="1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2">
      <c r="A619" s="2"/>
      <c r="B619" s="1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2">
      <c r="A620" s="2"/>
      <c r="B620" s="1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2">
      <c r="A621" s="2"/>
      <c r="B621" s="1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2">
      <c r="A622" s="2"/>
      <c r="B622" s="1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2">
      <c r="A623" s="2"/>
      <c r="B623" s="1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2">
      <c r="A624" s="2"/>
      <c r="B624" s="1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2">
      <c r="A625" s="2"/>
      <c r="B625" s="1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2">
      <c r="A626" s="2"/>
      <c r="B626" s="1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2">
      <c r="A627" s="2"/>
      <c r="B627" s="1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2">
      <c r="A628" s="2"/>
      <c r="B628" s="1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2">
      <c r="A629" s="2"/>
      <c r="B629" s="1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2">
      <c r="A630" s="2"/>
      <c r="B630" s="1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2">
      <c r="A631" s="2"/>
      <c r="B631" s="1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2">
      <c r="A632" s="2"/>
      <c r="B632" s="1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2">
      <c r="A633" s="2"/>
      <c r="B633" s="1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2">
      <c r="A634" s="2"/>
      <c r="B634" s="1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2">
      <c r="A635" s="2"/>
      <c r="B635" s="1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2">
      <c r="A636" s="2"/>
      <c r="B636" s="1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2">
      <c r="A637" s="2"/>
      <c r="B637" s="1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2">
      <c r="A638" s="2"/>
      <c r="B638" s="1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2">
      <c r="A639" s="2"/>
      <c r="B639" s="1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2">
      <c r="A640" s="2"/>
      <c r="B640" s="1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2">
      <c r="A641" s="2"/>
      <c r="B641" s="1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2">
      <c r="A642" s="2"/>
      <c r="B642" s="1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2">
      <c r="A643" s="2"/>
      <c r="B643" s="1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2">
      <c r="A644" s="2"/>
      <c r="B644" s="1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2">
      <c r="A645" s="2"/>
      <c r="B645" s="1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2">
      <c r="A646" s="2"/>
      <c r="B646" s="1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2">
      <c r="A647" s="2"/>
      <c r="B647" s="1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2">
      <c r="A648" s="2"/>
      <c r="B648" s="1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2">
      <c r="A649" s="2"/>
      <c r="B649" s="1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2">
      <c r="A650" s="2"/>
      <c r="B650" s="1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2">
      <c r="A651" s="2"/>
      <c r="B651" s="1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2">
      <c r="A652" s="2"/>
      <c r="B652" s="1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2">
      <c r="A653" s="2"/>
      <c r="B653" s="1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2">
      <c r="A654" s="2"/>
      <c r="B654" s="1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2">
      <c r="A655" s="2"/>
      <c r="B655" s="1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2">
      <c r="A656" s="2"/>
      <c r="B656" s="1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2">
      <c r="A657" s="2"/>
      <c r="B657" s="1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2">
      <c r="A658" s="2"/>
      <c r="B658" s="1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2">
      <c r="A659" s="2"/>
      <c r="B659" s="1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2">
      <c r="A660" s="2"/>
      <c r="B660" s="1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2">
      <c r="A661" s="2"/>
      <c r="B661" s="1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2">
      <c r="A662" s="2"/>
      <c r="B662" s="1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2">
      <c r="A663" s="2"/>
      <c r="B663" s="1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2">
      <c r="A664" s="2"/>
      <c r="B664" s="1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2">
      <c r="A665" s="2"/>
      <c r="B665" s="1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2">
      <c r="A666" s="2"/>
      <c r="B666" s="1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2">
      <c r="A667" s="2"/>
      <c r="B667" s="1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2">
      <c r="A668" s="2"/>
      <c r="B668" s="1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2">
      <c r="A669" s="2"/>
      <c r="B669" s="1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2">
      <c r="A670" s="2"/>
      <c r="B670" s="1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2">
      <c r="A671" s="2"/>
      <c r="B671" s="1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2">
      <c r="A672" s="2"/>
      <c r="B672" s="1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2">
      <c r="A673" s="2"/>
      <c r="B673" s="1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2">
      <c r="A674" s="2"/>
      <c r="B674" s="1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2">
      <c r="A675" s="2"/>
      <c r="B675" s="1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2">
      <c r="A676" s="2"/>
      <c r="B676" s="1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2">
      <c r="A677" s="2"/>
      <c r="B677" s="1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2">
      <c r="A678" s="2"/>
      <c r="B678" s="1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2">
      <c r="A679" s="2"/>
      <c r="B679" s="1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2">
      <c r="A680" s="2"/>
      <c r="B680" s="1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2">
      <c r="A681" s="2"/>
      <c r="B681" s="1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2">
      <c r="A682" s="2"/>
      <c r="B682" s="1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2">
      <c r="A683" s="2"/>
      <c r="B683" s="1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2">
      <c r="A684" s="2"/>
      <c r="B684" s="1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2">
      <c r="A685" s="2"/>
      <c r="B685" s="1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2">
      <c r="A686" s="2"/>
      <c r="B686" s="1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2">
      <c r="A687" s="2"/>
      <c r="B687" s="1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2">
      <c r="A688" s="2"/>
      <c r="B688" s="1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2">
      <c r="A689" s="2"/>
      <c r="B689" s="1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2">
      <c r="A690" s="2"/>
      <c r="B690" s="1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2">
      <c r="A691" s="2"/>
      <c r="B691" s="1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2">
      <c r="A692" s="2"/>
      <c r="B692" s="1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2">
      <c r="A693" s="2"/>
      <c r="B693" s="1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2">
      <c r="A694" s="2"/>
      <c r="B694" s="1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2">
      <c r="A695" s="2"/>
      <c r="B695" s="1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2">
      <c r="A696" s="2"/>
      <c r="B696" s="1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2">
      <c r="A697" s="2"/>
      <c r="B697" s="1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2">
      <c r="A698" s="2"/>
      <c r="B698" s="1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2">
      <c r="A699" s="2"/>
      <c r="B699" s="1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2">
      <c r="A700" s="2"/>
      <c r="B700" s="1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2">
      <c r="A701" s="2"/>
      <c r="B701" s="1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2">
      <c r="A702" s="2"/>
      <c r="B702" s="1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2">
      <c r="A703" s="2"/>
      <c r="B703" s="1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2">
      <c r="A704" s="2"/>
      <c r="B704" s="1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2">
      <c r="A705" s="2"/>
      <c r="B705" s="1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2">
      <c r="A706" s="2"/>
      <c r="B706" s="1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2">
      <c r="A707" s="2"/>
      <c r="B707" s="1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2">
      <c r="A708" s="2"/>
      <c r="B708" s="1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2">
      <c r="A709" s="2"/>
      <c r="B709" s="1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2">
      <c r="A710" s="2"/>
      <c r="B710" s="1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2">
      <c r="A711" s="2"/>
      <c r="B711" s="1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2">
      <c r="A712" s="2"/>
      <c r="B712" s="1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2">
      <c r="A713" s="2"/>
      <c r="B713" s="1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2">
      <c r="A714" s="2"/>
      <c r="B714" s="1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2">
      <c r="A715" s="2"/>
      <c r="B715" s="1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2">
      <c r="A716" s="2"/>
      <c r="B716" s="1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2">
      <c r="A717" s="2"/>
      <c r="B717" s="1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2">
      <c r="A718" s="2"/>
      <c r="B718" s="1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2">
      <c r="A719" s="2"/>
      <c r="B719" s="1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2">
      <c r="A720" s="2"/>
      <c r="B720" s="1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2">
      <c r="A721" s="2"/>
      <c r="B721" s="1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2">
      <c r="A722" s="2"/>
      <c r="B722" s="1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2">
      <c r="A723" s="2"/>
      <c r="B723" s="1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2">
      <c r="A724" s="2"/>
      <c r="B724" s="1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2">
      <c r="A725" s="2"/>
      <c r="B725" s="1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2">
      <c r="A726" s="2"/>
      <c r="B726" s="1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2">
      <c r="A727" s="2"/>
      <c r="B727" s="1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2">
      <c r="A728" s="2"/>
      <c r="B728" s="1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2">
      <c r="A729" s="2"/>
      <c r="B729" s="1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2">
      <c r="A730" s="2"/>
      <c r="B730" s="1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2">
      <c r="A731" s="2"/>
      <c r="B731" s="1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2">
      <c r="A732" s="2"/>
      <c r="B732" s="1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2">
      <c r="A733" s="2"/>
      <c r="B733" s="1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2">
      <c r="A734" s="2"/>
      <c r="B734" s="1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2">
      <c r="A735" s="2"/>
      <c r="B735" s="1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2">
      <c r="A736" s="2"/>
      <c r="B736" s="1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2">
      <c r="A737" s="2"/>
      <c r="B737" s="1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2">
      <c r="A738" s="2"/>
      <c r="B738" s="1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2">
      <c r="A739" s="2"/>
      <c r="B739" s="1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2">
      <c r="A740" s="2"/>
      <c r="B740" s="1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2">
      <c r="A741" s="2"/>
      <c r="B741" s="1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2">
      <c r="A742" s="2"/>
      <c r="B742" s="1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2">
      <c r="A743" s="2"/>
      <c r="B743" s="1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2">
      <c r="A744" s="2"/>
      <c r="B744" s="1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2">
      <c r="A745" s="2"/>
      <c r="B745" s="1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2">
      <c r="A746" s="2"/>
      <c r="B746" s="1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2">
      <c r="A747" s="2"/>
      <c r="B747" s="1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2">
      <c r="A748" s="2"/>
      <c r="B748" s="1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2">
      <c r="A749" s="2"/>
      <c r="B749" s="1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2">
      <c r="A750" s="2"/>
      <c r="B750" s="1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2">
      <c r="A751" s="2"/>
      <c r="B751" s="1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2">
      <c r="A752" s="2"/>
      <c r="B752" s="1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2">
      <c r="A753" s="2"/>
      <c r="B753" s="1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2">
      <c r="A754" s="2"/>
      <c r="B754" s="1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2">
      <c r="A755" s="2"/>
      <c r="B755" s="1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2">
      <c r="A756" s="2"/>
      <c r="B756" s="1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2">
      <c r="A757" s="2"/>
      <c r="B757" s="1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2">
      <c r="A758" s="2"/>
      <c r="B758" s="1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2">
      <c r="A759" s="2"/>
      <c r="B759" s="1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2">
      <c r="A760" s="2"/>
      <c r="B760" s="1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2">
      <c r="A761" s="2"/>
      <c r="B761" s="1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2">
      <c r="A762" s="2"/>
      <c r="B762" s="1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2">
      <c r="A763" s="2"/>
      <c r="B763" s="1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2">
      <c r="A764" s="2"/>
      <c r="B764" s="1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2">
      <c r="A765" s="2"/>
      <c r="B765" s="1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2">
      <c r="A766" s="2"/>
      <c r="B766" s="1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2">
      <c r="A767" s="2"/>
      <c r="B767" s="1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2">
      <c r="A768" s="2"/>
      <c r="B768" s="1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2">
      <c r="A769" s="2"/>
      <c r="B769" s="1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2">
      <c r="A770" s="2"/>
      <c r="B770" s="1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2">
      <c r="A771" s="2"/>
      <c r="B771" s="1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2">
      <c r="A772" s="2"/>
      <c r="B772" s="1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2">
      <c r="A773" s="2"/>
      <c r="B773" s="1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2">
      <c r="A774" s="2"/>
      <c r="B774" s="1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2">
      <c r="A775" s="2"/>
      <c r="B775" s="1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2">
      <c r="A776" s="2"/>
      <c r="B776" s="1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2">
      <c r="A777" s="2"/>
      <c r="B777" s="1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2">
      <c r="A778" s="2"/>
      <c r="B778" s="1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2">
      <c r="A779" s="2"/>
      <c r="B779" s="1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2">
      <c r="A780" s="2"/>
      <c r="B780" s="1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2">
      <c r="A781" s="2"/>
      <c r="B781" s="1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2">
      <c r="A782" s="2"/>
      <c r="B782" s="1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2">
      <c r="A783" s="2"/>
      <c r="B783" s="1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2">
      <c r="A784" s="2"/>
      <c r="B784" s="1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2">
      <c r="A785" s="2"/>
      <c r="B785" s="1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2">
      <c r="A786" s="2"/>
      <c r="B786" s="1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2">
      <c r="A787" s="2"/>
      <c r="B787" s="1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2">
      <c r="A788" s="2"/>
      <c r="B788" s="1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2">
      <c r="A789" s="2"/>
      <c r="B789" s="1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2">
      <c r="A790" s="2"/>
      <c r="B790" s="1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2">
      <c r="A791" s="2"/>
      <c r="B791" s="1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2">
      <c r="A792" s="2"/>
      <c r="B792" s="1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2">
      <c r="A793" s="2"/>
      <c r="B793" s="1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2">
      <c r="A794" s="2"/>
      <c r="B794" s="1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2">
      <c r="A795" s="2"/>
      <c r="B795" s="1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2">
      <c r="A796" s="2"/>
      <c r="B796" s="1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2">
      <c r="A797" s="2"/>
      <c r="B797" s="1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2">
      <c r="A798" s="2"/>
      <c r="B798" s="1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2">
      <c r="A799" s="2"/>
      <c r="B799" s="1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2">
      <c r="A800" s="2"/>
      <c r="B800" s="1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2">
      <c r="A801" s="2"/>
      <c r="B801" s="1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2">
      <c r="A802" s="2"/>
      <c r="B802" s="1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2">
      <c r="A803" s="2"/>
      <c r="B803" s="1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2">
      <c r="A804" s="2"/>
      <c r="B804" s="1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2">
      <c r="A805" s="2"/>
      <c r="B805" s="1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2">
      <c r="A806" s="2"/>
      <c r="B806" s="1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2">
      <c r="A807" s="2"/>
      <c r="B807" s="1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2">
      <c r="A808" s="2"/>
      <c r="B808" s="1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2">
      <c r="A809" s="2"/>
      <c r="B809" s="1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2">
      <c r="A810" s="2"/>
      <c r="B810" s="1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2">
      <c r="A811" s="2"/>
      <c r="B811" s="1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2">
      <c r="A812" s="2"/>
      <c r="B812" s="1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2">
      <c r="A813" s="2"/>
      <c r="B813" s="1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2">
      <c r="A814" s="2"/>
      <c r="B814" s="1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2">
      <c r="A815" s="2"/>
      <c r="B815" s="1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2">
      <c r="A816" s="2"/>
      <c r="B816" s="1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2">
      <c r="A817" s="2"/>
      <c r="B817" s="1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2">
      <c r="A818" s="2"/>
      <c r="B818" s="1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2">
      <c r="A819" s="2"/>
      <c r="B819" s="1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2">
      <c r="A820" s="2"/>
      <c r="B820" s="1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2">
      <c r="A821" s="2"/>
      <c r="B821" s="1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2">
      <c r="A822" s="2"/>
      <c r="B822" s="1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2">
      <c r="A823" s="2"/>
      <c r="B823" s="1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2">
      <c r="A824" s="2"/>
      <c r="B824" s="1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2">
      <c r="A825" s="2"/>
      <c r="B825" s="1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2">
      <c r="A826" s="2"/>
      <c r="B826" s="1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2">
      <c r="A827" s="2"/>
      <c r="B827" s="1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2">
      <c r="A828" s="2"/>
      <c r="B828" s="1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2">
      <c r="A829" s="2"/>
      <c r="B829" s="1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2">
      <c r="A830" s="2"/>
      <c r="B830" s="1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2">
      <c r="A831" s="2"/>
      <c r="B831" s="1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2">
      <c r="A832" s="2"/>
      <c r="B832" s="1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2">
      <c r="A833" s="2"/>
      <c r="B833" s="1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2">
      <c r="A834" s="2"/>
      <c r="B834" s="1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2">
      <c r="A835" s="2"/>
      <c r="B835" s="1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2">
      <c r="A836" s="2"/>
      <c r="B836" s="1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2">
      <c r="A837" s="2"/>
      <c r="B837" s="1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2">
      <c r="A838" s="2"/>
      <c r="B838" s="1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2">
      <c r="A839" s="2"/>
      <c r="B839" s="1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2">
      <c r="A840" s="2"/>
      <c r="B840" s="1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2">
      <c r="A841" s="2"/>
      <c r="B841" s="1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2">
      <c r="A842" s="2"/>
      <c r="B842" s="1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2">
      <c r="A843" s="2"/>
      <c r="B843" s="1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2">
      <c r="A844" s="2"/>
      <c r="B844" s="1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2">
      <c r="A845" s="2"/>
      <c r="B845" s="1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2">
      <c r="A846" s="2"/>
      <c r="B846" s="1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2">
      <c r="A847" s="2"/>
      <c r="B847" s="1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2">
      <c r="A848" s="2"/>
      <c r="B848" s="1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2">
      <c r="A849" s="2"/>
      <c r="B849" s="1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2">
      <c r="A850" s="2"/>
      <c r="B850" s="1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2">
      <c r="A851" s="2"/>
      <c r="B851" s="1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2">
      <c r="A852" s="2"/>
      <c r="B852" s="1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2">
      <c r="A853" s="2"/>
      <c r="B853" s="1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2">
      <c r="A854" s="2"/>
      <c r="B854" s="1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2">
      <c r="A855" s="2"/>
      <c r="B855" s="1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2">
      <c r="A856" s="2"/>
      <c r="B856" s="1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2">
      <c r="A857" s="2"/>
      <c r="B857" s="1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2">
      <c r="A858" s="2"/>
      <c r="B858" s="1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2">
      <c r="A859" s="2"/>
      <c r="B859" s="1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2">
      <c r="A860" s="2"/>
      <c r="B860" s="1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2">
      <c r="A861" s="2"/>
      <c r="B861" s="1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2">
      <c r="A862" s="2"/>
      <c r="B862" s="1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2">
      <c r="A863" s="2"/>
      <c r="B863" s="1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2">
      <c r="A864" s="2"/>
      <c r="B864" s="1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2">
      <c r="A865" s="2"/>
      <c r="B865" s="1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2">
      <c r="A866" s="2"/>
      <c r="B866" s="1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2">
      <c r="A867" s="2"/>
      <c r="B867" s="1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2">
      <c r="A868" s="2"/>
      <c r="B868" s="1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2">
      <c r="A869" s="2"/>
      <c r="B869" s="1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2">
      <c r="A870" s="2"/>
      <c r="B870" s="1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2">
      <c r="A871" s="2"/>
      <c r="B871" s="1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2">
      <c r="A872" s="2"/>
      <c r="B872" s="1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2">
      <c r="A873" s="2"/>
      <c r="B873" s="1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2">
      <c r="A874" s="2"/>
      <c r="B874" s="1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2">
      <c r="A875" s="2"/>
      <c r="B875" s="1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2">
      <c r="A876" s="2"/>
      <c r="B876" s="1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2">
      <c r="A877" s="2"/>
      <c r="B877" s="1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2">
      <c r="A878" s="2"/>
      <c r="B878" s="1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2">
      <c r="A879" s="2"/>
      <c r="B879" s="1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2">
      <c r="A880" s="2"/>
      <c r="B880" s="1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2">
      <c r="A881" s="2"/>
      <c r="B881" s="1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2">
      <c r="A882" s="2"/>
      <c r="B882" s="1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2">
      <c r="A883" s="2"/>
      <c r="B883" s="1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2">
      <c r="A884" s="2"/>
      <c r="B884" s="1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2">
      <c r="A885" s="2"/>
      <c r="B885" s="1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2">
      <c r="A886" s="2"/>
      <c r="B886" s="1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2">
      <c r="A887" s="2"/>
      <c r="B887" s="1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2">
      <c r="A888" s="2"/>
      <c r="B888" s="1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2">
      <c r="A889" s="2"/>
      <c r="B889" s="1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2">
      <c r="A890" s="2"/>
      <c r="B890" s="1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2">
      <c r="A891" s="2"/>
      <c r="B891" s="1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2">
      <c r="A892" s="2"/>
      <c r="B892" s="1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2">
      <c r="A893" s="2"/>
      <c r="B893" s="1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2">
      <c r="A894" s="2"/>
      <c r="B894" s="1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2">
      <c r="A895" s="2"/>
      <c r="B895" s="1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2">
      <c r="A896" s="2"/>
      <c r="B896" s="1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2">
      <c r="A897" s="2"/>
      <c r="B897" s="1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2">
      <c r="A898" s="2"/>
      <c r="B898" s="1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2">
      <c r="A899" s="2"/>
      <c r="B899" s="1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2">
      <c r="A900" s="2"/>
      <c r="B900" s="1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2">
      <c r="A901" s="2"/>
      <c r="B901" s="1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2">
      <c r="A902" s="2"/>
      <c r="B902" s="1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2">
      <c r="A903" s="2"/>
      <c r="B903" s="1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2">
      <c r="A904" s="2"/>
      <c r="B904" s="1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2">
      <c r="A905" s="2"/>
      <c r="B905" s="1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2">
      <c r="A906" s="2"/>
      <c r="B906" s="1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2">
      <c r="A907" s="2"/>
      <c r="B907" s="1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2">
      <c r="A908" s="2"/>
      <c r="B908" s="1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2">
      <c r="A909" s="2"/>
      <c r="B909" s="1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2">
      <c r="A910" s="2"/>
      <c r="B910" s="1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2">
      <c r="A911" s="2"/>
      <c r="B911" s="1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2">
      <c r="A912" s="2"/>
      <c r="B912" s="1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2">
      <c r="A913" s="2"/>
      <c r="B913" s="1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2">
      <c r="A914" s="2"/>
      <c r="B914" s="1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2">
      <c r="A915" s="2"/>
      <c r="B915" s="1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2">
      <c r="A916" s="2"/>
      <c r="B916" s="1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2">
      <c r="A917" s="2"/>
      <c r="B917" s="1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2">
      <c r="A918" s="2"/>
      <c r="B918" s="1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2">
      <c r="A919" s="2"/>
      <c r="B919" s="1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2">
      <c r="A920" s="2"/>
      <c r="B920" s="1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2">
      <c r="A921" s="2"/>
      <c r="B921" s="1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2">
      <c r="A922" s="2"/>
      <c r="B922" s="1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2">
      <c r="A923" s="2"/>
      <c r="B923" s="1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2">
      <c r="A924" s="2"/>
      <c r="B924" s="1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2">
      <c r="A925" s="2"/>
      <c r="B925" s="1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2">
      <c r="A926" s="2"/>
      <c r="B926" s="1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2">
      <c r="A927" s="2"/>
      <c r="B927" s="1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2">
      <c r="A928" s="2"/>
      <c r="B928" s="1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2">
      <c r="A929" s="2"/>
      <c r="B929" s="1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2">
      <c r="A930" s="2"/>
      <c r="B930" s="1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2">
      <c r="A931" s="2"/>
      <c r="B931" s="1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2">
      <c r="A932" s="2"/>
      <c r="B932" s="1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2">
      <c r="A933" s="2"/>
      <c r="B933" s="1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2">
      <c r="A934" s="2"/>
      <c r="B934" s="1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2">
      <c r="A935" s="2"/>
      <c r="B935" s="1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2">
      <c r="A936" s="2"/>
      <c r="B936" s="1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2">
      <c r="A937" s="2"/>
      <c r="B937" s="1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2">
      <c r="A938" s="2"/>
      <c r="B938" s="1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2">
      <c r="A939" s="2"/>
      <c r="B939" s="1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2">
      <c r="A940" s="2"/>
      <c r="B940" s="1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2">
      <c r="A941" s="2"/>
      <c r="B941" s="1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2">
      <c r="A942" s="2"/>
      <c r="B942" s="1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2">
      <c r="A943" s="2"/>
      <c r="B943" s="1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2">
      <c r="A944" s="2"/>
      <c r="B944" s="1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2">
      <c r="A945" s="2"/>
      <c r="B945" s="1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2">
      <c r="A946" s="2"/>
      <c r="B946" s="1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2">
      <c r="A947" s="2"/>
      <c r="B947" s="1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2">
      <c r="A948" s="2"/>
      <c r="B948" s="1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2">
      <c r="A949" s="2"/>
      <c r="B949" s="1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2">
      <c r="A950" s="2"/>
      <c r="B950" s="1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2">
      <c r="A951" s="2"/>
      <c r="B951" s="1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2">
      <c r="A952" s="2"/>
      <c r="B952" s="1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2">
      <c r="A953" s="2"/>
      <c r="B953" s="1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2">
      <c r="A954" s="2"/>
      <c r="B954" s="1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2">
      <c r="A955" s="2"/>
      <c r="B955" s="1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2">
      <c r="A956" s="2"/>
      <c r="B956" s="1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2">
      <c r="A957" s="2"/>
      <c r="B957" s="1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2">
      <c r="A958" s="2"/>
      <c r="B958" s="1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2">
      <c r="A959" s="2"/>
      <c r="B959" s="1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2">
      <c r="A960" s="2"/>
      <c r="B960" s="1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2">
      <c r="A961" s="2"/>
      <c r="B961" s="1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2">
      <c r="A962" s="2"/>
      <c r="B962" s="1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2">
      <c r="A963" s="2"/>
      <c r="B963" s="1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2">
      <c r="A964" s="2"/>
      <c r="B964" s="1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2">
      <c r="A965" s="2"/>
      <c r="B965" s="1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2">
      <c r="A966" s="2"/>
      <c r="B966" s="1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2">
      <c r="A967" s="2"/>
      <c r="B967" s="1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2">
      <c r="A968" s="2"/>
      <c r="B968" s="1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2">
      <c r="A969" s="2"/>
      <c r="B969" s="1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2">
      <c r="A970" s="2"/>
      <c r="B970" s="1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2">
      <c r="A971" s="2"/>
      <c r="B971" s="1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2">
      <c r="A972" s="2"/>
      <c r="B972" s="1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2">
      <c r="A973" s="2"/>
      <c r="B973" s="1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2">
      <c r="A974" s="2"/>
      <c r="B974" s="1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2">
      <c r="A975" s="2"/>
      <c r="B975" s="1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2">
      <c r="A976" s="2"/>
      <c r="B976" s="1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2">
      <c r="A977" s="2"/>
      <c r="B977" s="1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2">
      <c r="A978" s="2"/>
      <c r="B978" s="1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2">
      <c r="A979" s="2"/>
      <c r="B979" s="1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2">
      <c r="A980" s="2"/>
      <c r="B980" s="1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2">
      <c r="A981" s="2"/>
      <c r="B981" s="1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2">
      <c r="A982" s="2"/>
      <c r="B982" s="1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2">
      <c r="A983" s="2"/>
      <c r="B983" s="1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2">
      <c r="A984" s="2"/>
      <c r="B984" s="1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2">
      <c r="A985" s="2"/>
      <c r="B985" s="1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2">
      <c r="A986" s="2"/>
      <c r="B986" s="1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2">
      <c r="A987" s="2"/>
      <c r="B987" s="1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2">
      <c r="A988" s="2"/>
      <c r="B988" s="1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2">
      <c r="A989" s="2"/>
      <c r="B989" s="1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2">
      <c r="A990" s="2"/>
      <c r="B990" s="1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2">
      <c r="A991" s="2"/>
      <c r="B991" s="1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2">
      <c r="A992" s="2"/>
      <c r="B992" s="1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2">
      <c r="A993" s="2"/>
      <c r="B993" s="1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2">
      <c r="A994" s="2"/>
      <c r="B994" s="1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2">
      <c r="A995" s="2"/>
      <c r="B995" s="1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2">
      <c r="A996" s="2"/>
      <c r="B996" s="1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2">
      <c r="A997" s="2"/>
      <c r="B997" s="1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2">
      <c r="A998" s="2"/>
      <c r="B998" s="1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5558-6FF0-AC40-96CD-5D86659ED924}">
  <sheetPr>
    <tabColor rgb="FF1F497D"/>
  </sheetPr>
  <dimension ref="A1:Z941"/>
  <sheetViews>
    <sheetView zoomScale="150" zoomScaleNormal="150" workbookViewId="0">
      <selection activeCell="B41" sqref="B41"/>
    </sheetView>
  </sheetViews>
  <sheetFormatPr baseColWidth="10" defaultColWidth="12.6640625" defaultRowHeight="15" customHeight="1" x14ac:dyDescent="0.2"/>
  <cols>
    <col min="1" max="1" width="50.83203125" style="88" customWidth="1"/>
    <col min="2" max="6" width="12.1640625" customWidth="1"/>
    <col min="7" max="7" width="11" customWidth="1"/>
    <col min="8" max="8" width="46.1640625" customWidth="1"/>
    <col min="9" max="9" width="11.33203125" customWidth="1"/>
    <col min="10" max="10" width="11.6640625" customWidth="1"/>
    <col min="11" max="23" width="9.5" customWidth="1"/>
    <col min="24" max="26" width="9.33203125" customWidth="1"/>
  </cols>
  <sheetData>
    <row r="1" spans="1:26" ht="15.75" customHeight="1" x14ac:dyDescent="0.2">
      <c r="A1" s="30"/>
      <c r="B1" s="148"/>
      <c r="C1" s="522"/>
      <c r="D1" s="11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7.25" customHeight="1" x14ac:dyDescent="0.2">
      <c r="A2" s="32"/>
      <c r="B2" s="33"/>
      <c r="C2" s="34"/>
    </row>
    <row r="3" spans="1:26" ht="23" x14ac:dyDescent="0.25">
      <c r="A3" s="207" t="s">
        <v>27</v>
      </c>
      <c r="B3" s="151" t="s">
        <v>28</v>
      </c>
      <c r="C3" s="151" t="s">
        <v>29</v>
      </c>
      <c r="D3" s="151" t="s">
        <v>30</v>
      </c>
      <c r="E3" s="151" t="s">
        <v>31</v>
      </c>
      <c r="F3" s="151" t="s">
        <v>32</v>
      </c>
      <c r="G3" s="151" t="s">
        <v>33</v>
      </c>
      <c r="H3" s="585" t="s">
        <v>34</v>
      </c>
      <c r="I3" s="585"/>
      <c r="J3" s="585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2"/>
      <c r="Y3" s="152"/>
      <c r="Z3" s="152"/>
    </row>
    <row r="4" spans="1:26" ht="16" x14ac:dyDescent="0.2">
      <c r="A4" s="32"/>
      <c r="B4" s="33"/>
      <c r="C4" s="34"/>
      <c r="H4" t="s">
        <v>35</v>
      </c>
      <c r="R4" t="s">
        <v>36</v>
      </c>
    </row>
    <row r="5" spans="1:26" ht="16" x14ac:dyDescent="0.2">
      <c r="A5" s="32" t="s">
        <v>37</v>
      </c>
      <c r="B5" s="247">
        <v>150</v>
      </c>
      <c r="C5" s="522"/>
      <c r="D5" s="522"/>
      <c r="E5" s="522"/>
      <c r="F5" s="522"/>
      <c r="H5" s="79" t="s">
        <v>423</v>
      </c>
      <c r="I5" s="468">
        <v>-55000</v>
      </c>
      <c r="R5" t="s">
        <v>38</v>
      </c>
    </row>
    <row r="6" spans="1:26" ht="16" x14ac:dyDescent="0.2">
      <c r="A6" s="88" t="s">
        <v>39</v>
      </c>
      <c r="B6" s="248">
        <v>5.0000000000000001E-3</v>
      </c>
      <c r="C6" s="248">
        <v>1.4999999999999999E-2</v>
      </c>
      <c r="D6" s="248">
        <v>0.03</v>
      </c>
      <c r="E6" s="248">
        <v>0.03</v>
      </c>
      <c r="F6" s="248">
        <v>0.02</v>
      </c>
      <c r="G6" s="248">
        <v>0.02</v>
      </c>
      <c r="H6" t="s">
        <v>40</v>
      </c>
      <c r="I6" s="468">
        <v>-60000</v>
      </c>
      <c r="R6" t="s">
        <v>41</v>
      </c>
    </row>
    <row r="7" spans="1:26" ht="16" x14ac:dyDescent="0.2">
      <c r="A7" s="88" t="s">
        <v>42</v>
      </c>
      <c r="B7" s="466">
        <v>4300</v>
      </c>
      <c r="C7" s="466">
        <v>4200</v>
      </c>
      <c r="D7" s="466">
        <v>5000</v>
      </c>
      <c r="E7" s="466">
        <v>5500</v>
      </c>
      <c r="F7" s="466">
        <v>6000</v>
      </c>
      <c r="G7" s="466">
        <v>6000</v>
      </c>
      <c r="H7" t="s">
        <v>43</v>
      </c>
      <c r="I7" s="468">
        <v>-50000</v>
      </c>
      <c r="R7" t="s">
        <v>44</v>
      </c>
    </row>
    <row r="8" spans="1:26" ht="16" x14ac:dyDescent="0.2">
      <c r="A8" s="88" t="s">
        <v>45</v>
      </c>
      <c r="B8" s="467">
        <v>0.04</v>
      </c>
      <c r="C8" s="523"/>
      <c r="D8" s="523"/>
      <c r="E8" s="523"/>
      <c r="F8" s="522"/>
      <c r="H8" t="s">
        <v>46</v>
      </c>
      <c r="I8" s="468">
        <v>-50000</v>
      </c>
      <c r="R8" t="s">
        <v>47</v>
      </c>
    </row>
    <row r="9" spans="1:26" ht="16" x14ac:dyDescent="0.2">
      <c r="A9" s="88" t="s">
        <v>48</v>
      </c>
      <c r="B9" s="467">
        <f>+B8/12</f>
        <v>3.3333333333333335E-3</v>
      </c>
      <c r="C9" s="522"/>
      <c r="D9" s="522"/>
      <c r="E9" s="522"/>
      <c r="F9" s="522"/>
      <c r="I9" s="502"/>
    </row>
    <row r="10" spans="1:26" ht="16" x14ac:dyDescent="0.2">
      <c r="A10" s="88" t="s">
        <v>49</v>
      </c>
      <c r="B10" s="467">
        <v>0.04</v>
      </c>
      <c r="C10" s="523"/>
      <c r="D10" s="523"/>
      <c r="E10" s="523"/>
      <c r="F10" s="522"/>
      <c r="H10" t="s">
        <v>50</v>
      </c>
      <c r="I10" s="469">
        <v>0.14000000000000001</v>
      </c>
    </row>
    <row r="11" spans="1:26" ht="16" x14ac:dyDescent="0.2">
      <c r="A11" s="88" t="s">
        <v>51</v>
      </c>
      <c r="B11" s="467">
        <v>3.7499999999999999E-2</v>
      </c>
      <c r="C11" s="523"/>
      <c r="D11" s="523"/>
      <c r="E11" s="523"/>
      <c r="F11" s="522"/>
      <c r="H11" t="s">
        <v>52</v>
      </c>
      <c r="I11" s="468">
        <v>0</v>
      </c>
      <c r="J11" t="s">
        <v>53</v>
      </c>
    </row>
    <row r="12" spans="1:26" ht="16" x14ac:dyDescent="0.2">
      <c r="A12" s="88" t="s">
        <v>54</v>
      </c>
      <c r="B12" s="467">
        <v>0.1</v>
      </c>
      <c r="C12" s="522"/>
      <c r="D12" s="522"/>
      <c r="E12" s="522"/>
      <c r="F12" s="522"/>
      <c r="H12" t="s">
        <v>55</v>
      </c>
      <c r="I12" s="468">
        <v>500</v>
      </c>
      <c r="J12" t="s">
        <v>56</v>
      </c>
    </row>
    <row r="13" spans="1:26" ht="16" x14ac:dyDescent="0.2">
      <c r="A13" s="88" t="s">
        <v>57</v>
      </c>
      <c r="B13" s="467">
        <v>0</v>
      </c>
      <c r="C13" s="524">
        <v>0.1</v>
      </c>
      <c r="D13" s="522"/>
      <c r="E13" s="522"/>
      <c r="F13" s="522"/>
      <c r="I13" s="468"/>
    </row>
    <row r="14" spans="1:26" ht="16" x14ac:dyDescent="0.2">
      <c r="A14" s="88" t="s">
        <v>58</v>
      </c>
      <c r="B14" s="467">
        <v>0</v>
      </c>
      <c r="C14" s="524">
        <v>0.15</v>
      </c>
      <c r="D14" s="522"/>
      <c r="E14" s="522"/>
      <c r="F14" s="522"/>
      <c r="I14" s="469"/>
      <c r="J14" s="79"/>
    </row>
    <row r="15" spans="1:26" ht="16" x14ac:dyDescent="0.2">
      <c r="A15" s="88" t="s">
        <v>59</v>
      </c>
      <c r="B15" s="467">
        <v>0</v>
      </c>
      <c r="C15" s="524">
        <v>0.2</v>
      </c>
      <c r="D15" s="522"/>
      <c r="E15" s="522"/>
      <c r="F15" s="522"/>
      <c r="H15" t="s">
        <v>60</v>
      </c>
      <c r="I15" s="468">
        <v>0</v>
      </c>
    </row>
    <row r="16" spans="1:26" ht="16" x14ac:dyDescent="0.2">
      <c r="A16" s="88" t="s">
        <v>61</v>
      </c>
      <c r="B16" s="467">
        <v>0.4899</v>
      </c>
      <c r="C16" s="522"/>
      <c r="D16" s="522"/>
      <c r="E16" s="522"/>
      <c r="F16" s="522"/>
      <c r="H16" t="s">
        <v>62</v>
      </c>
      <c r="I16" s="468">
        <v>0</v>
      </c>
    </row>
    <row r="17" spans="1:10" ht="16" x14ac:dyDescent="0.2">
      <c r="A17" s="88" t="s">
        <v>63</v>
      </c>
      <c r="B17" s="467">
        <v>0.2</v>
      </c>
      <c r="C17" s="522"/>
      <c r="D17" s="522"/>
      <c r="E17" s="522"/>
      <c r="F17" s="522"/>
      <c r="H17" t="s">
        <v>64</v>
      </c>
      <c r="I17" s="468">
        <v>150</v>
      </c>
    </row>
    <row r="18" spans="1:10" ht="16" x14ac:dyDescent="0.2">
      <c r="A18" s="88" t="s">
        <v>65</v>
      </c>
      <c r="B18" s="467">
        <v>0.8</v>
      </c>
      <c r="C18" s="522"/>
      <c r="D18" s="522"/>
      <c r="E18" s="522"/>
      <c r="F18" s="522"/>
      <c r="I18" s="468"/>
    </row>
    <row r="19" spans="1:10" ht="16" x14ac:dyDescent="0.2">
      <c r="A19" s="88" t="s">
        <v>66</v>
      </c>
      <c r="B19" s="467">
        <v>0.25</v>
      </c>
      <c r="C19" s="522"/>
      <c r="D19" s="522"/>
      <c r="E19" s="522"/>
      <c r="F19" s="522"/>
      <c r="I19" s="468"/>
    </row>
    <row r="20" spans="1:10" ht="16" x14ac:dyDescent="0.2">
      <c r="A20" s="88" t="s">
        <v>67</v>
      </c>
      <c r="B20" s="525">
        <v>0</v>
      </c>
      <c r="C20" s="522"/>
      <c r="D20" s="522"/>
      <c r="E20" s="522"/>
      <c r="F20" s="522"/>
      <c r="I20" s="356"/>
    </row>
    <row r="21" spans="1:10" ht="16" x14ac:dyDescent="0.2">
      <c r="A21" s="88" t="s">
        <v>68</v>
      </c>
      <c r="B21" s="526">
        <v>0</v>
      </c>
      <c r="C21" s="522"/>
      <c r="D21" s="522"/>
      <c r="E21" s="522"/>
      <c r="F21" s="522"/>
      <c r="I21" s="356"/>
    </row>
    <row r="22" spans="1:10" ht="16" x14ac:dyDescent="0.2">
      <c r="B22" s="527"/>
      <c r="C22" s="522"/>
      <c r="D22" s="522"/>
      <c r="E22" s="522"/>
      <c r="F22" s="522"/>
      <c r="H22" t="s">
        <v>69</v>
      </c>
      <c r="I22" s="468">
        <f>29.99*1.33</f>
        <v>39.886699999999998</v>
      </c>
      <c r="J22" s="79" t="s">
        <v>70</v>
      </c>
    </row>
    <row r="23" spans="1:10" ht="16" x14ac:dyDescent="0.2">
      <c r="A23" s="88" t="s">
        <v>71</v>
      </c>
      <c r="B23" s="525">
        <v>0.01</v>
      </c>
      <c r="C23" s="522"/>
      <c r="D23" s="522"/>
      <c r="E23" s="522"/>
      <c r="F23" s="522"/>
      <c r="H23" t="s">
        <v>72</v>
      </c>
      <c r="I23" s="468">
        <v>0</v>
      </c>
    </row>
    <row r="24" spans="1:10" ht="16" x14ac:dyDescent="0.2">
      <c r="A24" s="88" t="s">
        <v>73</v>
      </c>
      <c r="B24" s="525">
        <v>0</v>
      </c>
      <c r="C24" s="522"/>
      <c r="D24" s="522"/>
      <c r="E24" s="522"/>
      <c r="F24" s="522"/>
      <c r="H24" t="s">
        <v>74</v>
      </c>
      <c r="I24" s="468">
        <v>0</v>
      </c>
    </row>
    <row r="25" spans="1:10" ht="16" x14ac:dyDescent="0.2">
      <c r="A25" s="88" t="s">
        <v>75</v>
      </c>
      <c r="B25" s="526">
        <v>0</v>
      </c>
      <c r="C25" s="522"/>
      <c r="D25" s="522"/>
      <c r="E25" s="522"/>
      <c r="F25" s="522"/>
      <c r="H25" t="s">
        <v>76</v>
      </c>
      <c r="I25" s="468">
        <v>50</v>
      </c>
    </row>
    <row r="26" spans="1:10" ht="16" x14ac:dyDescent="0.2">
      <c r="A26" s="88" t="s">
        <v>77</v>
      </c>
      <c r="B26" s="525">
        <v>0.01</v>
      </c>
      <c r="C26" s="522"/>
      <c r="D26" s="522"/>
      <c r="E26" s="522"/>
      <c r="F26" s="522"/>
      <c r="H26" t="s">
        <v>78</v>
      </c>
      <c r="I26" s="468">
        <v>150</v>
      </c>
      <c r="J26" t="s">
        <v>53</v>
      </c>
    </row>
    <row r="27" spans="1:10" ht="16" x14ac:dyDescent="0.2">
      <c r="B27" s="33"/>
      <c r="C27" s="522"/>
      <c r="H27" t="s">
        <v>79</v>
      </c>
      <c r="I27" s="468">
        <v>0</v>
      </c>
    </row>
    <row r="28" spans="1:10" ht="16" x14ac:dyDescent="0.2">
      <c r="A28" s="370" t="s">
        <v>433</v>
      </c>
      <c r="B28" s="689">
        <v>0.25</v>
      </c>
      <c r="C28" s="522"/>
      <c r="H28" t="s">
        <v>80</v>
      </c>
      <c r="I28" s="470">
        <v>0.25</v>
      </c>
    </row>
    <row r="29" spans="1:10" ht="16" x14ac:dyDescent="0.2">
      <c r="A29" s="370" t="s">
        <v>435</v>
      </c>
      <c r="B29" s="689">
        <v>0.5</v>
      </c>
      <c r="C29" s="522"/>
      <c r="I29" s="470"/>
    </row>
    <row r="30" spans="1:10" ht="16" x14ac:dyDescent="0.2">
      <c r="A30" s="370" t="s">
        <v>434</v>
      </c>
      <c r="B30" s="689">
        <v>0.25</v>
      </c>
      <c r="C30" s="522"/>
      <c r="H30" t="s">
        <v>81</v>
      </c>
      <c r="I30" s="468">
        <v>50</v>
      </c>
    </row>
    <row r="31" spans="1:10" ht="16" x14ac:dyDescent="0.2">
      <c r="A31" s="370" t="s">
        <v>436</v>
      </c>
      <c r="B31" s="689">
        <v>0.05</v>
      </c>
      <c r="C31" s="522"/>
      <c r="H31" t="s">
        <v>82</v>
      </c>
      <c r="I31" s="468">
        <v>0</v>
      </c>
      <c r="J31" t="s">
        <v>53</v>
      </c>
    </row>
    <row r="32" spans="1:10" ht="16" x14ac:dyDescent="0.2">
      <c r="B32" s="33"/>
      <c r="C32" s="522"/>
      <c r="H32" t="s">
        <v>83</v>
      </c>
      <c r="I32" s="468">
        <v>50</v>
      </c>
      <c r="J32" t="s">
        <v>53</v>
      </c>
    </row>
    <row r="33" spans="2:10" ht="16" x14ac:dyDescent="0.2">
      <c r="B33" s="33"/>
      <c r="C33" s="522"/>
      <c r="I33" s="356"/>
    </row>
    <row r="34" spans="2:10" ht="16" x14ac:dyDescent="0.2">
      <c r="B34" s="33"/>
      <c r="C34" s="522"/>
      <c r="H34" t="s">
        <v>84</v>
      </c>
      <c r="I34" s="468">
        <v>150</v>
      </c>
      <c r="J34" s="358"/>
    </row>
    <row r="35" spans="2:10" ht="16" x14ac:dyDescent="0.2">
      <c r="B35" s="33"/>
      <c r="C35" s="522"/>
      <c r="H35" t="s">
        <v>85</v>
      </c>
      <c r="I35" s="468">
        <v>150</v>
      </c>
      <c r="J35" s="358"/>
    </row>
    <row r="36" spans="2:10" ht="16" x14ac:dyDescent="0.2">
      <c r="B36" s="33"/>
      <c r="C36" s="522"/>
      <c r="H36" t="s">
        <v>86</v>
      </c>
      <c r="I36" s="468">
        <v>0</v>
      </c>
      <c r="J36" s="358"/>
    </row>
    <row r="37" spans="2:10" ht="16" x14ac:dyDescent="0.2">
      <c r="B37" s="33"/>
      <c r="C37" s="522"/>
      <c r="H37" t="s">
        <v>87</v>
      </c>
      <c r="I37" s="468">
        <v>0</v>
      </c>
      <c r="J37" s="358"/>
    </row>
    <row r="38" spans="2:10" ht="16" x14ac:dyDescent="0.2">
      <c r="B38" s="33"/>
      <c r="C38" s="522"/>
      <c r="H38" s="260"/>
      <c r="I38" s="356"/>
    </row>
    <row r="39" spans="2:10" ht="16" x14ac:dyDescent="0.2">
      <c r="B39" s="33"/>
      <c r="C39" s="522"/>
      <c r="H39" t="s">
        <v>88</v>
      </c>
      <c r="I39" s="468">
        <v>2000</v>
      </c>
      <c r="J39" t="s">
        <v>70</v>
      </c>
    </row>
    <row r="40" spans="2:10" ht="16" x14ac:dyDescent="0.2">
      <c r="B40" s="33"/>
      <c r="C40" s="522"/>
      <c r="I40" s="468"/>
    </row>
    <row r="41" spans="2:10" ht="16" x14ac:dyDescent="0.2">
      <c r="B41" s="33"/>
      <c r="C41" s="522"/>
    </row>
    <row r="42" spans="2:10" ht="16" x14ac:dyDescent="0.2">
      <c r="B42" s="33"/>
      <c r="C42" s="522"/>
      <c r="H42" s="79" t="s">
        <v>89</v>
      </c>
      <c r="I42" s="469">
        <v>0.1</v>
      </c>
    </row>
    <row r="43" spans="2:10" ht="15.75" customHeight="1" x14ac:dyDescent="0.2">
      <c r="B43" s="33"/>
      <c r="C43" s="522"/>
      <c r="I43" s="355"/>
    </row>
    <row r="44" spans="2:10" ht="15.75" customHeight="1" x14ac:dyDescent="0.2">
      <c r="B44" s="33"/>
      <c r="C44" s="522"/>
      <c r="H44" s="79" t="s">
        <v>90</v>
      </c>
      <c r="I44" s="471">
        <v>2.9000000000000001E-2</v>
      </c>
    </row>
    <row r="45" spans="2:10" ht="15.75" customHeight="1" x14ac:dyDescent="0.2">
      <c r="B45" s="33"/>
      <c r="C45" s="522"/>
    </row>
    <row r="46" spans="2:10" ht="15.75" customHeight="1" x14ac:dyDescent="0.2">
      <c r="B46" s="33"/>
      <c r="C46" s="522"/>
    </row>
    <row r="47" spans="2:10" ht="15.75" customHeight="1" x14ac:dyDescent="0.2">
      <c r="B47" s="33"/>
      <c r="C47" s="522"/>
    </row>
    <row r="48" spans="2:10" ht="15.75" customHeight="1" x14ac:dyDescent="0.2">
      <c r="B48" s="33"/>
      <c r="C48" s="522"/>
    </row>
    <row r="49" spans="2:3" ht="15.75" customHeight="1" x14ac:dyDescent="0.2">
      <c r="B49" s="33"/>
      <c r="C49" s="522"/>
    </row>
    <row r="50" spans="2:3" ht="15.75" customHeight="1" x14ac:dyDescent="0.2">
      <c r="B50" s="33"/>
      <c r="C50" s="522"/>
    </row>
    <row r="51" spans="2:3" ht="15.75" customHeight="1" x14ac:dyDescent="0.2">
      <c r="B51" s="33"/>
      <c r="C51" s="522"/>
    </row>
    <row r="52" spans="2:3" ht="15.75" customHeight="1" x14ac:dyDescent="0.2">
      <c r="B52" s="33"/>
      <c r="C52" s="522"/>
    </row>
    <row r="53" spans="2:3" ht="15.75" customHeight="1" x14ac:dyDescent="0.2">
      <c r="B53" s="33"/>
      <c r="C53" s="522"/>
    </row>
    <row r="54" spans="2:3" ht="15.75" customHeight="1" x14ac:dyDescent="0.2">
      <c r="B54" s="33"/>
      <c r="C54" s="522"/>
    </row>
    <row r="55" spans="2:3" ht="15.75" customHeight="1" x14ac:dyDescent="0.2">
      <c r="B55" s="33"/>
      <c r="C55" s="522"/>
    </row>
    <row r="56" spans="2:3" ht="15.75" customHeight="1" x14ac:dyDescent="0.2">
      <c r="B56" s="33"/>
      <c r="C56" s="522"/>
    </row>
    <row r="57" spans="2:3" ht="15.75" customHeight="1" x14ac:dyDescent="0.2">
      <c r="B57" s="33"/>
      <c r="C57" s="522"/>
    </row>
    <row r="58" spans="2:3" ht="15.75" customHeight="1" x14ac:dyDescent="0.2">
      <c r="B58" s="33"/>
      <c r="C58" s="522"/>
    </row>
    <row r="59" spans="2:3" ht="15.75" customHeight="1" x14ac:dyDescent="0.2">
      <c r="B59" s="33"/>
      <c r="C59" s="522"/>
    </row>
    <row r="60" spans="2:3" ht="15.75" customHeight="1" x14ac:dyDescent="0.2">
      <c r="B60" s="33"/>
      <c r="C60" s="522"/>
    </row>
    <row r="61" spans="2:3" ht="15.75" customHeight="1" x14ac:dyDescent="0.2">
      <c r="B61" s="33"/>
      <c r="C61" s="522"/>
    </row>
    <row r="62" spans="2:3" ht="15.75" customHeight="1" x14ac:dyDescent="0.2">
      <c r="B62" s="33"/>
      <c r="C62" s="522"/>
    </row>
    <row r="63" spans="2:3" ht="15.75" customHeight="1" x14ac:dyDescent="0.2">
      <c r="B63" s="33"/>
      <c r="C63" s="522"/>
    </row>
    <row r="64" spans="2:3" ht="15.75" customHeight="1" x14ac:dyDescent="0.2">
      <c r="B64" s="33"/>
      <c r="C64" s="522"/>
    </row>
    <row r="65" spans="2:3" ht="15.75" customHeight="1" x14ac:dyDescent="0.2">
      <c r="B65" s="33"/>
      <c r="C65" s="522"/>
    </row>
    <row r="66" spans="2:3" ht="15.75" customHeight="1" x14ac:dyDescent="0.2">
      <c r="B66" s="33"/>
      <c r="C66" s="522"/>
    </row>
    <row r="67" spans="2:3" ht="15.75" customHeight="1" x14ac:dyDescent="0.2">
      <c r="B67" s="33"/>
      <c r="C67" s="522"/>
    </row>
    <row r="68" spans="2:3" ht="15.75" customHeight="1" x14ac:dyDescent="0.2">
      <c r="B68" s="33"/>
      <c r="C68" s="522"/>
    </row>
    <row r="69" spans="2:3" ht="15.75" customHeight="1" x14ac:dyDescent="0.2">
      <c r="B69" s="33"/>
      <c r="C69" s="522"/>
    </row>
    <row r="70" spans="2:3" ht="15.75" customHeight="1" x14ac:dyDescent="0.2">
      <c r="B70" s="33"/>
      <c r="C70" s="522"/>
    </row>
    <row r="71" spans="2:3" ht="15.75" customHeight="1" x14ac:dyDescent="0.2">
      <c r="B71" s="33"/>
      <c r="C71" s="522"/>
    </row>
    <row r="72" spans="2:3" ht="15.75" customHeight="1" x14ac:dyDescent="0.2">
      <c r="B72" s="33"/>
      <c r="C72" s="522"/>
    </row>
    <row r="73" spans="2:3" ht="15.75" customHeight="1" x14ac:dyDescent="0.2">
      <c r="B73" s="33"/>
      <c r="C73" s="522"/>
    </row>
    <row r="74" spans="2:3" ht="15.75" customHeight="1" x14ac:dyDescent="0.2">
      <c r="B74" s="33"/>
      <c r="C74" s="522"/>
    </row>
    <row r="75" spans="2:3" ht="15.75" customHeight="1" x14ac:dyDescent="0.2">
      <c r="B75" s="33"/>
      <c r="C75" s="522"/>
    </row>
    <row r="76" spans="2:3" ht="15.75" customHeight="1" x14ac:dyDescent="0.2">
      <c r="B76" s="33"/>
      <c r="C76" s="522"/>
    </row>
    <row r="77" spans="2:3" ht="15.75" customHeight="1" x14ac:dyDescent="0.2">
      <c r="B77" s="33"/>
      <c r="C77" s="522"/>
    </row>
    <row r="78" spans="2:3" ht="15.75" customHeight="1" x14ac:dyDescent="0.2">
      <c r="B78" s="33"/>
      <c r="C78" s="522"/>
    </row>
    <row r="79" spans="2:3" ht="15.75" customHeight="1" x14ac:dyDescent="0.2">
      <c r="B79" s="33"/>
      <c r="C79" s="522"/>
    </row>
    <row r="80" spans="2:3" ht="15.75" customHeight="1" x14ac:dyDescent="0.2">
      <c r="B80" s="33"/>
      <c r="C80" s="522"/>
    </row>
    <row r="81" spans="2:3" ht="15.75" customHeight="1" x14ac:dyDescent="0.2">
      <c r="B81" s="33"/>
      <c r="C81" s="522"/>
    </row>
    <row r="82" spans="2:3" ht="15.75" customHeight="1" x14ac:dyDescent="0.2">
      <c r="B82" s="33"/>
      <c r="C82" s="522"/>
    </row>
    <row r="83" spans="2:3" ht="15.75" customHeight="1" x14ac:dyDescent="0.2">
      <c r="B83" s="33"/>
      <c r="C83" s="522"/>
    </row>
    <row r="84" spans="2:3" ht="15.75" customHeight="1" x14ac:dyDescent="0.2">
      <c r="B84" s="33"/>
      <c r="C84" s="522"/>
    </row>
    <row r="85" spans="2:3" ht="15.75" customHeight="1" x14ac:dyDescent="0.2">
      <c r="B85" s="33"/>
      <c r="C85" s="522"/>
    </row>
    <row r="86" spans="2:3" ht="15.75" customHeight="1" x14ac:dyDescent="0.2">
      <c r="B86" s="33"/>
      <c r="C86" s="522"/>
    </row>
    <row r="87" spans="2:3" ht="15.75" customHeight="1" x14ac:dyDescent="0.2">
      <c r="B87" s="33"/>
      <c r="C87" s="522"/>
    </row>
    <row r="88" spans="2:3" ht="15.75" customHeight="1" x14ac:dyDescent="0.2">
      <c r="B88" s="33"/>
      <c r="C88" s="522"/>
    </row>
    <row r="89" spans="2:3" ht="15.75" customHeight="1" x14ac:dyDescent="0.2">
      <c r="B89" s="33"/>
      <c r="C89" s="522"/>
    </row>
    <row r="90" spans="2:3" ht="15.75" customHeight="1" x14ac:dyDescent="0.2">
      <c r="B90" s="33"/>
      <c r="C90" s="522"/>
    </row>
    <row r="91" spans="2:3" ht="15.75" customHeight="1" x14ac:dyDescent="0.2">
      <c r="B91" s="33"/>
      <c r="C91" s="522"/>
    </row>
    <row r="92" spans="2:3" ht="15.75" customHeight="1" x14ac:dyDescent="0.2">
      <c r="B92" s="33"/>
      <c r="C92" s="522"/>
    </row>
    <row r="93" spans="2:3" ht="15.75" customHeight="1" x14ac:dyDescent="0.2">
      <c r="B93" s="33"/>
      <c r="C93" s="522"/>
    </row>
    <row r="94" spans="2:3" ht="15.75" customHeight="1" x14ac:dyDescent="0.2">
      <c r="B94" s="33"/>
      <c r="C94" s="522"/>
    </row>
    <row r="95" spans="2:3" ht="15.75" customHeight="1" x14ac:dyDescent="0.2">
      <c r="B95" s="33"/>
      <c r="C95" s="522"/>
    </row>
    <row r="96" spans="2:3" ht="15.75" customHeight="1" x14ac:dyDescent="0.2">
      <c r="B96" s="33"/>
      <c r="C96" s="522"/>
    </row>
    <row r="97" spans="2:3" ht="15.75" customHeight="1" x14ac:dyDescent="0.2">
      <c r="B97" s="33"/>
      <c r="C97" s="522"/>
    </row>
    <row r="98" spans="2:3" ht="15.75" customHeight="1" x14ac:dyDescent="0.2">
      <c r="B98" s="33"/>
      <c r="C98" s="522"/>
    </row>
    <row r="99" spans="2:3" ht="15.75" customHeight="1" x14ac:dyDescent="0.2">
      <c r="B99" s="33"/>
      <c r="C99" s="522"/>
    </row>
    <row r="100" spans="2:3" ht="15.75" customHeight="1" x14ac:dyDescent="0.2">
      <c r="B100" s="33"/>
      <c r="C100" s="522"/>
    </row>
    <row r="101" spans="2:3" ht="15.75" customHeight="1" x14ac:dyDescent="0.2">
      <c r="B101" s="33"/>
      <c r="C101" s="522"/>
    </row>
    <row r="102" spans="2:3" ht="15.75" customHeight="1" x14ac:dyDescent="0.2">
      <c r="B102" s="33"/>
      <c r="C102" s="522"/>
    </row>
    <row r="103" spans="2:3" ht="15.75" customHeight="1" x14ac:dyDescent="0.2">
      <c r="B103" s="33"/>
      <c r="C103" s="522"/>
    </row>
    <row r="104" spans="2:3" ht="15.75" customHeight="1" x14ac:dyDescent="0.2">
      <c r="B104" s="33"/>
      <c r="C104" s="522"/>
    </row>
    <row r="105" spans="2:3" ht="15.75" customHeight="1" x14ac:dyDescent="0.2">
      <c r="B105" s="33"/>
      <c r="C105" s="522"/>
    </row>
    <row r="106" spans="2:3" ht="15.75" customHeight="1" x14ac:dyDescent="0.2">
      <c r="B106" s="33"/>
      <c r="C106" s="522"/>
    </row>
    <row r="107" spans="2:3" ht="15.75" customHeight="1" x14ac:dyDescent="0.2">
      <c r="B107" s="33"/>
      <c r="C107" s="522"/>
    </row>
    <row r="108" spans="2:3" ht="15.75" customHeight="1" x14ac:dyDescent="0.2">
      <c r="B108" s="33"/>
      <c r="C108" s="522"/>
    </row>
    <row r="109" spans="2:3" ht="15.75" customHeight="1" x14ac:dyDescent="0.2">
      <c r="B109" s="33"/>
      <c r="C109" s="522"/>
    </row>
    <row r="110" spans="2:3" ht="15.75" customHeight="1" x14ac:dyDescent="0.2">
      <c r="B110" s="33"/>
      <c r="C110" s="522"/>
    </row>
    <row r="111" spans="2:3" ht="15.75" customHeight="1" x14ac:dyDescent="0.2">
      <c r="B111" s="33"/>
      <c r="C111" s="522"/>
    </row>
    <row r="112" spans="2:3" ht="15.75" customHeight="1" x14ac:dyDescent="0.2">
      <c r="B112" s="33"/>
      <c r="C112" s="522"/>
    </row>
    <row r="113" spans="2:3" ht="15.75" customHeight="1" x14ac:dyDescent="0.2">
      <c r="B113" s="33"/>
      <c r="C113" s="522"/>
    </row>
    <row r="114" spans="2:3" ht="15.75" customHeight="1" x14ac:dyDescent="0.2">
      <c r="B114" s="33"/>
      <c r="C114" s="522"/>
    </row>
    <row r="115" spans="2:3" ht="15.75" customHeight="1" x14ac:dyDescent="0.2">
      <c r="B115" s="33"/>
      <c r="C115" s="522"/>
    </row>
    <row r="116" spans="2:3" ht="15.75" customHeight="1" x14ac:dyDescent="0.2">
      <c r="B116" s="33"/>
      <c r="C116" s="522"/>
    </row>
    <row r="117" spans="2:3" ht="15.75" customHeight="1" x14ac:dyDescent="0.2">
      <c r="B117" s="33"/>
      <c r="C117" s="522"/>
    </row>
    <row r="118" spans="2:3" ht="15.75" customHeight="1" x14ac:dyDescent="0.2">
      <c r="B118" s="33"/>
      <c r="C118" s="522"/>
    </row>
    <row r="119" spans="2:3" ht="15.75" customHeight="1" x14ac:dyDescent="0.2">
      <c r="B119" s="33"/>
      <c r="C119" s="522"/>
    </row>
    <row r="120" spans="2:3" ht="15.75" customHeight="1" x14ac:dyDescent="0.2">
      <c r="B120" s="33"/>
      <c r="C120" s="522"/>
    </row>
    <row r="121" spans="2:3" ht="15.75" customHeight="1" x14ac:dyDescent="0.2">
      <c r="B121" s="33"/>
      <c r="C121" s="522"/>
    </row>
    <row r="122" spans="2:3" ht="15.75" customHeight="1" x14ac:dyDescent="0.2">
      <c r="B122" s="33"/>
      <c r="C122" s="522"/>
    </row>
    <row r="123" spans="2:3" ht="15.75" customHeight="1" x14ac:dyDescent="0.2">
      <c r="B123" s="33"/>
      <c r="C123" s="522"/>
    </row>
    <row r="124" spans="2:3" ht="15.75" customHeight="1" x14ac:dyDescent="0.2">
      <c r="B124" s="33"/>
      <c r="C124" s="522"/>
    </row>
    <row r="125" spans="2:3" ht="15.75" customHeight="1" x14ac:dyDescent="0.2">
      <c r="B125" s="33"/>
      <c r="C125" s="522"/>
    </row>
    <row r="126" spans="2:3" ht="15.75" customHeight="1" x14ac:dyDescent="0.2">
      <c r="B126" s="33"/>
      <c r="C126" s="522"/>
    </row>
    <row r="127" spans="2:3" ht="15.75" customHeight="1" x14ac:dyDescent="0.2">
      <c r="B127" s="33"/>
      <c r="C127" s="522"/>
    </row>
    <row r="128" spans="2:3" ht="15.75" customHeight="1" x14ac:dyDescent="0.2">
      <c r="B128" s="33"/>
      <c r="C128" s="522"/>
    </row>
    <row r="129" spans="2:3" ht="15.75" customHeight="1" x14ac:dyDescent="0.2">
      <c r="B129" s="33"/>
      <c r="C129" s="522"/>
    </row>
    <row r="130" spans="2:3" ht="15.75" customHeight="1" x14ac:dyDescent="0.2">
      <c r="B130" s="33"/>
      <c r="C130" s="522"/>
    </row>
    <row r="131" spans="2:3" ht="15.75" customHeight="1" x14ac:dyDescent="0.2">
      <c r="B131" s="33"/>
      <c r="C131" s="522"/>
    </row>
    <row r="132" spans="2:3" ht="15.75" customHeight="1" x14ac:dyDescent="0.2">
      <c r="B132" s="33"/>
      <c r="C132" s="522"/>
    </row>
    <row r="133" spans="2:3" ht="15.75" customHeight="1" x14ac:dyDescent="0.2">
      <c r="B133" s="33"/>
      <c r="C133" s="522"/>
    </row>
    <row r="134" spans="2:3" ht="15.75" customHeight="1" x14ac:dyDescent="0.2">
      <c r="B134" s="33"/>
      <c r="C134" s="522"/>
    </row>
    <row r="135" spans="2:3" ht="15.75" customHeight="1" x14ac:dyDescent="0.2">
      <c r="B135" s="33"/>
      <c r="C135" s="522"/>
    </row>
    <row r="136" spans="2:3" ht="15.75" customHeight="1" x14ac:dyDescent="0.2">
      <c r="B136" s="33"/>
      <c r="C136" s="522"/>
    </row>
    <row r="137" spans="2:3" ht="15.75" customHeight="1" x14ac:dyDescent="0.2">
      <c r="B137" s="33"/>
      <c r="C137" s="522"/>
    </row>
    <row r="138" spans="2:3" ht="15.75" customHeight="1" x14ac:dyDescent="0.2">
      <c r="B138" s="33"/>
      <c r="C138" s="522"/>
    </row>
    <row r="139" spans="2:3" ht="15.75" customHeight="1" x14ac:dyDescent="0.2">
      <c r="B139" s="33"/>
      <c r="C139" s="522"/>
    </row>
    <row r="140" spans="2:3" ht="15.75" customHeight="1" x14ac:dyDescent="0.2">
      <c r="B140" s="33"/>
      <c r="C140" s="522"/>
    </row>
    <row r="141" spans="2:3" ht="15.75" customHeight="1" x14ac:dyDescent="0.2">
      <c r="B141" s="33"/>
      <c r="C141" s="522"/>
    </row>
    <row r="142" spans="2:3" ht="15.75" customHeight="1" x14ac:dyDescent="0.2">
      <c r="B142" s="33"/>
      <c r="C142" s="522"/>
    </row>
    <row r="143" spans="2:3" ht="15.75" customHeight="1" x14ac:dyDescent="0.2">
      <c r="B143" s="33"/>
      <c r="C143" s="522"/>
    </row>
    <row r="144" spans="2:3" ht="15.75" customHeight="1" x14ac:dyDescent="0.2">
      <c r="B144" s="33"/>
      <c r="C144" s="522"/>
    </row>
    <row r="145" spans="2:3" ht="15.75" customHeight="1" x14ac:dyDescent="0.2">
      <c r="B145" s="33"/>
      <c r="C145" s="522"/>
    </row>
    <row r="146" spans="2:3" ht="15.75" customHeight="1" x14ac:dyDescent="0.2">
      <c r="B146" s="33"/>
      <c r="C146" s="522"/>
    </row>
    <row r="147" spans="2:3" ht="15.75" customHeight="1" x14ac:dyDescent="0.2">
      <c r="B147" s="33"/>
      <c r="C147" s="522"/>
    </row>
    <row r="148" spans="2:3" ht="15.75" customHeight="1" x14ac:dyDescent="0.2">
      <c r="B148" s="33"/>
      <c r="C148" s="522"/>
    </row>
    <row r="149" spans="2:3" ht="15.75" customHeight="1" x14ac:dyDescent="0.2">
      <c r="B149" s="33"/>
      <c r="C149" s="522"/>
    </row>
    <row r="150" spans="2:3" ht="15.75" customHeight="1" x14ac:dyDescent="0.2">
      <c r="B150" s="33"/>
      <c r="C150" s="522"/>
    </row>
    <row r="151" spans="2:3" ht="15.75" customHeight="1" x14ac:dyDescent="0.2">
      <c r="B151" s="33"/>
      <c r="C151" s="522"/>
    </row>
    <row r="152" spans="2:3" ht="15.75" customHeight="1" x14ac:dyDescent="0.2">
      <c r="B152" s="33"/>
      <c r="C152" s="522"/>
    </row>
    <row r="153" spans="2:3" ht="15.75" customHeight="1" x14ac:dyDescent="0.2">
      <c r="B153" s="33"/>
      <c r="C153" s="522"/>
    </row>
    <row r="154" spans="2:3" ht="15.75" customHeight="1" x14ac:dyDescent="0.2">
      <c r="B154" s="33"/>
      <c r="C154" s="522"/>
    </row>
    <row r="155" spans="2:3" ht="15.75" customHeight="1" x14ac:dyDescent="0.2">
      <c r="B155" s="33"/>
      <c r="C155" s="522"/>
    </row>
    <row r="156" spans="2:3" ht="15.75" customHeight="1" x14ac:dyDescent="0.2">
      <c r="B156" s="33"/>
      <c r="C156" s="522"/>
    </row>
    <row r="157" spans="2:3" ht="15.75" customHeight="1" x14ac:dyDescent="0.2">
      <c r="B157" s="33"/>
      <c r="C157" s="522"/>
    </row>
    <row r="158" spans="2:3" ht="15.75" customHeight="1" x14ac:dyDescent="0.2">
      <c r="B158" s="33"/>
      <c r="C158" s="522"/>
    </row>
    <row r="159" spans="2:3" ht="15.75" customHeight="1" x14ac:dyDescent="0.2">
      <c r="B159" s="33"/>
      <c r="C159" s="522"/>
    </row>
    <row r="160" spans="2:3" ht="15.75" customHeight="1" x14ac:dyDescent="0.2">
      <c r="B160" s="33"/>
      <c r="C160" s="522"/>
    </row>
    <row r="161" spans="2:3" ht="15.75" customHeight="1" x14ac:dyDescent="0.2">
      <c r="B161" s="33"/>
      <c r="C161" s="522"/>
    </row>
    <row r="162" spans="2:3" ht="15.75" customHeight="1" x14ac:dyDescent="0.2">
      <c r="B162" s="33"/>
      <c r="C162" s="522"/>
    </row>
    <row r="163" spans="2:3" ht="15.75" customHeight="1" x14ac:dyDescent="0.2">
      <c r="B163" s="33"/>
      <c r="C163" s="522"/>
    </row>
    <row r="164" spans="2:3" ht="15.75" customHeight="1" x14ac:dyDescent="0.2">
      <c r="B164" s="33"/>
      <c r="C164" s="522"/>
    </row>
    <row r="165" spans="2:3" ht="15.75" customHeight="1" x14ac:dyDescent="0.2">
      <c r="B165" s="33"/>
      <c r="C165" s="522"/>
    </row>
    <row r="166" spans="2:3" ht="15.75" customHeight="1" x14ac:dyDescent="0.2">
      <c r="B166" s="33"/>
      <c r="C166" s="522"/>
    </row>
    <row r="167" spans="2:3" ht="15.75" customHeight="1" x14ac:dyDescent="0.2">
      <c r="B167" s="33"/>
      <c r="C167" s="522"/>
    </row>
    <row r="168" spans="2:3" ht="15.75" customHeight="1" x14ac:dyDescent="0.2">
      <c r="B168" s="33"/>
      <c r="C168" s="522"/>
    </row>
    <row r="169" spans="2:3" ht="15.75" customHeight="1" x14ac:dyDescent="0.2">
      <c r="B169" s="33"/>
      <c r="C169" s="522"/>
    </row>
    <row r="170" spans="2:3" ht="15.75" customHeight="1" x14ac:dyDescent="0.2">
      <c r="B170" s="33"/>
      <c r="C170" s="522"/>
    </row>
    <row r="171" spans="2:3" ht="15.75" customHeight="1" x14ac:dyDescent="0.2">
      <c r="B171" s="33"/>
      <c r="C171" s="522"/>
    </row>
    <row r="172" spans="2:3" ht="15.75" customHeight="1" x14ac:dyDescent="0.2">
      <c r="B172" s="33"/>
      <c r="C172" s="522"/>
    </row>
    <row r="173" spans="2:3" ht="15.75" customHeight="1" x14ac:dyDescent="0.2">
      <c r="B173" s="33"/>
      <c r="C173" s="522"/>
    </row>
    <row r="174" spans="2:3" ht="15.75" customHeight="1" x14ac:dyDescent="0.2">
      <c r="B174" s="33"/>
      <c r="C174" s="522"/>
    </row>
    <row r="175" spans="2:3" ht="15.75" customHeight="1" x14ac:dyDescent="0.2">
      <c r="B175" s="33"/>
      <c r="C175" s="522"/>
    </row>
    <row r="176" spans="2:3" ht="15.75" customHeight="1" x14ac:dyDescent="0.2">
      <c r="B176" s="33"/>
      <c r="C176" s="522"/>
    </row>
    <row r="177" spans="2:3" ht="15.75" customHeight="1" x14ac:dyDescent="0.2">
      <c r="B177" s="33"/>
      <c r="C177" s="522"/>
    </row>
    <row r="178" spans="2:3" ht="15.75" customHeight="1" x14ac:dyDescent="0.2">
      <c r="B178" s="33"/>
      <c r="C178" s="522"/>
    </row>
    <row r="179" spans="2:3" ht="15.75" customHeight="1" x14ac:dyDescent="0.2">
      <c r="B179" s="33"/>
      <c r="C179" s="522"/>
    </row>
    <row r="180" spans="2:3" ht="15.75" customHeight="1" x14ac:dyDescent="0.2">
      <c r="B180" s="33"/>
      <c r="C180" s="522"/>
    </row>
    <row r="181" spans="2:3" ht="15.75" customHeight="1" x14ac:dyDescent="0.2">
      <c r="B181" s="33"/>
      <c r="C181" s="522"/>
    </row>
    <row r="182" spans="2:3" ht="15.75" customHeight="1" x14ac:dyDescent="0.2">
      <c r="B182" s="33"/>
      <c r="C182" s="522"/>
    </row>
    <row r="183" spans="2:3" ht="15.75" customHeight="1" x14ac:dyDescent="0.2">
      <c r="B183" s="33"/>
      <c r="C183" s="522"/>
    </row>
    <row r="184" spans="2:3" ht="15.75" customHeight="1" x14ac:dyDescent="0.2">
      <c r="B184" s="33"/>
      <c r="C184" s="522"/>
    </row>
    <row r="185" spans="2:3" ht="15.75" customHeight="1" x14ac:dyDescent="0.2">
      <c r="B185" s="33"/>
      <c r="C185" s="522"/>
    </row>
    <row r="186" spans="2:3" ht="15.75" customHeight="1" x14ac:dyDescent="0.2">
      <c r="B186" s="33"/>
      <c r="C186" s="522"/>
    </row>
    <row r="187" spans="2:3" ht="15.75" customHeight="1" x14ac:dyDescent="0.2">
      <c r="B187" s="33"/>
      <c r="C187" s="522"/>
    </row>
    <row r="188" spans="2:3" ht="15.75" customHeight="1" x14ac:dyDescent="0.2">
      <c r="B188" s="33"/>
      <c r="C188" s="522"/>
    </row>
    <row r="189" spans="2:3" ht="15.75" customHeight="1" x14ac:dyDescent="0.2">
      <c r="B189" s="33"/>
      <c r="C189" s="522"/>
    </row>
    <row r="190" spans="2:3" ht="15.75" customHeight="1" x14ac:dyDescent="0.2">
      <c r="B190" s="33"/>
      <c r="C190" s="522"/>
    </row>
    <row r="191" spans="2:3" ht="15.75" customHeight="1" x14ac:dyDescent="0.2">
      <c r="B191" s="33"/>
      <c r="C191" s="522"/>
    </row>
    <row r="192" spans="2:3" ht="15.75" customHeight="1" x14ac:dyDescent="0.2">
      <c r="B192" s="33"/>
      <c r="C192" s="522"/>
    </row>
    <row r="193" spans="2:3" ht="15.75" customHeight="1" x14ac:dyDescent="0.2">
      <c r="B193" s="33"/>
      <c r="C193" s="522"/>
    </row>
    <row r="194" spans="2:3" ht="15.75" customHeight="1" x14ac:dyDescent="0.2">
      <c r="B194" s="33"/>
      <c r="C194" s="522"/>
    </row>
    <row r="195" spans="2:3" ht="15.75" customHeight="1" x14ac:dyDescent="0.2">
      <c r="B195" s="33"/>
      <c r="C195" s="522"/>
    </row>
    <row r="196" spans="2:3" ht="15.75" customHeight="1" x14ac:dyDescent="0.2">
      <c r="B196" s="33"/>
      <c r="C196" s="522"/>
    </row>
    <row r="197" spans="2:3" ht="15.75" customHeight="1" x14ac:dyDescent="0.2">
      <c r="B197" s="33"/>
      <c r="C197" s="522"/>
    </row>
    <row r="198" spans="2:3" ht="15.75" customHeight="1" x14ac:dyDescent="0.2">
      <c r="B198" s="33"/>
      <c r="C198" s="522"/>
    </row>
    <row r="199" spans="2:3" ht="15.75" customHeight="1" x14ac:dyDescent="0.2">
      <c r="B199" s="33"/>
      <c r="C199" s="522"/>
    </row>
    <row r="200" spans="2:3" ht="15.75" customHeight="1" x14ac:dyDescent="0.2">
      <c r="B200" s="33"/>
      <c r="C200" s="522"/>
    </row>
    <row r="201" spans="2:3" ht="15.75" customHeight="1" x14ac:dyDescent="0.2">
      <c r="B201" s="33"/>
      <c r="C201" s="522"/>
    </row>
    <row r="202" spans="2:3" ht="15.75" customHeight="1" x14ac:dyDescent="0.2">
      <c r="B202" s="33"/>
      <c r="C202" s="522"/>
    </row>
    <row r="203" spans="2:3" ht="15.75" customHeight="1" x14ac:dyDescent="0.2">
      <c r="B203" s="33"/>
      <c r="C203" s="522"/>
    </row>
    <row r="204" spans="2:3" ht="15.75" customHeight="1" x14ac:dyDescent="0.2">
      <c r="B204" s="33"/>
      <c r="C204" s="522"/>
    </row>
    <row r="205" spans="2:3" ht="15.75" customHeight="1" x14ac:dyDescent="0.2">
      <c r="B205" s="33"/>
      <c r="C205" s="522"/>
    </row>
    <row r="206" spans="2:3" ht="15.75" customHeight="1" x14ac:dyDescent="0.2">
      <c r="B206" s="33"/>
      <c r="C206" s="522"/>
    </row>
    <row r="207" spans="2:3" ht="15.75" customHeight="1" x14ac:dyDescent="0.2">
      <c r="B207" s="33"/>
      <c r="C207" s="522"/>
    </row>
    <row r="208" spans="2:3" ht="15.75" customHeight="1" x14ac:dyDescent="0.2">
      <c r="B208" s="33"/>
      <c r="C208" s="522"/>
    </row>
    <row r="209" spans="2:3" ht="15.75" customHeight="1" x14ac:dyDescent="0.2">
      <c r="B209" s="33"/>
      <c r="C209" s="522"/>
    </row>
    <row r="210" spans="2:3" ht="15.75" customHeight="1" x14ac:dyDescent="0.2">
      <c r="B210" s="33"/>
      <c r="C210" s="522"/>
    </row>
    <row r="211" spans="2:3" ht="15.75" customHeight="1" x14ac:dyDescent="0.2">
      <c r="B211" s="33"/>
      <c r="C211" s="522"/>
    </row>
    <row r="212" spans="2:3" ht="15.75" customHeight="1" x14ac:dyDescent="0.2">
      <c r="B212" s="33"/>
      <c r="C212" s="522"/>
    </row>
    <row r="213" spans="2:3" ht="15.75" customHeight="1" x14ac:dyDescent="0.2">
      <c r="B213" s="33"/>
      <c r="C213" s="522"/>
    </row>
    <row r="214" spans="2:3" ht="15.75" customHeight="1" x14ac:dyDescent="0.2">
      <c r="B214" s="33"/>
      <c r="C214" s="522"/>
    </row>
    <row r="215" spans="2:3" ht="15.75" customHeight="1" x14ac:dyDescent="0.2">
      <c r="B215" s="33"/>
      <c r="C215" s="522"/>
    </row>
    <row r="216" spans="2:3" ht="15.75" customHeight="1" x14ac:dyDescent="0.2">
      <c r="B216" s="33"/>
      <c r="C216" s="522"/>
    </row>
    <row r="217" spans="2:3" ht="15.75" customHeight="1" x14ac:dyDescent="0.2">
      <c r="B217" s="33"/>
      <c r="C217" s="522"/>
    </row>
    <row r="218" spans="2:3" ht="15.75" customHeight="1" x14ac:dyDescent="0.2">
      <c r="B218" s="33"/>
      <c r="C218" s="522"/>
    </row>
    <row r="219" spans="2:3" ht="15.75" customHeight="1" x14ac:dyDescent="0.2">
      <c r="B219" s="33"/>
      <c r="C219" s="522"/>
    </row>
    <row r="220" spans="2:3" ht="15.75" customHeight="1" x14ac:dyDescent="0.2">
      <c r="B220" s="33"/>
      <c r="C220" s="522"/>
    </row>
    <row r="221" spans="2:3" ht="15.75" customHeight="1" x14ac:dyDescent="0.2">
      <c r="B221" s="33"/>
      <c r="C221" s="522"/>
    </row>
    <row r="222" spans="2:3" ht="15.75" customHeight="1" x14ac:dyDescent="0.2">
      <c r="B222" s="33"/>
      <c r="C222" s="522"/>
    </row>
    <row r="223" spans="2:3" ht="15.75" customHeight="1" x14ac:dyDescent="0.2">
      <c r="B223" s="33"/>
      <c r="C223" s="522"/>
    </row>
    <row r="224" spans="2:3" ht="15.75" customHeight="1" x14ac:dyDescent="0.2">
      <c r="B224" s="33"/>
      <c r="C224" s="522"/>
    </row>
    <row r="225" spans="2:3" ht="15.75" customHeight="1" x14ac:dyDescent="0.2">
      <c r="B225" s="33"/>
      <c r="C225" s="522"/>
    </row>
    <row r="226" spans="2:3" ht="15.75" customHeight="1" x14ac:dyDescent="0.2">
      <c r="B226" s="33"/>
      <c r="C226" s="522"/>
    </row>
    <row r="227" spans="2:3" ht="15.75" customHeight="1" x14ac:dyDescent="0.2">
      <c r="B227" s="33"/>
      <c r="C227" s="522"/>
    </row>
    <row r="228" spans="2:3" ht="15.75" customHeight="1" x14ac:dyDescent="0.2">
      <c r="B228" s="33"/>
      <c r="C228" s="522"/>
    </row>
    <row r="229" spans="2:3" ht="15.75" customHeight="1" x14ac:dyDescent="0.2">
      <c r="B229" s="33"/>
      <c r="C229" s="522"/>
    </row>
    <row r="230" spans="2:3" ht="15.75" customHeight="1" x14ac:dyDescent="0.2">
      <c r="B230" s="33"/>
      <c r="C230" s="522"/>
    </row>
    <row r="231" spans="2:3" ht="15.75" customHeight="1" x14ac:dyDescent="0.2">
      <c r="B231" s="33"/>
      <c r="C231" s="522"/>
    </row>
    <row r="232" spans="2:3" ht="15.75" customHeight="1" x14ac:dyDescent="0.2">
      <c r="B232" s="33"/>
      <c r="C232" s="522"/>
    </row>
    <row r="233" spans="2:3" ht="15.75" customHeight="1" x14ac:dyDescent="0.2">
      <c r="B233" s="33"/>
      <c r="C233" s="522"/>
    </row>
    <row r="234" spans="2:3" ht="15.75" customHeight="1" x14ac:dyDescent="0.2">
      <c r="B234" s="33"/>
      <c r="C234" s="522"/>
    </row>
    <row r="235" spans="2:3" ht="15.75" customHeight="1" x14ac:dyDescent="0.2">
      <c r="B235" s="33"/>
      <c r="C235" s="522"/>
    </row>
    <row r="236" spans="2:3" ht="15.75" customHeight="1" x14ac:dyDescent="0.2">
      <c r="B236" s="33"/>
      <c r="C236" s="522"/>
    </row>
    <row r="237" spans="2:3" ht="15.75" customHeight="1" x14ac:dyDescent="0.2">
      <c r="B237" s="33"/>
      <c r="C237" s="522"/>
    </row>
    <row r="238" spans="2:3" ht="15.75" customHeight="1" x14ac:dyDescent="0.2">
      <c r="B238" s="33"/>
      <c r="C238" s="522"/>
    </row>
    <row r="239" spans="2:3" ht="15.75" customHeight="1" x14ac:dyDescent="0.2">
      <c r="B239" s="33"/>
      <c r="C239" s="522"/>
    </row>
    <row r="240" spans="2:3" ht="15.75" customHeight="1" x14ac:dyDescent="0.2">
      <c r="B240" s="33"/>
      <c r="C240" s="522"/>
    </row>
    <row r="241" spans="2:3" ht="15.75" customHeight="1" x14ac:dyDescent="0.2">
      <c r="B241" s="33"/>
      <c r="C241" s="522"/>
    </row>
    <row r="242" spans="2:3" ht="15.75" customHeight="1" x14ac:dyDescent="0.2">
      <c r="B242" s="33"/>
      <c r="C242" s="522"/>
    </row>
    <row r="243" spans="2:3" ht="15.75" customHeight="1" x14ac:dyDescent="0.2">
      <c r="B243" s="33"/>
      <c r="C243" s="522"/>
    </row>
    <row r="244" spans="2:3" ht="15.75" customHeight="1" x14ac:dyDescent="0.2">
      <c r="B244" s="33"/>
      <c r="C244" s="522"/>
    </row>
    <row r="245" spans="2:3" ht="15.75" customHeight="1" x14ac:dyDescent="0.2">
      <c r="B245" s="33"/>
      <c r="C245" s="522"/>
    </row>
    <row r="246" spans="2:3" ht="15.75" customHeight="1" x14ac:dyDescent="0.2">
      <c r="B246" s="33"/>
      <c r="C246" s="522"/>
    </row>
    <row r="247" spans="2:3" ht="15.75" customHeight="1" x14ac:dyDescent="0.2">
      <c r="B247" s="33"/>
      <c r="C247" s="522"/>
    </row>
    <row r="248" spans="2:3" ht="15.75" customHeight="1" x14ac:dyDescent="0.2">
      <c r="B248" s="33"/>
      <c r="C248" s="522"/>
    </row>
    <row r="249" spans="2:3" ht="15.75" customHeight="1" x14ac:dyDescent="0.2">
      <c r="B249" s="33"/>
      <c r="C249" s="522"/>
    </row>
    <row r="250" spans="2:3" ht="15.75" customHeight="1" x14ac:dyDescent="0.2">
      <c r="B250" s="33"/>
      <c r="C250" s="522"/>
    </row>
    <row r="251" spans="2:3" ht="15.75" customHeight="1" x14ac:dyDescent="0.2">
      <c r="B251" s="33"/>
      <c r="C251" s="522"/>
    </row>
    <row r="252" spans="2:3" ht="15.75" customHeight="1" x14ac:dyDescent="0.2">
      <c r="B252" s="33"/>
      <c r="C252" s="522"/>
    </row>
    <row r="253" spans="2:3" ht="15.75" customHeight="1" x14ac:dyDescent="0.2">
      <c r="B253" s="33"/>
      <c r="C253" s="522"/>
    </row>
    <row r="254" spans="2:3" ht="15.75" customHeight="1" x14ac:dyDescent="0.2">
      <c r="B254" s="33"/>
      <c r="C254" s="522"/>
    </row>
    <row r="255" spans="2:3" ht="15.75" customHeight="1" x14ac:dyDescent="0.2">
      <c r="B255" s="33"/>
      <c r="C255" s="522"/>
    </row>
    <row r="256" spans="2:3" ht="15.75" customHeight="1" x14ac:dyDescent="0.2">
      <c r="B256" s="33"/>
      <c r="C256" s="522"/>
    </row>
    <row r="257" spans="2:3" ht="15.75" customHeight="1" x14ac:dyDescent="0.2">
      <c r="B257" s="33"/>
      <c r="C257" s="522"/>
    </row>
    <row r="258" spans="2:3" ht="15.75" customHeight="1" x14ac:dyDescent="0.2">
      <c r="B258" s="33"/>
      <c r="C258" s="522"/>
    </row>
    <row r="259" spans="2:3" ht="15.75" customHeight="1" x14ac:dyDescent="0.2">
      <c r="B259" s="33"/>
      <c r="C259" s="522"/>
    </row>
    <row r="260" spans="2:3" ht="15.75" customHeight="1" x14ac:dyDescent="0.2">
      <c r="B260" s="33"/>
      <c r="C260" s="522"/>
    </row>
    <row r="261" spans="2:3" ht="15.75" customHeight="1" x14ac:dyDescent="0.2">
      <c r="B261" s="33"/>
      <c r="C261" s="522"/>
    </row>
    <row r="262" spans="2:3" ht="15.75" customHeight="1" x14ac:dyDescent="0.2">
      <c r="B262" s="33"/>
      <c r="C262" s="522"/>
    </row>
    <row r="263" spans="2:3" ht="15.75" customHeight="1" x14ac:dyDescent="0.2">
      <c r="B263" s="33"/>
      <c r="C263" s="522"/>
    </row>
    <row r="264" spans="2:3" ht="15.75" customHeight="1" x14ac:dyDescent="0.2">
      <c r="B264" s="33"/>
      <c r="C264" s="522"/>
    </row>
    <row r="265" spans="2:3" ht="15.75" customHeight="1" x14ac:dyDescent="0.2">
      <c r="B265" s="33"/>
      <c r="C265" s="522"/>
    </row>
    <row r="266" spans="2:3" ht="15.75" customHeight="1" x14ac:dyDescent="0.2">
      <c r="B266" s="33"/>
      <c r="C266" s="522"/>
    </row>
    <row r="267" spans="2:3" ht="15.75" customHeight="1" x14ac:dyDescent="0.2">
      <c r="B267" s="33"/>
      <c r="C267" s="522"/>
    </row>
    <row r="268" spans="2:3" ht="15.75" customHeight="1" x14ac:dyDescent="0.2">
      <c r="B268" s="33"/>
      <c r="C268" s="522"/>
    </row>
    <row r="269" spans="2:3" ht="15.75" customHeight="1" x14ac:dyDescent="0.2">
      <c r="B269" s="33"/>
      <c r="C269" s="522"/>
    </row>
    <row r="270" spans="2:3" ht="15.75" customHeight="1" x14ac:dyDescent="0.2">
      <c r="B270" s="33"/>
      <c r="C270" s="522"/>
    </row>
    <row r="271" spans="2:3" ht="15.75" customHeight="1" x14ac:dyDescent="0.2">
      <c r="B271" s="33"/>
      <c r="C271" s="522"/>
    </row>
    <row r="272" spans="2:3" ht="15.75" customHeight="1" x14ac:dyDescent="0.2">
      <c r="B272" s="33"/>
      <c r="C272" s="522"/>
    </row>
    <row r="273" spans="2:3" ht="15.75" customHeight="1" x14ac:dyDescent="0.2">
      <c r="B273" s="33"/>
      <c r="C273" s="522"/>
    </row>
    <row r="274" spans="2:3" ht="15.75" customHeight="1" x14ac:dyDescent="0.2">
      <c r="B274" s="33"/>
      <c r="C274" s="522"/>
    </row>
    <row r="275" spans="2:3" ht="15.75" customHeight="1" x14ac:dyDescent="0.2">
      <c r="B275" s="33"/>
      <c r="C275" s="522"/>
    </row>
    <row r="276" spans="2:3" ht="15.75" customHeight="1" x14ac:dyDescent="0.2">
      <c r="B276" s="33"/>
      <c r="C276" s="522"/>
    </row>
    <row r="277" spans="2:3" ht="15.75" customHeight="1" x14ac:dyDescent="0.2">
      <c r="B277" s="33"/>
      <c r="C277" s="522"/>
    </row>
    <row r="278" spans="2:3" ht="15.75" customHeight="1" x14ac:dyDescent="0.2">
      <c r="B278" s="33"/>
      <c r="C278" s="522"/>
    </row>
    <row r="279" spans="2:3" ht="15.75" customHeight="1" x14ac:dyDescent="0.2">
      <c r="B279" s="33"/>
      <c r="C279" s="522"/>
    </row>
    <row r="280" spans="2:3" ht="15.75" customHeight="1" x14ac:dyDescent="0.2">
      <c r="B280" s="33"/>
      <c r="C280" s="522"/>
    </row>
    <row r="281" spans="2:3" ht="15.75" customHeight="1" x14ac:dyDescent="0.2">
      <c r="B281" s="33"/>
      <c r="C281" s="522"/>
    </row>
    <row r="282" spans="2:3" ht="15.75" customHeight="1" x14ac:dyDescent="0.2">
      <c r="B282" s="33"/>
      <c r="C282" s="522"/>
    </row>
    <row r="283" spans="2:3" ht="15.75" customHeight="1" x14ac:dyDescent="0.2">
      <c r="B283" s="33"/>
      <c r="C283" s="522"/>
    </row>
    <row r="284" spans="2:3" ht="15.75" customHeight="1" x14ac:dyDescent="0.2">
      <c r="B284" s="33"/>
      <c r="C284" s="522"/>
    </row>
    <row r="285" spans="2:3" ht="15.75" customHeight="1" x14ac:dyDescent="0.2">
      <c r="B285" s="33"/>
      <c r="C285" s="522"/>
    </row>
    <row r="286" spans="2:3" ht="15.75" customHeight="1" x14ac:dyDescent="0.2">
      <c r="B286" s="33"/>
      <c r="C286" s="522"/>
    </row>
    <row r="287" spans="2:3" ht="15.75" customHeight="1" x14ac:dyDescent="0.2">
      <c r="B287" s="33"/>
      <c r="C287" s="522"/>
    </row>
    <row r="288" spans="2:3" ht="15.75" customHeight="1" x14ac:dyDescent="0.2">
      <c r="B288" s="33"/>
      <c r="C288" s="522"/>
    </row>
    <row r="289" spans="2:3" ht="15.75" customHeight="1" x14ac:dyDescent="0.2">
      <c r="B289" s="33"/>
      <c r="C289" s="522"/>
    </row>
    <row r="290" spans="2:3" ht="15.75" customHeight="1" x14ac:dyDescent="0.2">
      <c r="B290" s="33"/>
      <c r="C290" s="522"/>
    </row>
    <row r="291" spans="2:3" ht="15.75" customHeight="1" x14ac:dyDescent="0.2">
      <c r="B291" s="33"/>
      <c r="C291" s="522"/>
    </row>
    <row r="292" spans="2:3" ht="15.75" customHeight="1" x14ac:dyDescent="0.2">
      <c r="B292" s="33"/>
      <c r="C292" s="522"/>
    </row>
    <row r="293" spans="2:3" ht="15.75" customHeight="1" x14ac:dyDescent="0.2">
      <c r="B293" s="33"/>
      <c r="C293" s="522"/>
    </row>
    <row r="294" spans="2:3" ht="15.75" customHeight="1" x14ac:dyDescent="0.2">
      <c r="B294" s="33"/>
      <c r="C294" s="522"/>
    </row>
    <row r="295" spans="2:3" ht="15.75" customHeight="1" x14ac:dyDescent="0.2">
      <c r="B295" s="33"/>
      <c r="C295" s="522"/>
    </row>
    <row r="296" spans="2:3" ht="15.75" customHeight="1" x14ac:dyDescent="0.2">
      <c r="B296" s="33"/>
      <c r="C296" s="522"/>
    </row>
    <row r="297" spans="2:3" ht="15.75" customHeight="1" x14ac:dyDescent="0.2">
      <c r="B297" s="33"/>
      <c r="C297" s="522"/>
    </row>
    <row r="298" spans="2:3" ht="15.75" customHeight="1" x14ac:dyDescent="0.2">
      <c r="B298" s="33"/>
      <c r="C298" s="522"/>
    </row>
    <row r="299" spans="2:3" ht="15.75" customHeight="1" x14ac:dyDescent="0.2">
      <c r="B299" s="33"/>
      <c r="C299" s="522"/>
    </row>
    <row r="300" spans="2:3" ht="15.75" customHeight="1" x14ac:dyDescent="0.2">
      <c r="B300" s="33"/>
      <c r="C300" s="522"/>
    </row>
    <row r="301" spans="2:3" ht="15.75" customHeight="1" x14ac:dyDescent="0.2">
      <c r="B301" s="33"/>
      <c r="C301" s="522"/>
    </row>
    <row r="302" spans="2:3" ht="15.75" customHeight="1" x14ac:dyDescent="0.2">
      <c r="B302" s="33"/>
      <c r="C302" s="522"/>
    </row>
    <row r="303" spans="2:3" ht="15.75" customHeight="1" x14ac:dyDescent="0.2">
      <c r="B303" s="33"/>
      <c r="C303" s="522"/>
    </row>
    <row r="304" spans="2:3" ht="15.75" customHeight="1" x14ac:dyDescent="0.2">
      <c r="B304" s="33"/>
      <c r="C304" s="522"/>
    </row>
    <row r="305" spans="2:3" ht="15.75" customHeight="1" x14ac:dyDescent="0.2">
      <c r="B305" s="33"/>
      <c r="C305" s="522"/>
    </row>
    <row r="306" spans="2:3" ht="15.75" customHeight="1" x14ac:dyDescent="0.2">
      <c r="B306" s="33"/>
      <c r="C306" s="522"/>
    </row>
    <row r="307" spans="2:3" ht="15.75" customHeight="1" x14ac:dyDescent="0.2">
      <c r="B307" s="33"/>
      <c r="C307" s="522"/>
    </row>
    <row r="308" spans="2:3" ht="15.75" customHeight="1" x14ac:dyDescent="0.2">
      <c r="B308" s="33"/>
      <c r="C308" s="522"/>
    </row>
    <row r="309" spans="2:3" ht="15.75" customHeight="1" x14ac:dyDescent="0.2">
      <c r="B309" s="33"/>
      <c r="C309" s="522"/>
    </row>
    <row r="310" spans="2:3" ht="15.75" customHeight="1" x14ac:dyDescent="0.2">
      <c r="B310" s="33"/>
      <c r="C310" s="522"/>
    </row>
    <row r="311" spans="2:3" ht="15.75" customHeight="1" x14ac:dyDescent="0.2">
      <c r="B311" s="33"/>
      <c r="C311" s="522"/>
    </row>
    <row r="312" spans="2:3" ht="15.75" customHeight="1" x14ac:dyDescent="0.2">
      <c r="B312" s="33"/>
      <c r="C312" s="522"/>
    </row>
    <row r="313" spans="2:3" ht="15.75" customHeight="1" x14ac:dyDescent="0.2">
      <c r="B313" s="33"/>
      <c r="C313" s="522"/>
    </row>
    <row r="314" spans="2:3" ht="15.75" customHeight="1" x14ac:dyDescent="0.2">
      <c r="B314" s="33"/>
      <c r="C314" s="522"/>
    </row>
    <row r="315" spans="2:3" ht="15.75" customHeight="1" x14ac:dyDescent="0.2">
      <c r="B315" s="33"/>
      <c r="C315" s="522"/>
    </row>
    <row r="316" spans="2:3" ht="15.75" customHeight="1" x14ac:dyDescent="0.2">
      <c r="B316" s="33"/>
      <c r="C316" s="522"/>
    </row>
    <row r="317" spans="2:3" ht="15.75" customHeight="1" x14ac:dyDescent="0.2">
      <c r="B317" s="33"/>
      <c r="C317" s="522"/>
    </row>
    <row r="318" spans="2:3" ht="15.75" customHeight="1" x14ac:dyDescent="0.2">
      <c r="B318" s="33"/>
      <c r="C318" s="522"/>
    </row>
    <row r="319" spans="2:3" ht="15.75" customHeight="1" x14ac:dyDescent="0.2">
      <c r="B319" s="33"/>
      <c r="C319" s="522"/>
    </row>
    <row r="320" spans="2:3" ht="15.75" customHeight="1" x14ac:dyDescent="0.2">
      <c r="B320" s="33"/>
      <c r="C320" s="522"/>
    </row>
    <row r="321" spans="2:3" ht="15.75" customHeight="1" x14ac:dyDescent="0.2">
      <c r="B321" s="33"/>
      <c r="C321" s="522"/>
    </row>
    <row r="322" spans="2:3" ht="15.75" customHeight="1" x14ac:dyDescent="0.2">
      <c r="B322" s="33"/>
      <c r="C322" s="522"/>
    </row>
    <row r="323" spans="2:3" ht="15.75" customHeight="1" x14ac:dyDescent="0.2">
      <c r="B323" s="33"/>
      <c r="C323" s="522"/>
    </row>
    <row r="324" spans="2:3" ht="15.75" customHeight="1" x14ac:dyDescent="0.2">
      <c r="B324" s="33"/>
      <c r="C324" s="522"/>
    </row>
    <row r="325" spans="2:3" ht="15.75" customHeight="1" x14ac:dyDescent="0.2">
      <c r="B325" s="33"/>
      <c r="C325" s="522"/>
    </row>
    <row r="326" spans="2:3" ht="15.75" customHeight="1" x14ac:dyDescent="0.2">
      <c r="B326" s="33"/>
      <c r="C326" s="522"/>
    </row>
    <row r="327" spans="2:3" ht="15.75" customHeight="1" x14ac:dyDescent="0.2">
      <c r="B327" s="33"/>
      <c r="C327" s="522"/>
    </row>
    <row r="328" spans="2:3" ht="15.75" customHeight="1" x14ac:dyDescent="0.2">
      <c r="B328" s="33"/>
      <c r="C328" s="522"/>
    </row>
    <row r="329" spans="2:3" ht="15.75" customHeight="1" x14ac:dyDescent="0.2">
      <c r="B329" s="33"/>
      <c r="C329" s="522"/>
    </row>
    <row r="330" spans="2:3" ht="15.75" customHeight="1" x14ac:dyDescent="0.2">
      <c r="B330" s="33"/>
      <c r="C330" s="522"/>
    </row>
    <row r="331" spans="2:3" ht="15.75" customHeight="1" x14ac:dyDescent="0.2">
      <c r="B331" s="33"/>
      <c r="C331" s="522"/>
    </row>
    <row r="332" spans="2:3" ht="15.75" customHeight="1" x14ac:dyDescent="0.2">
      <c r="B332" s="33"/>
      <c r="C332" s="522"/>
    </row>
    <row r="333" spans="2:3" ht="15.75" customHeight="1" x14ac:dyDescent="0.2">
      <c r="B333" s="33"/>
      <c r="C333" s="522"/>
    </row>
    <row r="334" spans="2:3" ht="15.75" customHeight="1" x14ac:dyDescent="0.2">
      <c r="B334" s="33"/>
      <c r="C334" s="522"/>
    </row>
    <row r="335" spans="2:3" ht="15.75" customHeight="1" x14ac:dyDescent="0.2">
      <c r="B335" s="33"/>
      <c r="C335" s="522"/>
    </row>
    <row r="336" spans="2:3" ht="15.75" customHeight="1" x14ac:dyDescent="0.2">
      <c r="B336" s="33"/>
      <c r="C336" s="522"/>
    </row>
    <row r="337" spans="2:3" ht="15.75" customHeight="1" x14ac:dyDescent="0.2">
      <c r="B337" s="33"/>
      <c r="C337" s="522"/>
    </row>
    <row r="338" spans="2:3" ht="15.75" customHeight="1" x14ac:dyDescent="0.2">
      <c r="B338" s="33"/>
      <c r="C338" s="522"/>
    </row>
    <row r="339" spans="2:3" ht="15.75" customHeight="1" x14ac:dyDescent="0.2">
      <c r="B339" s="33"/>
      <c r="C339" s="522"/>
    </row>
    <row r="340" spans="2:3" ht="15.75" customHeight="1" x14ac:dyDescent="0.2">
      <c r="B340" s="33"/>
      <c r="C340" s="522"/>
    </row>
    <row r="341" spans="2:3" ht="15.75" customHeight="1" x14ac:dyDescent="0.2">
      <c r="B341" s="33"/>
      <c r="C341" s="522"/>
    </row>
    <row r="342" spans="2:3" ht="15.75" customHeight="1" x14ac:dyDescent="0.2">
      <c r="B342" s="33"/>
      <c r="C342" s="522"/>
    </row>
    <row r="343" spans="2:3" ht="15.75" customHeight="1" x14ac:dyDescent="0.2">
      <c r="B343" s="33"/>
      <c r="C343" s="522"/>
    </row>
    <row r="344" spans="2:3" ht="15.75" customHeight="1" x14ac:dyDescent="0.2">
      <c r="B344" s="33"/>
      <c r="C344" s="522"/>
    </row>
    <row r="345" spans="2:3" ht="15.75" customHeight="1" x14ac:dyDescent="0.2">
      <c r="B345" s="33"/>
      <c r="C345" s="522"/>
    </row>
    <row r="346" spans="2:3" ht="15.75" customHeight="1" x14ac:dyDescent="0.2">
      <c r="B346" s="33"/>
      <c r="C346" s="522"/>
    </row>
    <row r="347" spans="2:3" ht="15.75" customHeight="1" x14ac:dyDescent="0.2">
      <c r="B347" s="33"/>
      <c r="C347" s="522"/>
    </row>
    <row r="348" spans="2:3" ht="15.75" customHeight="1" x14ac:dyDescent="0.2">
      <c r="B348" s="33"/>
      <c r="C348" s="522"/>
    </row>
    <row r="349" spans="2:3" ht="15.75" customHeight="1" x14ac:dyDescent="0.2">
      <c r="B349" s="33"/>
      <c r="C349" s="522"/>
    </row>
    <row r="350" spans="2:3" ht="15.75" customHeight="1" x14ac:dyDescent="0.2">
      <c r="B350" s="33"/>
      <c r="C350" s="522"/>
    </row>
    <row r="351" spans="2:3" ht="15.75" customHeight="1" x14ac:dyDescent="0.2">
      <c r="B351" s="33"/>
      <c r="C351" s="522"/>
    </row>
    <row r="352" spans="2:3" ht="15.75" customHeight="1" x14ac:dyDescent="0.2">
      <c r="B352" s="33"/>
      <c r="C352" s="522"/>
    </row>
    <row r="353" spans="2:3" ht="15.75" customHeight="1" x14ac:dyDescent="0.2">
      <c r="B353" s="33"/>
      <c r="C353" s="522"/>
    </row>
    <row r="354" spans="2:3" ht="15.75" customHeight="1" x14ac:dyDescent="0.2">
      <c r="B354" s="33"/>
      <c r="C354" s="522"/>
    </row>
    <row r="355" spans="2:3" ht="15.75" customHeight="1" x14ac:dyDescent="0.2">
      <c r="B355" s="33"/>
      <c r="C355" s="522"/>
    </row>
    <row r="356" spans="2:3" ht="15.75" customHeight="1" x14ac:dyDescent="0.2">
      <c r="B356" s="33"/>
      <c r="C356" s="522"/>
    </row>
    <row r="357" spans="2:3" ht="15.75" customHeight="1" x14ac:dyDescent="0.2">
      <c r="B357" s="33"/>
      <c r="C357" s="522"/>
    </row>
    <row r="358" spans="2:3" ht="15.75" customHeight="1" x14ac:dyDescent="0.2">
      <c r="B358" s="33"/>
      <c r="C358" s="522"/>
    </row>
    <row r="359" spans="2:3" ht="15.75" customHeight="1" x14ac:dyDescent="0.2">
      <c r="B359" s="33"/>
      <c r="C359" s="522"/>
    </row>
    <row r="360" spans="2:3" ht="15.75" customHeight="1" x14ac:dyDescent="0.2">
      <c r="B360" s="33"/>
      <c r="C360" s="522"/>
    </row>
    <row r="361" spans="2:3" ht="15.75" customHeight="1" x14ac:dyDescent="0.2">
      <c r="B361" s="33"/>
      <c r="C361" s="522"/>
    </row>
    <row r="362" spans="2:3" ht="15.75" customHeight="1" x14ac:dyDescent="0.2">
      <c r="B362" s="33"/>
      <c r="C362" s="522"/>
    </row>
    <row r="363" spans="2:3" ht="15.75" customHeight="1" x14ac:dyDescent="0.2">
      <c r="B363" s="33"/>
      <c r="C363" s="522"/>
    </row>
    <row r="364" spans="2:3" ht="15.75" customHeight="1" x14ac:dyDescent="0.2">
      <c r="B364" s="33"/>
      <c r="C364" s="522"/>
    </row>
    <row r="365" spans="2:3" ht="15.75" customHeight="1" x14ac:dyDescent="0.2">
      <c r="B365" s="33"/>
      <c r="C365" s="522"/>
    </row>
    <row r="366" spans="2:3" ht="15.75" customHeight="1" x14ac:dyDescent="0.2">
      <c r="B366" s="33"/>
      <c r="C366" s="522"/>
    </row>
    <row r="367" spans="2:3" ht="15.75" customHeight="1" x14ac:dyDescent="0.2">
      <c r="B367" s="33"/>
      <c r="C367" s="522"/>
    </row>
    <row r="368" spans="2:3" ht="15.75" customHeight="1" x14ac:dyDescent="0.2">
      <c r="B368" s="33"/>
      <c r="C368" s="522"/>
    </row>
    <row r="369" spans="2:3" ht="15.75" customHeight="1" x14ac:dyDescent="0.2">
      <c r="B369" s="33"/>
      <c r="C369" s="522"/>
    </row>
    <row r="370" spans="2:3" ht="15.75" customHeight="1" x14ac:dyDescent="0.2">
      <c r="B370" s="33"/>
      <c r="C370" s="522"/>
    </row>
    <row r="371" spans="2:3" ht="15.75" customHeight="1" x14ac:dyDescent="0.2">
      <c r="B371" s="33"/>
      <c r="C371" s="522"/>
    </row>
    <row r="372" spans="2:3" ht="15.75" customHeight="1" x14ac:dyDescent="0.2">
      <c r="B372" s="33"/>
      <c r="C372" s="522"/>
    </row>
    <row r="373" spans="2:3" ht="15.75" customHeight="1" x14ac:dyDescent="0.2">
      <c r="B373" s="33"/>
      <c r="C373" s="522"/>
    </row>
    <row r="374" spans="2:3" ht="15.75" customHeight="1" x14ac:dyDescent="0.2">
      <c r="B374" s="33"/>
      <c r="C374" s="522"/>
    </row>
    <row r="375" spans="2:3" ht="15.75" customHeight="1" x14ac:dyDescent="0.2">
      <c r="B375" s="33"/>
      <c r="C375" s="522"/>
    </row>
    <row r="376" spans="2:3" ht="15.75" customHeight="1" x14ac:dyDescent="0.2">
      <c r="B376" s="33"/>
      <c r="C376" s="522"/>
    </row>
    <row r="377" spans="2:3" ht="15.75" customHeight="1" x14ac:dyDescent="0.2">
      <c r="B377" s="33"/>
      <c r="C377" s="522"/>
    </row>
    <row r="378" spans="2:3" ht="15.75" customHeight="1" x14ac:dyDescent="0.2">
      <c r="B378" s="33"/>
      <c r="C378" s="522"/>
    </row>
    <row r="379" spans="2:3" ht="15.75" customHeight="1" x14ac:dyDescent="0.2">
      <c r="B379" s="33"/>
      <c r="C379" s="522"/>
    </row>
    <row r="380" spans="2:3" ht="15.75" customHeight="1" x14ac:dyDescent="0.2">
      <c r="B380" s="33"/>
      <c r="C380" s="522"/>
    </row>
    <row r="381" spans="2:3" ht="15.75" customHeight="1" x14ac:dyDescent="0.2">
      <c r="B381" s="33"/>
      <c r="C381" s="522"/>
    </row>
    <row r="382" spans="2:3" ht="15.75" customHeight="1" x14ac:dyDescent="0.2">
      <c r="B382" s="33"/>
      <c r="C382" s="522"/>
    </row>
    <row r="383" spans="2:3" ht="15.75" customHeight="1" x14ac:dyDescent="0.2">
      <c r="B383" s="33"/>
      <c r="C383" s="522"/>
    </row>
    <row r="384" spans="2:3" ht="15.75" customHeight="1" x14ac:dyDescent="0.2">
      <c r="B384" s="33"/>
      <c r="C384" s="522"/>
    </row>
    <row r="385" spans="2:3" ht="15.75" customHeight="1" x14ac:dyDescent="0.2">
      <c r="B385" s="33"/>
      <c r="C385" s="522"/>
    </row>
    <row r="386" spans="2:3" ht="15.75" customHeight="1" x14ac:dyDescent="0.2">
      <c r="B386" s="33"/>
      <c r="C386" s="522"/>
    </row>
    <row r="387" spans="2:3" ht="15.75" customHeight="1" x14ac:dyDescent="0.2">
      <c r="B387" s="33"/>
      <c r="C387" s="522"/>
    </row>
    <row r="388" spans="2:3" ht="15.75" customHeight="1" x14ac:dyDescent="0.2">
      <c r="B388" s="33"/>
      <c r="C388" s="522"/>
    </row>
    <row r="389" spans="2:3" ht="15.75" customHeight="1" x14ac:dyDescent="0.2">
      <c r="B389" s="33"/>
      <c r="C389" s="522"/>
    </row>
    <row r="390" spans="2:3" ht="15.75" customHeight="1" x14ac:dyDescent="0.2">
      <c r="B390" s="33"/>
      <c r="C390" s="522"/>
    </row>
    <row r="391" spans="2:3" ht="15.75" customHeight="1" x14ac:dyDescent="0.2">
      <c r="B391" s="33"/>
      <c r="C391" s="522"/>
    </row>
    <row r="392" spans="2:3" ht="15.75" customHeight="1" x14ac:dyDescent="0.2">
      <c r="B392" s="33"/>
      <c r="C392" s="522"/>
    </row>
    <row r="393" spans="2:3" ht="15.75" customHeight="1" x14ac:dyDescent="0.2">
      <c r="B393" s="33"/>
      <c r="C393" s="522"/>
    </row>
    <row r="394" spans="2:3" ht="15.75" customHeight="1" x14ac:dyDescent="0.2">
      <c r="B394" s="33"/>
      <c r="C394" s="522"/>
    </row>
    <row r="395" spans="2:3" ht="15.75" customHeight="1" x14ac:dyDescent="0.2">
      <c r="B395" s="33"/>
      <c r="C395" s="522"/>
    </row>
    <row r="396" spans="2:3" ht="15.75" customHeight="1" x14ac:dyDescent="0.2">
      <c r="B396" s="33"/>
      <c r="C396" s="522"/>
    </row>
    <row r="397" spans="2:3" ht="15.75" customHeight="1" x14ac:dyDescent="0.2">
      <c r="B397" s="33"/>
      <c r="C397" s="522"/>
    </row>
    <row r="398" spans="2:3" ht="15.75" customHeight="1" x14ac:dyDescent="0.2">
      <c r="B398" s="33"/>
      <c r="C398" s="522"/>
    </row>
    <row r="399" spans="2:3" ht="15.75" customHeight="1" x14ac:dyDescent="0.2">
      <c r="B399" s="33"/>
      <c r="C399" s="522"/>
    </row>
    <row r="400" spans="2:3" ht="15.75" customHeight="1" x14ac:dyDescent="0.2">
      <c r="B400" s="33"/>
      <c r="C400" s="522"/>
    </row>
    <row r="401" spans="2:3" ht="15.75" customHeight="1" x14ac:dyDescent="0.2">
      <c r="B401" s="33"/>
      <c r="C401" s="522"/>
    </row>
    <row r="402" spans="2:3" ht="15.75" customHeight="1" x14ac:dyDescent="0.2">
      <c r="B402" s="33"/>
      <c r="C402" s="522"/>
    </row>
    <row r="403" spans="2:3" ht="15.75" customHeight="1" x14ac:dyDescent="0.2">
      <c r="B403" s="33"/>
      <c r="C403" s="522"/>
    </row>
    <row r="404" spans="2:3" ht="15.75" customHeight="1" x14ac:dyDescent="0.2">
      <c r="B404" s="33"/>
      <c r="C404" s="522"/>
    </row>
    <row r="405" spans="2:3" ht="15.75" customHeight="1" x14ac:dyDescent="0.2">
      <c r="B405" s="33"/>
      <c r="C405" s="522"/>
    </row>
    <row r="406" spans="2:3" ht="15.75" customHeight="1" x14ac:dyDescent="0.2">
      <c r="B406" s="33"/>
      <c r="C406" s="522"/>
    </row>
    <row r="407" spans="2:3" ht="15.75" customHeight="1" x14ac:dyDescent="0.2">
      <c r="B407" s="33"/>
      <c r="C407" s="522"/>
    </row>
    <row r="408" spans="2:3" ht="15.75" customHeight="1" x14ac:dyDescent="0.2">
      <c r="B408" s="33"/>
      <c r="C408" s="522"/>
    </row>
    <row r="409" spans="2:3" ht="15.75" customHeight="1" x14ac:dyDescent="0.2">
      <c r="B409" s="33"/>
      <c r="C409" s="522"/>
    </row>
    <row r="410" spans="2:3" ht="15.75" customHeight="1" x14ac:dyDescent="0.2">
      <c r="B410" s="33"/>
      <c r="C410" s="522"/>
    </row>
    <row r="411" spans="2:3" ht="15.75" customHeight="1" x14ac:dyDescent="0.2">
      <c r="B411" s="33"/>
      <c r="C411" s="522"/>
    </row>
    <row r="412" spans="2:3" ht="15.75" customHeight="1" x14ac:dyDescent="0.2">
      <c r="B412" s="33"/>
      <c r="C412" s="522"/>
    </row>
    <row r="413" spans="2:3" ht="15.75" customHeight="1" x14ac:dyDescent="0.2">
      <c r="B413" s="33"/>
      <c r="C413" s="522"/>
    </row>
    <row r="414" spans="2:3" ht="15.75" customHeight="1" x14ac:dyDescent="0.2">
      <c r="B414" s="33"/>
      <c r="C414" s="522"/>
    </row>
    <row r="415" spans="2:3" ht="15.75" customHeight="1" x14ac:dyDescent="0.2">
      <c r="B415" s="33"/>
      <c r="C415" s="522"/>
    </row>
    <row r="416" spans="2:3" ht="15.75" customHeight="1" x14ac:dyDescent="0.2">
      <c r="B416" s="33"/>
      <c r="C416" s="522"/>
    </row>
    <row r="417" spans="2:3" ht="15.75" customHeight="1" x14ac:dyDescent="0.2">
      <c r="B417" s="33"/>
      <c r="C417" s="522"/>
    </row>
    <row r="418" spans="2:3" ht="15.75" customHeight="1" x14ac:dyDescent="0.2">
      <c r="B418" s="33"/>
      <c r="C418" s="522"/>
    </row>
    <row r="419" spans="2:3" ht="15.75" customHeight="1" x14ac:dyDescent="0.2">
      <c r="B419" s="33"/>
      <c r="C419" s="522"/>
    </row>
    <row r="420" spans="2:3" ht="15.75" customHeight="1" x14ac:dyDescent="0.2">
      <c r="B420" s="33"/>
      <c r="C420" s="522"/>
    </row>
    <row r="421" spans="2:3" ht="15.75" customHeight="1" x14ac:dyDescent="0.2">
      <c r="B421" s="33"/>
      <c r="C421" s="522"/>
    </row>
    <row r="422" spans="2:3" ht="15.75" customHeight="1" x14ac:dyDescent="0.2">
      <c r="B422" s="33"/>
      <c r="C422" s="522"/>
    </row>
    <row r="423" spans="2:3" ht="15.75" customHeight="1" x14ac:dyDescent="0.2">
      <c r="B423" s="33"/>
      <c r="C423" s="522"/>
    </row>
    <row r="424" spans="2:3" ht="15.75" customHeight="1" x14ac:dyDescent="0.2">
      <c r="B424" s="33"/>
      <c r="C424" s="522"/>
    </row>
    <row r="425" spans="2:3" ht="15.75" customHeight="1" x14ac:dyDescent="0.2">
      <c r="B425" s="33"/>
      <c r="C425" s="522"/>
    </row>
    <row r="426" spans="2:3" ht="15.75" customHeight="1" x14ac:dyDescent="0.2">
      <c r="B426" s="33"/>
      <c r="C426" s="522"/>
    </row>
    <row r="427" spans="2:3" ht="15.75" customHeight="1" x14ac:dyDescent="0.2">
      <c r="B427" s="33"/>
      <c r="C427" s="522"/>
    </row>
    <row r="428" spans="2:3" ht="15.75" customHeight="1" x14ac:dyDescent="0.2">
      <c r="B428" s="33"/>
      <c r="C428" s="522"/>
    </row>
    <row r="429" spans="2:3" ht="15.75" customHeight="1" x14ac:dyDescent="0.2">
      <c r="B429" s="33"/>
      <c r="C429" s="522"/>
    </row>
    <row r="430" spans="2:3" ht="15.75" customHeight="1" x14ac:dyDescent="0.2">
      <c r="B430" s="33"/>
      <c r="C430" s="522"/>
    </row>
    <row r="431" spans="2:3" ht="15.75" customHeight="1" x14ac:dyDescent="0.2">
      <c r="B431" s="33"/>
      <c r="C431" s="522"/>
    </row>
    <row r="432" spans="2:3" ht="15.75" customHeight="1" x14ac:dyDescent="0.2">
      <c r="B432" s="33"/>
      <c r="C432" s="522"/>
    </row>
    <row r="433" spans="2:3" ht="15.75" customHeight="1" x14ac:dyDescent="0.2">
      <c r="B433" s="33"/>
      <c r="C433" s="522"/>
    </row>
    <row r="434" spans="2:3" ht="15.75" customHeight="1" x14ac:dyDescent="0.2">
      <c r="B434" s="33"/>
      <c r="C434" s="522"/>
    </row>
    <row r="435" spans="2:3" ht="15.75" customHeight="1" x14ac:dyDescent="0.2">
      <c r="B435" s="33"/>
      <c r="C435" s="522"/>
    </row>
    <row r="436" spans="2:3" ht="15.75" customHeight="1" x14ac:dyDescent="0.2">
      <c r="B436" s="33"/>
      <c r="C436" s="522"/>
    </row>
    <row r="437" spans="2:3" ht="15.75" customHeight="1" x14ac:dyDescent="0.2">
      <c r="B437" s="33"/>
      <c r="C437" s="522"/>
    </row>
    <row r="438" spans="2:3" ht="15.75" customHeight="1" x14ac:dyDescent="0.2">
      <c r="B438" s="33"/>
      <c r="C438" s="522"/>
    </row>
    <row r="439" spans="2:3" ht="15.75" customHeight="1" x14ac:dyDescent="0.2">
      <c r="B439" s="33"/>
      <c r="C439" s="522"/>
    </row>
    <row r="440" spans="2:3" ht="15.75" customHeight="1" x14ac:dyDescent="0.2">
      <c r="B440" s="33"/>
      <c r="C440" s="522"/>
    </row>
    <row r="441" spans="2:3" ht="15.75" customHeight="1" x14ac:dyDescent="0.2">
      <c r="B441" s="33"/>
      <c r="C441" s="522"/>
    </row>
    <row r="442" spans="2:3" ht="15.75" customHeight="1" x14ac:dyDescent="0.2">
      <c r="B442" s="33"/>
      <c r="C442" s="522"/>
    </row>
    <row r="443" spans="2:3" ht="15.75" customHeight="1" x14ac:dyDescent="0.2">
      <c r="B443" s="33"/>
      <c r="C443" s="522"/>
    </row>
    <row r="444" spans="2:3" ht="15.75" customHeight="1" x14ac:dyDescent="0.2">
      <c r="B444" s="33"/>
      <c r="C444" s="522"/>
    </row>
    <row r="445" spans="2:3" ht="15.75" customHeight="1" x14ac:dyDescent="0.2">
      <c r="B445" s="33"/>
      <c r="C445" s="522"/>
    </row>
    <row r="446" spans="2:3" ht="15.75" customHeight="1" x14ac:dyDescent="0.2">
      <c r="B446" s="33"/>
      <c r="C446" s="522"/>
    </row>
    <row r="447" spans="2:3" ht="15.75" customHeight="1" x14ac:dyDescent="0.2">
      <c r="B447" s="33"/>
      <c r="C447" s="522"/>
    </row>
    <row r="448" spans="2:3" ht="15.75" customHeight="1" x14ac:dyDescent="0.2">
      <c r="B448" s="33"/>
      <c r="C448" s="522"/>
    </row>
    <row r="449" spans="2:3" ht="15.75" customHeight="1" x14ac:dyDescent="0.2">
      <c r="B449" s="33"/>
      <c r="C449" s="522"/>
    </row>
    <row r="450" spans="2:3" ht="15.75" customHeight="1" x14ac:dyDescent="0.2">
      <c r="B450" s="33"/>
      <c r="C450" s="522"/>
    </row>
    <row r="451" spans="2:3" ht="15.75" customHeight="1" x14ac:dyDescent="0.2">
      <c r="B451" s="33"/>
      <c r="C451" s="522"/>
    </row>
    <row r="452" spans="2:3" ht="15.75" customHeight="1" x14ac:dyDescent="0.2">
      <c r="B452" s="33"/>
      <c r="C452" s="522"/>
    </row>
    <row r="453" spans="2:3" ht="15.75" customHeight="1" x14ac:dyDescent="0.2">
      <c r="B453" s="33"/>
      <c r="C453" s="522"/>
    </row>
    <row r="454" spans="2:3" ht="15.75" customHeight="1" x14ac:dyDescent="0.2">
      <c r="B454" s="33"/>
      <c r="C454" s="522"/>
    </row>
    <row r="455" spans="2:3" ht="15.75" customHeight="1" x14ac:dyDescent="0.2">
      <c r="B455" s="33"/>
      <c r="C455" s="522"/>
    </row>
    <row r="456" spans="2:3" ht="15.75" customHeight="1" x14ac:dyDescent="0.2">
      <c r="B456" s="33"/>
      <c r="C456" s="522"/>
    </row>
    <row r="457" spans="2:3" ht="15.75" customHeight="1" x14ac:dyDescent="0.2">
      <c r="B457" s="33"/>
      <c r="C457" s="522"/>
    </row>
    <row r="458" spans="2:3" ht="15.75" customHeight="1" x14ac:dyDescent="0.2">
      <c r="B458" s="33"/>
      <c r="C458" s="522"/>
    </row>
    <row r="459" spans="2:3" ht="15.75" customHeight="1" x14ac:dyDescent="0.2">
      <c r="B459" s="33"/>
      <c r="C459" s="522"/>
    </row>
    <row r="460" spans="2:3" ht="15.75" customHeight="1" x14ac:dyDescent="0.2">
      <c r="B460" s="33"/>
      <c r="C460" s="522"/>
    </row>
    <row r="461" spans="2:3" ht="15.75" customHeight="1" x14ac:dyDescent="0.2">
      <c r="B461" s="33"/>
      <c r="C461" s="522"/>
    </row>
    <row r="462" spans="2:3" ht="15.75" customHeight="1" x14ac:dyDescent="0.2">
      <c r="B462" s="33"/>
      <c r="C462" s="522"/>
    </row>
    <row r="463" spans="2:3" ht="15.75" customHeight="1" x14ac:dyDescent="0.2">
      <c r="B463" s="33"/>
      <c r="C463" s="522"/>
    </row>
    <row r="464" spans="2:3" ht="15.75" customHeight="1" x14ac:dyDescent="0.2">
      <c r="B464" s="33"/>
      <c r="C464" s="522"/>
    </row>
    <row r="465" spans="2:3" ht="15.75" customHeight="1" x14ac:dyDescent="0.2">
      <c r="B465" s="33"/>
      <c r="C465" s="522"/>
    </row>
    <row r="466" spans="2:3" ht="15.75" customHeight="1" x14ac:dyDescent="0.2">
      <c r="B466" s="33"/>
      <c r="C466" s="522"/>
    </row>
    <row r="467" spans="2:3" ht="15.75" customHeight="1" x14ac:dyDescent="0.2">
      <c r="B467" s="33"/>
      <c r="C467" s="522"/>
    </row>
    <row r="468" spans="2:3" ht="15.75" customHeight="1" x14ac:dyDescent="0.2">
      <c r="B468" s="33"/>
      <c r="C468" s="522"/>
    </row>
    <row r="469" spans="2:3" ht="15.75" customHeight="1" x14ac:dyDescent="0.2">
      <c r="B469" s="33"/>
      <c r="C469" s="522"/>
    </row>
    <row r="470" spans="2:3" ht="15.75" customHeight="1" x14ac:dyDescent="0.2">
      <c r="B470" s="33"/>
      <c r="C470" s="522"/>
    </row>
    <row r="471" spans="2:3" ht="15.75" customHeight="1" x14ac:dyDescent="0.2">
      <c r="B471" s="33"/>
      <c r="C471" s="522"/>
    </row>
    <row r="472" spans="2:3" ht="15.75" customHeight="1" x14ac:dyDescent="0.2">
      <c r="B472" s="33"/>
      <c r="C472" s="522"/>
    </row>
    <row r="473" spans="2:3" ht="15.75" customHeight="1" x14ac:dyDescent="0.2">
      <c r="B473" s="33"/>
      <c r="C473" s="522"/>
    </row>
    <row r="474" spans="2:3" ht="15.75" customHeight="1" x14ac:dyDescent="0.2">
      <c r="B474" s="33"/>
      <c r="C474" s="522"/>
    </row>
    <row r="475" spans="2:3" ht="15.75" customHeight="1" x14ac:dyDescent="0.2">
      <c r="B475" s="33"/>
      <c r="C475" s="522"/>
    </row>
    <row r="476" spans="2:3" ht="15.75" customHeight="1" x14ac:dyDescent="0.2">
      <c r="B476" s="33"/>
      <c r="C476" s="522"/>
    </row>
    <row r="477" spans="2:3" ht="15.75" customHeight="1" x14ac:dyDescent="0.2">
      <c r="B477" s="33"/>
      <c r="C477" s="522"/>
    </row>
    <row r="478" spans="2:3" ht="15.75" customHeight="1" x14ac:dyDescent="0.2">
      <c r="B478" s="33"/>
      <c r="C478" s="522"/>
    </row>
    <row r="479" spans="2:3" ht="15.75" customHeight="1" x14ac:dyDescent="0.2">
      <c r="B479" s="33"/>
      <c r="C479" s="522"/>
    </row>
    <row r="480" spans="2:3" ht="15.75" customHeight="1" x14ac:dyDescent="0.2">
      <c r="B480" s="33"/>
      <c r="C480" s="522"/>
    </row>
    <row r="481" spans="2:3" ht="15.75" customHeight="1" x14ac:dyDescent="0.2">
      <c r="B481" s="33"/>
      <c r="C481" s="522"/>
    </row>
    <row r="482" spans="2:3" ht="15.75" customHeight="1" x14ac:dyDescent="0.2">
      <c r="B482" s="33"/>
      <c r="C482" s="522"/>
    </row>
    <row r="483" spans="2:3" ht="15.75" customHeight="1" x14ac:dyDescent="0.2">
      <c r="B483" s="33"/>
      <c r="C483" s="522"/>
    </row>
    <row r="484" spans="2:3" ht="15.75" customHeight="1" x14ac:dyDescent="0.2">
      <c r="B484" s="33"/>
      <c r="C484" s="522"/>
    </row>
    <row r="485" spans="2:3" ht="15.75" customHeight="1" x14ac:dyDescent="0.2">
      <c r="B485" s="33"/>
      <c r="C485" s="522"/>
    </row>
    <row r="486" spans="2:3" ht="15.75" customHeight="1" x14ac:dyDescent="0.2">
      <c r="B486" s="33"/>
      <c r="C486" s="522"/>
    </row>
    <row r="487" spans="2:3" ht="15.75" customHeight="1" x14ac:dyDescent="0.2">
      <c r="B487" s="33"/>
      <c r="C487" s="522"/>
    </row>
    <row r="488" spans="2:3" ht="15.75" customHeight="1" x14ac:dyDescent="0.2">
      <c r="B488" s="33"/>
      <c r="C488" s="522"/>
    </row>
    <row r="489" spans="2:3" ht="15.75" customHeight="1" x14ac:dyDescent="0.2">
      <c r="B489" s="33"/>
      <c r="C489" s="522"/>
    </row>
    <row r="490" spans="2:3" ht="15.75" customHeight="1" x14ac:dyDescent="0.2">
      <c r="B490" s="33"/>
      <c r="C490" s="522"/>
    </row>
    <row r="491" spans="2:3" ht="15.75" customHeight="1" x14ac:dyDescent="0.2">
      <c r="B491" s="33"/>
      <c r="C491" s="522"/>
    </row>
    <row r="492" spans="2:3" ht="15.75" customHeight="1" x14ac:dyDescent="0.2">
      <c r="B492" s="33"/>
      <c r="C492" s="522"/>
    </row>
    <row r="493" spans="2:3" ht="15.75" customHeight="1" x14ac:dyDescent="0.2">
      <c r="B493" s="33"/>
      <c r="C493" s="522"/>
    </row>
    <row r="494" spans="2:3" ht="15.75" customHeight="1" x14ac:dyDescent="0.2">
      <c r="B494" s="33"/>
      <c r="C494" s="522"/>
    </row>
    <row r="495" spans="2:3" ht="15.75" customHeight="1" x14ac:dyDescent="0.2">
      <c r="B495" s="33"/>
      <c r="C495" s="522"/>
    </row>
    <row r="496" spans="2:3" ht="15.75" customHeight="1" x14ac:dyDescent="0.2">
      <c r="B496" s="33"/>
      <c r="C496" s="522"/>
    </row>
    <row r="497" spans="2:3" ht="15.75" customHeight="1" x14ac:dyDescent="0.2">
      <c r="B497" s="33"/>
      <c r="C497" s="522"/>
    </row>
    <row r="498" spans="2:3" ht="15.75" customHeight="1" x14ac:dyDescent="0.2">
      <c r="B498" s="33"/>
      <c r="C498" s="522"/>
    </row>
    <row r="499" spans="2:3" ht="15.75" customHeight="1" x14ac:dyDescent="0.2">
      <c r="B499" s="33"/>
      <c r="C499" s="522"/>
    </row>
    <row r="500" spans="2:3" ht="15.75" customHeight="1" x14ac:dyDescent="0.2">
      <c r="B500" s="33"/>
      <c r="C500" s="522"/>
    </row>
    <row r="501" spans="2:3" ht="15.75" customHeight="1" x14ac:dyDescent="0.2">
      <c r="B501" s="33"/>
      <c r="C501" s="522"/>
    </row>
    <row r="502" spans="2:3" ht="15.75" customHeight="1" x14ac:dyDescent="0.2">
      <c r="B502" s="33"/>
      <c r="C502" s="522"/>
    </row>
    <row r="503" spans="2:3" ht="15.75" customHeight="1" x14ac:dyDescent="0.2">
      <c r="B503" s="33"/>
      <c r="C503" s="522"/>
    </row>
    <row r="504" spans="2:3" ht="15.75" customHeight="1" x14ac:dyDescent="0.2">
      <c r="B504" s="33"/>
      <c r="C504" s="522"/>
    </row>
    <row r="505" spans="2:3" ht="15.75" customHeight="1" x14ac:dyDescent="0.2">
      <c r="B505" s="33"/>
      <c r="C505" s="522"/>
    </row>
    <row r="506" spans="2:3" ht="15.75" customHeight="1" x14ac:dyDescent="0.2">
      <c r="B506" s="33"/>
      <c r="C506" s="522"/>
    </row>
    <row r="507" spans="2:3" ht="15.75" customHeight="1" x14ac:dyDescent="0.2">
      <c r="B507" s="33"/>
      <c r="C507" s="522"/>
    </row>
    <row r="508" spans="2:3" ht="15.75" customHeight="1" x14ac:dyDescent="0.2">
      <c r="B508" s="33"/>
      <c r="C508" s="522"/>
    </row>
    <row r="509" spans="2:3" ht="15.75" customHeight="1" x14ac:dyDescent="0.2">
      <c r="B509" s="33"/>
      <c r="C509" s="522"/>
    </row>
    <row r="510" spans="2:3" ht="15.75" customHeight="1" x14ac:dyDescent="0.2">
      <c r="B510" s="33"/>
      <c r="C510" s="522"/>
    </row>
    <row r="511" spans="2:3" ht="15.75" customHeight="1" x14ac:dyDescent="0.2">
      <c r="B511" s="33"/>
      <c r="C511" s="522"/>
    </row>
    <row r="512" spans="2:3" ht="15.75" customHeight="1" x14ac:dyDescent="0.2">
      <c r="B512" s="33"/>
      <c r="C512" s="522"/>
    </row>
    <row r="513" spans="2:3" ht="15.75" customHeight="1" x14ac:dyDescent="0.2">
      <c r="B513" s="33"/>
      <c r="C513" s="522"/>
    </row>
    <row r="514" spans="2:3" ht="15.75" customHeight="1" x14ac:dyDescent="0.2">
      <c r="B514" s="33"/>
      <c r="C514" s="522"/>
    </row>
    <row r="515" spans="2:3" ht="15.75" customHeight="1" x14ac:dyDescent="0.2">
      <c r="B515" s="33"/>
      <c r="C515" s="522"/>
    </row>
    <row r="516" spans="2:3" ht="15.75" customHeight="1" x14ac:dyDescent="0.2">
      <c r="B516" s="33"/>
      <c r="C516" s="522"/>
    </row>
    <row r="517" spans="2:3" ht="15.75" customHeight="1" x14ac:dyDescent="0.2">
      <c r="B517" s="33"/>
      <c r="C517" s="522"/>
    </row>
    <row r="518" spans="2:3" ht="15.75" customHeight="1" x14ac:dyDescent="0.2">
      <c r="B518" s="33"/>
      <c r="C518" s="522"/>
    </row>
    <row r="519" spans="2:3" ht="15.75" customHeight="1" x14ac:dyDescent="0.2">
      <c r="B519" s="33"/>
      <c r="C519" s="522"/>
    </row>
    <row r="520" spans="2:3" ht="15.75" customHeight="1" x14ac:dyDescent="0.2">
      <c r="B520" s="33"/>
      <c r="C520" s="522"/>
    </row>
    <row r="521" spans="2:3" ht="15.75" customHeight="1" x14ac:dyDescent="0.2">
      <c r="B521" s="33"/>
      <c r="C521" s="522"/>
    </row>
    <row r="522" spans="2:3" ht="15.75" customHeight="1" x14ac:dyDescent="0.2">
      <c r="B522" s="33"/>
      <c r="C522" s="522"/>
    </row>
    <row r="523" spans="2:3" ht="15.75" customHeight="1" x14ac:dyDescent="0.2">
      <c r="B523" s="33"/>
      <c r="C523" s="522"/>
    </row>
    <row r="524" spans="2:3" ht="15.75" customHeight="1" x14ac:dyDescent="0.2">
      <c r="B524" s="33"/>
      <c r="C524" s="522"/>
    </row>
    <row r="525" spans="2:3" ht="15.75" customHeight="1" x14ac:dyDescent="0.2">
      <c r="B525" s="33"/>
      <c r="C525" s="522"/>
    </row>
    <row r="526" spans="2:3" ht="15.75" customHeight="1" x14ac:dyDescent="0.2">
      <c r="B526" s="33"/>
      <c r="C526" s="522"/>
    </row>
    <row r="527" spans="2:3" ht="15.75" customHeight="1" x14ac:dyDescent="0.2">
      <c r="B527" s="33"/>
      <c r="C527" s="522"/>
    </row>
    <row r="528" spans="2:3" ht="15.75" customHeight="1" x14ac:dyDescent="0.2">
      <c r="B528" s="33"/>
      <c r="C528" s="522"/>
    </row>
    <row r="529" spans="2:3" ht="15.75" customHeight="1" x14ac:dyDescent="0.2">
      <c r="B529" s="33"/>
      <c r="C529" s="522"/>
    </row>
    <row r="530" spans="2:3" ht="15.75" customHeight="1" x14ac:dyDescent="0.2">
      <c r="B530" s="33"/>
      <c r="C530" s="522"/>
    </row>
    <row r="531" spans="2:3" ht="15.75" customHeight="1" x14ac:dyDescent="0.2">
      <c r="B531" s="33"/>
      <c r="C531" s="522"/>
    </row>
    <row r="532" spans="2:3" ht="15.75" customHeight="1" x14ac:dyDescent="0.2">
      <c r="B532" s="33"/>
      <c r="C532" s="522"/>
    </row>
    <row r="533" spans="2:3" ht="15.75" customHeight="1" x14ac:dyDescent="0.2">
      <c r="B533" s="33"/>
      <c r="C533" s="522"/>
    </row>
    <row r="534" spans="2:3" ht="15.75" customHeight="1" x14ac:dyDescent="0.2">
      <c r="B534" s="33"/>
      <c r="C534" s="522"/>
    </row>
    <row r="535" spans="2:3" ht="15.75" customHeight="1" x14ac:dyDescent="0.2">
      <c r="B535" s="33"/>
      <c r="C535" s="522"/>
    </row>
    <row r="536" spans="2:3" ht="15.75" customHeight="1" x14ac:dyDescent="0.2">
      <c r="B536" s="33"/>
      <c r="C536" s="522"/>
    </row>
    <row r="537" spans="2:3" ht="15.75" customHeight="1" x14ac:dyDescent="0.2">
      <c r="B537" s="33"/>
      <c r="C537" s="522"/>
    </row>
    <row r="538" spans="2:3" ht="15.75" customHeight="1" x14ac:dyDescent="0.2">
      <c r="B538" s="33"/>
      <c r="C538" s="522"/>
    </row>
    <row r="539" spans="2:3" ht="15.75" customHeight="1" x14ac:dyDescent="0.2">
      <c r="B539" s="33"/>
      <c r="C539" s="522"/>
    </row>
    <row r="540" spans="2:3" ht="15.75" customHeight="1" x14ac:dyDescent="0.2">
      <c r="B540" s="33"/>
      <c r="C540" s="522"/>
    </row>
    <row r="541" spans="2:3" ht="15.75" customHeight="1" x14ac:dyDescent="0.2">
      <c r="B541" s="33"/>
      <c r="C541" s="522"/>
    </row>
    <row r="542" spans="2:3" ht="15.75" customHeight="1" x14ac:dyDescent="0.2">
      <c r="B542" s="33"/>
      <c r="C542" s="522"/>
    </row>
    <row r="543" spans="2:3" ht="15.75" customHeight="1" x14ac:dyDescent="0.2">
      <c r="B543" s="33"/>
      <c r="C543" s="522"/>
    </row>
    <row r="544" spans="2:3" ht="15.75" customHeight="1" x14ac:dyDescent="0.2">
      <c r="B544" s="33"/>
      <c r="C544" s="522"/>
    </row>
    <row r="545" spans="2:3" ht="15.75" customHeight="1" x14ac:dyDescent="0.2">
      <c r="B545" s="33"/>
      <c r="C545" s="522"/>
    </row>
    <row r="546" spans="2:3" ht="15.75" customHeight="1" x14ac:dyDescent="0.2">
      <c r="B546" s="33"/>
      <c r="C546" s="522"/>
    </row>
    <row r="547" spans="2:3" ht="15.75" customHeight="1" x14ac:dyDescent="0.2">
      <c r="B547" s="33"/>
      <c r="C547" s="522"/>
    </row>
    <row r="548" spans="2:3" ht="15.75" customHeight="1" x14ac:dyDescent="0.2">
      <c r="B548" s="33"/>
      <c r="C548" s="522"/>
    </row>
    <row r="549" spans="2:3" ht="15.75" customHeight="1" x14ac:dyDescent="0.2">
      <c r="B549" s="33"/>
      <c r="C549" s="522"/>
    </row>
    <row r="550" spans="2:3" ht="15.75" customHeight="1" x14ac:dyDescent="0.2">
      <c r="B550" s="33"/>
      <c r="C550" s="522"/>
    </row>
    <row r="551" spans="2:3" ht="15.75" customHeight="1" x14ac:dyDescent="0.2">
      <c r="B551" s="33"/>
      <c r="C551" s="522"/>
    </row>
    <row r="552" spans="2:3" ht="15.75" customHeight="1" x14ac:dyDescent="0.2">
      <c r="B552" s="33"/>
      <c r="C552" s="522"/>
    </row>
    <row r="553" spans="2:3" ht="15.75" customHeight="1" x14ac:dyDescent="0.2">
      <c r="B553" s="33"/>
      <c r="C553" s="522"/>
    </row>
    <row r="554" spans="2:3" ht="15.75" customHeight="1" x14ac:dyDescent="0.2">
      <c r="B554" s="33"/>
      <c r="C554" s="522"/>
    </row>
    <row r="555" spans="2:3" ht="15.75" customHeight="1" x14ac:dyDescent="0.2">
      <c r="B555" s="33"/>
      <c r="C555" s="522"/>
    </row>
    <row r="556" spans="2:3" ht="15.75" customHeight="1" x14ac:dyDescent="0.2">
      <c r="B556" s="33"/>
      <c r="C556" s="522"/>
    </row>
    <row r="557" spans="2:3" ht="15.75" customHeight="1" x14ac:dyDescent="0.2">
      <c r="B557" s="33"/>
      <c r="C557" s="522"/>
    </row>
    <row r="558" spans="2:3" ht="15.75" customHeight="1" x14ac:dyDescent="0.2">
      <c r="B558" s="33"/>
      <c r="C558" s="522"/>
    </row>
    <row r="559" spans="2:3" ht="15.75" customHeight="1" x14ac:dyDescent="0.2">
      <c r="B559" s="33"/>
      <c r="C559" s="522"/>
    </row>
    <row r="560" spans="2:3" ht="15.75" customHeight="1" x14ac:dyDescent="0.2">
      <c r="B560" s="33"/>
      <c r="C560" s="522"/>
    </row>
    <row r="561" spans="2:3" ht="15.75" customHeight="1" x14ac:dyDescent="0.2">
      <c r="B561" s="33"/>
      <c r="C561" s="522"/>
    </row>
    <row r="562" spans="2:3" ht="15.75" customHeight="1" x14ac:dyDescent="0.2">
      <c r="B562" s="33"/>
      <c r="C562" s="522"/>
    </row>
    <row r="563" spans="2:3" ht="15.75" customHeight="1" x14ac:dyDescent="0.2">
      <c r="B563" s="33"/>
      <c r="C563" s="522"/>
    </row>
    <row r="564" spans="2:3" ht="15.75" customHeight="1" x14ac:dyDescent="0.2">
      <c r="B564" s="33"/>
      <c r="C564" s="522"/>
    </row>
    <row r="565" spans="2:3" ht="15.75" customHeight="1" x14ac:dyDescent="0.2">
      <c r="B565" s="33"/>
      <c r="C565" s="522"/>
    </row>
    <row r="566" spans="2:3" ht="15.75" customHeight="1" x14ac:dyDescent="0.2">
      <c r="B566" s="33"/>
      <c r="C566" s="522"/>
    </row>
    <row r="567" spans="2:3" ht="15.75" customHeight="1" x14ac:dyDescent="0.2">
      <c r="B567" s="33"/>
      <c r="C567" s="522"/>
    </row>
    <row r="568" spans="2:3" ht="15.75" customHeight="1" x14ac:dyDescent="0.2">
      <c r="B568" s="33"/>
      <c r="C568" s="522"/>
    </row>
    <row r="569" spans="2:3" ht="15.75" customHeight="1" x14ac:dyDescent="0.2">
      <c r="B569" s="33"/>
      <c r="C569" s="522"/>
    </row>
    <row r="570" spans="2:3" ht="15.75" customHeight="1" x14ac:dyDescent="0.2">
      <c r="B570" s="33"/>
      <c r="C570" s="522"/>
    </row>
    <row r="571" spans="2:3" ht="15.75" customHeight="1" x14ac:dyDescent="0.2">
      <c r="B571" s="33"/>
      <c r="C571" s="522"/>
    </row>
    <row r="572" spans="2:3" ht="15.75" customHeight="1" x14ac:dyDescent="0.2">
      <c r="B572" s="33"/>
      <c r="C572" s="522"/>
    </row>
    <row r="573" spans="2:3" ht="15.75" customHeight="1" x14ac:dyDescent="0.2">
      <c r="B573" s="33"/>
      <c r="C573" s="522"/>
    </row>
    <row r="574" spans="2:3" ht="15.75" customHeight="1" x14ac:dyDescent="0.2">
      <c r="B574" s="33"/>
      <c r="C574" s="522"/>
    </row>
    <row r="575" spans="2:3" ht="15.75" customHeight="1" x14ac:dyDescent="0.2">
      <c r="B575" s="33"/>
      <c r="C575" s="522"/>
    </row>
    <row r="576" spans="2:3" ht="15.75" customHeight="1" x14ac:dyDescent="0.2">
      <c r="B576" s="33"/>
      <c r="C576" s="522"/>
    </row>
    <row r="577" spans="2:3" ht="15.75" customHeight="1" x14ac:dyDescent="0.2">
      <c r="B577" s="33"/>
      <c r="C577" s="522"/>
    </row>
    <row r="578" spans="2:3" ht="15.75" customHeight="1" x14ac:dyDescent="0.2">
      <c r="B578" s="33"/>
      <c r="C578" s="522"/>
    </row>
    <row r="579" spans="2:3" ht="15.75" customHeight="1" x14ac:dyDescent="0.2">
      <c r="B579" s="33"/>
      <c r="C579" s="522"/>
    </row>
    <row r="580" spans="2:3" ht="15.75" customHeight="1" x14ac:dyDescent="0.2">
      <c r="B580" s="33"/>
      <c r="C580" s="522"/>
    </row>
    <row r="581" spans="2:3" ht="15.75" customHeight="1" x14ac:dyDescent="0.2">
      <c r="B581" s="33"/>
      <c r="C581" s="522"/>
    </row>
    <row r="582" spans="2:3" ht="15.75" customHeight="1" x14ac:dyDescent="0.2">
      <c r="B582" s="33"/>
      <c r="C582" s="522"/>
    </row>
    <row r="583" spans="2:3" ht="15.75" customHeight="1" x14ac:dyDescent="0.2">
      <c r="B583" s="33"/>
      <c r="C583" s="522"/>
    </row>
    <row r="584" spans="2:3" ht="15.75" customHeight="1" x14ac:dyDescent="0.2">
      <c r="B584" s="33"/>
      <c r="C584" s="522"/>
    </row>
    <row r="585" spans="2:3" ht="15.75" customHeight="1" x14ac:dyDescent="0.2">
      <c r="B585" s="33"/>
      <c r="C585" s="522"/>
    </row>
    <row r="586" spans="2:3" ht="15.75" customHeight="1" x14ac:dyDescent="0.2">
      <c r="B586" s="33"/>
      <c r="C586" s="522"/>
    </row>
    <row r="587" spans="2:3" ht="15.75" customHeight="1" x14ac:dyDescent="0.2">
      <c r="B587" s="33"/>
      <c r="C587" s="522"/>
    </row>
    <row r="588" spans="2:3" ht="15.75" customHeight="1" x14ac:dyDescent="0.2">
      <c r="B588" s="33"/>
      <c r="C588" s="522"/>
    </row>
    <row r="589" spans="2:3" ht="15.75" customHeight="1" x14ac:dyDescent="0.2">
      <c r="B589" s="33"/>
      <c r="C589" s="522"/>
    </row>
    <row r="590" spans="2:3" ht="15.75" customHeight="1" x14ac:dyDescent="0.2">
      <c r="B590" s="33"/>
      <c r="C590" s="522"/>
    </row>
    <row r="591" spans="2:3" ht="15.75" customHeight="1" x14ac:dyDescent="0.2">
      <c r="B591" s="33"/>
      <c r="C591" s="522"/>
    </row>
    <row r="592" spans="2:3" ht="15.75" customHeight="1" x14ac:dyDescent="0.2">
      <c r="B592" s="33"/>
      <c r="C592" s="522"/>
    </row>
    <row r="593" spans="2:3" ht="15.75" customHeight="1" x14ac:dyDescent="0.2">
      <c r="B593" s="33"/>
      <c r="C593" s="522"/>
    </row>
    <row r="594" spans="2:3" ht="15.75" customHeight="1" x14ac:dyDescent="0.2">
      <c r="B594" s="33"/>
      <c r="C594" s="522"/>
    </row>
    <row r="595" spans="2:3" ht="15.75" customHeight="1" x14ac:dyDescent="0.2">
      <c r="B595" s="33"/>
      <c r="C595" s="522"/>
    </row>
    <row r="596" spans="2:3" ht="15.75" customHeight="1" x14ac:dyDescent="0.2">
      <c r="B596" s="33"/>
      <c r="C596" s="522"/>
    </row>
    <row r="597" spans="2:3" ht="15.75" customHeight="1" x14ac:dyDescent="0.2">
      <c r="B597" s="33"/>
      <c r="C597" s="522"/>
    </row>
    <row r="598" spans="2:3" ht="15.75" customHeight="1" x14ac:dyDescent="0.2">
      <c r="B598" s="33"/>
      <c r="C598" s="522"/>
    </row>
    <row r="599" spans="2:3" ht="15.75" customHeight="1" x14ac:dyDescent="0.2">
      <c r="B599" s="33"/>
      <c r="C599" s="522"/>
    </row>
    <row r="600" spans="2:3" ht="15.75" customHeight="1" x14ac:dyDescent="0.2">
      <c r="B600" s="33"/>
      <c r="C600" s="522"/>
    </row>
    <row r="601" spans="2:3" ht="15.75" customHeight="1" x14ac:dyDescent="0.2">
      <c r="B601" s="33"/>
      <c r="C601" s="522"/>
    </row>
    <row r="602" spans="2:3" ht="15.75" customHeight="1" x14ac:dyDescent="0.2">
      <c r="B602" s="33"/>
      <c r="C602" s="522"/>
    </row>
    <row r="603" spans="2:3" ht="15.75" customHeight="1" x14ac:dyDescent="0.2">
      <c r="B603" s="33"/>
      <c r="C603" s="522"/>
    </row>
    <row r="604" spans="2:3" ht="15.75" customHeight="1" x14ac:dyDescent="0.2">
      <c r="B604" s="33"/>
      <c r="C604" s="522"/>
    </row>
    <row r="605" spans="2:3" ht="15.75" customHeight="1" x14ac:dyDescent="0.2">
      <c r="B605" s="33"/>
      <c r="C605" s="522"/>
    </row>
    <row r="606" spans="2:3" ht="15.75" customHeight="1" x14ac:dyDescent="0.2">
      <c r="B606" s="33"/>
      <c r="C606" s="522"/>
    </row>
    <row r="607" spans="2:3" ht="15.75" customHeight="1" x14ac:dyDescent="0.2">
      <c r="B607" s="33"/>
      <c r="C607" s="522"/>
    </row>
    <row r="608" spans="2:3" ht="15.75" customHeight="1" x14ac:dyDescent="0.2">
      <c r="B608" s="33"/>
      <c r="C608" s="522"/>
    </row>
    <row r="609" spans="2:3" ht="15.75" customHeight="1" x14ac:dyDescent="0.2">
      <c r="B609" s="33"/>
      <c r="C609" s="522"/>
    </row>
    <row r="610" spans="2:3" ht="15.75" customHeight="1" x14ac:dyDescent="0.2">
      <c r="B610" s="33"/>
      <c r="C610" s="522"/>
    </row>
    <row r="611" spans="2:3" ht="15.75" customHeight="1" x14ac:dyDescent="0.2">
      <c r="B611" s="33"/>
      <c r="C611" s="522"/>
    </row>
    <row r="612" spans="2:3" ht="15.75" customHeight="1" x14ac:dyDescent="0.2">
      <c r="B612" s="33"/>
      <c r="C612" s="522"/>
    </row>
    <row r="613" spans="2:3" ht="15.75" customHeight="1" x14ac:dyDescent="0.2">
      <c r="B613" s="33"/>
      <c r="C613" s="522"/>
    </row>
    <row r="614" spans="2:3" ht="15.75" customHeight="1" x14ac:dyDescent="0.2">
      <c r="B614" s="33"/>
      <c r="C614" s="522"/>
    </row>
    <row r="615" spans="2:3" ht="15.75" customHeight="1" x14ac:dyDescent="0.2">
      <c r="B615" s="33"/>
      <c r="C615" s="522"/>
    </row>
    <row r="616" spans="2:3" ht="15.75" customHeight="1" x14ac:dyDescent="0.2">
      <c r="B616" s="33"/>
      <c r="C616" s="522"/>
    </row>
    <row r="617" spans="2:3" ht="15.75" customHeight="1" x14ac:dyDescent="0.2">
      <c r="B617" s="33"/>
      <c r="C617" s="522"/>
    </row>
    <row r="618" spans="2:3" ht="15.75" customHeight="1" x14ac:dyDescent="0.2">
      <c r="B618" s="33"/>
      <c r="C618" s="522"/>
    </row>
    <row r="619" spans="2:3" ht="15.75" customHeight="1" x14ac:dyDescent="0.2">
      <c r="B619" s="33"/>
      <c r="C619" s="522"/>
    </row>
    <row r="620" spans="2:3" ht="15.75" customHeight="1" x14ac:dyDescent="0.2">
      <c r="B620" s="33"/>
      <c r="C620" s="522"/>
    </row>
    <row r="621" spans="2:3" ht="15.75" customHeight="1" x14ac:dyDescent="0.2">
      <c r="B621" s="33"/>
      <c r="C621" s="522"/>
    </row>
    <row r="622" spans="2:3" ht="15.75" customHeight="1" x14ac:dyDescent="0.2">
      <c r="B622" s="33"/>
      <c r="C622" s="522"/>
    </row>
    <row r="623" spans="2:3" ht="15.75" customHeight="1" x14ac:dyDescent="0.2">
      <c r="B623" s="33"/>
      <c r="C623" s="522"/>
    </row>
    <row r="624" spans="2:3" ht="15.75" customHeight="1" x14ac:dyDescent="0.2">
      <c r="B624" s="33"/>
      <c r="C624" s="522"/>
    </row>
    <row r="625" spans="2:3" ht="15.75" customHeight="1" x14ac:dyDescent="0.2">
      <c r="B625" s="33"/>
      <c r="C625" s="522"/>
    </row>
    <row r="626" spans="2:3" ht="15.75" customHeight="1" x14ac:dyDescent="0.2">
      <c r="B626" s="33"/>
      <c r="C626" s="522"/>
    </row>
    <row r="627" spans="2:3" ht="15.75" customHeight="1" x14ac:dyDescent="0.2">
      <c r="B627" s="33"/>
      <c r="C627" s="522"/>
    </row>
    <row r="628" spans="2:3" ht="15.75" customHeight="1" x14ac:dyDescent="0.2">
      <c r="B628" s="33"/>
      <c r="C628" s="522"/>
    </row>
    <row r="629" spans="2:3" ht="15.75" customHeight="1" x14ac:dyDescent="0.2">
      <c r="B629" s="33"/>
      <c r="C629" s="522"/>
    </row>
    <row r="630" spans="2:3" ht="15.75" customHeight="1" x14ac:dyDescent="0.2">
      <c r="B630" s="33"/>
      <c r="C630" s="522"/>
    </row>
    <row r="631" spans="2:3" ht="15.75" customHeight="1" x14ac:dyDescent="0.2">
      <c r="B631" s="33"/>
      <c r="C631" s="522"/>
    </row>
    <row r="632" spans="2:3" ht="15.75" customHeight="1" x14ac:dyDescent="0.2">
      <c r="B632" s="33"/>
      <c r="C632" s="522"/>
    </row>
    <row r="633" spans="2:3" ht="15.75" customHeight="1" x14ac:dyDescent="0.2">
      <c r="B633" s="33"/>
      <c r="C633" s="522"/>
    </row>
    <row r="634" spans="2:3" ht="15.75" customHeight="1" x14ac:dyDescent="0.2">
      <c r="B634" s="33"/>
      <c r="C634" s="522"/>
    </row>
    <row r="635" spans="2:3" ht="15.75" customHeight="1" x14ac:dyDescent="0.2">
      <c r="B635" s="33"/>
      <c r="C635" s="522"/>
    </row>
    <row r="636" spans="2:3" ht="15.75" customHeight="1" x14ac:dyDescent="0.2">
      <c r="B636" s="33"/>
      <c r="C636" s="522"/>
    </row>
    <row r="637" spans="2:3" ht="15.75" customHeight="1" x14ac:dyDescent="0.2">
      <c r="B637" s="33"/>
      <c r="C637" s="522"/>
    </row>
    <row r="638" spans="2:3" ht="15.75" customHeight="1" x14ac:dyDescent="0.2">
      <c r="B638" s="33"/>
      <c r="C638" s="522"/>
    </row>
    <row r="639" spans="2:3" ht="15.75" customHeight="1" x14ac:dyDescent="0.2">
      <c r="B639" s="33"/>
      <c r="C639" s="522"/>
    </row>
    <row r="640" spans="2:3" ht="15.75" customHeight="1" x14ac:dyDescent="0.2">
      <c r="B640" s="33"/>
      <c r="C640" s="522"/>
    </row>
    <row r="641" spans="2:3" ht="15.75" customHeight="1" x14ac:dyDescent="0.2">
      <c r="B641" s="33"/>
      <c r="C641" s="522"/>
    </row>
    <row r="642" spans="2:3" ht="15.75" customHeight="1" x14ac:dyDescent="0.2">
      <c r="B642" s="33"/>
      <c r="C642" s="522"/>
    </row>
    <row r="643" spans="2:3" ht="15.75" customHeight="1" x14ac:dyDescent="0.2">
      <c r="B643" s="33"/>
      <c r="C643" s="522"/>
    </row>
    <row r="644" spans="2:3" ht="15.75" customHeight="1" x14ac:dyDescent="0.2">
      <c r="B644" s="33"/>
      <c r="C644" s="522"/>
    </row>
    <row r="645" spans="2:3" ht="15.75" customHeight="1" x14ac:dyDescent="0.2">
      <c r="B645" s="33"/>
      <c r="C645" s="522"/>
    </row>
    <row r="646" spans="2:3" ht="15.75" customHeight="1" x14ac:dyDescent="0.2">
      <c r="B646" s="33"/>
      <c r="C646" s="522"/>
    </row>
    <row r="647" spans="2:3" ht="15.75" customHeight="1" x14ac:dyDescent="0.2">
      <c r="B647" s="33"/>
      <c r="C647" s="522"/>
    </row>
    <row r="648" spans="2:3" ht="15.75" customHeight="1" x14ac:dyDescent="0.2">
      <c r="B648" s="33"/>
      <c r="C648" s="522"/>
    </row>
    <row r="649" spans="2:3" ht="15.75" customHeight="1" x14ac:dyDescent="0.2">
      <c r="B649" s="33"/>
      <c r="C649" s="522"/>
    </row>
    <row r="650" spans="2:3" ht="15.75" customHeight="1" x14ac:dyDescent="0.2">
      <c r="B650" s="33"/>
      <c r="C650" s="522"/>
    </row>
    <row r="651" spans="2:3" ht="15.75" customHeight="1" x14ac:dyDescent="0.2">
      <c r="B651" s="33"/>
      <c r="C651" s="522"/>
    </row>
    <row r="652" spans="2:3" ht="15.75" customHeight="1" x14ac:dyDescent="0.2">
      <c r="B652" s="33"/>
      <c r="C652" s="522"/>
    </row>
    <row r="653" spans="2:3" ht="15.75" customHeight="1" x14ac:dyDescent="0.2">
      <c r="B653" s="33"/>
      <c r="C653" s="522"/>
    </row>
    <row r="654" spans="2:3" ht="15.75" customHeight="1" x14ac:dyDescent="0.2">
      <c r="B654" s="33"/>
      <c r="C654" s="522"/>
    </row>
    <row r="655" spans="2:3" ht="15.75" customHeight="1" x14ac:dyDescent="0.2">
      <c r="B655" s="33"/>
      <c r="C655" s="522"/>
    </row>
    <row r="656" spans="2:3" ht="15.75" customHeight="1" x14ac:dyDescent="0.2">
      <c r="B656" s="33"/>
      <c r="C656" s="522"/>
    </row>
    <row r="657" spans="2:3" ht="15.75" customHeight="1" x14ac:dyDescent="0.2">
      <c r="B657" s="33"/>
      <c r="C657" s="522"/>
    </row>
    <row r="658" spans="2:3" ht="15.75" customHeight="1" x14ac:dyDescent="0.2">
      <c r="B658" s="33"/>
      <c r="C658" s="522"/>
    </row>
    <row r="659" spans="2:3" ht="15.75" customHeight="1" x14ac:dyDescent="0.2">
      <c r="B659" s="33"/>
      <c r="C659" s="522"/>
    </row>
    <row r="660" spans="2:3" ht="15.75" customHeight="1" x14ac:dyDescent="0.2">
      <c r="B660" s="33"/>
      <c r="C660" s="522"/>
    </row>
    <row r="661" spans="2:3" ht="15.75" customHeight="1" x14ac:dyDescent="0.2">
      <c r="B661" s="33"/>
      <c r="C661" s="522"/>
    </row>
    <row r="662" spans="2:3" ht="15.75" customHeight="1" x14ac:dyDescent="0.2">
      <c r="B662" s="33"/>
      <c r="C662" s="522"/>
    </row>
    <row r="663" spans="2:3" ht="15.75" customHeight="1" x14ac:dyDescent="0.2">
      <c r="B663" s="33"/>
      <c r="C663" s="522"/>
    </row>
    <row r="664" spans="2:3" ht="15.75" customHeight="1" x14ac:dyDescent="0.2">
      <c r="B664" s="33"/>
      <c r="C664" s="522"/>
    </row>
    <row r="665" spans="2:3" ht="15.75" customHeight="1" x14ac:dyDescent="0.2">
      <c r="B665" s="33"/>
      <c r="C665" s="522"/>
    </row>
    <row r="666" spans="2:3" ht="15.75" customHeight="1" x14ac:dyDescent="0.2">
      <c r="B666" s="33"/>
      <c r="C666" s="522"/>
    </row>
    <row r="667" spans="2:3" ht="15.75" customHeight="1" x14ac:dyDescent="0.2">
      <c r="B667" s="33"/>
      <c r="C667" s="522"/>
    </row>
    <row r="668" spans="2:3" ht="15.75" customHeight="1" x14ac:dyDescent="0.2">
      <c r="B668" s="33"/>
      <c r="C668" s="522"/>
    </row>
    <row r="669" spans="2:3" ht="15.75" customHeight="1" x14ac:dyDescent="0.2">
      <c r="B669" s="33"/>
      <c r="C669" s="522"/>
    </row>
    <row r="670" spans="2:3" ht="15.75" customHeight="1" x14ac:dyDescent="0.2">
      <c r="B670" s="33"/>
      <c r="C670" s="522"/>
    </row>
    <row r="671" spans="2:3" ht="15.75" customHeight="1" x14ac:dyDescent="0.2">
      <c r="B671" s="33"/>
      <c r="C671" s="522"/>
    </row>
    <row r="672" spans="2:3" ht="15.75" customHeight="1" x14ac:dyDescent="0.2">
      <c r="B672" s="33"/>
      <c r="C672" s="522"/>
    </row>
    <row r="673" spans="2:3" ht="15.75" customHeight="1" x14ac:dyDescent="0.2">
      <c r="B673" s="33"/>
      <c r="C673" s="522"/>
    </row>
    <row r="674" spans="2:3" ht="15.75" customHeight="1" x14ac:dyDescent="0.2">
      <c r="B674" s="33"/>
      <c r="C674" s="522"/>
    </row>
    <row r="675" spans="2:3" ht="15.75" customHeight="1" x14ac:dyDescent="0.2">
      <c r="B675" s="33"/>
      <c r="C675" s="522"/>
    </row>
    <row r="676" spans="2:3" ht="15.75" customHeight="1" x14ac:dyDescent="0.2">
      <c r="B676" s="33"/>
      <c r="C676" s="522"/>
    </row>
    <row r="677" spans="2:3" ht="15.75" customHeight="1" x14ac:dyDescent="0.2">
      <c r="B677" s="33"/>
      <c r="C677" s="522"/>
    </row>
    <row r="678" spans="2:3" ht="15.75" customHeight="1" x14ac:dyDescent="0.2">
      <c r="B678" s="33"/>
      <c r="C678" s="522"/>
    </row>
    <row r="679" spans="2:3" ht="15.75" customHeight="1" x14ac:dyDescent="0.2">
      <c r="B679" s="33"/>
      <c r="C679" s="522"/>
    </row>
    <row r="680" spans="2:3" ht="15.75" customHeight="1" x14ac:dyDescent="0.2">
      <c r="B680" s="33"/>
      <c r="C680" s="522"/>
    </row>
    <row r="681" spans="2:3" ht="15.75" customHeight="1" x14ac:dyDescent="0.2">
      <c r="B681" s="33"/>
      <c r="C681" s="522"/>
    </row>
    <row r="682" spans="2:3" ht="15.75" customHeight="1" x14ac:dyDescent="0.2">
      <c r="B682" s="33"/>
      <c r="C682" s="522"/>
    </row>
    <row r="683" spans="2:3" ht="15.75" customHeight="1" x14ac:dyDescent="0.2">
      <c r="B683" s="33"/>
      <c r="C683" s="522"/>
    </row>
    <row r="684" spans="2:3" ht="15.75" customHeight="1" x14ac:dyDescent="0.2">
      <c r="B684" s="33"/>
      <c r="C684" s="522"/>
    </row>
    <row r="685" spans="2:3" ht="15.75" customHeight="1" x14ac:dyDescent="0.2">
      <c r="B685" s="33"/>
      <c r="C685" s="522"/>
    </row>
    <row r="686" spans="2:3" ht="15.75" customHeight="1" x14ac:dyDescent="0.2">
      <c r="B686" s="33"/>
      <c r="C686" s="522"/>
    </row>
    <row r="687" spans="2:3" ht="15.75" customHeight="1" x14ac:dyDescent="0.2">
      <c r="B687" s="33"/>
      <c r="C687" s="522"/>
    </row>
    <row r="688" spans="2:3" ht="15.75" customHeight="1" x14ac:dyDescent="0.2">
      <c r="B688" s="33"/>
      <c r="C688" s="522"/>
    </row>
    <row r="689" spans="2:3" ht="15.75" customHeight="1" x14ac:dyDescent="0.2">
      <c r="B689" s="33"/>
      <c r="C689" s="522"/>
    </row>
    <row r="690" spans="2:3" ht="15.75" customHeight="1" x14ac:dyDescent="0.2">
      <c r="B690" s="33"/>
      <c r="C690" s="522"/>
    </row>
    <row r="691" spans="2:3" ht="15.75" customHeight="1" x14ac:dyDescent="0.2">
      <c r="B691" s="33"/>
      <c r="C691" s="522"/>
    </row>
    <row r="692" spans="2:3" ht="15.75" customHeight="1" x14ac:dyDescent="0.2">
      <c r="B692" s="33"/>
      <c r="C692" s="522"/>
    </row>
    <row r="693" spans="2:3" ht="15.75" customHeight="1" x14ac:dyDescent="0.2">
      <c r="B693" s="33"/>
      <c r="C693" s="522"/>
    </row>
    <row r="694" spans="2:3" ht="15.75" customHeight="1" x14ac:dyDescent="0.2">
      <c r="B694" s="33"/>
      <c r="C694" s="522"/>
    </row>
    <row r="695" spans="2:3" ht="15.75" customHeight="1" x14ac:dyDescent="0.2">
      <c r="B695" s="33"/>
      <c r="C695" s="522"/>
    </row>
    <row r="696" spans="2:3" ht="15.75" customHeight="1" x14ac:dyDescent="0.2">
      <c r="B696" s="33"/>
      <c r="C696" s="522"/>
    </row>
    <row r="697" spans="2:3" ht="15.75" customHeight="1" x14ac:dyDescent="0.2">
      <c r="B697" s="33"/>
      <c r="C697" s="522"/>
    </row>
    <row r="698" spans="2:3" ht="15.75" customHeight="1" x14ac:dyDescent="0.2">
      <c r="B698" s="33"/>
      <c r="C698" s="522"/>
    </row>
    <row r="699" spans="2:3" ht="15.75" customHeight="1" x14ac:dyDescent="0.2">
      <c r="B699" s="33"/>
      <c r="C699" s="522"/>
    </row>
    <row r="700" spans="2:3" ht="15.75" customHeight="1" x14ac:dyDescent="0.2">
      <c r="B700" s="33"/>
      <c r="C700" s="522"/>
    </row>
    <row r="701" spans="2:3" ht="15.75" customHeight="1" x14ac:dyDescent="0.2">
      <c r="B701" s="33"/>
      <c r="C701" s="522"/>
    </row>
    <row r="702" spans="2:3" ht="15.75" customHeight="1" x14ac:dyDescent="0.2">
      <c r="B702" s="33"/>
      <c r="C702" s="522"/>
    </row>
    <row r="703" spans="2:3" ht="15.75" customHeight="1" x14ac:dyDescent="0.2">
      <c r="B703" s="33"/>
      <c r="C703" s="522"/>
    </row>
    <row r="704" spans="2:3" ht="15.75" customHeight="1" x14ac:dyDescent="0.2">
      <c r="B704" s="33"/>
      <c r="C704" s="522"/>
    </row>
    <row r="705" spans="2:3" ht="15.75" customHeight="1" x14ac:dyDescent="0.2">
      <c r="B705" s="33"/>
      <c r="C705" s="522"/>
    </row>
    <row r="706" spans="2:3" ht="15.75" customHeight="1" x14ac:dyDescent="0.2">
      <c r="B706" s="33"/>
      <c r="C706" s="522"/>
    </row>
    <row r="707" spans="2:3" ht="15.75" customHeight="1" x14ac:dyDescent="0.2">
      <c r="B707" s="33"/>
      <c r="C707" s="522"/>
    </row>
    <row r="708" spans="2:3" ht="15.75" customHeight="1" x14ac:dyDescent="0.2">
      <c r="B708" s="33"/>
      <c r="C708" s="522"/>
    </row>
    <row r="709" spans="2:3" ht="15.75" customHeight="1" x14ac:dyDescent="0.2">
      <c r="B709" s="33"/>
      <c r="C709" s="522"/>
    </row>
    <row r="710" spans="2:3" ht="15.75" customHeight="1" x14ac:dyDescent="0.2">
      <c r="B710" s="33"/>
      <c r="C710" s="522"/>
    </row>
    <row r="711" spans="2:3" ht="15.75" customHeight="1" x14ac:dyDescent="0.2">
      <c r="B711" s="33"/>
      <c r="C711" s="522"/>
    </row>
    <row r="712" spans="2:3" ht="15.75" customHeight="1" x14ac:dyDescent="0.2">
      <c r="B712" s="33"/>
      <c r="C712" s="522"/>
    </row>
    <row r="713" spans="2:3" ht="15.75" customHeight="1" x14ac:dyDescent="0.2">
      <c r="B713" s="33"/>
      <c r="C713" s="522"/>
    </row>
    <row r="714" spans="2:3" ht="15.75" customHeight="1" x14ac:dyDescent="0.2">
      <c r="B714" s="33"/>
      <c r="C714" s="522"/>
    </row>
    <row r="715" spans="2:3" ht="15.75" customHeight="1" x14ac:dyDescent="0.2">
      <c r="B715" s="33"/>
      <c r="C715" s="522"/>
    </row>
    <row r="716" spans="2:3" ht="15.75" customHeight="1" x14ac:dyDescent="0.2">
      <c r="B716" s="33"/>
      <c r="C716" s="522"/>
    </row>
    <row r="717" spans="2:3" ht="15.75" customHeight="1" x14ac:dyDescent="0.2">
      <c r="B717" s="33"/>
      <c r="C717" s="522"/>
    </row>
    <row r="718" spans="2:3" ht="15.75" customHeight="1" x14ac:dyDescent="0.2">
      <c r="B718" s="33"/>
      <c r="C718" s="522"/>
    </row>
    <row r="719" spans="2:3" ht="15.75" customHeight="1" x14ac:dyDescent="0.2">
      <c r="B719" s="33"/>
      <c r="C719" s="522"/>
    </row>
    <row r="720" spans="2:3" ht="15.75" customHeight="1" x14ac:dyDescent="0.2">
      <c r="B720" s="33"/>
      <c r="C720" s="522"/>
    </row>
    <row r="721" spans="2:3" ht="15.75" customHeight="1" x14ac:dyDescent="0.2">
      <c r="B721" s="33"/>
      <c r="C721" s="522"/>
    </row>
    <row r="722" spans="2:3" ht="15.75" customHeight="1" x14ac:dyDescent="0.2">
      <c r="B722" s="33"/>
      <c r="C722" s="522"/>
    </row>
    <row r="723" spans="2:3" ht="15.75" customHeight="1" x14ac:dyDescent="0.2">
      <c r="B723" s="33"/>
      <c r="C723" s="522"/>
    </row>
    <row r="724" spans="2:3" ht="15.75" customHeight="1" x14ac:dyDescent="0.2">
      <c r="B724" s="33"/>
      <c r="C724" s="522"/>
    </row>
    <row r="725" spans="2:3" ht="15.75" customHeight="1" x14ac:dyDescent="0.2">
      <c r="B725" s="33"/>
      <c r="C725" s="522"/>
    </row>
    <row r="726" spans="2:3" ht="15.75" customHeight="1" x14ac:dyDescent="0.2">
      <c r="B726" s="33"/>
      <c r="C726" s="522"/>
    </row>
    <row r="727" spans="2:3" ht="15.75" customHeight="1" x14ac:dyDescent="0.2">
      <c r="B727" s="33"/>
      <c r="C727" s="522"/>
    </row>
    <row r="728" spans="2:3" ht="15.75" customHeight="1" x14ac:dyDescent="0.2">
      <c r="B728" s="33"/>
      <c r="C728" s="522"/>
    </row>
    <row r="729" spans="2:3" ht="15.75" customHeight="1" x14ac:dyDescent="0.2">
      <c r="B729" s="33"/>
      <c r="C729" s="522"/>
    </row>
    <row r="730" spans="2:3" ht="15.75" customHeight="1" x14ac:dyDescent="0.2">
      <c r="B730" s="33"/>
      <c r="C730" s="522"/>
    </row>
    <row r="731" spans="2:3" ht="15.75" customHeight="1" x14ac:dyDescent="0.2">
      <c r="B731" s="33"/>
      <c r="C731" s="522"/>
    </row>
    <row r="732" spans="2:3" ht="15.75" customHeight="1" x14ac:dyDescent="0.2">
      <c r="B732" s="33"/>
      <c r="C732" s="522"/>
    </row>
    <row r="733" spans="2:3" ht="15.75" customHeight="1" x14ac:dyDescent="0.2">
      <c r="B733" s="33"/>
      <c r="C733" s="522"/>
    </row>
    <row r="734" spans="2:3" ht="15.75" customHeight="1" x14ac:dyDescent="0.2">
      <c r="B734" s="33"/>
      <c r="C734" s="522"/>
    </row>
    <row r="735" spans="2:3" ht="15.75" customHeight="1" x14ac:dyDescent="0.2">
      <c r="B735" s="33"/>
      <c r="C735" s="522"/>
    </row>
    <row r="736" spans="2:3" ht="15.75" customHeight="1" x14ac:dyDescent="0.2">
      <c r="B736" s="33"/>
      <c r="C736" s="522"/>
    </row>
    <row r="737" spans="2:3" ht="15.75" customHeight="1" x14ac:dyDescent="0.2">
      <c r="B737" s="33"/>
      <c r="C737" s="522"/>
    </row>
    <row r="738" spans="2:3" ht="15.75" customHeight="1" x14ac:dyDescent="0.2">
      <c r="B738" s="33"/>
      <c r="C738" s="522"/>
    </row>
    <row r="739" spans="2:3" ht="15.75" customHeight="1" x14ac:dyDescent="0.2">
      <c r="B739" s="33"/>
      <c r="C739" s="522"/>
    </row>
    <row r="740" spans="2:3" ht="15.75" customHeight="1" x14ac:dyDescent="0.2">
      <c r="B740" s="33"/>
      <c r="C740" s="522"/>
    </row>
    <row r="741" spans="2:3" ht="15.75" customHeight="1" x14ac:dyDescent="0.2">
      <c r="B741" s="33"/>
      <c r="C741" s="522"/>
    </row>
    <row r="742" spans="2:3" ht="15.75" customHeight="1" x14ac:dyDescent="0.2">
      <c r="B742" s="33"/>
      <c r="C742" s="522"/>
    </row>
    <row r="743" spans="2:3" ht="15.75" customHeight="1" x14ac:dyDescent="0.2">
      <c r="B743" s="33"/>
      <c r="C743" s="522"/>
    </row>
    <row r="744" spans="2:3" ht="15.75" customHeight="1" x14ac:dyDescent="0.2">
      <c r="B744" s="33"/>
      <c r="C744" s="522"/>
    </row>
    <row r="745" spans="2:3" ht="15.75" customHeight="1" x14ac:dyDescent="0.2">
      <c r="B745" s="33"/>
      <c r="C745" s="522"/>
    </row>
    <row r="746" spans="2:3" ht="15.75" customHeight="1" x14ac:dyDescent="0.2">
      <c r="B746" s="33"/>
      <c r="C746" s="522"/>
    </row>
    <row r="747" spans="2:3" ht="15.75" customHeight="1" x14ac:dyDescent="0.2">
      <c r="B747" s="33"/>
      <c r="C747" s="522"/>
    </row>
    <row r="748" spans="2:3" ht="15.75" customHeight="1" x14ac:dyDescent="0.2">
      <c r="B748" s="33"/>
      <c r="C748" s="522"/>
    </row>
    <row r="749" spans="2:3" ht="15.75" customHeight="1" x14ac:dyDescent="0.2">
      <c r="B749" s="33"/>
      <c r="C749" s="522"/>
    </row>
    <row r="750" spans="2:3" ht="15.75" customHeight="1" x14ac:dyDescent="0.2">
      <c r="B750" s="33"/>
      <c r="C750" s="522"/>
    </row>
    <row r="751" spans="2:3" ht="15.75" customHeight="1" x14ac:dyDescent="0.2">
      <c r="B751" s="33"/>
      <c r="C751" s="522"/>
    </row>
    <row r="752" spans="2:3" ht="15.75" customHeight="1" x14ac:dyDescent="0.2">
      <c r="B752" s="33"/>
      <c r="C752" s="522"/>
    </row>
    <row r="753" spans="2:3" ht="15.75" customHeight="1" x14ac:dyDescent="0.2">
      <c r="B753" s="33"/>
      <c r="C753" s="522"/>
    </row>
    <row r="754" spans="2:3" ht="15.75" customHeight="1" x14ac:dyDescent="0.2">
      <c r="B754" s="33"/>
      <c r="C754" s="522"/>
    </row>
    <row r="755" spans="2:3" ht="15.75" customHeight="1" x14ac:dyDescent="0.2">
      <c r="B755" s="33"/>
      <c r="C755" s="522"/>
    </row>
    <row r="756" spans="2:3" ht="15.75" customHeight="1" x14ac:dyDescent="0.2">
      <c r="B756" s="33"/>
      <c r="C756" s="522"/>
    </row>
    <row r="757" spans="2:3" ht="15.75" customHeight="1" x14ac:dyDescent="0.2">
      <c r="B757" s="33"/>
      <c r="C757" s="522"/>
    </row>
    <row r="758" spans="2:3" ht="15.75" customHeight="1" x14ac:dyDescent="0.2">
      <c r="B758" s="33"/>
      <c r="C758" s="522"/>
    </row>
    <row r="759" spans="2:3" ht="15.75" customHeight="1" x14ac:dyDescent="0.2">
      <c r="B759" s="33"/>
      <c r="C759" s="522"/>
    </row>
    <row r="760" spans="2:3" ht="15.75" customHeight="1" x14ac:dyDescent="0.2">
      <c r="B760" s="33"/>
      <c r="C760" s="522"/>
    </row>
    <row r="761" spans="2:3" ht="15.75" customHeight="1" x14ac:dyDescent="0.2">
      <c r="B761" s="33"/>
      <c r="C761" s="522"/>
    </row>
    <row r="762" spans="2:3" ht="15.75" customHeight="1" x14ac:dyDescent="0.2">
      <c r="B762" s="33"/>
      <c r="C762" s="522"/>
    </row>
    <row r="763" spans="2:3" ht="15.75" customHeight="1" x14ac:dyDescent="0.2">
      <c r="B763" s="33"/>
      <c r="C763" s="522"/>
    </row>
    <row r="764" spans="2:3" ht="15.75" customHeight="1" x14ac:dyDescent="0.2">
      <c r="B764" s="33"/>
      <c r="C764" s="522"/>
    </row>
    <row r="765" spans="2:3" ht="15.75" customHeight="1" x14ac:dyDescent="0.2">
      <c r="B765" s="33"/>
      <c r="C765" s="522"/>
    </row>
    <row r="766" spans="2:3" ht="15.75" customHeight="1" x14ac:dyDescent="0.2">
      <c r="B766" s="33"/>
      <c r="C766" s="522"/>
    </row>
    <row r="767" spans="2:3" ht="15.75" customHeight="1" x14ac:dyDescent="0.2">
      <c r="B767" s="33"/>
      <c r="C767" s="522"/>
    </row>
    <row r="768" spans="2:3" ht="15.75" customHeight="1" x14ac:dyDescent="0.2">
      <c r="B768" s="33"/>
      <c r="C768" s="522"/>
    </row>
    <row r="769" spans="2:3" ht="15.75" customHeight="1" x14ac:dyDescent="0.2">
      <c r="B769" s="33"/>
      <c r="C769" s="522"/>
    </row>
    <row r="770" spans="2:3" ht="15.75" customHeight="1" x14ac:dyDescent="0.2">
      <c r="B770" s="33"/>
      <c r="C770" s="522"/>
    </row>
    <row r="771" spans="2:3" ht="15.75" customHeight="1" x14ac:dyDescent="0.2">
      <c r="B771" s="33"/>
      <c r="C771" s="522"/>
    </row>
    <row r="772" spans="2:3" ht="15.75" customHeight="1" x14ac:dyDescent="0.2">
      <c r="B772" s="33"/>
      <c r="C772" s="522"/>
    </row>
    <row r="773" spans="2:3" ht="15.75" customHeight="1" x14ac:dyDescent="0.2">
      <c r="B773" s="33"/>
      <c r="C773" s="522"/>
    </row>
    <row r="774" spans="2:3" ht="15.75" customHeight="1" x14ac:dyDescent="0.2">
      <c r="B774" s="33"/>
      <c r="C774" s="522"/>
    </row>
    <row r="775" spans="2:3" ht="15.75" customHeight="1" x14ac:dyDescent="0.2">
      <c r="B775" s="33"/>
      <c r="C775" s="522"/>
    </row>
    <row r="776" spans="2:3" ht="15.75" customHeight="1" x14ac:dyDescent="0.2">
      <c r="B776" s="33"/>
      <c r="C776" s="522"/>
    </row>
    <row r="777" spans="2:3" ht="15.75" customHeight="1" x14ac:dyDescent="0.2">
      <c r="B777" s="33"/>
      <c r="C777" s="522"/>
    </row>
    <row r="778" spans="2:3" ht="15.75" customHeight="1" x14ac:dyDescent="0.2">
      <c r="B778" s="33"/>
      <c r="C778" s="522"/>
    </row>
    <row r="779" spans="2:3" ht="15.75" customHeight="1" x14ac:dyDescent="0.2">
      <c r="B779" s="33"/>
      <c r="C779" s="522"/>
    </row>
    <row r="780" spans="2:3" ht="15.75" customHeight="1" x14ac:dyDescent="0.2">
      <c r="B780" s="33"/>
      <c r="C780" s="522"/>
    </row>
    <row r="781" spans="2:3" ht="15.75" customHeight="1" x14ac:dyDescent="0.2">
      <c r="B781" s="33"/>
      <c r="C781" s="522"/>
    </row>
    <row r="782" spans="2:3" ht="15.75" customHeight="1" x14ac:dyDescent="0.2">
      <c r="B782" s="33"/>
      <c r="C782" s="522"/>
    </row>
    <row r="783" spans="2:3" ht="15.75" customHeight="1" x14ac:dyDescent="0.2">
      <c r="B783" s="33"/>
      <c r="C783" s="522"/>
    </row>
    <row r="784" spans="2:3" ht="15.75" customHeight="1" x14ac:dyDescent="0.2">
      <c r="B784" s="33"/>
      <c r="C784" s="522"/>
    </row>
    <row r="785" spans="2:3" ht="15.75" customHeight="1" x14ac:dyDescent="0.2">
      <c r="B785" s="33"/>
      <c r="C785" s="522"/>
    </row>
    <row r="786" spans="2:3" ht="15.75" customHeight="1" x14ac:dyDescent="0.2">
      <c r="B786" s="33"/>
      <c r="C786" s="522"/>
    </row>
    <row r="787" spans="2:3" ht="15.75" customHeight="1" x14ac:dyDescent="0.2">
      <c r="B787" s="33"/>
      <c r="C787" s="522"/>
    </row>
    <row r="788" spans="2:3" ht="15.75" customHeight="1" x14ac:dyDescent="0.2">
      <c r="B788" s="33"/>
      <c r="C788" s="522"/>
    </row>
    <row r="789" spans="2:3" ht="15.75" customHeight="1" x14ac:dyDescent="0.2">
      <c r="B789" s="33"/>
      <c r="C789" s="522"/>
    </row>
    <row r="790" spans="2:3" ht="15.75" customHeight="1" x14ac:dyDescent="0.2">
      <c r="B790" s="33"/>
      <c r="C790" s="522"/>
    </row>
    <row r="791" spans="2:3" ht="15.75" customHeight="1" x14ac:dyDescent="0.2">
      <c r="B791" s="33"/>
      <c r="C791" s="522"/>
    </row>
    <row r="792" spans="2:3" ht="15.75" customHeight="1" x14ac:dyDescent="0.2">
      <c r="B792" s="33"/>
      <c r="C792" s="522"/>
    </row>
    <row r="793" spans="2:3" ht="15.75" customHeight="1" x14ac:dyDescent="0.2">
      <c r="B793" s="33"/>
      <c r="C793" s="522"/>
    </row>
    <row r="794" spans="2:3" ht="15.75" customHeight="1" x14ac:dyDescent="0.2">
      <c r="B794" s="33"/>
      <c r="C794" s="522"/>
    </row>
    <row r="795" spans="2:3" ht="15.75" customHeight="1" x14ac:dyDescent="0.2">
      <c r="B795" s="33"/>
      <c r="C795" s="522"/>
    </row>
    <row r="796" spans="2:3" ht="15.75" customHeight="1" x14ac:dyDescent="0.2">
      <c r="B796" s="33"/>
      <c r="C796" s="522"/>
    </row>
    <row r="797" spans="2:3" ht="15.75" customHeight="1" x14ac:dyDescent="0.2">
      <c r="B797" s="33"/>
      <c r="C797" s="522"/>
    </row>
    <row r="798" spans="2:3" ht="15.75" customHeight="1" x14ac:dyDescent="0.2">
      <c r="B798" s="33"/>
      <c r="C798" s="522"/>
    </row>
    <row r="799" spans="2:3" ht="15.75" customHeight="1" x14ac:dyDescent="0.2">
      <c r="B799" s="33"/>
      <c r="C799" s="522"/>
    </row>
    <row r="800" spans="2:3" ht="15.75" customHeight="1" x14ac:dyDescent="0.2">
      <c r="B800" s="33"/>
      <c r="C800" s="522"/>
    </row>
    <row r="801" spans="2:3" ht="15.75" customHeight="1" x14ac:dyDescent="0.2">
      <c r="B801" s="33"/>
      <c r="C801" s="522"/>
    </row>
    <row r="802" spans="2:3" ht="15.75" customHeight="1" x14ac:dyDescent="0.2">
      <c r="B802" s="33"/>
      <c r="C802" s="522"/>
    </row>
    <row r="803" spans="2:3" ht="15.75" customHeight="1" x14ac:dyDescent="0.2">
      <c r="B803" s="33"/>
      <c r="C803" s="522"/>
    </row>
    <row r="804" spans="2:3" ht="15.75" customHeight="1" x14ac:dyDescent="0.2">
      <c r="B804" s="33"/>
      <c r="C804" s="522"/>
    </row>
    <row r="805" spans="2:3" ht="15.75" customHeight="1" x14ac:dyDescent="0.2">
      <c r="B805" s="33"/>
      <c r="C805" s="522"/>
    </row>
    <row r="806" spans="2:3" ht="15.75" customHeight="1" x14ac:dyDescent="0.2">
      <c r="B806" s="33"/>
      <c r="C806" s="522"/>
    </row>
    <row r="807" spans="2:3" ht="15.75" customHeight="1" x14ac:dyDescent="0.2">
      <c r="B807" s="33"/>
      <c r="C807" s="522"/>
    </row>
    <row r="808" spans="2:3" ht="15.75" customHeight="1" x14ac:dyDescent="0.2">
      <c r="B808" s="33"/>
      <c r="C808" s="522"/>
    </row>
    <row r="809" spans="2:3" ht="15.75" customHeight="1" x14ac:dyDescent="0.2">
      <c r="B809" s="33"/>
      <c r="C809" s="522"/>
    </row>
    <row r="810" spans="2:3" ht="15.75" customHeight="1" x14ac:dyDescent="0.2">
      <c r="B810" s="33"/>
      <c r="C810" s="522"/>
    </row>
    <row r="811" spans="2:3" ht="15.75" customHeight="1" x14ac:dyDescent="0.2">
      <c r="B811" s="33"/>
      <c r="C811" s="522"/>
    </row>
    <row r="812" spans="2:3" ht="15.75" customHeight="1" x14ac:dyDescent="0.2">
      <c r="B812" s="33"/>
      <c r="C812" s="522"/>
    </row>
    <row r="813" spans="2:3" ht="15.75" customHeight="1" x14ac:dyDescent="0.2">
      <c r="B813" s="33"/>
      <c r="C813" s="522"/>
    </row>
    <row r="814" spans="2:3" ht="15.75" customHeight="1" x14ac:dyDescent="0.2">
      <c r="B814" s="33"/>
      <c r="C814" s="522"/>
    </row>
    <row r="815" spans="2:3" ht="15.75" customHeight="1" x14ac:dyDescent="0.2">
      <c r="B815" s="33"/>
      <c r="C815" s="522"/>
    </row>
    <row r="816" spans="2:3" ht="15.75" customHeight="1" x14ac:dyDescent="0.2">
      <c r="B816" s="33"/>
      <c r="C816" s="522"/>
    </row>
    <row r="817" spans="2:3" ht="15.75" customHeight="1" x14ac:dyDescent="0.2">
      <c r="B817" s="33"/>
      <c r="C817" s="522"/>
    </row>
    <row r="818" spans="2:3" ht="15.75" customHeight="1" x14ac:dyDescent="0.2">
      <c r="B818" s="33"/>
      <c r="C818" s="522"/>
    </row>
    <row r="819" spans="2:3" ht="15.75" customHeight="1" x14ac:dyDescent="0.2">
      <c r="B819" s="33"/>
      <c r="C819" s="522"/>
    </row>
    <row r="820" spans="2:3" ht="15.75" customHeight="1" x14ac:dyDescent="0.2">
      <c r="B820" s="33"/>
      <c r="C820" s="522"/>
    </row>
    <row r="821" spans="2:3" ht="15.75" customHeight="1" x14ac:dyDescent="0.2">
      <c r="B821" s="33"/>
      <c r="C821" s="522"/>
    </row>
    <row r="822" spans="2:3" ht="15.75" customHeight="1" x14ac:dyDescent="0.2">
      <c r="B822" s="33"/>
      <c r="C822" s="522"/>
    </row>
    <row r="823" spans="2:3" ht="15.75" customHeight="1" x14ac:dyDescent="0.2">
      <c r="B823" s="33"/>
      <c r="C823" s="522"/>
    </row>
    <row r="824" spans="2:3" ht="15.75" customHeight="1" x14ac:dyDescent="0.2">
      <c r="B824" s="33"/>
      <c r="C824" s="522"/>
    </row>
    <row r="825" spans="2:3" ht="15.75" customHeight="1" x14ac:dyDescent="0.2">
      <c r="B825" s="33"/>
      <c r="C825" s="522"/>
    </row>
    <row r="826" spans="2:3" ht="15.75" customHeight="1" x14ac:dyDescent="0.2">
      <c r="B826" s="33"/>
      <c r="C826" s="522"/>
    </row>
    <row r="827" spans="2:3" ht="15.75" customHeight="1" x14ac:dyDescent="0.2">
      <c r="B827" s="33"/>
      <c r="C827" s="522"/>
    </row>
    <row r="828" spans="2:3" ht="15.75" customHeight="1" x14ac:dyDescent="0.2">
      <c r="B828" s="33"/>
      <c r="C828" s="522"/>
    </row>
    <row r="829" spans="2:3" ht="15.75" customHeight="1" x14ac:dyDescent="0.2">
      <c r="B829" s="33"/>
      <c r="C829" s="522"/>
    </row>
    <row r="830" spans="2:3" ht="15.75" customHeight="1" x14ac:dyDescent="0.2">
      <c r="B830" s="33"/>
      <c r="C830" s="522"/>
    </row>
    <row r="831" spans="2:3" ht="15.75" customHeight="1" x14ac:dyDescent="0.2">
      <c r="B831" s="33"/>
      <c r="C831" s="522"/>
    </row>
    <row r="832" spans="2:3" ht="15.75" customHeight="1" x14ac:dyDescent="0.2">
      <c r="B832" s="33"/>
      <c r="C832" s="522"/>
    </row>
    <row r="833" spans="2:3" ht="15.75" customHeight="1" x14ac:dyDescent="0.2">
      <c r="B833" s="33"/>
      <c r="C833" s="522"/>
    </row>
    <row r="834" spans="2:3" ht="15.75" customHeight="1" x14ac:dyDescent="0.2">
      <c r="B834" s="33"/>
      <c r="C834" s="522"/>
    </row>
    <row r="835" spans="2:3" ht="15.75" customHeight="1" x14ac:dyDescent="0.2">
      <c r="B835" s="33"/>
      <c r="C835" s="522"/>
    </row>
    <row r="836" spans="2:3" ht="15.75" customHeight="1" x14ac:dyDescent="0.2">
      <c r="B836" s="33"/>
      <c r="C836" s="522"/>
    </row>
    <row r="837" spans="2:3" ht="15.75" customHeight="1" x14ac:dyDescent="0.2">
      <c r="B837" s="33"/>
      <c r="C837" s="522"/>
    </row>
    <row r="838" spans="2:3" ht="15.75" customHeight="1" x14ac:dyDescent="0.2">
      <c r="B838" s="33"/>
      <c r="C838" s="522"/>
    </row>
    <row r="839" spans="2:3" ht="15.75" customHeight="1" x14ac:dyDescent="0.2">
      <c r="B839" s="33"/>
      <c r="C839" s="522"/>
    </row>
    <row r="840" spans="2:3" ht="15.75" customHeight="1" x14ac:dyDescent="0.2">
      <c r="B840" s="33"/>
      <c r="C840" s="522"/>
    </row>
    <row r="841" spans="2:3" ht="15.75" customHeight="1" x14ac:dyDescent="0.2">
      <c r="B841" s="33"/>
      <c r="C841" s="522"/>
    </row>
    <row r="842" spans="2:3" ht="15.75" customHeight="1" x14ac:dyDescent="0.2">
      <c r="B842" s="33"/>
      <c r="C842" s="522"/>
    </row>
    <row r="843" spans="2:3" ht="15.75" customHeight="1" x14ac:dyDescent="0.2">
      <c r="B843" s="33"/>
      <c r="C843" s="522"/>
    </row>
    <row r="844" spans="2:3" ht="15.75" customHeight="1" x14ac:dyDescent="0.2">
      <c r="B844" s="33"/>
      <c r="C844" s="522"/>
    </row>
    <row r="845" spans="2:3" ht="15.75" customHeight="1" x14ac:dyDescent="0.2">
      <c r="B845" s="33"/>
      <c r="C845" s="522"/>
    </row>
    <row r="846" spans="2:3" ht="15.75" customHeight="1" x14ac:dyDescent="0.2">
      <c r="B846" s="33"/>
      <c r="C846" s="522"/>
    </row>
    <row r="847" spans="2:3" ht="15.75" customHeight="1" x14ac:dyDescent="0.2">
      <c r="B847" s="33"/>
      <c r="C847" s="522"/>
    </row>
    <row r="848" spans="2:3" ht="15.75" customHeight="1" x14ac:dyDescent="0.2">
      <c r="B848" s="33"/>
      <c r="C848" s="522"/>
    </row>
    <row r="849" spans="2:3" ht="15.75" customHeight="1" x14ac:dyDescent="0.2">
      <c r="B849" s="33"/>
      <c r="C849" s="522"/>
    </row>
    <row r="850" spans="2:3" ht="15.75" customHeight="1" x14ac:dyDescent="0.2">
      <c r="B850" s="33"/>
      <c r="C850" s="522"/>
    </row>
    <row r="851" spans="2:3" ht="15.75" customHeight="1" x14ac:dyDescent="0.2">
      <c r="B851" s="33"/>
      <c r="C851" s="522"/>
    </row>
    <row r="852" spans="2:3" ht="15.75" customHeight="1" x14ac:dyDescent="0.2">
      <c r="B852" s="33"/>
      <c r="C852" s="522"/>
    </row>
    <row r="853" spans="2:3" ht="15.75" customHeight="1" x14ac:dyDescent="0.2">
      <c r="B853" s="33"/>
      <c r="C853" s="522"/>
    </row>
    <row r="854" spans="2:3" ht="15.75" customHeight="1" x14ac:dyDescent="0.2">
      <c r="B854" s="33"/>
      <c r="C854" s="522"/>
    </row>
    <row r="855" spans="2:3" ht="15.75" customHeight="1" x14ac:dyDescent="0.2">
      <c r="B855" s="33"/>
      <c r="C855" s="522"/>
    </row>
    <row r="856" spans="2:3" ht="15.75" customHeight="1" x14ac:dyDescent="0.2">
      <c r="B856" s="33"/>
      <c r="C856" s="522"/>
    </row>
    <row r="857" spans="2:3" ht="15.75" customHeight="1" x14ac:dyDescent="0.2">
      <c r="B857" s="33"/>
      <c r="C857" s="522"/>
    </row>
    <row r="858" spans="2:3" ht="15.75" customHeight="1" x14ac:dyDescent="0.2">
      <c r="B858" s="33"/>
      <c r="C858" s="522"/>
    </row>
    <row r="859" spans="2:3" ht="15.75" customHeight="1" x14ac:dyDescent="0.2">
      <c r="B859" s="33"/>
      <c r="C859" s="522"/>
    </row>
    <row r="860" spans="2:3" ht="15.75" customHeight="1" x14ac:dyDescent="0.2">
      <c r="B860" s="33"/>
      <c r="C860" s="522"/>
    </row>
    <row r="861" spans="2:3" ht="15.75" customHeight="1" x14ac:dyDescent="0.2">
      <c r="B861" s="33"/>
      <c r="C861" s="522"/>
    </row>
    <row r="862" spans="2:3" ht="15.75" customHeight="1" x14ac:dyDescent="0.2">
      <c r="B862" s="33"/>
      <c r="C862" s="522"/>
    </row>
    <row r="863" spans="2:3" ht="15.75" customHeight="1" x14ac:dyDescent="0.2">
      <c r="B863" s="33"/>
      <c r="C863" s="522"/>
    </row>
    <row r="864" spans="2:3" ht="15.75" customHeight="1" x14ac:dyDescent="0.2">
      <c r="B864" s="33"/>
      <c r="C864" s="522"/>
    </row>
    <row r="865" spans="2:3" ht="15.75" customHeight="1" x14ac:dyDescent="0.2">
      <c r="B865" s="33"/>
      <c r="C865" s="522"/>
    </row>
    <row r="866" spans="2:3" ht="15.75" customHeight="1" x14ac:dyDescent="0.2">
      <c r="B866" s="33"/>
      <c r="C866" s="522"/>
    </row>
    <row r="867" spans="2:3" ht="15.75" customHeight="1" x14ac:dyDescent="0.2">
      <c r="B867" s="33"/>
      <c r="C867" s="522"/>
    </row>
    <row r="868" spans="2:3" ht="15.75" customHeight="1" x14ac:dyDescent="0.2">
      <c r="B868" s="33"/>
      <c r="C868" s="522"/>
    </row>
    <row r="869" spans="2:3" ht="15.75" customHeight="1" x14ac:dyDescent="0.2">
      <c r="B869" s="33"/>
      <c r="C869" s="522"/>
    </row>
    <row r="870" spans="2:3" ht="15.75" customHeight="1" x14ac:dyDescent="0.2">
      <c r="B870" s="33"/>
      <c r="C870" s="522"/>
    </row>
    <row r="871" spans="2:3" ht="15.75" customHeight="1" x14ac:dyDescent="0.2">
      <c r="B871" s="33"/>
      <c r="C871" s="522"/>
    </row>
    <row r="872" spans="2:3" ht="15.75" customHeight="1" x14ac:dyDescent="0.2">
      <c r="B872" s="33"/>
      <c r="C872" s="522"/>
    </row>
    <row r="873" spans="2:3" ht="15.75" customHeight="1" x14ac:dyDescent="0.2">
      <c r="B873" s="33"/>
      <c r="C873" s="522"/>
    </row>
    <row r="874" spans="2:3" ht="15.75" customHeight="1" x14ac:dyDescent="0.2">
      <c r="B874" s="33"/>
      <c r="C874" s="522"/>
    </row>
    <row r="875" spans="2:3" ht="15.75" customHeight="1" x14ac:dyDescent="0.2">
      <c r="B875" s="33"/>
      <c r="C875" s="522"/>
    </row>
    <row r="876" spans="2:3" ht="15.75" customHeight="1" x14ac:dyDescent="0.2">
      <c r="B876" s="33"/>
      <c r="C876" s="522"/>
    </row>
    <row r="877" spans="2:3" ht="15.75" customHeight="1" x14ac:dyDescent="0.2">
      <c r="B877" s="33"/>
      <c r="C877" s="522"/>
    </row>
    <row r="878" spans="2:3" ht="15.75" customHeight="1" x14ac:dyDescent="0.2">
      <c r="B878" s="33"/>
      <c r="C878" s="522"/>
    </row>
    <row r="879" spans="2:3" ht="15.75" customHeight="1" x14ac:dyDescent="0.2">
      <c r="B879" s="33"/>
      <c r="C879" s="522"/>
    </row>
    <row r="880" spans="2:3" ht="15.75" customHeight="1" x14ac:dyDescent="0.2">
      <c r="B880" s="33"/>
      <c r="C880" s="522"/>
    </row>
    <row r="881" spans="2:3" ht="15.75" customHeight="1" x14ac:dyDescent="0.2">
      <c r="B881" s="33"/>
      <c r="C881" s="522"/>
    </row>
    <row r="882" spans="2:3" ht="15.75" customHeight="1" x14ac:dyDescent="0.2">
      <c r="B882" s="33"/>
      <c r="C882" s="522"/>
    </row>
    <row r="883" spans="2:3" ht="15.75" customHeight="1" x14ac:dyDescent="0.2">
      <c r="B883" s="33"/>
      <c r="C883" s="522"/>
    </row>
    <row r="884" spans="2:3" ht="15.75" customHeight="1" x14ac:dyDescent="0.2">
      <c r="B884" s="33"/>
      <c r="C884" s="522"/>
    </row>
    <row r="885" spans="2:3" ht="15.75" customHeight="1" x14ac:dyDescent="0.2">
      <c r="B885" s="33"/>
      <c r="C885" s="522"/>
    </row>
    <row r="886" spans="2:3" ht="15.75" customHeight="1" x14ac:dyDescent="0.2">
      <c r="B886" s="33"/>
      <c r="C886" s="522"/>
    </row>
    <row r="887" spans="2:3" ht="15.75" customHeight="1" x14ac:dyDescent="0.2">
      <c r="B887" s="33"/>
      <c r="C887" s="522"/>
    </row>
    <row r="888" spans="2:3" ht="15.75" customHeight="1" x14ac:dyDescent="0.2">
      <c r="B888" s="33"/>
      <c r="C888" s="522"/>
    </row>
    <row r="889" spans="2:3" ht="15.75" customHeight="1" x14ac:dyDescent="0.2">
      <c r="B889" s="33"/>
      <c r="C889" s="522"/>
    </row>
    <row r="890" spans="2:3" ht="15.75" customHeight="1" x14ac:dyDescent="0.2">
      <c r="B890" s="33"/>
      <c r="C890" s="522"/>
    </row>
    <row r="891" spans="2:3" ht="15.75" customHeight="1" x14ac:dyDescent="0.2">
      <c r="B891" s="33"/>
      <c r="C891" s="522"/>
    </row>
    <row r="892" spans="2:3" ht="15.75" customHeight="1" x14ac:dyDescent="0.2">
      <c r="B892" s="33"/>
      <c r="C892" s="522"/>
    </row>
    <row r="893" spans="2:3" ht="15.75" customHeight="1" x14ac:dyDescent="0.2">
      <c r="B893" s="33"/>
      <c r="C893" s="522"/>
    </row>
    <row r="894" spans="2:3" ht="15.75" customHeight="1" x14ac:dyDescent="0.2">
      <c r="B894" s="33"/>
      <c r="C894" s="522"/>
    </row>
    <row r="895" spans="2:3" ht="15.75" customHeight="1" x14ac:dyDescent="0.2">
      <c r="B895" s="33"/>
      <c r="C895" s="522"/>
    </row>
    <row r="896" spans="2:3" ht="15.75" customHeight="1" x14ac:dyDescent="0.2">
      <c r="B896" s="33"/>
      <c r="C896" s="522"/>
    </row>
    <row r="897" spans="2:3" ht="15.75" customHeight="1" x14ac:dyDescent="0.2">
      <c r="B897" s="33"/>
      <c r="C897" s="522"/>
    </row>
    <row r="898" spans="2:3" ht="15.75" customHeight="1" x14ac:dyDescent="0.2">
      <c r="B898" s="33"/>
      <c r="C898" s="522"/>
    </row>
    <row r="899" spans="2:3" ht="15.75" customHeight="1" x14ac:dyDescent="0.2">
      <c r="B899" s="33"/>
      <c r="C899" s="522"/>
    </row>
    <row r="900" spans="2:3" ht="15.75" customHeight="1" x14ac:dyDescent="0.2">
      <c r="B900" s="33"/>
      <c r="C900" s="522"/>
    </row>
    <row r="901" spans="2:3" ht="15.75" customHeight="1" x14ac:dyDescent="0.2">
      <c r="B901" s="33"/>
      <c r="C901" s="522"/>
    </row>
    <row r="902" spans="2:3" ht="15.75" customHeight="1" x14ac:dyDescent="0.2">
      <c r="B902" s="33"/>
      <c r="C902" s="522"/>
    </row>
    <row r="903" spans="2:3" ht="15.75" customHeight="1" x14ac:dyDescent="0.2">
      <c r="B903" s="33"/>
      <c r="C903" s="522"/>
    </row>
    <row r="904" spans="2:3" ht="15.75" customHeight="1" x14ac:dyDescent="0.2">
      <c r="B904" s="33"/>
      <c r="C904" s="522"/>
    </row>
    <row r="905" spans="2:3" ht="15.75" customHeight="1" x14ac:dyDescent="0.2">
      <c r="B905" s="33"/>
      <c r="C905" s="522"/>
    </row>
    <row r="906" spans="2:3" ht="15.75" customHeight="1" x14ac:dyDescent="0.2">
      <c r="B906" s="33"/>
      <c r="C906" s="522"/>
    </row>
    <row r="907" spans="2:3" ht="15.75" customHeight="1" x14ac:dyDescent="0.2">
      <c r="B907" s="33"/>
      <c r="C907" s="522"/>
    </row>
    <row r="908" spans="2:3" ht="15.75" customHeight="1" x14ac:dyDescent="0.2">
      <c r="B908" s="33"/>
      <c r="C908" s="522"/>
    </row>
    <row r="909" spans="2:3" ht="15.75" customHeight="1" x14ac:dyDescent="0.2">
      <c r="B909" s="33"/>
      <c r="C909" s="522"/>
    </row>
    <row r="910" spans="2:3" ht="15.75" customHeight="1" x14ac:dyDescent="0.2">
      <c r="B910" s="33"/>
      <c r="C910" s="522"/>
    </row>
    <row r="911" spans="2:3" ht="15.75" customHeight="1" x14ac:dyDescent="0.2">
      <c r="B911" s="33"/>
      <c r="C911" s="522"/>
    </row>
    <row r="912" spans="2:3" ht="15.75" customHeight="1" x14ac:dyDescent="0.2">
      <c r="B912" s="33"/>
      <c r="C912" s="522"/>
    </row>
    <row r="913" spans="2:3" ht="15.75" customHeight="1" x14ac:dyDescent="0.2">
      <c r="B913" s="33"/>
      <c r="C913" s="522"/>
    </row>
    <row r="914" spans="2:3" ht="15.75" customHeight="1" x14ac:dyDescent="0.2">
      <c r="B914" s="33"/>
      <c r="C914" s="522"/>
    </row>
    <row r="915" spans="2:3" ht="15.75" customHeight="1" x14ac:dyDescent="0.2">
      <c r="B915" s="33"/>
      <c r="C915" s="522"/>
    </row>
    <row r="916" spans="2:3" ht="15.75" customHeight="1" x14ac:dyDescent="0.2">
      <c r="B916" s="33"/>
      <c r="C916" s="522"/>
    </row>
    <row r="917" spans="2:3" ht="15.75" customHeight="1" x14ac:dyDescent="0.2">
      <c r="B917" s="33"/>
      <c r="C917" s="522"/>
    </row>
    <row r="918" spans="2:3" ht="15.75" customHeight="1" x14ac:dyDescent="0.2">
      <c r="B918" s="33"/>
      <c r="C918" s="522"/>
    </row>
    <row r="919" spans="2:3" ht="15.75" customHeight="1" x14ac:dyDescent="0.2">
      <c r="B919" s="33"/>
      <c r="C919" s="522"/>
    </row>
    <row r="920" spans="2:3" ht="15.75" customHeight="1" x14ac:dyDescent="0.2">
      <c r="B920" s="33"/>
      <c r="C920" s="522"/>
    </row>
    <row r="921" spans="2:3" ht="15.75" customHeight="1" x14ac:dyDescent="0.2">
      <c r="B921" s="33"/>
      <c r="C921" s="522"/>
    </row>
    <row r="922" spans="2:3" ht="15.75" customHeight="1" x14ac:dyDescent="0.2">
      <c r="B922" s="33"/>
      <c r="C922" s="522"/>
    </row>
    <row r="923" spans="2:3" ht="15.75" customHeight="1" x14ac:dyDescent="0.2">
      <c r="B923" s="33"/>
      <c r="C923" s="522"/>
    </row>
    <row r="924" spans="2:3" ht="15.75" customHeight="1" x14ac:dyDescent="0.2">
      <c r="B924" s="33"/>
      <c r="C924" s="522"/>
    </row>
    <row r="925" spans="2:3" ht="15.75" customHeight="1" x14ac:dyDescent="0.2">
      <c r="B925" s="33"/>
      <c r="C925" s="522"/>
    </row>
    <row r="926" spans="2:3" ht="15.75" customHeight="1" x14ac:dyDescent="0.2">
      <c r="B926" s="33"/>
      <c r="C926" s="522"/>
    </row>
    <row r="927" spans="2:3" ht="15.75" customHeight="1" x14ac:dyDescent="0.2">
      <c r="B927" s="33"/>
      <c r="C927" s="522"/>
    </row>
    <row r="928" spans="2:3" ht="15.75" customHeight="1" x14ac:dyDescent="0.2">
      <c r="B928" s="33"/>
      <c r="C928" s="522"/>
    </row>
    <row r="929" spans="2:3" ht="15.75" customHeight="1" x14ac:dyDescent="0.2">
      <c r="B929" s="33"/>
      <c r="C929" s="522"/>
    </row>
    <row r="930" spans="2:3" ht="15.75" customHeight="1" x14ac:dyDescent="0.2">
      <c r="B930" s="33"/>
      <c r="C930" s="522"/>
    </row>
    <row r="931" spans="2:3" ht="15.75" customHeight="1" x14ac:dyDescent="0.2">
      <c r="B931" s="33"/>
      <c r="C931" s="522"/>
    </row>
    <row r="932" spans="2:3" ht="15.75" customHeight="1" x14ac:dyDescent="0.2">
      <c r="B932" s="33"/>
      <c r="C932" s="522"/>
    </row>
    <row r="933" spans="2:3" ht="15.75" customHeight="1" x14ac:dyDescent="0.2">
      <c r="B933" s="33"/>
      <c r="C933" s="522"/>
    </row>
    <row r="934" spans="2:3" ht="15.75" customHeight="1" x14ac:dyDescent="0.2">
      <c r="B934" s="33"/>
      <c r="C934" s="522"/>
    </row>
    <row r="935" spans="2:3" ht="15.75" customHeight="1" x14ac:dyDescent="0.2">
      <c r="B935" s="33"/>
      <c r="C935" s="522"/>
    </row>
    <row r="936" spans="2:3" ht="15.75" customHeight="1" x14ac:dyDescent="0.2">
      <c r="B936" s="33"/>
      <c r="C936" s="522"/>
    </row>
    <row r="937" spans="2:3" ht="15.75" customHeight="1" x14ac:dyDescent="0.2">
      <c r="B937" s="33"/>
      <c r="C937" s="522"/>
    </row>
    <row r="938" spans="2:3" ht="15.75" customHeight="1" x14ac:dyDescent="0.2">
      <c r="B938" s="33"/>
      <c r="C938" s="522"/>
    </row>
    <row r="939" spans="2:3" ht="15.75" customHeight="1" x14ac:dyDescent="0.2"/>
    <row r="940" spans="2:3" ht="15.75" customHeight="1" x14ac:dyDescent="0.2"/>
    <row r="941" spans="2:3" ht="15.75" customHeight="1" x14ac:dyDescent="0.2"/>
  </sheetData>
  <mergeCells count="1">
    <mergeCell ref="H3:J3"/>
  </mergeCells>
  <phoneticPr fontId="10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</sheetPr>
  <dimension ref="A1:Z982"/>
  <sheetViews>
    <sheetView workbookViewId="0">
      <selection activeCell="C12" sqref="C12"/>
    </sheetView>
  </sheetViews>
  <sheetFormatPr baseColWidth="10" defaultColWidth="12.6640625" defaultRowHeight="15" customHeight="1" x14ac:dyDescent="0.2"/>
  <cols>
    <col min="1" max="1" width="50.83203125" style="88" customWidth="1"/>
    <col min="2" max="2" width="10.6640625" customWidth="1"/>
    <col min="3" max="3" width="16.1640625" customWidth="1"/>
    <col min="4" max="4" width="90" customWidth="1"/>
    <col min="5" max="23" width="9.5" customWidth="1"/>
    <col min="24" max="26" width="9.33203125" customWidth="1"/>
  </cols>
  <sheetData>
    <row r="1" spans="1:26" ht="15.75" customHeight="1" x14ac:dyDescent="0.2">
      <c r="A1" s="30" t="s">
        <v>91</v>
      </c>
      <c r="B1" s="148" t="s">
        <v>92</v>
      </c>
      <c r="C1" s="522" t="s">
        <v>93</v>
      </c>
      <c r="D1" s="111" t="s">
        <v>94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7.25" customHeight="1" x14ac:dyDescent="0.2">
      <c r="A2" s="32"/>
      <c r="B2" s="33"/>
      <c r="C2" s="34"/>
    </row>
    <row r="3" spans="1:26" ht="15.75" customHeight="1" x14ac:dyDescent="0.2">
      <c r="A3" s="32"/>
      <c r="B3" s="33"/>
      <c r="C3" s="34"/>
    </row>
    <row r="4" spans="1:26" ht="15.75" customHeight="1" x14ac:dyDescent="0.25">
      <c r="A4" s="207" t="s">
        <v>95</v>
      </c>
      <c r="B4" s="149"/>
      <c r="C4" s="150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2"/>
      <c r="Y4" s="152"/>
      <c r="Z4" s="152"/>
    </row>
    <row r="5" spans="1:26" ht="15.75" customHeight="1" x14ac:dyDescent="0.2">
      <c r="A5" s="32" t="s">
        <v>96</v>
      </c>
      <c r="B5" s="33"/>
      <c r="C5" s="35" t="s">
        <v>97</v>
      </c>
    </row>
    <row r="6" spans="1:26" ht="15.75" customHeight="1" x14ac:dyDescent="0.2">
      <c r="A6" s="32" t="s">
        <v>98</v>
      </c>
      <c r="B6" s="33"/>
      <c r="C6" s="35" t="s">
        <v>99</v>
      </c>
    </row>
    <row r="7" spans="1:26" ht="15.75" customHeight="1" x14ac:dyDescent="0.2">
      <c r="A7" s="32" t="s">
        <v>100</v>
      </c>
      <c r="B7" s="33"/>
      <c r="C7" s="36">
        <v>43831</v>
      </c>
      <c r="D7" t="s">
        <v>101</v>
      </c>
    </row>
    <row r="8" spans="1:26" ht="15.75" customHeight="1" x14ac:dyDescent="0.2">
      <c r="A8" s="32"/>
      <c r="B8" s="33"/>
      <c r="C8" s="34"/>
    </row>
    <row r="9" spans="1:26" ht="15.75" customHeight="1" x14ac:dyDescent="0.2">
      <c r="A9" s="32"/>
      <c r="B9" s="33"/>
      <c r="C9" s="34"/>
    </row>
    <row r="10" spans="1:26" ht="15.75" customHeight="1" x14ac:dyDescent="0.25">
      <c r="A10" s="207" t="s">
        <v>102</v>
      </c>
      <c r="B10" s="149"/>
      <c r="C10" s="150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2"/>
      <c r="Y10" s="152"/>
      <c r="Z10" s="152"/>
    </row>
    <row r="11" spans="1:26" ht="15.75" customHeight="1" x14ac:dyDescent="0.2">
      <c r="A11" s="32" t="s">
        <v>103</v>
      </c>
      <c r="B11" s="37" t="str">
        <f>Settings!$C$6</f>
        <v>CAD</v>
      </c>
      <c r="C11" s="473">
        <v>0</v>
      </c>
    </row>
    <row r="12" spans="1:26" ht="15.75" customHeight="1" x14ac:dyDescent="0.2">
      <c r="B12" s="33"/>
      <c r="C12" s="34"/>
    </row>
    <row r="13" spans="1:26" ht="15.75" customHeight="1" x14ac:dyDescent="0.25">
      <c r="A13" s="207" t="s">
        <v>104</v>
      </c>
      <c r="B13" s="149"/>
      <c r="C13" s="150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2"/>
      <c r="Y13" s="152"/>
      <c r="Z13" s="152"/>
    </row>
    <row r="14" spans="1:26" ht="15.75" customHeight="1" x14ac:dyDescent="0.2">
      <c r="A14" s="57"/>
      <c r="B14" s="153"/>
      <c r="C14" s="38"/>
      <c r="D14" s="39"/>
    </row>
    <row r="15" spans="1:26" ht="15.75" customHeight="1" x14ac:dyDescent="0.2">
      <c r="A15" s="57" t="s">
        <v>105</v>
      </c>
      <c r="B15" s="153"/>
      <c r="C15" s="38"/>
      <c r="D15" s="39"/>
    </row>
    <row r="16" spans="1:26" ht="15.75" customHeight="1" x14ac:dyDescent="0.2">
      <c r="A16" s="44" t="s">
        <v>106</v>
      </c>
      <c r="B16" s="41" t="s">
        <v>107</v>
      </c>
      <c r="C16" s="472">
        <f>0.15+0.08</f>
        <v>0.22999999999999998</v>
      </c>
      <c r="D16" s="154" t="s">
        <v>108</v>
      </c>
    </row>
    <row r="17" spans="1:26" ht="15.75" customHeight="1" x14ac:dyDescent="0.2">
      <c r="A17" s="44" t="s">
        <v>109</v>
      </c>
      <c r="B17" s="41" t="s">
        <v>107</v>
      </c>
      <c r="C17" s="475">
        <v>1.4999999999999999E-2</v>
      </c>
      <c r="D17" s="154" t="s">
        <v>110</v>
      </c>
    </row>
    <row r="18" spans="1:26" ht="15.75" customHeight="1" x14ac:dyDescent="0.2">
      <c r="A18" s="48"/>
      <c r="B18" s="41"/>
      <c r="C18" s="42"/>
    </row>
    <row r="19" spans="1:26" ht="15.75" customHeight="1" x14ac:dyDescent="0.2">
      <c r="A19" s="57" t="s">
        <v>111</v>
      </c>
      <c r="B19" s="153"/>
      <c r="C19" s="42"/>
    </row>
    <row r="20" spans="1:26" ht="15.75" customHeight="1" x14ac:dyDescent="0.2">
      <c r="A20" s="89" t="s">
        <v>112</v>
      </c>
      <c r="B20" s="56"/>
      <c r="C20" s="155" t="s">
        <v>113</v>
      </c>
      <c r="D20" s="154" t="s">
        <v>114</v>
      </c>
    </row>
    <row r="21" spans="1:26" ht="15.75" customHeight="1" x14ac:dyDescent="0.2">
      <c r="A21" s="44" t="s">
        <v>115</v>
      </c>
      <c r="B21" s="41" t="s">
        <v>107</v>
      </c>
      <c r="C21" s="478">
        <v>0.25</v>
      </c>
      <c r="D21" s="156" t="s">
        <v>116</v>
      </c>
    </row>
    <row r="22" spans="1:26" ht="15.75" customHeight="1" x14ac:dyDescent="0.2">
      <c r="A22" s="89" t="s">
        <v>113</v>
      </c>
      <c r="B22" s="157" t="s">
        <v>117</v>
      </c>
      <c r="C22" s="476">
        <v>8</v>
      </c>
    </row>
    <row r="23" spans="1:26" ht="15.75" customHeight="1" x14ac:dyDescent="0.2">
      <c r="A23" s="44" t="s">
        <v>118</v>
      </c>
      <c r="B23" s="41" t="s">
        <v>107</v>
      </c>
      <c r="C23" s="478">
        <v>0</v>
      </c>
    </row>
    <row r="24" spans="1:26" ht="15.75" customHeight="1" x14ac:dyDescent="0.2">
      <c r="A24" s="44" t="s">
        <v>119</v>
      </c>
      <c r="B24" s="41" t="s">
        <v>107</v>
      </c>
      <c r="C24" s="478">
        <v>0.1</v>
      </c>
    </row>
    <row r="25" spans="1:26" ht="15.75" customHeight="1" x14ac:dyDescent="0.2">
      <c r="B25" s="33"/>
      <c r="C25" s="522"/>
    </row>
    <row r="26" spans="1:26" ht="15.75" customHeight="1" x14ac:dyDescent="0.25">
      <c r="A26" s="208" t="s">
        <v>120</v>
      </c>
      <c r="B26" s="158"/>
      <c r="C26" s="159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1"/>
      <c r="Y26" s="161"/>
      <c r="Z26" s="161"/>
    </row>
    <row r="27" spans="1:26" ht="15.75" customHeight="1" x14ac:dyDescent="0.2">
      <c r="B27" s="33"/>
      <c r="C27" s="522"/>
    </row>
    <row r="28" spans="1:26" ht="15.75" customHeight="1" x14ac:dyDescent="0.2">
      <c r="A28" s="43" t="s">
        <v>121</v>
      </c>
      <c r="B28" s="33"/>
      <c r="C28" s="522"/>
    </row>
    <row r="29" spans="1:26" ht="15.75" customHeight="1" x14ac:dyDescent="0.2">
      <c r="A29" s="44" t="s">
        <v>122</v>
      </c>
      <c r="B29" s="41" t="str">
        <f>Settings!$C$6</f>
        <v>CAD</v>
      </c>
      <c r="C29" s="479">
        <v>0</v>
      </c>
    </row>
    <row r="30" spans="1:26" ht="15.75" customHeight="1" x14ac:dyDescent="0.2">
      <c r="A30" s="44" t="s">
        <v>123</v>
      </c>
      <c r="B30" s="41" t="s">
        <v>107</v>
      </c>
      <c r="C30" s="478">
        <v>0.1</v>
      </c>
    </row>
    <row r="31" spans="1:26" ht="15.75" customHeight="1" x14ac:dyDescent="0.2">
      <c r="A31" s="44"/>
      <c r="B31" s="41"/>
      <c r="C31" s="45"/>
    </row>
    <row r="32" spans="1:26" ht="15.75" customHeight="1" x14ac:dyDescent="0.2">
      <c r="A32" s="46" t="s">
        <v>124</v>
      </c>
      <c r="B32" s="41"/>
      <c r="C32" s="45"/>
      <c r="D32" s="47"/>
    </row>
    <row r="33" spans="1:4" ht="15.75" customHeight="1" x14ac:dyDescent="0.2">
      <c r="A33" s="48" t="s">
        <v>125</v>
      </c>
      <c r="B33" s="41" t="s">
        <v>107</v>
      </c>
      <c r="C33" s="478">
        <v>0</v>
      </c>
    </row>
    <row r="34" spans="1:4" ht="15.75" customHeight="1" x14ac:dyDescent="0.2">
      <c r="A34" s="48"/>
      <c r="B34" s="41"/>
      <c r="C34" s="49"/>
    </row>
    <row r="35" spans="1:4" ht="15.75" customHeight="1" x14ac:dyDescent="0.2">
      <c r="A35" s="46" t="s">
        <v>126</v>
      </c>
      <c r="B35" s="41"/>
      <c r="C35" s="50"/>
      <c r="D35" s="51"/>
    </row>
    <row r="36" spans="1:4" ht="15.75" customHeight="1" x14ac:dyDescent="0.2">
      <c r="A36" s="48" t="s">
        <v>127</v>
      </c>
      <c r="B36" s="41" t="s">
        <v>128</v>
      </c>
      <c r="C36" s="473">
        <v>30</v>
      </c>
    </row>
    <row r="37" spans="1:4" ht="15.75" customHeight="1" x14ac:dyDescent="0.2">
      <c r="A37" s="44"/>
      <c r="B37" s="41"/>
      <c r="C37" s="50"/>
      <c r="D37" s="52"/>
    </row>
    <row r="38" spans="1:4" ht="15.75" customHeight="1" x14ac:dyDescent="0.2">
      <c r="A38" s="46" t="s">
        <v>129</v>
      </c>
      <c r="B38" s="41"/>
      <c r="C38" s="53"/>
      <c r="D38" s="54"/>
    </row>
    <row r="39" spans="1:4" ht="15.75" customHeight="1" x14ac:dyDescent="0.2">
      <c r="A39" s="44" t="s">
        <v>130</v>
      </c>
      <c r="B39" s="41" t="s">
        <v>107</v>
      </c>
      <c r="C39" s="477">
        <v>0</v>
      </c>
    </row>
    <row r="40" spans="1:4" ht="15.75" customHeight="1" x14ac:dyDescent="0.2">
      <c r="A40" s="44"/>
      <c r="B40" s="41"/>
      <c r="C40" s="50"/>
      <c r="D40" s="51"/>
    </row>
    <row r="41" spans="1:4" ht="15.75" customHeight="1" x14ac:dyDescent="0.2">
      <c r="A41" s="43" t="s">
        <v>131</v>
      </c>
      <c r="B41" s="33"/>
      <c r="C41" s="522"/>
    </row>
    <row r="42" spans="1:4" ht="15.75" customHeight="1" x14ac:dyDescent="0.2">
      <c r="A42" s="44" t="s">
        <v>132</v>
      </c>
      <c r="B42" s="56" t="s">
        <v>133</v>
      </c>
      <c r="C42" s="474" t="s">
        <v>134</v>
      </c>
    </row>
    <row r="43" spans="1:4" ht="15.75" customHeight="1" x14ac:dyDescent="0.2">
      <c r="A43" s="48" t="s">
        <v>135</v>
      </c>
      <c r="B43" s="56" t="str">
        <f>$C$6</f>
        <v>CAD</v>
      </c>
      <c r="C43" s="473">
        <v>999</v>
      </c>
    </row>
    <row r="44" spans="1:4" ht="15.75" customHeight="1" x14ac:dyDescent="0.2">
      <c r="A44" s="44"/>
      <c r="B44" s="162"/>
      <c r="C44" s="522"/>
    </row>
    <row r="45" spans="1:4" ht="15.75" customHeight="1" x14ac:dyDescent="0.2">
      <c r="A45" s="43" t="s">
        <v>136</v>
      </c>
      <c r="B45" s="33"/>
      <c r="C45" s="522"/>
    </row>
    <row r="46" spans="1:4" ht="15.75" customHeight="1" x14ac:dyDescent="0.2">
      <c r="A46" s="48" t="s">
        <v>137</v>
      </c>
      <c r="B46" s="56" t="s">
        <v>138</v>
      </c>
      <c r="C46" s="480">
        <v>10</v>
      </c>
    </row>
    <row r="47" spans="1:4" ht="15.75" customHeight="1" x14ac:dyDescent="0.2">
      <c r="A47" s="48" t="s">
        <v>139</v>
      </c>
      <c r="B47" s="56" t="s">
        <v>138</v>
      </c>
      <c r="C47" s="480">
        <v>5</v>
      </c>
    </row>
    <row r="48" spans="1:4" ht="15.75" customHeight="1" x14ac:dyDescent="0.2">
      <c r="A48" s="48" t="s">
        <v>140</v>
      </c>
      <c r="B48" s="56" t="s">
        <v>138</v>
      </c>
      <c r="C48" s="480">
        <v>3</v>
      </c>
    </row>
    <row r="49" spans="1:3" ht="15.75" customHeight="1" x14ac:dyDescent="0.2">
      <c r="A49" s="48" t="s">
        <v>141</v>
      </c>
      <c r="B49" s="56" t="s">
        <v>138</v>
      </c>
      <c r="C49" s="480">
        <v>5</v>
      </c>
    </row>
    <row r="50" spans="1:3" ht="15.75" customHeight="1" x14ac:dyDescent="0.2">
      <c r="A50" s="48" t="s">
        <v>142</v>
      </c>
      <c r="B50" s="56" t="s">
        <v>138</v>
      </c>
      <c r="C50" s="480">
        <v>5</v>
      </c>
    </row>
    <row r="51" spans="1:3" ht="15.75" customHeight="1" x14ac:dyDescent="0.2">
      <c r="A51" s="48" t="s">
        <v>87</v>
      </c>
      <c r="B51" s="56" t="s">
        <v>138</v>
      </c>
      <c r="C51" s="480">
        <v>5</v>
      </c>
    </row>
    <row r="52" spans="1:3" ht="15" customHeight="1" x14ac:dyDescent="0.2">
      <c r="A52" s="83"/>
      <c r="B52" s="56"/>
      <c r="C52" s="522"/>
    </row>
    <row r="53" spans="1:3" ht="15.75" customHeight="1" x14ac:dyDescent="0.2">
      <c r="B53" s="33"/>
      <c r="C53" s="522"/>
    </row>
    <row r="54" spans="1:3" ht="15.75" customHeight="1" x14ac:dyDescent="0.2">
      <c r="B54" s="33"/>
      <c r="C54" s="522"/>
    </row>
    <row r="55" spans="1:3" ht="15.75" customHeight="1" x14ac:dyDescent="0.2">
      <c r="B55" s="33"/>
      <c r="C55" s="522"/>
    </row>
    <row r="56" spans="1:3" ht="15.75" customHeight="1" x14ac:dyDescent="0.2">
      <c r="B56" s="33"/>
      <c r="C56" s="522"/>
    </row>
    <row r="57" spans="1:3" ht="15.75" customHeight="1" x14ac:dyDescent="0.2">
      <c r="B57" s="33"/>
      <c r="C57" s="522"/>
    </row>
    <row r="58" spans="1:3" ht="15.75" customHeight="1" x14ac:dyDescent="0.2">
      <c r="B58" s="33"/>
      <c r="C58" s="522"/>
    </row>
    <row r="59" spans="1:3" ht="15.75" customHeight="1" x14ac:dyDescent="0.2">
      <c r="B59" s="33"/>
      <c r="C59" s="522"/>
    </row>
    <row r="60" spans="1:3" ht="15.75" customHeight="1" x14ac:dyDescent="0.2">
      <c r="B60" s="33"/>
      <c r="C60" s="522"/>
    </row>
    <row r="61" spans="1:3" ht="15.75" customHeight="1" x14ac:dyDescent="0.2">
      <c r="B61" s="33"/>
      <c r="C61" s="522"/>
    </row>
    <row r="62" spans="1:3" ht="15.75" customHeight="1" x14ac:dyDescent="0.2">
      <c r="B62" s="33"/>
      <c r="C62" s="522"/>
    </row>
    <row r="63" spans="1:3" ht="15.75" customHeight="1" x14ac:dyDescent="0.2">
      <c r="B63" s="33"/>
      <c r="C63" s="522"/>
    </row>
    <row r="64" spans="1:3" ht="15.75" customHeight="1" x14ac:dyDescent="0.2">
      <c r="B64" s="33"/>
      <c r="C64" s="522"/>
    </row>
    <row r="65" spans="2:3" ht="15.75" customHeight="1" x14ac:dyDescent="0.2">
      <c r="B65" s="33"/>
      <c r="C65" s="522"/>
    </row>
    <row r="66" spans="2:3" ht="15.75" customHeight="1" x14ac:dyDescent="0.2">
      <c r="B66" s="33"/>
      <c r="C66" s="522"/>
    </row>
    <row r="67" spans="2:3" ht="15.75" customHeight="1" x14ac:dyDescent="0.2">
      <c r="B67" s="33"/>
      <c r="C67" s="522"/>
    </row>
    <row r="68" spans="2:3" ht="15.75" customHeight="1" x14ac:dyDescent="0.2">
      <c r="B68" s="33"/>
      <c r="C68" s="522"/>
    </row>
    <row r="69" spans="2:3" ht="15.75" customHeight="1" x14ac:dyDescent="0.2">
      <c r="B69" s="33"/>
      <c r="C69" s="522"/>
    </row>
    <row r="70" spans="2:3" ht="15.75" customHeight="1" x14ac:dyDescent="0.2">
      <c r="B70" s="33"/>
      <c r="C70" s="522"/>
    </row>
    <row r="71" spans="2:3" ht="15.75" customHeight="1" x14ac:dyDescent="0.2">
      <c r="B71" s="33"/>
      <c r="C71" s="522"/>
    </row>
    <row r="72" spans="2:3" ht="15.75" customHeight="1" x14ac:dyDescent="0.2">
      <c r="B72" s="33"/>
      <c r="C72" s="522"/>
    </row>
    <row r="73" spans="2:3" ht="15.75" customHeight="1" x14ac:dyDescent="0.2">
      <c r="B73" s="33"/>
      <c r="C73" s="522"/>
    </row>
    <row r="74" spans="2:3" ht="15.75" customHeight="1" x14ac:dyDescent="0.2">
      <c r="B74" s="33"/>
      <c r="C74" s="522"/>
    </row>
    <row r="75" spans="2:3" ht="15.75" customHeight="1" x14ac:dyDescent="0.2">
      <c r="B75" s="33"/>
      <c r="C75" s="522"/>
    </row>
    <row r="76" spans="2:3" ht="15.75" customHeight="1" x14ac:dyDescent="0.2">
      <c r="B76" s="33"/>
      <c r="C76" s="522"/>
    </row>
    <row r="77" spans="2:3" ht="15.75" customHeight="1" x14ac:dyDescent="0.2">
      <c r="B77" s="33"/>
      <c r="C77" s="522"/>
    </row>
    <row r="78" spans="2:3" ht="15.75" customHeight="1" x14ac:dyDescent="0.2">
      <c r="B78" s="33"/>
      <c r="C78" s="522"/>
    </row>
    <row r="79" spans="2:3" ht="15.75" customHeight="1" x14ac:dyDescent="0.2">
      <c r="B79" s="33"/>
      <c r="C79" s="522"/>
    </row>
    <row r="80" spans="2:3" ht="15.75" customHeight="1" x14ac:dyDescent="0.2">
      <c r="B80" s="33"/>
      <c r="C80" s="522"/>
    </row>
    <row r="81" spans="2:3" ht="15.75" customHeight="1" x14ac:dyDescent="0.2">
      <c r="B81" s="33"/>
      <c r="C81" s="522"/>
    </row>
    <row r="82" spans="2:3" ht="15.75" customHeight="1" x14ac:dyDescent="0.2">
      <c r="B82" s="33"/>
      <c r="C82" s="522"/>
    </row>
    <row r="83" spans="2:3" ht="15.75" customHeight="1" x14ac:dyDescent="0.2">
      <c r="B83" s="33"/>
      <c r="C83" s="522"/>
    </row>
    <row r="84" spans="2:3" ht="15.75" customHeight="1" x14ac:dyDescent="0.2">
      <c r="B84" s="33"/>
      <c r="C84" s="522"/>
    </row>
    <row r="85" spans="2:3" ht="15.75" customHeight="1" x14ac:dyDescent="0.2">
      <c r="B85" s="33"/>
      <c r="C85" s="522"/>
    </row>
    <row r="86" spans="2:3" ht="15.75" customHeight="1" x14ac:dyDescent="0.2">
      <c r="B86" s="33"/>
      <c r="C86" s="522"/>
    </row>
    <row r="87" spans="2:3" ht="15.75" customHeight="1" x14ac:dyDescent="0.2">
      <c r="B87" s="33"/>
      <c r="C87" s="522"/>
    </row>
    <row r="88" spans="2:3" ht="15.75" customHeight="1" x14ac:dyDescent="0.2">
      <c r="B88" s="33"/>
      <c r="C88" s="522"/>
    </row>
    <row r="89" spans="2:3" ht="15.75" customHeight="1" x14ac:dyDescent="0.2">
      <c r="B89" s="33"/>
      <c r="C89" s="522"/>
    </row>
    <row r="90" spans="2:3" ht="15.75" customHeight="1" x14ac:dyDescent="0.2">
      <c r="B90" s="33"/>
      <c r="C90" s="522"/>
    </row>
    <row r="91" spans="2:3" ht="15.75" customHeight="1" x14ac:dyDescent="0.2">
      <c r="B91" s="33"/>
      <c r="C91" s="522"/>
    </row>
    <row r="92" spans="2:3" ht="15.75" customHeight="1" x14ac:dyDescent="0.2">
      <c r="B92" s="33"/>
      <c r="C92" s="522"/>
    </row>
    <row r="93" spans="2:3" ht="15.75" customHeight="1" x14ac:dyDescent="0.2">
      <c r="B93" s="33"/>
      <c r="C93" s="522"/>
    </row>
    <row r="94" spans="2:3" ht="15.75" customHeight="1" x14ac:dyDescent="0.2">
      <c r="B94" s="33"/>
      <c r="C94" s="522"/>
    </row>
    <row r="95" spans="2:3" ht="15.75" customHeight="1" x14ac:dyDescent="0.2">
      <c r="B95" s="33"/>
      <c r="C95" s="522"/>
    </row>
    <row r="96" spans="2:3" ht="15.75" customHeight="1" x14ac:dyDescent="0.2">
      <c r="B96" s="33"/>
      <c r="C96" s="522"/>
    </row>
    <row r="97" spans="2:3" ht="15.75" customHeight="1" x14ac:dyDescent="0.2">
      <c r="B97" s="33"/>
      <c r="C97" s="522"/>
    </row>
    <row r="98" spans="2:3" ht="15.75" customHeight="1" x14ac:dyDescent="0.2">
      <c r="B98" s="33"/>
      <c r="C98" s="522"/>
    </row>
    <row r="99" spans="2:3" ht="15.75" customHeight="1" x14ac:dyDescent="0.2">
      <c r="B99" s="33"/>
      <c r="C99" s="522"/>
    </row>
    <row r="100" spans="2:3" ht="15.75" customHeight="1" x14ac:dyDescent="0.2">
      <c r="B100" s="33"/>
      <c r="C100" s="522"/>
    </row>
    <row r="101" spans="2:3" ht="15.75" customHeight="1" x14ac:dyDescent="0.2">
      <c r="B101" s="33"/>
      <c r="C101" s="522"/>
    </row>
    <row r="102" spans="2:3" ht="15.75" customHeight="1" x14ac:dyDescent="0.2">
      <c r="B102" s="33"/>
      <c r="C102" s="522"/>
    </row>
    <row r="103" spans="2:3" ht="15.75" customHeight="1" x14ac:dyDescent="0.2">
      <c r="B103" s="33"/>
      <c r="C103" s="522"/>
    </row>
    <row r="104" spans="2:3" ht="15.75" customHeight="1" x14ac:dyDescent="0.2">
      <c r="B104" s="33"/>
      <c r="C104" s="522"/>
    </row>
    <row r="105" spans="2:3" ht="15.75" customHeight="1" x14ac:dyDescent="0.2">
      <c r="B105" s="33"/>
      <c r="C105" s="522"/>
    </row>
    <row r="106" spans="2:3" ht="15.75" customHeight="1" x14ac:dyDescent="0.2">
      <c r="B106" s="33"/>
      <c r="C106" s="522"/>
    </row>
    <row r="107" spans="2:3" ht="15.75" customHeight="1" x14ac:dyDescent="0.2">
      <c r="B107" s="33"/>
      <c r="C107" s="522"/>
    </row>
    <row r="108" spans="2:3" ht="15.75" customHeight="1" x14ac:dyDescent="0.2">
      <c r="B108" s="33"/>
      <c r="C108" s="522"/>
    </row>
    <row r="109" spans="2:3" ht="15.75" customHeight="1" x14ac:dyDescent="0.2">
      <c r="B109" s="33"/>
      <c r="C109" s="522"/>
    </row>
    <row r="110" spans="2:3" ht="15.75" customHeight="1" x14ac:dyDescent="0.2">
      <c r="B110" s="33"/>
      <c r="C110" s="522"/>
    </row>
    <row r="111" spans="2:3" ht="15.75" customHeight="1" x14ac:dyDescent="0.2">
      <c r="B111" s="33"/>
      <c r="C111" s="522"/>
    </row>
    <row r="112" spans="2:3" ht="15.75" customHeight="1" x14ac:dyDescent="0.2">
      <c r="B112" s="33"/>
      <c r="C112" s="522"/>
    </row>
    <row r="113" spans="2:3" ht="15.75" customHeight="1" x14ac:dyDescent="0.2">
      <c r="B113" s="33"/>
      <c r="C113" s="522"/>
    </row>
    <row r="114" spans="2:3" ht="15.75" customHeight="1" x14ac:dyDescent="0.2">
      <c r="B114" s="33"/>
      <c r="C114" s="522"/>
    </row>
    <row r="115" spans="2:3" ht="15.75" customHeight="1" x14ac:dyDescent="0.2">
      <c r="B115" s="33"/>
      <c r="C115" s="522"/>
    </row>
    <row r="116" spans="2:3" ht="15.75" customHeight="1" x14ac:dyDescent="0.2">
      <c r="B116" s="33"/>
      <c r="C116" s="522"/>
    </row>
    <row r="117" spans="2:3" ht="15.75" customHeight="1" x14ac:dyDescent="0.2">
      <c r="B117" s="33"/>
      <c r="C117" s="522"/>
    </row>
    <row r="118" spans="2:3" ht="15.75" customHeight="1" x14ac:dyDescent="0.2">
      <c r="B118" s="33"/>
      <c r="C118" s="522"/>
    </row>
    <row r="119" spans="2:3" ht="15.75" customHeight="1" x14ac:dyDescent="0.2">
      <c r="B119" s="33"/>
      <c r="C119" s="522"/>
    </row>
    <row r="120" spans="2:3" ht="15.75" customHeight="1" x14ac:dyDescent="0.2">
      <c r="B120" s="33"/>
      <c r="C120" s="522"/>
    </row>
    <row r="121" spans="2:3" ht="15.75" customHeight="1" x14ac:dyDescent="0.2">
      <c r="B121" s="33"/>
      <c r="C121" s="522"/>
    </row>
    <row r="122" spans="2:3" ht="15.75" customHeight="1" x14ac:dyDescent="0.2">
      <c r="B122" s="33"/>
      <c r="C122" s="522"/>
    </row>
    <row r="123" spans="2:3" ht="15.75" customHeight="1" x14ac:dyDescent="0.2">
      <c r="B123" s="33"/>
      <c r="C123" s="522"/>
    </row>
    <row r="124" spans="2:3" ht="15.75" customHeight="1" x14ac:dyDescent="0.2">
      <c r="B124" s="33"/>
      <c r="C124" s="522"/>
    </row>
    <row r="125" spans="2:3" ht="15.75" customHeight="1" x14ac:dyDescent="0.2">
      <c r="B125" s="33"/>
      <c r="C125" s="522"/>
    </row>
    <row r="126" spans="2:3" ht="15.75" customHeight="1" x14ac:dyDescent="0.2">
      <c r="B126" s="33"/>
      <c r="C126" s="522"/>
    </row>
    <row r="127" spans="2:3" ht="15.75" customHeight="1" x14ac:dyDescent="0.2">
      <c r="B127" s="33"/>
      <c r="C127" s="522"/>
    </row>
    <row r="128" spans="2:3" ht="15.75" customHeight="1" x14ac:dyDescent="0.2">
      <c r="B128" s="33"/>
      <c r="C128" s="522"/>
    </row>
    <row r="129" spans="2:3" ht="15.75" customHeight="1" x14ac:dyDescent="0.2">
      <c r="B129" s="33"/>
      <c r="C129" s="522"/>
    </row>
    <row r="130" spans="2:3" ht="15.75" customHeight="1" x14ac:dyDescent="0.2">
      <c r="B130" s="33"/>
      <c r="C130" s="522"/>
    </row>
    <row r="131" spans="2:3" ht="15.75" customHeight="1" x14ac:dyDescent="0.2">
      <c r="B131" s="33"/>
      <c r="C131" s="522"/>
    </row>
    <row r="132" spans="2:3" ht="15.75" customHeight="1" x14ac:dyDescent="0.2">
      <c r="B132" s="33"/>
      <c r="C132" s="522"/>
    </row>
    <row r="133" spans="2:3" ht="15.75" customHeight="1" x14ac:dyDescent="0.2">
      <c r="B133" s="33"/>
      <c r="C133" s="522"/>
    </row>
    <row r="134" spans="2:3" ht="15.75" customHeight="1" x14ac:dyDescent="0.2">
      <c r="B134" s="33"/>
      <c r="C134" s="522"/>
    </row>
    <row r="135" spans="2:3" ht="15.75" customHeight="1" x14ac:dyDescent="0.2">
      <c r="B135" s="33"/>
      <c r="C135" s="522"/>
    </row>
    <row r="136" spans="2:3" ht="15.75" customHeight="1" x14ac:dyDescent="0.2">
      <c r="B136" s="33"/>
      <c r="C136" s="522"/>
    </row>
    <row r="137" spans="2:3" ht="15.75" customHeight="1" x14ac:dyDescent="0.2">
      <c r="B137" s="33"/>
      <c r="C137" s="522"/>
    </row>
    <row r="138" spans="2:3" ht="15.75" customHeight="1" x14ac:dyDescent="0.2">
      <c r="B138" s="33"/>
      <c r="C138" s="522"/>
    </row>
    <row r="139" spans="2:3" ht="15.75" customHeight="1" x14ac:dyDescent="0.2">
      <c r="B139" s="33"/>
      <c r="C139" s="522"/>
    </row>
    <row r="140" spans="2:3" ht="15.75" customHeight="1" x14ac:dyDescent="0.2">
      <c r="B140" s="33"/>
      <c r="C140" s="522"/>
    </row>
    <row r="141" spans="2:3" ht="15.75" customHeight="1" x14ac:dyDescent="0.2">
      <c r="B141" s="33"/>
      <c r="C141" s="522"/>
    </row>
    <row r="142" spans="2:3" ht="15.75" customHeight="1" x14ac:dyDescent="0.2">
      <c r="B142" s="33"/>
      <c r="C142" s="522"/>
    </row>
    <row r="143" spans="2:3" ht="15.75" customHeight="1" x14ac:dyDescent="0.2">
      <c r="B143" s="33"/>
      <c r="C143" s="522"/>
    </row>
    <row r="144" spans="2:3" ht="15.75" customHeight="1" x14ac:dyDescent="0.2">
      <c r="B144" s="33"/>
      <c r="C144" s="522"/>
    </row>
    <row r="145" spans="2:3" ht="15.75" customHeight="1" x14ac:dyDescent="0.2">
      <c r="B145" s="33"/>
      <c r="C145" s="522"/>
    </row>
    <row r="146" spans="2:3" ht="15.75" customHeight="1" x14ac:dyDescent="0.2">
      <c r="B146" s="33"/>
      <c r="C146" s="522"/>
    </row>
    <row r="147" spans="2:3" ht="15.75" customHeight="1" x14ac:dyDescent="0.2">
      <c r="B147" s="33"/>
      <c r="C147" s="522"/>
    </row>
    <row r="148" spans="2:3" ht="15.75" customHeight="1" x14ac:dyDescent="0.2">
      <c r="B148" s="33"/>
      <c r="C148" s="522"/>
    </row>
    <row r="149" spans="2:3" ht="15.75" customHeight="1" x14ac:dyDescent="0.2">
      <c r="B149" s="33"/>
      <c r="C149" s="522"/>
    </row>
    <row r="150" spans="2:3" ht="15.75" customHeight="1" x14ac:dyDescent="0.2">
      <c r="B150" s="33"/>
      <c r="C150" s="522"/>
    </row>
    <row r="151" spans="2:3" ht="15.75" customHeight="1" x14ac:dyDescent="0.2">
      <c r="B151" s="33"/>
      <c r="C151" s="522"/>
    </row>
    <row r="152" spans="2:3" ht="15.75" customHeight="1" x14ac:dyDescent="0.2">
      <c r="B152" s="33"/>
      <c r="C152" s="522"/>
    </row>
    <row r="153" spans="2:3" ht="15.75" customHeight="1" x14ac:dyDescent="0.2">
      <c r="B153" s="33"/>
      <c r="C153" s="522"/>
    </row>
    <row r="154" spans="2:3" ht="15.75" customHeight="1" x14ac:dyDescent="0.2">
      <c r="B154" s="33"/>
      <c r="C154" s="522"/>
    </row>
    <row r="155" spans="2:3" ht="15.75" customHeight="1" x14ac:dyDescent="0.2">
      <c r="B155" s="33"/>
      <c r="C155" s="522"/>
    </row>
    <row r="156" spans="2:3" ht="15.75" customHeight="1" x14ac:dyDescent="0.2">
      <c r="B156" s="33"/>
      <c r="C156" s="522"/>
    </row>
    <row r="157" spans="2:3" ht="15.75" customHeight="1" x14ac:dyDescent="0.2">
      <c r="B157" s="33"/>
      <c r="C157" s="522"/>
    </row>
    <row r="158" spans="2:3" ht="15.75" customHeight="1" x14ac:dyDescent="0.2">
      <c r="B158" s="33"/>
      <c r="C158" s="522"/>
    </row>
    <row r="159" spans="2:3" ht="15.75" customHeight="1" x14ac:dyDescent="0.2">
      <c r="B159" s="33"/>
      <c r="C159" s="522"/>
    </row>
    <row r="160" spans="2:3" ht="15.75" customHeight="1" x14ac:dyDescent="0.2">
      <c r="B160" s="33"/>
      <c r="C160" s="522"/>
    </row>
    <row r="161" spans="2:3" ht="15.75" customHeight="1" x14ac:dyDescent="0.2">
      <c r="B161" s="33"/>
      <c r="C161" s="522"/>
    </row>
    <row r="162" spans="2:3" ht="15.75" customHeight="1" x14ac:dyDescent="0.2">
      <c r="B162" s="33"/>
      <c r="C162" s="522"/>
    </row>
    <row r="163" spans="2:3" ht="15.75" customHeight="1" x14ac:dyDescent="0.2">
      <c r="B163" s="33"/>
      <c r="C163" s="522"/>
    </row>
    <row r="164" spans="2:3" ht="15.75" customHeight="1" x14ac:dyDescent="0.2">
      <c r="B164" s="33"/>
      <c r="C164" s="522"/>
    </row>
    <row r="165" spans="2:3" ht="15.75" customHeight="1" x14ac:dyDescent="0.2">
      <c r="B165" s="33"/>
      <c r="C165" s="522"/>
    </row>
    <row r="166" spans="2:3" ht="15.75" customHeight="1" x14ac:dyDescent="0.2">
      <c r="B166" s="33"/>
      <c r="C166" s="522"/>
    </row>
    <row r="167" spans="2:3" ht="15.75" customHeight="1" x14ac:dyDescent="0.2">
      <c r="B167" s="33"/>
      <c r="C167" s="522"/>
    </row>
    <row r="168" spans="2:3" ht="15.75" customHeight="1" x14ac:dyDescent="0.2">
      <c r="B168" s="33"/>
      <c r="C168" s="522"/>
    </row>
    <row r="169" spans="2:3" ht="15.75" customHeight="1" x14ac:dyDescent="0.2">
      <c r="B169" s="33"/>
      <c r="C169" s="522"/>
    </row>
    <row r="170" spans="2:3" ht="15.75" customHeight="1" x14ac:dyDescent="0.2">
      <c r="B170" s="33"/>
      <c r="C170" s="522"/>
    </row>
    <row r="171" spans="2:3" ht="15.75" customHeight="1" x14ac:dyDescent="0.2">
      <c r="B171" s="33"/>
      <c r="C171" s="522"/>
    </row>
    <row r="172" spans="2:3" ht="15.75" customHeight="1" x14ac:dyDescent="0.2">
      <c r="B172" s="33"/>
      <c r="C172" s="522"/>
    </row>
    <row r="173" spans="2:3" ht="15.75" customHeight="1" x14ac:dyDescent="0.2">
      <c r="B173" s="33"/>
      <c r="C173" s="522"/>
    </row>
    <row r="174" spans="2:3" ht="15.75" customHeight="1" x14ac:dyDescent="0.2">
      <c r="B174" s="33"/>
      <c r="C174" s="522"/>
    </row>
    <row r="175" spans="2:3" ht="15.75" customHeight="1" x14ac:dyDescent="0.2">
      <c r="B175" s="33"/>
      <c r="C175" s="522"/>
    </row>
    <row r="176" spans="2:3" ht="15.75" customHeight="1" x14ac:dyDescent="0.2">
      <c r="B176" s="33"/>
      <c r="C176" s="522"/>
    </row>
    <row r="177" spans="2:3" ht="15.75" customHeight="1" x14ac:dyDescent="0.2">
      <c r="B177" s="33"/>
      <c r="C177" s="522"/>
    </row>
    <row r="178" spans="2:3" ht="15.75" customHeight="1" x14ac:dyDescent="0.2">
      <c r="B178" s="33"/>
      <c r="C178" s="522"/>
    </row>
    <row r="179" spans="2:3" ht="15.75" customHeight="1" x14ac:dyDescent="0.2">
      <c r="B179" s="33"/>
      <c r="C179" s="522"/>
    </row>
    <row r="180" spans="2:3" ht="15.75" customHeight="1" x14ac:dyDescent="0.2">
      <c r="B180" s="33"/>
      <c r="C180" s="522"/>
    </row>
    <row r="181" spans="2:3" ht="15.75" customHeight="1" x14ac:dyDescent="0.2">
      <c r="B181" s="33"/>
      <c r="C181" s="522"/>
    </row>
    <row r="182" spans="2:3" ht="15.75" customHeight="1" x14ac:dyDescent="0.2">
      <c r="B182" s="33"/>
      <c r="C182" s="522"/>
    </row>
    <row r="183" spans="2:3" ht="15.75" customHeight="1" x14ac:dyDescent="0.2">
      <c r="B183" s="33"/>
      <c r="C183" s="522"/>
    </row>
    <row r="184" spans="2:3" ht="15.75" customHeight="1" x14ac:dyDescent="0.2">
      <c r="B184" s="33"/>
      <c r="C184" s="522"/>
    </row>
    <row r="185" spans="2:3" ht="15.75" customHeight="1" x14ac:dyDescent="0.2">
      <c r="B185" s="33"/>
      <c r="C185" s="522"/>
    </row>
    <row r="186" spans="2:3" ht="15.75" customHeight="1" x14ac:dyDescent="0.2">
      <c r="B186" s="33"/>
      <c r="C186" s="522"/>
    </row>
    <row r="187" spans="2:3" ht="15.75" customHeight="1" x14ac:dyDescent="0.2">
      <c r="B187" s="33"/>
      <c r="C187" s="522"/>
    </row>
    <row r="188" spans="2:3" ht="15.75" customHeight="1" x14ac:dyDescent="0.2">
      <c r="B188" s="33"/>
      <c r="C188" s="522"/>
    </row>
    <row r="189" spans="2:3" ht="15.75" customHeight="1" x14ac:dyDescent="0.2">
      <c r="B189" s="33"/>
      <c r="C189" s="522"/>
    </row>
    <row r="190" spans="2:3" ht="15.75" customHeight="1" x14ac:dyDescent="0.2">
      <c r="B190" s="33"/>
      <c r="C190" s="522"/>
    </row>
    <row r="191" spans="2:3" ht="15.75" customHeight="1" x14ac:dyDescent="0.2">
      <c r="B191" s="33"/>
      <c r="C191" s="522"/>
    </row>
    <row r="192" spans="2:3" ht="15.75" customHeight="1" x14ac:dyDescent="0.2">
      <c r="B192" s="33"/>
      <c r="C192" s="522"/>
    </row>
    <row r="193" spans="2:3" ht="15.75" customHeight="1" x14ac:dyDescent="0.2">
      <c r="B193" s="33"/>
      <c r="C193" s="522"/>
    </row>
    <row r="194" spans="2:3" ht="15.75" customHeight="1" x14ac:dyDescent="0.2">
      <c r="B194" s="33"/>
      <c r="C194" s="522"/>
    </row>
    <row r="195" spans="2:3" ht="15.75" customHeight="1" x14ac:dyDescent="0.2">
      <c r="B195" s="33"/>
      <c r="C195" s="522"/>
    </row>
    <row r="196" spans="2:3" ht="15.75" customHeight="1" x14ac:dyDescent="0.2">
      <c r="B196" s="33"/>
      <c r="C196" s="522"/>
    </row>
    <row r="197" spans="2:3" ht="15.75" customHeight="1" x14ac:dyDescent="0.2">
      <c r="B197" s="33"/>
      <c r="C197" s="522"/>
    </row>
    <row r="198" spans="2:3" ht="15.75" customHeight="1" x14ac:dyDescent="0.2">
      <c r="B198" s="33"/>
      <c r="C198" s="522"/>
    </row>
    <row r="199" spans="2:3" ht="15.75" customHeight="1" x14ac:dyDescent="0.2">
      <c r="B199" s="33"/>
      <c r="C199" s="522"/>
    </row>
    <row r="200" spans="2:3" ht="15.75" customHeight="1" x14ac:dyDescent="0.2">
      <c r="B200" s="33"/>
      <c r="C200" s="522"/>
    </row>
    <row r="201" spans="2:3" ht="15.75" customHeight="1" x14ac:dyDescent="0.2">
      <c r="B201" s="33"/>
      <c r="C201" s="522"/>
    </row>
    <row r="202" spans="2:3" ht="15.75" customHeight="1" x14ac:dyDescent="0.2">
      <c r="B202" s="33"/>
      <c r="C202" s="522"/>
    </row>
    <row r="203" spans="2:3" ht="15.75" customHeight="1" x14ac:dyDescent="0.2">
      <c r="B203" s="33"/>
      <c r="C203" s="522"/>
    </row>
    <row r="204" spans="2:3" ht="15.75" customHeight="1" x14ac:dyDescent="0.2">
      <c r="B204" s="33"/>
      <c r="C204" s="522"/>
    </row>
    <row r="205" spans="2:3" ht="15.75" customHeight="1" x14ac:dyDescent="0.2">
      <c r="B205" s="33"/>
      <c r="C205" s="522"/>
    </row>
    <row r="206" spans="2:3" ht="15.75" customHeight="1" x14ac:dyDescent="0.2">
      <c r="B206" s="33"/>
      <c r="C206" s="522"/>
    </row>
    <row r="207" spans="2:3" ht="15.75" customHeight="1" x14ac:dyDescent="0.2">
      <c r="B207" s="33"/>
      <c r="C207" s="522"/>
    </row>
    <row r="208" spans="2:3" ht="15.75" customHeight="1" x14ac:dyDescent="0.2">
      <c r="B208" s="33"/>
      <c r="C208" s="522"/>
    </row>
    <row r="209" spans="2:3" ht="15.75" customHeight="1" x14ac:dyDescent="0.2">
      <c r="B209" s="33"/>
      <c r="C209" s="522"/>
    </row>
    <row r="210" spans="2:3" ht="15.75" customHeight="1" x14ac:dyDescent="0.2">
      <c r="B210" s="33"/>
      <c r="C210" s="522"/>
    </row>
    <row r="211" spans="2:3" ht="15.75" customHeight="1" x14ac:dyDescent="0.2">
      <c r="B211" s="33"/>
      <c r="C211" s="522"/>
    </row>
    <row r="212" spans="2:3" ht="15.75" customHeight="1" x14ac:dyDescent="0.2">
      <c r="B212" s="33"/>
      <c r="C212" s="522"/>
    </row>
    <row r="213" spans="2:3" ht="15.75" customHeight="1" x14ac:dyDescent="0.2">
      <c r="B213" s="33"/>
      <c r="C213" s="522"/>
    </row>
    <row r="214" spans="2:3" ht="15.75" customHeight="1" x14ac:dyDescent="0.2">
      <c r="B214" s="33"/>
      <c r="C214" s="522"/>
    </row>
    <row r="215" spans="2:3" ht="15.75" customHeight="1" x14ac:dyDescent="0.2">
      <c r="B215" s="33"/>
      <c r="C215" s="522"/>
    </row>
    <row r="216" spans="2:3" ht="15.75" customHeight="1" x14ac:dyDescent="0.2">
      <c r="B216" s="33"/>
      <c r="C216" s="522"/>
    </row>
    <row r="217" spans="2:3" ht="15.75" customHeight="1" x14ac:dyDescent="0.2">
      <c r="B217" s="33"/>
      <c r="C217" s="522"/>
    </row>
    <row r="218" spans="2:3" ht="15.75" customHeight="1" x14ac:dyDescent="0.2">
      <c r="B218" s="33"/>
      <c r="C218" s="522"/>
    </row>
    <row r="219" spans="2:3" ht="15.75" customHeight="1" x14ac:dyDescent="0.2">
      <c r="B219" s="33"/>
      <c r="C219" s="522"/>
    </row>
    <row r="220" spans="2:3" ht="15.75" customHeight="1" x14ac:dyDescent="0.2">
      <c r="B220" s="33"/>
      <c r="C220" s="522"/>
    </row>
    <row r="221" spans="2:3" ht="15.75" customHeight="1" x14ac:dyDescent="0.2">
      <c r="B221" s="33"/>
      <c r="C221" s="522"/>
    </row>
    <row r="222" spans="2:3" ht="15.75" customHeight="1" x14ac:dyDescent="0.2">
      <c r="B222" s="33"/>
      <c r="C222" s="522"/>
    </row>
    <row r="223" spans="2:3" ht="15.75" customHeight="1" x14ac:dyDescent="0.2">
      <c r="B223" s="33"/>
      <c r="C223" s="522"/>
    </row>
    <row r="224" spans="2:3" ht="15.75" customHeight="1" x14ac:dyDescent="0.2">
      <c r="B224" s="33"/>
      <c r="C224" s="522"/>
    </row>
    <row r="225" spans="2:3" ht="15.75" customHeight="1" x14ac:dyDescent="0.2">
      <c r="B225" s="33"/>
      <c r="C225" s="522"/>
    </row>
    <row r="226" spans="2:3" ht="15.75" customHeight="1" x14ac:dyDescent="0.2">
      <c r="B226" s="33"/>
      <c r="C226" s="522"/>
    </row>
    <row r="227" spans="2:3" ht="15.75" customHeight="1" x14ac:dyDescent="0.2">
      <c r="B227" s="33"/>
      <c r="C227" s="522"/>
    </row>
    <row r="228" spans="2:3" ht="15.75" customHeight="1" x14ac:dyDescent="0.2">
      <c r="B228" s="33"/>
      <c r="C228" s="522"/>
    </row>
    <row r="229" spans="2:3" ht="15.75" customHeight="1" x14ac:dyDescent="0.2">
      <c r="B229" s="33"/>
      <c r="C229" s="522"/>
    </row>
    <row r="230" spans="2:3" ht="15.75" customHeight="1" x14ac:dyDescent="0.2">
      <c r="B230" s="33"/>
      <c r="C230" s="522"/>
    </row>
    <row r="231" spans="2:3" ht="15.75" customHeight="1" x14ac:dyDescent="0.2">
      <c r="B231" s="33"/>
      <c r="C231" s="522"/>
    </row>
    <row r="232" spans="2:3" ht="15.75" customHeight="1" x14ac:dyDescent="0.2">
      <c r="B232" s="33"/>
      <c r="C232" s="522"/>
    </row>
    <row r="233" spans="2:3" ht="15.75" customHeight="1" x14ac:dyDescent="0.2">
      <c r="B233" s="33"/>
      <c r="C233" s="522"/>
    </row>
    <row r="234" spans="2:3" ht="15.75" customHeight="1" x14ac:dyDescent="0.2">
      <c r="B234" s="33"/>
      <c r="C234" s="522"/>
    </row>
    <row r="235" spans="2:3" ht="15.75" customHeight="1" x14ac:dyDescent="0.2">
      <c r="B235" s="33"/>
      <c r="C235" s="522"/>
    </row>
    <row r="236" spans="2:3" ht="15.75" customHeight="1" x14ac:dyDescent="0.2">
      <c r="B236" s="33"/>
      <c r="C236" s="522"/>
    </row>
    <row r="237" spans="2:3" ht="15.75" customHeight="1" x14ac:dyDescent="0.2">
      <c r="B237" s="33"/>
      <c r="C237" s="522"/>
    </row>
    <row r="238" spans="2:3" ht="15.75" customHeight="1" x14ac:dyDescent="0.2">
      <c r="B238" s="33"/>
      <c r="C238" s="522"/>
    </row>
    <row r="239" spans="2:3" ht="15.75" customHeight="1" x14ac:dyDescent="0.2">
      <c r="B239" s="33"/>
      <c r="C239" s="522"/>
    </row>
    <row r="240" spans="2:3" ht="15.75" customHeight="1" x14ac:dyDescent="0.2">
      <c r="B240" s="33"/>
      <c r="C240" s="522"/>
    </row>
    <row r="241" spans="2:3" ht="15.75" customHeight="1" x14ac:dyDescent="0.2">
      <c r="B241" s="33"/>
      <c r="C241" s="522"/>
    </row>
    <row r="242" spans="2:3" ht="15.75" customHeight="1" x14ac:dyDescent="0.2">
      <c r="B242" s="33"/>
      <c r="C242" s="522"/>
    </row>
    <row r="243" spans="2:3" ht="15.75" customHeight="1" x14ac:dyDescent="0.2">
      <c r="B243" s="33"/>
      <c r="C243" s="522"/>
    </row>
    <row r="244" spans="2:3" ht="15.75" customHeight="1" x14ac:dyDescent="0.2">
      <c r="B244" s="33"/>
      <c r="C244" s="522"/>
    </row>
    <row r="245" spans="2:3" ht="15.75" customHeight="1" x14ac:dyDescent="0.2">
      <c r="B245" s="33"/>
      <c r="C245" s="522"/>
    </row>
    <row r="246" spans="2:3" ht="15.75" customHeight="1" x14ac:dyDescent="0.2">
      <c r="B246" s="33"/>
      <c r="C246" s="522"/>
    </row>
    <row r="247" spans="2:3" ht="15.75" customHeight="1" x14ac:dyDescent="0.2">
      <c r="B247" s="33"/>
      <c r="C247" s="522"/>
    </row>
    <row r="248" spans="2:3" ht="15.75" customHeight="1" x14ac:dyDescent="0.2">
      <c r="B248" s="33"/>
      <c r="C248" s="522"/>
    </row>
    <row r="249" spans="2:3" ht="15.75" customHeight="1" x14ac:dyDescent="0.2">
      <c r="B249" s="33"/>
      <c r="C249" s="522"/>
    </row>
    <row r="250" spans="2:3" ht="15.75" customHeight="1" x14ac:dyDescent="0.2">
      <c r="B250" s="33"/>
      <c r="C250" s="522"/>
    </row>
    <row r="251" spans="2:3" ht="15.75" customHeight="1" x14ac:dyDescent="0.2">
      <c r="B251" s="33"/>
      <c r="C251" s="522"/>
    </row>
    <row r="252" spans="2:3" ht="15.75" customHeight="1" x14ac:dyDescent="0.2">
      <c r="B252" s="33"/>
      <c r="C252" s="522"/>
    </row>
    <row r="253" spans="2:3" ht="15.75" customHeight="1" x14ac:dyDescent="0.2">
      <c r="B253" s="33"/>
      <c r="C253" s="522"/>
    </row>
    <row r="254" spans="2:3" ht="15.75" customHeight="1" x14ac:dyDescent="0.2">
      <c r="B254" s="33"/>
      <c r="C254" s="522"/>
    </row>
    <row r="255" spans="2:3" ht="15.75" customHeight="1" x14ac:dyDescent="0.2">
      <c r="B255" s="33"/>
      <c r="C255" s="522"/>
    </row>
    <row r="256" spans="2:3" ht="15.75" customHeight="1" x14ac:dyDescent="0.2">
      <c r="B256" s="33"/>
      <c r="C256" s="522"/>
    </row>
    <row r="257" spans="2:3" ht="15.75" customHeight="1" x14ac:dyDescent="0.2">
      <c r="B257" s="33"/>
      <c r="C257" s="522"/>
    </row>
    <row r="258" spans="2:3" ht="15.75" customHeight="1" x14ac:dyDescent="0.2">
      <c r="B258" s="33"/>
      <c r="C258" s="522"/>
    </row>
    <row r="259" spans="2:3" ht="15.75" customHeight="1" x14ac:dyDescent="0.2">
      <c r="B259" s="33"/>
      <c r="C259" s="522"/>
    </row>
    <row r="260" spans="2:3" ht="15.75" customHeight="1" x14ac:dyDescent="0.2">
      <c r="B260" s="33"/>
      <c r="C260" s="522"/>
    </row>
    <row r="261" spans="2:3" ht="15.75" customHeight="1" x14ac:dyDescent="0.2">
      <c r="B261" s="33"/>
      <c r="C261" s="522"/>
    </row>
    <row r="262" spans="2:3" ht="15.75" customHeight="1" x14ac:dyDescent="0.2">
      <c r="B262" s="33"/>
      <c r="C262" s="522"/>
    </row>
    <row r="263" spans="2:3" ht="15.75" customHeight="1" x14ac:dyDescent="0.2">
      <c r="B263" s="33"/>
      <c r="C263" s="522"/>
    </row>
    <row r="264" spans="2:3" ht="15.75" customHeight="1" x14ac:dyDescent="0.2">
      <c r="B264" s="33"/>
      <c r="C264" s="522"/>
    </row>
    <row r="265" spans="2:3" ht="15.75" customHeight="1" x14ac:dyDescent="0.2">
      <c r="B265" s="33"/>
      <c r="C265" s="522"/>
    </row>
    <row r="266" spans="2:3" ht="15.75" customHeight="1" x14ac:dyDescent="0.2">
      <c r="B266" s="33"/>
      <c r="C266" s="522"/>
    </row>
    <row r="267" spans="2:3" ht="15.75" customHeight="1" x14ac:dyDescent="0.2">
      <c r="B267" s="33"/>
      <c r="C267" s="522"/>
    </row>
    <row r="268" spans="2:3" ht="15.75" customHeight="1" x14ac:dyDescent="0.2">
      <c r="B268" s="33"/>
      <c r="C268" s="522"/>
    </row>
    <row r="269" spans="2:3" ht="15.75" customHeight="1" x14ac:dyDescent="0.2">
      <c r="B269" s="33"/>
      <c r="C269" s="522"/>
    </row>
    <row r="270" spans="2:3" ht="15.75" customHeight="1" x14ac:dyDescent="0.2">
      <c r="B270" s="33"/>
      <c r="C270" s="522"/>
    </row>
    <row r="271" spans="2:3" ht="15.75" customHeight="1" x14ac:dyDescent="0.2">
      <c r="B271" s="33"/>
      <c r="C271" s="522"/>
    </row>
    <row r="272" spans="2:3" ht="15.75" customHeight="1" x14ac:dyDescent="0.2">
      <c r="B272" s="33"/>
      <c r="C272" s="522"/>
    </row>
    <row r="273" spans="2:3" ht="15.75" customHeight="1" x14ac:dyDescent="0.2">
      <c r="B273" s="33"/>
      <c r="C273" s="522"/>
    </row>
    <row r="274" spans="2:3" ht="15.75" customHeight="1" x14ac:dyDescent="0.2">
      <c r="B274" s="33"/>
      <c r="C274" s="522"/>
    </row>
    <row r="275" spans="2:3" ht="15.75" customHeight="1" x14ac:dyDescent="0.2">
      <c r="B275" s="33"/>
      <c r="C275" s="522"/>
    </row>
    <row r="276" spans="2:3" ht="15.75" customHeight="1" x14ac:dyDescent="0.2">
      <c r="B276" s="33"/>
      <c r="C276" s="522"/>
    </row>
    <row r="277" spans="2:3" ht="15.75" customHeight="1" x14ac:dyDescent="0.2">
      <c r="B277" s="33"/>
      <c r="C277" s="522"/>
    </row>
    <row r="278" spans="2:3" ht="15.75" customHeight="1" x14ac:dyDescent="0.2">
      <c r="B278" s="33"/>
      <c r="C278" s="522"/>
    </row>
    <row r="279" spans="2:3" ht="15.75" customHeight="1" x14ac:dyDescent="0.2">
      <c r="B279" s="33"/>
      <c r="C279" s="522"/>
    </row>
    <row r="280" spans="2:3" ht="15.75" customHeight="1" x14ac:dyDescent="0.2">
      <c r="B280" s="33"/>
      <c r="C280" s="522"/>
    </row>
    <row r="281" spans="2:3" ht="15.75" customHeight="1" x14ac:dyDescent="0.2">
      <c r="B281" s="33"/>
      <c r="C281" s="522"/>
    </row>
    <row r="282" spans="2:3" ht="15.75" customHeight="1" x14ac:dyDescent="0.2">
      <c r="B282" s="33"/>
      <c r="C282" s="522"/>
    </row>
    <row r="283" spans="2:3" ht="15.75" customHeight="1" x14ac:dyDescent="0.2">
      <c r="B283" s="33"/>
      <c r="C283" s="522"/>
    </row>
    <row r="284" spans="2:3" ht="15.75" customHeight="1" x14ac:dyDescent="0.2">
      <c r="B284" s="33"/>
      <c r="C284" s="522"/>
    </row>
    <row r="285" spans="2:3" ht="15.75" customHeight="1" x14ac:dyDescent="0.2">
      <c r="B285" s="33"/>
      <c r="C285" s="522"/>
    </row>
    <row r="286" spans="2:3" ht="15.75" customHeight="1" x14ac:dyDescent="0.2">
      <c r="B286" s="33"/>
      <c r="C286" s="522"/>
    </row>
    <row r="287" spans="2:3" ht="15.75" customHeight="1" x14ac:dyDescent="0.2">
      <c r="B287" s="33"/>
      <c r="C287" s="522"/>
    </row>
    <row r="288" spans="2:3" ht="15.75" customHeight="1" x14ac:dyDescent="0.2">
      <c r="B288" s="33"/>
      <c r="C288" s="522"/>
    </row>
    <row r="289" spans="2:3" ht="15.75" customHeight="1" x14ac:dyDescent="0.2">
      <c r="B289" s="33"/>
      <c r="C289" s="522"/>
    </row>
    <row r="290" spans="2:3" ht="15.75" customHeight="1" x14ac:dyDescent="0.2">
      <c r="B290" s="33"/>
      <c r="C290" s="522"/>
    </row>
    <row r="291" spans="2:3" ht="15.75" customHeight="1" x14ac:dyDescent="0.2">
      <c r="B291" s="33"/>
      <c r="C291" s="522"/>
    </row>
    <row r="292" spans="2:3" ht="15.75" customHeight="1" x14ac:dyDescent="0.2">
      <c r="B292" s="33"/>
      <c r="C292" s="522"/>
    </row>
    <row r="293" spans="2:3" ht="15.75" customHeight="1" x14ac:dyDescent="0.2">
      <c r="B293" s="33"/>
      <c r="C293" s="522"/>
    </row>
    <row r="294" spans="2:3" ht="15.75" customHeight="1" x14ac:dyDescent="0.2">
      <c r="B294" s="33"/>
      <c r="C294" s="522"/>
    </row>
    <row r="295" spans="2:3" ht="15.75" customHeight="1" x14ac:dyDescent="0.2">
      <c r="B295" s="33"/>
      <c r="C295" s="522"/>
    </row>
    <row r="296" spans="2:3" ht="15.75" customHeight="1" x14ac:dyDescent="0.2">
      <c r="B296" s="33"/>
      <c r="C296" s="522"/>
    </row>
    <row r="297" spans="2:3" ht="15.75" customHeight="1" x14ac:dyDescent="0.2">
      <c r="B297" s="33"/>
      <c r="C297" s="522"/>
    </row>
    <row r="298" spans="2:3" ht="15.75" customHeight="1" x14ac:dyDescent="0.2">
      <c r="B298" s="33"/>
      <c r="C298" s="522"/>
    </row>
    <row r="299" spans="2:3" ht="15.75" customHeight="1" x14ac:dyDescent="0.2">
      <c r="B299" s="33"/>
      <c r="C299" s="522"/>
    </row>
    <row r="300" spans="2:3" ht="15.75" customHeight="1" x14ac:dyDescent="0.2">
      <c r="B300" s="33"/>
      <c r="C300" s="522"/>
    </row>
    <row r="301" spans="2:3" ht="15.75" customHeight="1" x14ac:dyDescent="0.2">
      <c r="B301" s="33"/>
      <c r="C301" s="522"/>
    </row>
    <row r="302" spans="2:3" ht="15.75" customHeight="1" x14ac:dyDescent="0.2">
      <c r="B302" s="33"/>
      <c r="C302" s="522"/>
    </row>
    <row r="303" spans="2:3" ht="15.75" customHeight="1" x14ac:dyDescent="0.2">
      <c r="B303" s="33"/>
      <c r="C303" s="522"/>
    </row>
    <row r="304" spans="2:3" ht="15.75" customHeight="1" x14ac:dyDescent="0.2">
      <c r="B304" s="33"/>
      <c r="C304" s="522"/>
    </row>
    <row r="305" spans="2:3" ht="15.75" customHeight="1" x14ac:dyDescent="0.2">
      <c r="B305" s="33"/>
      <c r="C305" s="522"/>
    </row>
    <row r="306" spans="2:3" ht="15.75" customHeight="1" x14ac:dyDescent="0.2">
      <c r="B306" s="33"/>
      <c r="C306" s="522"/>
    </row>
    <row r="307" spans="2:3" ht="15.75" customHeight="1" x14ac:dyDescent="0.2">
      <c r="B307" s="33"/>
      <c r="C307" s="522"/>
    </row>
    <row r="308" spans="2:3" ht="15.75" customHeight="1" x14ac:dyDescent="0.2">
      <c r="B308" s="33"/>
      <c r="C308" s="522"/>
    </row>
    <row r="309" spans="2:3" ht="15.75" customHeight="1" x14ac:dyDescent="0.2">
      <c r="B309" s="33"/>
      <c r="C309" s="522"/>
    </row>
    <row r="310" spans="2:3" ht="15.75" customHeight="1" x14ac:dyDescent="0.2">
      <c r="B310" s="33"/>
      <c r="C310" s="522"/>
    </row>
    <row r="311" spans="2:3" ht="15.75" customHeight="1" x14ac:dyDescent="0.2">
      <c r="B311" s="33"/>
      <c r="C311" s="522"/>
    </row>
    <row r="312" spans="2:3" ht="15.75" customHeight="1" x14ac:dyDescent="0.2">
      <c r="B312" s="33"/>
      <c r="C312" s="522"/>
    </row>
    <row r="313" spans="2:3" ht="15.75" customHeight="1" x14ac:dyDescent="0.2">
      <c r="B313" s="33"/>
      <c r="C313" s="522"/>
    </row>
    <row r="314" spans="2:3" ht="15.75" customHeight="1" x14ac:dyDescent="0.2">
      <c r="B314" s="33"/>
      <c r="C314" s="522"/>
    </row>
    <row r="315" spans="2:3" ht="15.75" customHeight="1" x14ac:dyDescent="0.2">
      <c r="B315" s="33"/>
      <c r="C315" s="522"/>
    </row>
    <row r="316" spans="2:3" ht="15.75" customHeight="1" x14ac:dyDescent="0.2">
      <c r="B316" s="33"/>
      <c r="C316" s="522"/>
    </row>
    <row r="317" spans="2:3" ht="15.75" customHeight="1" x14ac:dyDescent="0.2">
      <c r="B317" s="33"/>
      <c r="C317" s="522"/>
    </row>
    <row r="318" spans="2:3" ht="15.75" customHeight="1" x14ac:dyDescent="0.2">
      <c r="B318" s="33"/>
      <c r="C318" s="522"/>
    </row>
    <row r="319" spans="2:3" ht="15.75" customHeight="1" x14ac:dyDescent="0.2">
      <c r="B319" s="33"/>
      <c r="C319" s="522"/>
    </row>
    <row r="320" spans="2:3" ht="15.75" customHeight="1" x14ac:dyDescent="0.2">
      <c r="B320" s="33"/>
      <c r="C320" s="522"/>
    </row>
    <row r="321" spans="2:3" ht="15.75" customHeight="1" x14ac:dyDescent="0.2">
      <c r="B321" s="33"/>
      <c r="C321" s="522"/>
    </row>
    <row r="322" spans="2:3" ht="15.75" customHeight="1" x14ac:dyDescent="0.2">
      <c r="B322" s="33"/>
      <c r="C322" s="522"/>
    </row>
    <row r="323" spans="2:3" ht="15.75" customHeight="1" x14ac:dyDescent="0.2">
      <c r="B323" s="33"/>
      <c r="C323" s="522"/>
    </row>
    <row r="324" spans="2:3" ht="15.75" customHeight="1" x14ac:dyDescent="0.2">
      <c r="B324" s="33"/>
      <c r="C324" s="522"/>
    </row>
    <row r="325" spans="2:3" ht="15.75" customHeight="1" x14ac:dyDescent="0.2">
      <c r="B325" s="33"/>
      <c r="C325" s="522"/>
    </row>
    <row r="326" spans="2:3" ht="15.75" customHeight="1" x14ac:dyDescent="0.2">
      <c r="B326" s="33"/>
      <c r="C326" s="522"/>
    </row>
    <row r="327" spans="2:3" ht="15.75" customHeight="1" x14ac:dyDescent="0.2">
      <c r="B327" s="33"/>
      <c r="C327" s="522"/>
    </row>
    <row r="328" spans="2:3" ht="15.75" customHeight="1" x14ac:dyDescent="0.2">
      <c r="B328" s="33"/>
      <c r="C328" s="522"/>
    </row>
    <row r="329" spans="2:3" ht="15.75" customHeight="1" x14ac:dyDescent="0.2">
      <c r="B329" s="33"/>
      <c r="C329" s="522"/>
    </row>
    <row r="330" spans="2:3" ht="15.75" customHeight="1" x14ac:dyDescent="0.2">
      <c r="B330" s="33"/>
      <c r="C330" s="522"/>
    </row>
    <row r="331" spans="2:3" ht="15.75" customHeight="1" x14ac:dyDescent="0.2">
      <c r="B331" s="33"/>
      <c r="C331" s="522"/>
    </row>
    <row r="332" spans="2:3" ht="15.75" customHeight="1" x14ac:dyDescent="0.2">
      <c r="B332" s="33"/>
      <c r="C332" s="522"/>
    </row>
    <row r="333" spans="2:3" ht="15.75" customHeight="1" x14ac:dyDescent="0.2">
      <c r="B333" s="33"/>
      <c r="C333" s="522"/>
    </row>
    <row r="334" spans="2:3" ht="15.75" customHeight="1" x14ac:dyDescent="0.2">
      <c r="B334" s="33"/>
      <c r="C334" s="522"/>
    </row>
    <row r="335" spans="2:3" ht="15.75" customHeight="1" x14ac:dyDescent="0.2">
      <c r="B335" s="33"/>
      <c r="C335" s="522"/>
    </row>
    <row r="336" spans="2:3" ht="15.75" customHeight="1" x14ac:dyDescent="0.2">
      <c r="B336" s="33"/>
      <c r="C336" s="522"/>
    </row>
    <row r="337" spans="2:3" ht="15.75" customHeight="1" x14ac:dyDescent="0.2">
      <c r="B337" s="33"/>
      <c r="C337" s="522"/>
    </row>
    <row r="338" spans="2:3" ht="15.75" customHeight="1" x14ac:dyDescent="0.2">
      <c r="B338" s="33"/>
      <c r="C338" s="522"/>
    </row>
    <row r="339" spans="2:3" ht="15.75" customHeight="1" x14ac:dyDescent="0.2">
      <c r="B339" s="33"/>
      <c r="C339" s="522"/>
    </row>
    <row r="340" spans="2:3" ht="15.75" customHeight="1" x14ac:dyDescent="0.2">
      <c r="B340" s="33"/>
      <c r="C340" s="522"/>
    </row>
    <row r="341" spans="2:3" ht="15.75" customHeight="1" x14ac:dyDescent="0.2">
      <c r="B341" s="33"/>
      <c r="C341" s="522"/>
    </row>
    <row r="342" spans="2:3" ht="15.75" customHeight="1" x14ac:dyDescent="0.2">
      <c r="B342" s="33"/>
      <c r="C342" s="522"/>
    </row>
    <row r="343" spans="2:3" ht="15.75" customHeight="1" x14ac:dyDescent="0.2">
      <c r="B343" s="33"/>
      <c r="C343" s="522"/>
    </row>
    <row r="344" spans="2:3" ht="15.75" customHeight="1" x14ac:dyDescent="0.2">
      <c r="B344" s="33"/>
      <c r="C344" s="522"/>
    </row>
    <row r="345" spans="2:3" ht="15.75" customHeight="1" x14ac:dyDescent="0.2">
      <c r="B345" s="33"/>
      <c r="C345" s="522"/>
    </row>
    <row r="346" spans="2:3" ht="15.75" customHeight="1" x14ac:dyDescent="0.2">
      <c r="B346" s="33"/>
      <c r="C346" s="522"/>
    </row>
    <row r="347" spans="2:3" ht="15.75" customHeight="1" x14ac:dyDescent="0.2">
      <c r="B347" s="33"/>
      <c r="C347" s="522"/>
    </row>
    <row r="348" spans="2:3" ht="15.75" customHeight="1" x14ac:dyDescent="0.2">
      <c r="B348" s="33"/>
      <c r="C348" s="522"/>
    </row>
    <row r="349" spans="2:3" ht="15.75" customHeight="1" x14ac:dyDescent="0.2">
      <c r="B349" s="33"/>
      <c r="C349" s="522"/>
    </row>
    <row r="350" spans="2:3" ht="15.75" customHeight="1" x14ac:dyDescent="0.2">
      <c r="B350" s="33"/>
      <c r="C350" s="522"/>
    </row>
    <row r="351" spans="2:3" ht="15.75" customHeight="1" x14ac:dyDescent="0.2">
      <c r="B351" s="33"/>
      <c r="C351" s="522"/>
    </row>
    <row r="352" spans="2:3" ht="15.75" customHeight="1" x14ac:dyDescent="0.2">
      <c r="B352" s="33"/>
      <c r="C352" s="522"/>
    </row>
    <row r="353" spans="2:3" ht="15.75" customHeight="1" x14ac:dyDescent="0.2">
      <c r="B353" s="33"/>
      <c r="C353" s="522"/>
    </row>
    <row r="354" spans="2:3" ht="15.75" customHeight="1" x14ac:dyDescent="0.2">
      <c r="B354" s="33"/>
      <c r="C354" s="522"/>
    </row>
    <row r="355" spans="2:3" ht="15.75" customHeight="1" x14ac:dyDescent="0.2">
      <c r="B355" s="33"/>
      <c r="C355" s="522"/>
    </row>
    <row r="356" spans="2:3" ht="15.75" customHeight="1" x14ac:dyDescent="0.2">
      <c r="B356" s="33"/>
      <c r="C356" s="522"/>
    </row>
    <row r="357" spans="2:3" ht="15.75" customHeight="1" x14ac:dyDescent="0.2">
      <c r="B357" s="33"/>
      <c r="C357" s="522"/>
    </row>
    <row r="358" spans="2:3" ht="15.75" customHeight="1" x14ac:dyDescent="0.2">
      <c r="B358" s="33"/>
      <c r="C358" s="522"/>
    </row>
    <row r="359" spans="2:3" ht="15.75" customHeight="1" x14ac:dyDescent="0.2">
      <c r="B359" s="33"/>
      <c r="C359" s="522"/>
    </row>
    <row r="360" spans="2:3" ht="15.75" customHeight="1" x14ac:dyDescent="0.2">
      <c r="B360" s="33"/>
      <c r="C360" s="522"/>
    </row>
    <row r="361" spans="2:3" ht="15.75" customHeight="1" x14ac:dyDescent="0.2">
      <c r="B361" s="33"/>
      <c r="C361" s="522"/>
    </row>
    <row r="362" spans="2:3" ht="15.75" customHeight="1" x14ac:dyDescent="0.2">
      <c r="B362" s="33"/>
      <c r="C362" s="522"/>
    </row>
    <row r="363" spans="2:3" ht="15.75" customHeight="1" x14ac:dyDescent="0.2">
      <c r="B363" s="33"/>
      <c r="C363" s="522"/>
    </row>
    <row r="364" spans="2:3" ht="15.75" customHeight="1" x14ac:dyDescent="0.2">
      <c r="B364" s="33"/>
      <c r="C364" s="522"/>
    </row>
    <row r="365" spans="2:3" ht="15.75" customHeight="1" x14ac:dyDescent="0.2">
      <c r="B365" s="33"/>
      <c r="C365" s="522"/>
    </row>
    <row r="366" spans="2:3" ht="15.75" customHeight="1" x14ac:dyDescent="0.2">
      <c r="B366" s="33"/>
      <c r="C366" s="522"/>
    </row>
    <row r="367" spans="2:3" ht="15.75" customHeight="1" x14ac:dyDescent="0.2">
      <c r="B367" s="33"/>
      <c r="C367" s="522"/>
    </row>
    <row r="368" spans="2:3" ht="15.75" customHeight="1" x14ac:dyDescent="0.2">
      <c r="B368" s="33"/>
      <c r="C368" s="522"/>
    </row>
    <row r="369" spans="2:3" ht="15.75" customHeight="1" x14ac:dyDescent="0.2">
      <c r="B369" s="33"/>
      <c r="C369" s="522"/>
    </row>
    <row r="370" spans="2:3" ht="15.75" customHeight="1" x14ac:dyDescent="0.2">
      <c r="B370" s="33"/>
      <c r="C370" s="522"/>
    </row>
    <row r="371" spans="2:3" ht="15.75" customHeight="1" x14ac:dyDescent="0.2">
      <c r="B371" s="33"/>
      <c r="C371" s="522"/>
    </row>
    <row r="372" spans="2:3" ht="15.75" customHeight="1" x14ac:dyDescent="0.2">
      <c r="B372" s="33"/>
      <c r="C372" s="522"/>
    </row>
    <row r="373" spans="2:3" ht="15.75" customHeight="1" x14ac:dyDescent="0.2">
      <c r="B373" s="33"/>
      <c r="C373" s="522"/>
    </row>
    <row r="374" spans="2:3" ht="15.75" customHeight="1" x14ac:dyDescent="0.2">
      <c r="B374" s="33"/>
      <c r="C374" s="522"/>
    </row>
    <row r="375" spans="2:3" ht="15.75" customHeight="1" x14ac:dyDescent="0.2">
      <c r="B375" s="33"/>
      <c r="C375" s="522"/>
    </row>
    <row r="376" spans="2:3" ht="15.75" customHeight="1" x14ac:dyDescent="0.2">
      <c r="B376" s="33"/>
      <c r="C376" s="522"/>
    </row>
    <row r="377" spans="2:3" ht="15.75" customHeight="1" x14ac:dyDescent="0.2">
      <c r="B377" s="33"/>
      <c r="C377" s="522"/>
    </row>
    <row r="378" spans="2:3" ht="15.75" customHeight="1" x14ac:dyDescent="0.2">
      <c r="B378" s="33"/>
      <c r="C378" s="522"/>
    </row>
    <row r="379" spans="2:3" ht="15.75" customHeight="1" x14ac:dyDescent="0.2">
      <c r="B379" s="33"/>
      <c r="C379" s="522"/>
    </row>
    <row r="380" spans="2:3" ht="15.75" customHeight="1" x14ac:dyDescent="0.2">
      <c r="B380" s="33"/>
      <c r="C380" s="522"/>
    </row>
    <row r="381" spans="2:3" ht="15.75" customHeight="1" x14ac:dyDescent="0.2">
      <c r="B381" s="33"/>
      <c r="C381" s="522"/>
    </row>
    <row r="382" spans="2:3" ht="15.75" customHeight="1" x14ac:dyDescent="0.2">
      <c r="B382" s="33"/>
      <c r="C382" s="522"/>
    </row>
    <row r="383" spans="2:3" ht="15.75" customHeight="1" x14ac:dyDescent="0.2">
      <c r="B383" s="33"/>
      <c r="C383" s="522"/>
    </row>
    <row r="384" spans="2:3" ht="15.75" customHeight="1" x14ac:dyDescent="0.2">
      <c r="B384" s="33"/>
      <c r="C384" s="522"/>
    </row>
    <row r="385" spans="2:3" ht="15.75" customHeight="1" x14ac:dyDescent="0.2">
      <c r="B385" s="33"/>
      <c r="C385" s="522"/>
    </row>
    <row r="386" spans="2:3" ht="15.75" customHeight="1" x14ac:dyDescent="0.2">
      <c r="B386" s="33"/>
      <c r="C386" s="522"/>
    </row>
    <row r="387" spans="2:3" ht="15.75" customHeight="1" x14ac:dyDescent="0.2">
      <c r="B387" s="33"/>
      <c r="C387" s="522"/>
    </row>
    <row r="388" spans="2:3" ht="15.75" customHeight="1" x14ac:dyDescent="0.2">
      <c r="B388" s="33"/>
      <c r="C388" s="522"/>
    </row>
    <row r="389" spans="2:3" ht="15.75" customHeight="1" x14ac:dyDescent="0.2">
      <c r="B389" s="33"/>
      <c r="C389" s="522"/>
    </row>
    <row r="390" spans="2:3" ht="15.75" customHeight="1" x14ac:dyDescent="0.2">
      <c r="B390" s="33"/>
      <c r="C390" s="522"/>
    </row>
    <row r="391" spans="2:3" ht="15.75" customHeight="1" x14ac:dyDescent="0.2">
      <c r="B391" s="33"/>
      <c r="C391" s="522"/>
    </row>
    <row r="392" spans="2:3" ht="15.75" customHeight="1" x14ac:dyDescent="0.2">
      <c r="B392" s="33"/>
      <c r="C392" s="522"/>
    </row>
    <row r="393" spans="2:3" ht="15.75" customHeight="1" x14ac:dyDescent="0.2">
      <c r="B393" s="33"/>
      <c r="C393" s="522"/>
    </row>
    <row r="394" spans="2:3" ht="15.75" customHeight="1" x14ac:dyDescent="0.2">
      <c r="B394" s="33"/>
      <c r="C394" s="522"/>
    </row>
    <row r="395" spans="2:3" ht="15.75" customHeight="1" x14ac:dyDescent="0.2">
      <c r="B395" s="33"/>
      <c r="C395" s="522"/>
    </row>
    <row r="396" spans="2:3" ht="15.75" customHeight="1" x14ac:dyDescent="0.2">
      <c r="B396" s="33"/>
      <c r="C396" s="522"/>
    </row>
    <row r="397" spans="2:3" ht="15.75" customHeight="1" x14ac:dyDescent="0.2">
      <c r="B397" s="33"/>
      <c r="C397" s="522"/>
    </row>
    <row r="398" spans="2:3" ht="15.75" customHeight="1" x14ac:dyDescent="0.2">
      <c r="B398" s="33"/>
      <c r="C398" s="522"/>
    </row>
    <row r="399" spans="2:3" ht="15.75" customHeight="1" x14ac:dyDescent="0.2">
      <c r="B399" s="33"/>
      <c r="C399" s="522"/>
    </row>
    <row r="400" spans="2:3" ht="15.75" customHeight="1" x14ac:dyDescent="0.2">
      <c r="B400" s="33"/>
      <c r="C400" s="522"/>
    </row>
    <row r="401" spans="2:3" ht="15.75" customHeight="1" x14ac:dyDescent="0.2">
      <c r="B401" s="33"/>
      <c r="C401" s="522"/>
    </row>
    <row r="402" spans="2:3" ht="15.75" customHeight="1" x14ac:dyDescent="0.2">
      <c r="B402" s="33"/>
      <c r="C402" s="522"/>
    </row>
    <row r="403" spans="2:3" ht="15.75" customHeight="1" x14ac:dyDescent="0.2">
      <c r="B403" s="33"/>
      <c r="C403" s="522"/>
    </row>
    <row r="404" spans="2:3" ht="15.75" customHeight="1" x14ac:dyDescent="0.2">
      <c r="B404" s="33"/>
      <c r="C404" s="522"/>
    </row>
    <row r="405" spans="2:3" ht="15.75" customHeight="1" x14ac:dyDescent="0.2">
      <c r="B405" s="33"/>
      <c r="C405" s="522"/>
    </row>
    <row r="406" spans="2:3" ht="15.75" customHeight="1" x14ac:dyDescent="0.2">
      <c r="B406" s="33"/>
      <c r="C406" s="522"/>
    </row>
    <row r="407" spans="2:3" ht="15.75" customHeight="1" x14ac:dyDescent="0.2">
      <c r="B407" s="33"/>
      <c r="C407" s="522"/>
    </row>
    <row r="408" spans="2:3" ht="15.75" customHeight="1" x14ac:dyDescent="0.2">
      <c r="B408" s="33"/>
      <c r="C408" s="522"/>
    </row>
    <row r="409" spans="2:3" ht="15.75" customHeight="1" x14ac:dyDescent="0.2">
      <c r="B409" s="33"/>
      <c r="C409" s="522"/>
    </row>
    <row r="410" spans="2:3" ht="15.75" customHeight="1" x14ac:dyDescent="0.2">
      <c r="B410" s="33"/>
      <c r="C410" s="522"/>
    </row>
    <row r="411" spans="2:3" ht="15.75" customHeight="1" x14ac:dyDescent="0.2">
      <c r="B411" s="33"/>
      <c r="C411" s="522"/>
    </row>
    <row r="412" spans="2:3" ht="15.75" customHeight="1" x14ac:dyDescent="0.2">
      <c r="B412" s="33"/>
      <c r="C412" s="522"/>
    </row>
    <row r="413" spans="2:3" ht="15.75" customHeight="1" x14ac:dyDescent="0.2">
      <c r="B413" s="33"/>
      <c r="C413" s="522"/>
    </row>
    <row r="414" spans="2:3" ht="15.75" customHeight="1" x14ac:dyDescent="0.2">
      <c r="B414" s="33"/>
      <c r="C414" s="522"/>
    </row>
    <row r="415" spans="2:3" ht="15.75" customHeight="1" x14ac:dyDescent="0.2">
      <c r="B415" s="33"/>
      <c r="C415" s="522"/>
    </row>
    <row r="416" spans="2:3" ht="15.75" customHeight="1" x14ac:dyDescent="0.2">
      <c r="B416" s="33"/>
      <c r="C416" s="522"/>
    </row>
    <row r="417" spans="2:3" ht="15.75" customHeight="1" x14ac:dyDescent="0.2">
      <c r="B417" s="33"/>
      <c r="C417" s="522"/>
    </row>
    <row r="418" spans="2:3" ht="15.75" customHeight="1" x14ac:dyDescent="0.2">
      <c r="B418" s="33"/>
      <c r="C418" s="522"/>
    </row>
    <row r="419" spans="2:3" ht="15.75" customHeight="1" x14ac:dyDescent="0.2">
      <c r="B419" s="33"/>
      <c r="C419" s="522"/>
    </row>
    <row r="420" spans="2:3" ht="15.75" customHeight="1" x14ac:dyDescent="0.2">
      <c r="B420" s="33"/>
      <c r="C420" s="522"/>
    </row>
    <row r="421" spans="2:3" ht="15.75" customHeight="1" x14ac:dyDescent="0.2">
      <c r="B421" s="33"/>
      <c r="C421" s="522"/>
    </row>
    <row r="422" spans="2:3" ht="15.75" customHeight="1" x14ac:dyDescent="0.2">
      <c r="B422" s="33"/>
      <c r="C422" s="522"/>
    </row>
    <row r="423" spans="2:3" ht="15.75" customHeight="1" x14ac:dyDescent="0.2">
      <c r="B423" s="33"/>
      <c r="C423" s="522"/>
    </row>
    <row r="424" spans="2:3" ht="15.75" customHeight="1" x14ac:dyDescent="0.2">
      <c r="B424" s="33"/>
      <c r="C424" s="522"/>
    </row>
    <row r="425" spans="2:3" ht="15.75" customHeight="1" x14ac:dyDescent="0.2">
      <c r="B425" s="33"/>
      <c r="C425" s="522"/>
    </row>
    <row r="426" spans="2:3" ht="15.75" customHeight="1" x14ac:dyDescent="0.2">
      <c r="B426" s="33"/>
      <c r="C426" s="522"/>
    </row>
    <row r="427" spans="2:3" ht="15.75" customHeight="1" x14ac:dyDescent="0.2">
      <c r="B427" s="33"/>
      <c r="C427" s="522"/>
    </row>
    <row r="428" spans="2:3" ht="15.75" customHeight="1" x14ac:dyDescent="0.2">
      <c r="B428" s="33"/>
      <c r="C428" s="522"/>
    </row>
    <row r="429" spans="2:3" ht="15.75" customHeight="1" x14ac:dyDescent="0.2">
      <c r="B429" s="33"/>
      <c r="C429" s="522"/>
    </row>
    <row r="430" spans="2:3" ht="15.75" customHeight="1" x14ac:dyDescent="0.2">
      <c r="B430" s="33"/>
      <c r="C430" s="522"/>
    </row>
    <row r="431" spans="2:3" ht="15.75" customHeight="1" x14ac:dyDescent="0.2">
      <c r="B431" s="33"/>
      <c r="C431" s="522"/>
    </row>
    <row r="432" spans="2:3" ht="15.75" customHeight="1" x14ac:dyDescent="0.2">
      <c r="B432" s="33"/>
      <c r="C432" s="522"/>
    </row>
    <row r="433" spans="2:3" ht="15.75" customHeight="1" x14ac:dyDescent="0.2">
      <c r="B433" s="33"/>
      <c r="C433" s="522"/>
    </row>
    <row r="434" spans="2:3" ht="15.75" customHeight="1" x14ac:dyDescent="0.2">
      <c r="B434" s="33"/>
      <c r="C434" s="522"/>
    </row>
    <row r="435" spans="2:3" ht="15.75" customHeight="1" x14ac:dyDescent="0.2">
      <c r="B435" s="33"/>
      <c r="C435" s="522"/>
    </row>
    <row r="436" spans="2:3" ht="15.75" customHeight="1" x14ac:dyDescent="0.2">
      <c r="B436" s="33"/>
      <c r="C436" s="522"/>
    </row>
    <row r="437" spans="2:3" ht="15.75" customHeight="1" x14ac:dyDescent="0.2">
      <c r="B437" s="33"/>
      <c r="C437" s="522"/>
    </row>
    <row r="438" spans="2:3" ht="15.75" customHeight="1" x14ac:dyDescent="0.2">
      <c r="B438" s="33"/>
      <c r="C438" s="522"/>
    </row>
    <row r="439" spans="2:3" ht="15.75" customHeight="1" x14ac:dyDescent="0.2">
      <c r="B439" s="33"/>
      <c r="C439" s="522"/>
    </row>
    <row r="440" spans="2:3" ht="15.75" customHeight="1" x14ac:dyDescent="0.2">
      <c r="B440" s="33"/>
      <c r="C440" s="522"/>
    </row>
    <row r="441" spans="2:3" ht="15.75" customHeight="1" x14ac:dyDescent="0.2">
      <c r="B441" s="33"/>
      <c r="C441" s="522"/>
    </row>
    <row r="442" spans="2:3" ht="15.75" customHeight="1" x14ac:dyDescent="0.2">
      <c r="B442" s="33"/>
      <c r="C442" s="522"/>
    </row>
    <row r="443" spans="2:3" ht="15.75" customHeight="1" x14ac:dyDescent="0.2">
      <c r="B443" s="33"/>
      <c r="C443" s="522"/>
    </row>
    <row r="444" spans="2:3" ht="15.75" customHeight="1" x14ac:dyDescent="0.2">
      <c r="B444" s="33"/>
      <c r="C444" s="522"/>
    </row>
    <row r="445" spans="2:3" ht="15.75" customHeight="1" x14ac:dyDescent="0.2">
      <c r="B445" s="33"/>
      <c r="C445" s="522"/>
    </row>
    <row r="446" spans="2:3" ht="15.75" customHeight="1" x14ac:dyDescent="0.2">
      <c r="B446" s="33"/>
      <c r="C446" s="522"/>
    </row>
    <row r="447" spans="2:3" ht="15.75" customHeight="1" x14ac:dyDescent="0.2">
      <c r="B447" s="33"/>
      <c r="C447" s="522"/>
    </row>
    <row r="448" spans="2:3" ht="15.75" customHeight="1" x14ac:dyDescent="0.2">
      <c r="B448" s="33"/>
      <c r="C448" s="522"/>
    </row>
    <row r="449" spans="2:3" ht="15.75" customHeight="1" x14ac:dyDescent="0.2">
      <c r="B449" s="33"/>
      <c r="C449" s="522"/>
    </row>
    <row r="450" spans="2:3" ht="15.75" customHeight="1" x14ac:dyDescent="0.2">
      <c r="B450" s="33"/>
      <c r="C450" s="522"/>
    </row>
    <row r="451" spans="2:3" ht="15.75" customHeight="1" x14ac:dyDescent="0.2">
      <c r="B451" s="33"/>
      <c r="C451" s="522"/>
    </row>
    <row r="452" spans="2:3" ht="15.75" customHeight="1" x14ac:dyDescent="0.2">
      <c r="B452" s="33"/>
      <c r="C452" s="522"/>
    </row>
    <row r="453" spans="2:3" ht="15.75" customHeight="1" x14ac:dyDescent="0.2">
      <c r="B453" s="33"/>
      <c r="C453" s="522"/>
    </row>
    <row r="454" spans="2:3" ht="15.75" customHeight="1" x14ac:dyDescent="0.2">
      <c r="B454" s="33"/>
      <c r="C454" s="522"/>
    </row>
    <row r="455" spans="2:3" ht="15.75" customHeight="1" x14ac:dyDescent="0.2">
      <c r="B455" s="33"/>
      <c r="C455" s="522"/>
    </row>
    <row r="456" spans="2:3" ht="15.75" customHeight="1" x14ac:dyDescent="0.2">
      <c r="B456" s="33"/>
      <c r="C456" s="522"/>
    </row>
    <row r="457" spans="2:3" ht="15.75" customHeight="1" x14ac:dyDescent="0.2">
      <c r="B457" s="33"/>
      <c r="C457" s="522"/>
    </row>
    <row r="458" spans="2:3" ht="15.75" customHeight="1" x14ac:dyDescent="0.2">
      <c r="B458" s="33"/>
      <c r="C458" s="522"/>
    </row>
    <row r="459" spans="2:3" ht="15.75" customHeight="1" x14ac:dyDescent="0.2">
      <c r="B459" s="33"/>
      <c r="C459" s="522"/>
    </row>
    <row r="460" spans="2:3" ht="15.75" customHeight="1" x14ac:dyDescent="0.2">
      <c r="B460" s="33"/>
      <c r="C460" s="522"/>
    </row>
    <row r="461" spans="2:3" ht="15.75" customHeight="1" x14ac:dyDescent="0.2">
      <c r="B461" s="33"/>
      <c r="C461" s="522"/>
    </row>
    <row r="462" spans="2:3" ht="15.75" customHeight="1" x14ac:dyDescent="0.2">
      <c r="B462" s="33"/>
      <c r="C462" s="522"/>
    </row>
    <row r="463" spans="2:3" ht="15.75" customHeight="1" x14ac:dyDescent="0.2">
      <c r="B463" s="33"/>
      <c r="C463" s="522"/>
    </row>
    <row r="464" spans="2:3" ht="15.75" customHeight="1" x14ac:dyDescent="0.2">
      <c r="B464" s="33"/>
      <c r="C464" s="522"/>
    </row>
    <row r="465" spans="2:3" ht="15.75" customHeight="1" x14ac:dyDescent="0.2">
      <c r="B465" s="33"/>
      <c r="C465" s="522"/>
    </row>
    <row r="466" spans="2:3" ht="15.75" customHeight="1" x14ac:dyDescent="0.2">
      <c r="B466" s="33"/>
      <c r="C466" s="522"/>
    </row>
    <row r="467" spans="2:3" ht="15.75" customHeight="1" x14ac:dyDescent="0.2">
      <c r="B467" s="33"/>
      <c r="C467" s="522"/>
    </row>
    <row r="468" spans="2:3" ht="15.75" customHeight="1" x14ac:dyDescent="0.2">
      <c r="B468" s="33"/>
      <c r="C468" s="522"/>
    </row>
    <row r="469" spans="2:3" ht="15.75" customHeight="1" x14ac:dyDescent="0.2">
      <c r="B469" s="33"/>
      <c r="C469" s="522"/>
    </row>
    <row r="470" spans="2:3" ht="15.75" customHeight="1" x14ac:dyDescent="0.2">
      <c r="B470" s="33"/>
      <c r="C470" s="522"/>
    </row>
    <row r="471" spans="2:3" ht="15.75" customHeight="1" x14ac:dyDescent="0.2">
      <c r="B471" s="33"/>
      <c r="C471" s="522"/>
    </row>
    <row r="472" spans="2:3" ht="15.75" customHeight="1" x14ac:dyDescent="0.2">
      <c r="B472" s="33"/>
      <c r="C472" s="522"/>
    </row>
    <row r="473" spans="2:3" ht="15.75" customHeight="1" x14ac:dyDescent="0.2">
      <c r="B473" s="33"/>
      <c r="C473" s="522"/>
    </row>
    <row r="474" spans="2:3" ht="15.75" customHeight="1" x14ac:dyDescent="0.2">
      <c r="B474" s="33"/>
      <c r="C474" s="522"/>
    </row>
    <row r="475" spans="2:3" ht="15.75" customHeight="1" x14ac:dyDescent="0.2">
      <c r="B475" s="33"/>
      <c r="C475" s="522"/>
    </row>
    <row r="476" spans="2:3" ht="15.75" customHeight="1" x14ac:dyDescent="0.2">
      <c r="B476" s="33"/>
      <c r="C476" s="522"/>
    </row>
    <row r="477" spans="2:3" ht="15.75" customHeight="1" x14ac:dyDescent="0.2">
      <c r="B477" s="33"/>
      <c r="C477" s="522"/>
    </row>
    <row r="478" spans="2:3" ht="15.75" customHeight="1" x14ac:dyDescent="0.2">
      <c r="B478" s="33"/>
      <c r="C478" s="522"/>
    </row>
    <row r="479" spans="2:3" ht="15.75" customHeight="1" x14ac:dyDescent="0.2">
      <c r="B479" s="33"/>
      <c r="C479" s="522"/>
    </row>
    <row r="480" spans="2:3" ht="15.75" customHeight="1" x14ac:dyDescent="0.2">
      <c r="B480" s="33"/>
      <c r="C480" s="522"/>
    </row>
    <row r="481" spans="2:3" ht="15.75" customHeight="1" x14ac:dyDescent="0.2">
      <c r="B481" s="33"/>
      <c r="C481" s="522"/>
    </row>
    <row r="482" spans="2:3" ht="15.75" customHeight="1" x14ac:dyDescent="0.2">
      <c r="B482" s="33"/>
      <c r="C482" s="522"/>
    </row>
    <row r="483" spans="2:3" ht="15.75" customHeight="1" x14ac:dyDescent="0.2">
      <c r="B483" s="33"/>
      <c r="C483" s="522"/>
    </row>
    <row r="484" spans="2:3" ht="15.75" customHeight="1" x14ac:dyDescent="0.2">
      <c r="B484" s="33"/>
      <c r="C484" s="522"/>
    </row>
    <row r="485" spans="2:3" ht="15.75" customHeight="1" x14ac:dyDescent="0.2">
      <c r="B485" s="33"/>
      <c r="C485" s="522"/>
    </row>
    <row r="486" spans="2:3" ht="15.75" customHeight="1" x14ac:dyDescent="0.2">
      <c r="B486" s="33"/>
      <c r="C486" s="522"/>
    </row>
    <row r="487" spans="2:3" ht="15.75" customHeight="1" x14ac:dyDescent="0.2">
      <c r="B487" s="33"/>
      <c r="C487" s="522"/>
    </row>
    <row r="488" spans="2:3" ht="15.75" customHeight="1" x14ac:dyDescent="0.2">
      <c r="B488" s="33"/>
      <c r="C488" s="522"/>
    </row>
    <row r="489" spans="2:3" ht="15.75" customHeight="1" x14ac:dyDescent="0.2">
      <c r="B489" s="33"/>
      <c r="C489" s="522"/>
    </row>
    <row r="490" spans="2:3" ht="15.75" customHeight="1" x14ac:dyDescent="0.2">
      <c r="B490" s="33"/>
      <c r="C490" s="522"/>
    </row>
    <row r="491" spans="2:3" ht="15.75" customHeight="1" x14ac:dyDescent="0.2">
      <c r="B491" s="33"/>
      <c r="C491" s="522"/>
    </row>
    <row r="492" spans="2:3" ht="15.75" customHeight="1" x14ac:dyDescent="0.2">
      <c r="B492" s="33"/>
      <c r="C492" s="522"/>
    </row>
    <row r="493" spans="2:3" ht="15.75" customHeight="1" x14ac:dyDescent="0.2">
      <c r="B493" s="33"/>
      <c r="C493" s="522"/>
    </row>
    <row r="494" spans="2:3" ht="15.75" customHeight="1" x14ac:dyDescent="0.2">
      <c r="B494" s="33"/>
      <c r="C494" s="522"/>
    </row>
    <row r="495" spans="2:3" ht="15.75" customHeight="1" x14ac:dyDescent="0.2">
      <c r="B495" s="33"/>
      <c r="C495" s="522"/>
    </row>
    <row r="496" spans="2:3" ht="15.75" customHeight="1" x14ac:dyDescent="0.2">
      <c r="B496" s="33"/>
      <c r="C496" s="522"/>
    </row>
    <row r="497" spans="2:3" ht="15.75" customHeight="1" x14ac:dyDescent="0.2">
      <c r="B497" s="33"/>
      <c r="C497" s="522"/>
    </row>
    <row r="498" spans="2:3" ht="15.75" customHeight="1" x14ac:dyDescent="0.2">
      <c r="B498" s="33"/>
      <c r="C498" s="522"/>
    </row>
    <row r="499" spans="2:3" ht="15.75" customHeight="1" x14ac:dyDescent="0.2">
      <c r="B499" s="33"/>
      <c r="C499" s="522"/>
    </row>
    <row r="500" spans="2:3" ht="15.75" customHeight="1" x14ac:dyDescent="0.2">
      <c r="B500" s="33"/>
      <c r="C500" s="522"/>
    </row>
    <row r="501" spans="2:3" ht="15.75" customHeight="1" x14ac:dyDescent="0.2">
      <c r="B501" s="33"/>
      <c r="C501" s="522"/>
    </row>
    <row r="502" spans="2:3" ht="15.75" customHeight="1" x14ac:dyDescent="0.2">
      <c r="B502" s="33"/>
      <c r="C502" s="522"/>
    </row>
    <row r="503" spans="2:3" ht="15.75" customHeight="1" x14ac:dyDescent="0.2">
      <c r="B503" s="33"/>
      <c r="C503" s="522"/>
    </row>
    <row r="504" spans="2:3" ht="15.75" customHeight="1" x14ac:dyDescent="0.2">
      <c r="B504" s="33"/>
      <c r="C504" s="522"/>
    </row>
    <row r="505" spans="2:3" ht="15.75" customHeight="1" x14ac:dyDescent="0.2">
      <c r="B505" s="33"/>
      <c r="C505" s="522"/>
    </row>
    <row r="506" spans="2:3" ht="15.75" customHeight="1" x14ac:dyDescent="0.2">
      <c r="B506" s="33"/>
      <c r="C506" s="522"/>
    </row>
    <row r="507" spans="2:3" ht="15.75" customHeight="1" x14ac:dyDescent="0.2">
      <c r="B507" s="33"/>
      <c r="C507" s="522"/>
    </row>
    <row r="508" spans="2:3" ht="15.75" customHeight="1" x14ac:dyDescent="0.2">
      <c r="B508" s="33"/>
      <c r="C508" s="522"/>
    </row>
    <row r="509" spans="2:3" ht="15.75" customHeight="1" x14ac:dyDescent="0.2">
      <c r="B509" s="33"/>
      <c r="C509" s="522"/>
    </row>
    <row r="510" spans="2:3" ht="15.75" customHeight="1" x14ac:dyDescent="0.2">
      <c r="B510" s="33"/>
      <c r="C510" s="522"/>
    </row>
    <row r="511" spans="2:3" ht="15.75" customHeight="1" x14ac:dyDescent="0.2">
      <c r="B511" s="33"/>
      <c r="C511" s="522"/>
    </row>
    <row r="512" spans="2:3" ht="15.75" customHeight="1" x14ac:dyDescent="0.2">
      <c r="B512" s="33"/>
      <c r="C512" s="522"/>
    </row>
    <row r="513" spans="2:3" ht="15.75" customHeight="1" x14ac:dyDescent="0.2">
      <c r="B513" s="33"/>
      <c r="C513" s="522"/>
    </row>
    <row r="514" spans="2:3" ht="15.75" customHeight="1" x14ac:dyDescent="0.2">
      <c r="B514" s="33"/>
      <c r="C514" s="522"/>
    </row>
    <row r="515" spans="2:3" ht="15.75" customHeight="1" x14ac:dyDescent="0.2">
      <c r="B515" s="33"/>
      <c r="C515" s="522"/>
    </row>
    <row r="516" spans="2:3" ht="15.75" customHeight="1" x14ac:dyDescent="0.2">
      <c r="B516" s="33"/>
      <c r="C516" s="522"/>
    </row>
    <row r="517" spans="2:3" ht="15.75" customHeight="1" x14ac:dyDescent="0.2">
      <c r="B517" s="33"/>
      <c r="C517" s="522"/>
    </row>
    <row r="518" spans="2:3" ht="15.75" customHeight="1" x14ac:dyDescent="0.2">
      <c r="B518" s="33"/>
      <c r="C518" s="522"/>
    </row>
    <row r="519" spans="2:3" ht="15.75" customHeight="1" x14ac:dyDescent="0.2">
      <c r="B519" s="33"/>
      <c r="C519" s="522"/>
    </row>
    <row r="520" spans="2:3" ht="15.75" customHeight="1" x14ac:dyDescent="0.2">
      <c r="B520" s="33"/>
      <c r="C520" s="522"/>
    </row>
    <row r="521" spans="2:3" ht="15.75" customHeight="1" x14ac:dyDescent="0.2">
      <c r="B521" s="33"/>
      <c r="C521" s="522"/>
    </row>
    <row r="522" spans="2:3" ht="15.75" customHeight="1" x14ac:dyDescent="0.2">
      <c r="B522" s="33"/>
      <c r="C522" s="522"/>
    </row>
    <row r="523" spans="2:3" ht="15.75" customHeight="1" x14ac:dyDescent="0.2">
      <c r="B523" s="33"/>
      <c r="C523" s="522"/>
    </row>
    <row r="524" spans="2:3" ht="15.75" customHeight="1" x14ac:dyDescent="0.2">
      <c r="B524" s="33"/>
      <c r="C524" s="522"/>
    </row>
    <row r="525" spans="2:3" ht="15.75" customHeight="1" x14ac:dyDescent="0.2">
      <c r="B525" s="33"/>
      <c r="C525" s="522"/>
    </row>
    <row r="526" spans="2:3" ht="15.75" customHeight="1" x14ac:dyDescent="0.2">
      <c r="B526" s="33"/>
      <c r="C526" s="522"/>
    </row>
    <row r="527" spans="2:3" ht="15.75" customHeight="1" x14ac:dyDescent="0.2">
      <c r="B527" s="33"/>
      <c r="C527" s="522"/>
    </row>
    <row r="528" spans="2:3" ht="15.75" customHeight="1" x14ac:dyDescent="0.2">
      <c r="B528" s="33"/>
      <c r="C528" s="522"/>
    </row>
    <row r="529" spans="2:3" ht="15.75" customHeight="1" x14ac:dyDescent="0.2">
      <c r="B529" s="33"/>
      <c r="C529" s="522"/>
    </row>
    <row r="530" spans="2:3" ht="15.75" customHeight="1" x14ac:dyDescent="0.2">
      <c r="B530" s="33"/>
      <c r="C530" s="522"/>
    </row>
    <row r="531" spans="2:3" ht="15.75" customHeight="1" x14ac:dyDescent="0.2">
      <c r="B531" s="33"/>
      <c r="C531" s="522"/>
    </row>
    <row r="532" spans="2:3" ht="15.75" customHeight="1" x14ac:dyDescent="0.2">
      <c r="B532" s="33"/>
      <c r="C532" s="522"/>
    </row>
    <row r="533" spans="2:3" ht="15.75" customHeight="1" x14ac:dyDescent="0.2">
      <c r="B533" s="33"/>
      <c r="C533" s="522"/>
    </row>
    <row r="534" spans="2:3" ht="15.75" customHeight="1" x14ac:dyDescent="0.2">
      <c r="B534" s="33"/>
      <c r="C534" s="522"/>
    </row>
    <row r="535" spans="2:3" ht="15.75" customHeight="1" x14ac:dyDescent="0.2">
      <c r="B535" s="33"/>
      <c r="C535" s="522"/>
    </row>
    <row r="536" spans="2:3" ht="15.75" customHeight="1" x14ac:dyDescent="0.2">
      <c r="B536" s="33"/>
      <c r="C536" s="522"/>
    </row>
    <row r="537" spans="2:3" ht="15.75" customHeight="1" x14ac:dyDescent="0.2">
      <c r="B537" s="33"/>
      <c r="C537" s="522"/>
    </row>
    <row r="538" spans="2:3" ht="15.75" customHeight="1" x14ac:dyDescent="0.2">
      <c r="B538" s="33"/>
      <c r="C538" s="522"/>
    </row>
    <row r="539" spans="2:3" ht="15.75" customHeight="1" x14ac:dyDescent="0.2">
      <c r="B539" s="33"/>
      <c r="C539" s="522"/>
    </row>
    <row r="540" spans="2:3" ht="15.75" customHeight="1" x14ac:dyDescent="0.2">
      <c r="B540" s="33"/>
      <c r="C540" s="522"/>
    </row>
    <row r="541" spans="2:3" ht="15.75" customHeight="1" x14ac:dyDescent="0.2">
      <c r="B541" s="33"/>
      <c r="C541" s="522"/>
    </row>
    <row r="542" spans="2:3" ht="15.75" customHeight="1" x14ac:dyDescent="0.2">
      <c r="B542" s="33"/>
      <c r="C542" s="522"/>
    </row>
    <row r="543" spans="2:3" ht="15.75" customHeight="1" x14ac:dyDescent="0.2">
      <c r="B543" s="33"/>
      <c r="C543" s="522"/>
    </row>
    <row r="544" spans="2:3" ht="15.75" customHeight="1" x14ac:dyDescent="0.2">
      <c r="B544" s="33"/>
      <c r="C544" s="522"/>
    </row>
    <row r="545" spans="2:3" ht="15.75" customHeight="1" x14ac:dyDescent="0.2">
      <c r="B545" s="33"/>
      <c r="C545" s="522"/>
    </row>
    <row r="546" spans="2:3" ht="15.75" customHeight="1" x14ac:dyDescent="0.2">
      <c r="B546" s="33"/>
      <c r="C546" s="522"/>
    </row>
    <row r="547" spans="2:3" ht="15.75" customHeight="1" x14ac:dyDescent="0.2">
      <c r="B547" s="33"/>
      <c r="C547" s="522"/>
    </row>
    <row r="548" spans="2:3" ht="15.75" customHeight="1" x14ac:dyDescent="0.2">
      <c r="B548" s="33"/>
      <c r="C548" s="522"/>
    </row>
    <row r="549" spans="2:3" ht="15.75" customHeight="1" x14ac:dyDescent="0.2">
      <c r="B549" s="33"/>
      <c r="C549" s="522"/>
    </row>
    <row r="550" spans="2:3" ht="15.75" customHeight="1" x14ac:dyDescent="0.2">
      <c r="B550" s="33"/>
      <c r="C550" s="522"/>
    </row>
    <row r="551" spans="2:3" ht="15.75" customHeight="1" x14ac:dyDescent="0.2">
      <c r="B551" s="33"/>
      <c r="C551" s="522"/>
    </row>
    <row r="552" spans="2:3" ht="15.75" customHeight="1" x14ac:dyDescent="0.2">
      <c r="B552" s="33"/>
      <c r="C552" s="522"/>
    </row>
    <row r="553" spans="2:3" ht="15.75" customHeight="1" x14ac:dyDescent="0.2">
      <c r="B553" s="33"/>
      <c r="C553" s="522"/>
    </row>
    <row r="554" spans="2:3" ht="15.75" customHeight="1" x14ac:dyDescent="0.2">
      <c r="B554" s="33"/>
      <c r="C554" s="522"/>
    </row>
    <row r="555" spans="2:3" ht="15.75" customHeight="1" x14ac:dyDescent="0.2">
      <c r="B555" s="33"/>
      <c r="C555" s="522"/>
    </row>
    <row r="556" spans="2:3" ht="15.75" customHeight="1" x14ac:dyDescent="0.2">
      <c r="B556" s="33"/>
      <c r="C556" s="522"/>
    </row>
    <row r="557" spans="2:3" ht="15.75" customHeight="1" x14ac:dyDescent="0.2">
      <c r="B557" s="33"/>
      <c r="C557" s="522"/>
    </row>
    <row r="558" spans="2:3" ht="15.75" customHeight="1" x14ac:dyDescent="0.2">
      <c r="B558" s="33"/>
      <c r="C558" s="522"/>
    </row>
    <row r="559" spans="2:3" ht="15.75" customHeight="1" x14ac:dyDescent="0.2">
      <c r="B559" s="33"/>
      <c r="C559" s="522"/>
    </row>
    <row r="560" spans="2:3" ht="15.75" customHeight="1" x14ac:dyDescent="0.2">
      <c r="B560" s="33"/>
      <c r="C560" s="522"/>
    </row>
    <row r="561" spans="2:3" ht="15.75" customHeight="1" x14ac:dyDescent="0.2">
      <c r="B561" s="33"/>
      <c r="C561" s="522"/>
    </row>
    <row r="562" spans="2:3" ht="15.75" customHeight="1" x14ac:dyDescent="0.2">
      <c r="B562" s="33"/>
      <c r="C562" s="522"/>
    </row>
    <row r="563" spans="2:3" ht="15.75" customHeight="1" x14ac:dyDescent="0.2">
      <c r="B563" s="33"/>
      <c r="C563" s="522"/>
    </row>
    <row r="564" spans="2:3" ht="15.75" customHeight="1" x14ac:dyDescent="0.2">
      <c r="B564" s="33"/>
      <c r="C564" s="522"/>
    </row>
    <row r="565" spans="2:3" ht="15.75" customHeight="1" x14ac:dyDescent="0.2">
      <c r="B565" s="33"/>
      <c r="C565" s="522"/>
    </row>
    <row r="566" spans="2:3" ht="15.75" customHeight="1" x14ac:dyDescent="0.2">
      <c r="B566" s="33"/>
      <c r="C566" s="522"/>
    </row>
    <row r="567" spans="2:3" ht="15.75" customHeight="1" x14ac:dyDescent="0.2">
      <c r="B567" s="33"/>
      <c r="C567" s="522"/>
    </row>
    <row r="568" spans="2:3" ht="15.75" customHeight="1" x14ac:dyDescent="0.2">
      <c r="B568" s="33"/>
      <c r="C568" s="522"/>
    </row>
    <row r="569" spans="2:3" ht="15.75" customHeight="1" x14ac:dyDescent="0.2">
      <c r="B569" s="33"/>
      <c r="C569" s="522"/>
    </row>
    <row r="570" spans="2:3" ht="15.75" customHeight="1" x14ac:dyDescent="0.2">
      <c r="B570" s="33"/>
      <c r="C570" s="522"/>
    </row>
    <row r="571" spans="2:3" ht="15.75" customHeight="1" x14ac:dyDescent="0.2">
      <c r="B571" s="33"/>
      <c r="C571" s="522"/>
    </row>
    <row r="572" spans="2:3" ht="15.75" customHeight="1" x14ac:dyDescent="0.2">
      <c r="B572" s="33"/>
      <c r="C572" s="522"/>
    </row>
    <row r="573" spans="2:3" ht="15.75" customHeight="1" x14ac:dyDescent="0.2">
      <c r="B573" s="33"/>
      <c r="C573" s="522"/>
    </row>
    <row r="574" spans="2:3" ht="15.75" customHeight="1" x14ac:dyDescent="0.2">
      <c r="B574" s="33"/>
      <c r="C574" s="522"/>
    </row>
    <row r="575" spans="2:3" ht="15.75" customHeight="1" x14ac:dyDescent="0.2">
      <c r="B575" s="33"/>
      <c r="C575" s="522"/>
    </row>
    <row r="576" spans="2:3" ht="15.75" customHeight="1" x14ac:dyDescent="0.2">
      <c r="B576" s="33"/>
      <c r="C576" s="522"/>
    </row>
    <row r="577" spans="2:3" ht="15.75" customHeight="1" x14ac:dyDescent="0.2">
      <c r="B577" s="33"/>
      <c r="C577" s="522"/>
    </row>
    <row r="578" spans="2:3" ht="15.75" customHeight="1" x14ac:dyDescent="0.2">
      <c r="B578" s="33"/>
      <c r="C578" s="522"/>
    </row>
    <row r="579" spans="2:3" ht="15.75" customHeight="1" x14ac:dyDescent="0.2">
      <c r="B579" s="33"/>
      <c r="C579" s="522"/>
    </row>
    <row r="580" spans="2:3" ht="15.75" customHeight="1" x14ac:dyDescent="0.2">
      <c r="B580" s="33"/>
      <c r="C580" s="522"/>
    </row>
    <row r="581" spans="2:3" ht="15.75" customHeight="1" x14ac:dyDescent="0.2">
      <c r="B581" s="33"/>
      <c r="C581" s="522"/>
    </row>
    <row r="582" spans="2:3" ht="15.75" customHeight="1" x14ac:dyDescent="0.2">
      <c r="B582" s="33"/>
      <c r="C582" s="522"/>
    </row>
    <row r="583" spans="2:3" ht="15.75" customHeight="1" x14ac:dyDescent="0.2">
      <c r="B583" s="33"/>
      <c r="C583" s="522"/>
    </row>
    <row r="584" spans="2:3" ht="15.75" customHeight="1" x14ac:dyDescent="0.2">
      <c r="B584" s="33"/>
      <c r="C584" s="522"/>
    </row>
    <row r="585" spans="2:3" ht="15.75" customHeight="1" x14ac:dyDescent="0.2">
      <c r="B585" s="33"/>
      <c r="C585" s="522"/>
    </row>
    <row r="586" spans="2:3" ht="15.75" customHeight="1" x14ac:dyDescent="0.2">
      <c r="B586" s="33"/>
      <c r="C586" s="522"/>
    </row>
    <row r="587" spans="2:3" ht="15.75" customHeight="1" x14ac:dyDescent="0.2">
      <c r="B587" s="33"/>
      <c r="C587" s="522"/>
    </row>
    <row r="588" spans="2:3" ht="15.75" customHeight="1" x14ac:dyDescent="0.2">
      <c r="B588" s="33"/>
      <c r="C588" s="522"/>
    </row>
    <row r="589" spans="2:3" ht="15.75" customHeight="1" x14ac:dyDescent="0.2">
      <c r="B589" s="33"/>
      <c r="C589" s="522"/>
    </row>
    <row r="590" spans="2:3" ht="15.75" customHeight="1" x14ac:dyDescent="0.2">
      <c r="B590" s="33"/>
      <c r="C590" s="522"/>
    </row>
    <row r="591" spans="2:3" ht="15.75" customHeight="1" x14ac:dyDescent="0.2">
      <c r="B591" s="33"/>
      <c r="C591" s="522"/>
    </row>
    <row r="592" spans="2:3" ht="15.75" customHeight="1" x14ac:dyDescent="0.2">
      <c r="B592" s="33"/>
      <c r="C592" s="522"/>
    </row>
    <row r="593" spans="2:3" ht="15.75" customHeight="1" x14ac:dyDescent="0.2">
      <c r="B593" s="33"/>
      <c r="C593" s="522"/>
    </row>
    <row r="594" spans="2:3" ht="15.75" customHeight="1" x14ac:dyDescent="0.2">
      <c r="B594" s="33"/>
      <c r="C594" s="522"/>
    </row>
    <row r="595" spans="2:3" ht="15.75" customHeight="1" x14ac:dyDescent="0.2">
      <c r="B595" s="33"/>
      <c r="C595" s="522"/>
    </row>
    <row r="596" spans="2:3" ht="15.75" customHeight="1" x14ac:dyDescent="0.2">
      <c r="B596" s="33"/>
      <c r="C596" s="522"/>
    </row>
    <row r="597" spans="2:3" ht="15.75" customHeight="1" x14ac:dyDescent="0.2">
      <c r="B597" s="33"/>
      <c r="C597" s="522"/>
    </row>
    <row r="598" spans="2:3" ht="15.75" customHeight="1" x14ac:dyDescent="0.2">
      <c r="B598" s="33"/>
      <c r="C598" s="522"/>
    </row>
    <row r="599" spans="2:3" ht="15.75" customHeight="1" x14ac:dyDescent="0.2">
      <c r="B599" s="33"/>
      <c r="C599" s="522"/>
    </row>
    <row r="600" spans="2:3" ht="15.75" customHeight="1" x14ac:dyDescent="0.2">
      <c r="B600" s="33"/>
      <c r="C600" s="522"/>
    </row>
    <row r="601" spans="2:3" ht="15.75" customHeight="1" x14ac:dyDescent="0.2">
      <c r="B601" s="33"/>
      <c r="C601" s="522"/>
    </row>
    <row r="602" spans="2:3" ht="15.75" customHeight="1" x14ac:dyDescent="0.2">
      <c r="B602" s="33"/>
      <c r="C602" s="522"/>
    </row>
    <row r="603" spans="2:3" ht="15.75" customHeight="1" x14ac:dyDescent="0.2">
      <c r="B603" s="33"/>
      <c r="C603" s="522"/>
    </row>
    <row r="604" spans="2:3" ht="15.75" customHeight="1" x14ac:dyDescent="0.2">
      <c r="B604" s="33"/>
      <c r="C604" s="522"/>
    </row>
    <row r="605" spans="2:3" ht="15.75" customHeight="1" x14ac:dyDescent="0.2">
      <c r="B605" s="33"/>
      <c r="C605" s="522"/>
    </row>
    <row r="606" spans="2:3" ht="15.75" customHeight="1" x14ac:dyDescent="0.2">
      <c r="B606" s="33"/>
      <c r="C606" s="522"/>
    </row>
    <row r="607" spans="2:3" ht="15.75" customHeight="1" x14ac:dyDescent="0.2">
      <c r="B607" s="33"/>
      <c r="C607" s="522"/>
    </row>
    <row r="608" spans="2:3" ht="15.75" customHeight="1" x14ac:dyDescent="0.2">
      <c r="B608" s="33"/>
      <c r="C608" s="522"/>
    </row>
    <row r="609" spans="2:3" ht="15.75" customHeight="1" x14ac:dyDescent="0.2">
      <c r="B609" s="33"/>
      <c r="C609" s="522"/>
    </row>
    <row r="610" spans="2:3" ht="15.75" customHeight="1" x14ac:dyDescent="0.2">
      <c r="B610" s="33"/>
      <c r="C610" s="522"/>
    </row>
    <row r="611" spans="2:3" ht="15.75" customHeight="1" x14ac:dyDescent="0.2">
      <c r="B611" s="33"/>
      <c r="C611" s="522"/>
    </row>
    <row r="612" spans="2:3" ht="15.75" customHeight="1" x14ac:dyDescent="0.2">
      <c r="B612" s="33"/>
      <c r="C612" s="522"/>
    </row>
    <row r="613" spans="2:3" ht="15.75" customHeight="1" x14ac:dyDescent="0.2">
      <c r="B613" s="33"/>
      <c r="C613" s="522"/>
    </row>
    <row r="614" spans="2:3" ht="15.75" customHeight="1" x14ac:dyDescent="0.2">
      <c r="B614" s="33"/>
      <c r="C614" s="522"/>
    </row>
    <row r="615" spans="2:3" ht="15.75" customHeight="1" x14ac:dyDescent="0.2">
      <c r="B615" s="33"/>
      <c r="C615" s="522"/>
    </row>
    <row r="616" spans="2:3" ht="15.75" customHeight="1" x14ac:dyDescent="0.2">
      <c r="B616" s="33"/>
      <c r="C616" s="522"/>
    </row>
    <row r="617" spans="2:3" ht="15.75" customHeight="1" x14ac:dyDescent="0.2">
      <c r="B617" s="33"/>
      <c r="C617" s="522"/>
    </row>
    <row r="618" spans="2:3" ht="15.75" customHeight="1" x14ac:dyDescent="0.2">
      <c r="B618" s="33"/>
      <c r="C618" s="522"/>
    </row>
    <row r="619" spans="2:3" ht="15.75" customHeight="1" x14ac:dyDescent="0.2">
      <c r="B619" s="33"/>
      <c r="C619" s="522"/>
    </row>
    <row r="620" spans="2:3" ht="15.75" customHeight="1" x14ac:dyDescent="0.2">
      <c r="B620" s="33"/>
      <c r="C620" s="522"/>
    </row>
    <row r="621" spans="2:3" ht="15.75" customHeight="1" x14ac:dyDescent="0.2">
      <c r="B621" s="33"/>
      <c r="C621" s="522"/>
    </row>
    <row r="622" spans="2:3" ht="15.75" customHeight="1" x14ac:dyDescent="0.2">
      <c r="B622" s="33"/>
      <c r="C622" s="522"/>
    </row>
    <row r="623" spans="2:3" ht="15.75" customHeight="1" x14ac:dyDescent="0.2">
      <c r="B623" s="33"/>
      <c r="C623" s="522"/>
    </row>
    <row r="624" spans="2:3" ht="15.75" customHeight="1" x14ac:dyDescent="0.2">
      <c r="B624" s="33"/>
      <c r="C624" s="522"/>
    </row>
    <row r="625" spans="2:3" ht="15.75" customHeight="1" x14ac:dyDescent="0.2">
      <c r="B625" s="33"/>
      <c r="C625" s="522"/>
    </row>
    <row r="626" spans="2:3" ht="15.75" customHeight="1" x14ac:dyDescent="0.2">
      <c r="B626" s="33"/>
      <c r="C626" s="522"/>
    </row>
    <row r="627" spans="2:3" ht="15.75" customHeight="1" x14ac:dyDescent="0.2">
      <c r="B627" s="33"/>
      <c r="C627" s="522"/>
    </row>
    <row r="628" spans="2:3" ht="15.75" customHeight="1" x14ac:dyDescent="0.2">
      <c r="B628" s="33"/>
      <c r="C628" s="522"/>
    </row>
    <row r="629" spans="2:3" ht="15.75" customHeight="1" x14ac:dyDescent="0.2">
      <c r="B629" s="33"/>
      <c r="C629" s="522"/>
    </row>
    <row r="630" spans="2:3" ht="15.75" customHeight="1" x14ac:dyDescent="0.2">
      <c r="B630" s="33"/>
      <c r="C630" s="522"/>
    </row>
    <row r="631" spans="2:3" ht="15.75" customHeight="1" x14ac:dyDescent="0.2">
      <c r="B631" s="33"/>
      <c r="C631" s="522"/>
    </row>
    <row r="632" spans="2:3" ht="15.75" customHeight="1" x14ac:dyDescent="0.2">
      <c r="B632" s="33"/>
      <c r="C632" s="522"/>
    </row>
    <row r="633" spans="2:3" ht="15.75" customHeight="1" x14ac:dyDescent="0.2">
      <c r="B633" s="33"/>
      <c r="C633" s="522"/>
    </row>
    <row r="634" spans="2:3" ht="15.75" customHeight="1" x14ac:dyDescent="0.2">
      <c r="B634" s="33"/>
      <c r="C634" s="522"/>
    </row>
    <row r="635" spans="2:3" ht="15.75" customHeight="1" x14ac:dyDescent="0.2">
      <c r="B635" s="33"/>
      <c r="C635" s="522"/>
    </row>
    <row r="636" spans="2:3" ht="15.75" customHeight="1" x14ac:dyDescent="0.2">
      <c r="B636" s="33"/>
      <c r="C636" s="522"/>
    </row>
    <row r="637" spans="2:3" ht="15.75" customHeight="1" x14ac:dyDescent="0.2">
      <c r="B637" s="33"/>
      <c r="C637" s="522"/>
    </row>
    <row r="638" spans="2:3" ht="15.75" customHeight="1" x14ac:dyDescent="0.2">
      <c r="B638" s="33"/>
      <c r="C638" s="522"/>
    </row>
    <row r="639" spans="2:3" ht="15.75" customHeight="1" x14ac:dyDescent="0.2">
      <c r="B639" s="33"/>
      <c r="C639" s="522"/>
    </row>
    <row r="640" spans="2:3" ht="15.75" customHeight="1" x14ac:dyDescent="0.2">
      <c r="B640" s="33"/>
      <c r="C640" s="522"/>
    </row>
    <row r="641" spans="2:3" ht="15.75" customHeight="1" x14ac:dyDescent="0.2">
      <c r="B641" s="33"/>
      <c r="C641" s="522"/>
    </row>
    <row r="642" spans="2:3" ht="15.75" customHeight="1" x14ac:dyDescent="0.2">
      <c r="B642" s="33"/>
      <c r="C642" s="522"/>
    </row>
    <row r="643" spans="2:3" ht="15.75" customHeight="1" x14ac:dyDescent="0.2">
      <c r="B643" s="33"/>
      <c r="C643" s="522"/>
    </row>
    <row r="644" spans="2:3" ht="15.75" customHeight="1" x14ac:dyDescent="0.2">
      <c r="B644" s="33"/>
      <c r="C644" s="522"/>
    </row>
    <row r="645" spans="2:3" ht="15.75" customHeight="1" x14ac:dyDescent="0.2">
      <c r="B645" s="33"/>
      <c r="C645" s="522"/>
    </row>
    <row r="646" spans="2:3" ht="15.75" customHeight="1" x14ac:dyDescent="0.2">
      <c r="B646" s="33"/>
      <c r="C646" s="522"/>
    </row>
    <row r="647" spans="2:3" ht="15.75" customHeight="1" x14ac:dyDescent="0.2">
      <c r="B647" s="33"/>
      <c r="C647" s="522"/>
    </row>
    <row r="648" spans="2:3" ht="15.75" customHeight="1" x14ac:dyDescent="0.2">
      <c r="B648" s="33"/>
      <c r="C648" s="522"/>
    </row>
    <row r="649" spans="2:3" ht="15.75" customHeight="1" x14ac:dyDescent="0.2">
      <c r="B649" s="33"/>
      <c r="C649" s="522"/>
    </row>
    <row r="650" spans="2:3" ht="15.75" customHeight="1" x14ac:dyDescent="0.2">
      <c r="B650" s="33"/>
      <c r="C650" s="522"/>
    </row>
    <row r="651" spans="2:3" ht="15.75" customHeight="1" x14ac:dyDescent="0.2">
      <c r="B651" s="33"/>
      <c r="C651" s="522"/>
    </row>
    <row r="652" spans="2:3" ht="15.75" customHeight="1" x14ac:dyDescent="0.2">
      <c r="B652" s="33"/>
      <c r="C652" s="522"/>
    </row>
    <row r="653" spans="2:3" ht="15.75" customHeight="1" x14ac:dyDescent="0.2">
      <c r="B653" s="33"/>
      <c r="C653" s="522"/>
    </row>
    <row r="654" spans="2:3" ht="15.75" customHeight="1" x14ac:dyDescent="0.2">
      <c r="B654" s="33"/>
      <c r="C654" s="522"/>
    </row>
    <row r="655" spans="2:3" ht="15.75" customHeight="1" x14ac:dyDescent="0.2">
      <c r="B655" s="33"/>
      <c r="C655" s="522"/>
    </row>
    <row r="656" spans="2:3" ht="15.75" customHeight="1" x14ac:dyDescent="0.2">
      <c r="B656" s="33"/>
      <c r="C656" s="522"/>
    </row>
    <row r="657" spans="2:3" ht="15.75" customHeight="1" x14ac:dyDescent="0.2">
      <c r="B657" s="33"/>
      <c r="C657" s="522"/>
    </row>
    <row r="658" spans="2:3" ht="15.75" customHeight="1" x14ac:dyDescent="0.2">
      <c r="B658" s="33"/>
      <c r="C658" s="522"/>
    </row>
    <row r="659" spans="2:3" ht="15.75" customHeight="1" x14ac:dyDescent="0.2">
      <c r="B659" s="33"/>
      <c r="C659" s="522"/>
    </row>
    <row r="660" spans="2:3" ht="15.75" customHeight="1" x14ac:dyDescent="0.2">
      <c r="B660" s="33"/>
      <c r="C660" s="522"/>
    </row>
    <row r="661" spans="2:3" ht="15.75" customHeight="1" x14ac:dyDescent="0.2">
      <c r="B661" s="33"/>
      <c r="C661" s="522"/>
    </row>
    <row r="662" spans="2:3" ht="15.75" customHeight="1" x14ac:dyDescent="0.2">
      <c r="B662" s="33"/>
      <c r="C662" s="522"/>
    </row>
    <row r="663" spans="2:3" ht="15.75" customHeight="1" x14ac:dyDescent="0.2">
      <c r="B663" s="33"/>
      <c r="C663" s="522"/>
    </row>
    <row r="664" spans="2:3" ht="15.75" customHeight="1" x14ac:dyDescent="0.2">
      <c r="B664" s="33"/>
      <c r="C664" s="522"/>
    </row>
    <row r="665" spans="2:3" ht="15.75" customHeight="1" x14ac:dyDescent="0.2">
      <c r="B665" s="33"/>
      <c r="C665" s="522"/>
    </row>
    <row r="666" spans="2:3" ht="15.75" customHeight="1" x14ac:dyDescent="0.2">
      <c r="B666" s="33"/>
      <c r="C666" s="522"/>
    </row>
    <row r="667" spans="2:3" ht="15.75" customHeight="1" x14ac:dyDescent="0.2">
      <c r="B667" s="33"/>
      <c r="C667" s="522"/>
    </row>
    <row r="668" spans="2:3" ht="15.75" customHeight="1" x14ac:dyDescent="0.2">
      <c r="B668" s="33"/>
      <c r="C668" s="522"/>
    </row>
    <row r="669" spans="2:3" ht="15.75" customHeight="1" x14ac:dyDescent="0.2">
      <c r="B669" s="33"/>
      <c r="C669" s="522"/>
    </row>
    <row r="670" spans="2:3" ht="15.75" customHeight="1" x14ac:dyDescent="0.2">
      <c r="B670" s="33"/>
      <c r="C670" s="522"/>
    </row>
    <row r="671" spans="2:3" ht="15.75" customHeight="1" x14ac:dyDescent="0.2">
      <c r="B671" s="33"/>
      <c r="C671" s="522"/>
    </row>
    <row r="672" spans="2:3" ht="15.75" customHeight="1" x14ac:dyDescent="0.2">
      <c r="B672" s="33"/>
      <c r="C672" s="522"/>
    </row>
    <row r="673" spans="2:3" ht="15.75" customHeight="1" x14ac:dyDescent="0.2">
      <c r="B673" s="33"/>
      <c r="C673" s="522"/>
    </row>
    <row r="674" spans="2:3" ht="15.75" customHeight="1" x14ac:dyDescent="0.2">
      <c r="B674" s="33"/>
      <c r="C674" s="522"/>
    </row>
    <row r="675" spans="2:3" ht="15.75" customHeight="1" x14ac:dyDescent="0.2">
      <c r="B675" s="33"/>
      <c r="C675" s="522"/>
    </row>
    <row r="676" spans="2:3" ht="15.75" customHeight="1" x14ac:dyDescent="0.2">
      <c r="B676" s="33"/>
      <c r="C676" s="522"/>
    </row>
    <row r="677" spans="2:3" ht="15.75" customHeight="1" x14ac:dyDescent="0.2">
      <c r="B677" s="33"/>
      <c r="C677" s="522"/>
    </row>
    <row r="678" spans="2:3" ht="15.75" customHeight="1" x14ac:dyDescent="0.2">
      <c r="B678" s="33"/>
      <c r="C678" s="522"/>
    </row>
    <row r="679" spans="2:3" ht="15.75" customHeight="1" x14ac:dyDescent="0.2">
      <c r="B679" s="33"/>
      <c r="C679" s="522"/>
    </row>
    <row r="680" spans="2:3" ht="15.75" customHeight="1" x14ac:dyDescent="0.2">
      <c r="B680" s="33"/>
      <c r="C680" s="522"/>
    </row>
    <row r="681" spans="2:3" ht="15.75" customHeight="1" x14ac:dyDescent="0.2">
      <c r="B681" s="33"/>
      <c r="C681" s="522"/>
    </row>
    <row r="682" spans="2:3" ht="15.75" customHeight="1" x14ac:dyDescent="0.2">
      <c r="B682" s="33"/>
      <c r="C682" s="522"/>
    </row>
    <row r="683" spans="2:3" ht="15.75" customHeight="1" x14ac:dyDescent="0.2">
      <c r="B683" s="33"/>
      <c r="C683" s="522"/>
    </row>
    <row r="684" spans="2:3" ht="15.75" customHeight="1" x14ac:dyDescent="0.2">
      <c r="B684" s="33"/>
      <c r="C684" s="522"/>
    </row>
    <row r="685" spans="2:3" ht="15.75" customHeight="1" x14ac:dyDescent="0.2">
      <c r="B685" s="33"/>
      <c r="C685" s="522"/>
    </row>
    <row r="686" spans="2:3" ht="15.75" customHeight="1" x14ac:dyDescent="0.2">
      <c r="B686" s="33"/>
      <c r="C686" s="522"/>
    </row>
    <row r="687" spans="2:3" ht="15.75" customHeight="1" x14ac:dyDescent="0.2">
      <c r="B687" s="33"/>
      <c r="C687" s="522"/>
    </row>
    <row r="688" spans="2:3" ht="15.75" customHeight="1" x14ac:dyDescent="0.2">
      <c r="B688" s="33"/>
      <c r="C688" s="522"/>
    </row>
    <row r="689" spans="2:3" ht="15.75" customHeight="1" x14ac:dyDescent="0.2">
      <c r="B689" s="33"/>
      <c r="C689" s="522"/>
    </row>
    <row r="690" spans="2:3" ht="15.75" customHeight="1" x14ac:dyDescent="0.2">
      <c r="B690" s="33"/>
      <c r="C690" s="522"/>
    </row>
    <row r="691" spans="2:3" ht="15.75" customHeight="1" x14ac:dyDescent="0.2">
      <c r="B691" s="33"/>
      <c r="C691" s="522"/>
    </row>
    <row r="692" spans="2:3" ht="15.75" customHeight="1" x14ac:dyDescent="0.2">
      <c r="B692" s="33"/>
      <c r="C692" s="522"/>
    </row>
    <row r="693" spans="2:3" ht="15.75" customHeight="1" x14ac:dyDescent="0.2">
      <c r="B693" s="33"/>
      <c r="C693" s="522"/>
    </row>
    <row r="694" spans="2:3" ht="15.75" customHeight="1" x14ac:dyDescent="0.2">
      <c r="B694" s="33"/>
      <c r="C694" s="522"/>
    </row>
    <row r="695" spans="2:3" ht="15.75" customHeight="1" x14ac:dyDescent="0.2">
      <c r="B695" s="33"/>
      <c r="C695" s="522"/>
    </row>
    <row r="696" spans="2:3" ht="15.75" customHeight="1" x14ac:dyDescent="0.2">
      <c r="B696" s="33"/>
      <c r="C696" s="522"/>
    </row>
    <row r="697" spans="2:3" ht="15.75" customHeight="1" x14ac:dyDescent="0.2">
      <c r="B697" s="33"/>
      <c r="C697" s="522"/>
    </row>
    <row r="698" spans="2:3" ht="15.75" customHeight="1" x14ac:dyDescent="0.2">
      <c r="B698" s="33"/>
      <c r="C698" s="522"/>
    </row>
    <row r="699" spans="2:3" ht="15.75" customHeight="1" x14ac:dyDescent="0.2">
      <c r="B699" s="33"/>
      <c r="C699" s="522"/>
    </row>
    <row r="700" spans="2:3" ht="15.75" customHeight="1" x14ac:dyDescent="0.2">
      <c r="B700" s="33"/>
      <c r="C700" s="522"/>
    </row>
    <row r="701" spans="2:3" ht="15.75" customHeight="1" x14ac:dyDescent="0.2">
      <c r="B701" s="33"/>
      <c r="C701" s="522"/>
    </row>
    <row r="702" spans="2:3" ht="15.75" customHeight="1" x14ac:dyDescent="0.2">
      <c r="B702" s="33"/>
      <c r="C702" s="522"/>
    </row>
    <row r="703" spans="2:3" ht="15.75" customHeight="1" x14ac:dyDescent="0.2">
      <c r="B703" s="33"/>
      <c r="C703" s="522"/>
    </row>
    <row r="704" spans="2:3" ht="15.75" customHeight="1" x14ac:dyDescent="0.2">
      <c r="B704" s="33"/>
      <c r="C704" s="522"/>
    </row>
    <row r="705" spans="2:3" ht="15.75" customHeight="1" x14ac:dyDescent="0.2">
      <c r="B705" s="33"/>
      <c r="C705" s="522"/>
    </row>
    <row r="706" spans="2:3" ht="15.75" customHeight="1" x14ac:dyDescent="0.2">
      <c r="B706" s="33"/>
      <c r="C706" s="522"/>
    </row>
    <row r="707" spans="2:3" ht="15.75" customHeight="1" x14ac:dyDescent="0.2">
      <c r="B707" s="33"/>
      <c r="C707" s="522"/>
    </row>
    <row r="708" spans="2:3" ht="15.75" customHeight="1" x14ac:dyDescent="0.2">
      <c r="B708" s="33"/>
      <c r="C708" s="522"/>
    </row>
    <row r="709" spans="2:3" ht="15.75" customHeight="1" x14ac:dyDescent="0.2">
      <c r="B709" s="33"/>
      <c r="C709" s="522"/>
    </row>
    <row r="710" spans="2:3" ht="15.75" customHeight="1" x14ac:dyDescent="0.2">
      <c r="B710" s="33"/>
      <c r="C710" s="522"/>
    </row>
    <row r="711" spans="2:3" ht="15.75" customHeight="1" x14ac:dyDescent="0.2">
      <c r="B711" s="33"/>
      <c r="C711" s="522"/>
    </row>
    <row r="712" spans="2:3" ht="15.75" customHeight="1" x14ac:dyDescent="0.2">
      <c r="B712" s="33"/>
      <c r="C712" s="522"/>
    </row>
    <row r="713" spans="2:3" ht="15.75" customHeight="1" x14ac:dyDescent="0.2">
      <c r="B713" s="33"/>
      <c r="C713" s="522"/>
    </row>
    <row r="714" spans="2:3" ht="15.75" customHeight="1" x14ac:dyDescent="0.2">
      <c r="B714" s="33"/>
      <c r="C714" s="522"/>
    </row>
    <row r="715" spans="2:3" ht="15.75" customHeight="1" x14ac:dyDescent="0.2">
      <c r="B715" s="33"/>
      <c r="C715" s="522"/>
    </row>
    <row r="716" spans="2:3" ht="15.75" customHeight="1" x14ac:dyDescent="0.2">
      <c r="B716" s="33"/>
      <c r="C716" s="522"/>
    </row>
    <row r="717" spans="2:3" ht="15.75" customHeight="1" x14ac:dyDescent="0.2">
      <c r="B717" s="33"/>
      <c r="C717" s="522"/>
    </row>
    <row r="718" spans="2:3" ht="15.75" customHeight="1" x14ac:dyDescent="0.2">
      <c r="B718" s="33"/>
      <c r="C718" s="522"/>
    </row>
    <row r="719" spans="2:3" ht="15.75" customHeight="1" x14ac:dyDescent="0.2">
      <c r="B719" s="33"/>
      <c r="C719" s="522"/>
    </row>
    <row r="720" spans="2:3" ht="15.75" customHeight="1" x14ac:dyDescent="0.2">
      <c r="B720" s="33"/>
      <c r="C720" s="522"/>
    </row>
    <row r="721" spans="2:3" ht="15.75" customHeight="1" x14ac:dyDescent="0.2">
      <c r="B721" s="33"/>
      <c r="C721" s="522"/>
    </row>
    <row r="722" spans="2:3" ht="15.75" customHeight="1" x14ac:dyDescent="0.2">
      <c r="B722" s="33"/>
      <c r="C722" s="522"/>
    </row>
    <row r="723" spans="2:3" ht="15.75" customHeight="1" x14ac:dyDescent="0.2">
      <c r="B723" s="33"/>
      <c r="C723" s="522"/>
    </row>
    <row r="724" spans="2:3" ht="15.75" customHeight="1" x14ac:dyDescent="0.2">
      <c r="B724" s="33"/>
      <c r="C724" s="522"/>
    </row>
    <row r="725" spans="2:3" ht="15.75" customHeight="1" x14ac:dyDescent="0.2">
      <c r="B725" s="33"/>
      <c r="C725" s="522"/>
    </row>
    <row r="726" spans="2:3" ht="15.75" customHeight="1" x14ac:dyDescent="0.2">
      <c r="B726" s="33"/>
      <c r="C726" s="522"/>
    </row>
    <row r="727" spans="2:3" ht="15.75" customHeight="1" x14ac:dyDescent="0.2">
      <c r="B727" s="33"/>
      <c r="C727" s="522"/>
    </row>
    <row r="728" spans="2:3" ht="15.75" customHeight="1" x14ac:dyDescent="0.2">
      <c r="B728" s="33"/>
      <c r="C728" s="522"/>
    </row>
    <row r="729" spans="2:3" ht="15.75" customHeight="1" x14ac:dyDescent="0.2">
      <c r="B729" s="33"/>
      <c r="C729" s="522"/>
    </row>
    <row r="730" spans="2:3" ht="15.75" customHeight="1" x14ac:dyDescent="0.2">
      <c r="B730" s="33"/>
      <c r="C730" s="522"/>
    </row>
    <row r="731" spans="2:3" ht="15.75" customHeight="1" x14ac:dyDescent="0.2">
      <c r="B731" s="33"/>
      <c r="C731" s="522"/>
    </row>
    <row r="732" spans="2:3" ht="15.75" customHeight="1" x14ac:dyDescent="0.2">
      <c r="B732" s="33"/>
      <c r="C732" s="522"/>
    </row>
    <row r="733" spans="2:3" ht="15.75" customHeight="1" x14ac:dyDescent="0.2">
      <c r="B733" s="33"/>
      <c r="C733" s="522"/>
    </row>
    <row r="734" spans="2:3" ht="15.75" customHeight="1" x14ac:dyDescent="0.2">
      <c r="B734" s="33"/>
      <c r="C734" s="522"/>
    </row>
    <row r="735" spans="2:3" ht="15.75" customHeight="1" x14ac:dyDescent="0.2">
      <c r="B735" s="33"/>
      <c r="C735" s="522"/>
    </row>
    <row r="736" spans="2:3" ht="15.75" customHeight="1" x14ac:dyDescent="0.2">
      <c r="B736" s="33"/>
      <c r="C736" s="522"/>
    </row>
    <row r="737" spans="2:3" ht="15.75" customHeight="1" x14ac:dyDescent="0.2">
      <c r="B737" s="33"/>
      <c r="C737" s="522"/>
    </row>
    <row r="738" spans="2:3" ht="15.75" customHeight="1" x14ac:dyDescent="0.2">
      <c r="B738" s="33"/>
      <c r="C738" s="522"/>
    </row>
    <row r="739" spans="2:3" ht="15.75" customHeight="1" x14ac:dyDescent="0.2">
      <c r="B739" s="33"/>
      <c r="C739" s="522"/>
    </row>
    <row r="740" spans="2:3" ht="15.75" customHeight="1" x14ac:dyDescent="0.2">
      <c r="B740" s="33"/>
      <c r="C740" s="522"/>
    </row>
    <row r="741" spans="2:3" ht="15.75" customHeight="1" x14ac:dyDescent="0.2">
      <c r="B741" s="33"/>
      <c r="C741" s="522"/>
    </row>
    <row r="742" spans="2:3" ht="15.75" customHeight="1" x14ac:dyDescent="0.2">
      <c r="B742" s="33"/>
      <c r="C742" s="522"/>
    </row>
    <row r="743" spans="2:3" ht="15.75" customHeight="1" x14ac:dyDescent="0.2">
      <c r="B743" s="33"/>
      <c r="C743" s="522"/>
    </row>
    <row r="744" spans="2:3" ht="15.75" customHeight="1" x14ac:dyDescent="0.2">
      <c r="B744" s="33"/>
      <c r="C744" s="522"/>
    </row>
    <row r="745" spans="2:3" ht="15.75" customHeight="1" x14ac:dyDescent="0.2">
      <c r="B745" s="33"/>
      <c r="C745" s="522"/>
    </row>
    <row r="746" spans="2:3" ht="15.75" customHeight="1" x14ac:dyDescent="0.2">
      <c r="B746" s="33"/>
      <c r="C746" s="522"/>
    </row>
    <row r="747" spans="2:3" ht="15.75" customHeight="1" x14ac:dyDescent="0.2">
      <c r="B747" s="33"/>
      <c r="C747" s="522"/>
    </row>
    <row r="748" spans="2:3" ht="15.75" customHeight="1" x14ac:dyDescent="0.2">
      <c r="B748" s="33"/>
      <c r="C748" s="522"/>
    </row>
    <row r="749" spans="2:3" ht="15.75" customHeight="1" x14ac:dyDescent="0.2">
      <c r="B749" s="33"/>
      <c r="C749" s="522"/>
    </row>
    <row r="750" spans="2:3" ht="15.75" customHeight="1" x14ac:dyDescent="0.2">
      <c r="B750" s="33"/>
      <c r="C750" s="522"/>
    </row>
    <row r="751" spans="2:3" ht="15.75" customHeight="1" x14ac:dyDescent="0.2">
      <c r="B751" s="33"/>
      <c r="C751" s="522"/>
    </row>
    <row r="752" spans="2:3" ht="15.75" customHeight="1" x14ac:dyDescent="0.2">
      <c r="B752" s="33"/>
      <c r="C752" s="522"/>
    </row>
    <row r="753" spans="2:3" ht="15.75" customHeight="1" x14ac:dyDescent="0.2">
      <c r="B753" s="33"/>
      <c r="C753" s="522"/>
    </row>
    <row r="754" spans="2:3" ht="15.75" customHeight="1" x14ac:dyDescent="0.2">
      <c r="B754" s="33"/>
      <c r="C754" s="522"/>
    </row>
    <row r="755" spans="2:3" ht="15.75" customHeight="1" x14ac:dyDescent="0.2">
      <c r="B755" s="33"/>
      <c r="C755" s="522"/>
    </row>
    <row r="756" spans="2:3" ht="15.75" customHeight="1" x14ac:dyDescent="0.2">
      <c r="B756" s="33"/>
      <c r="C756" s="522"/>
    </row>
    <row r="757" spans="2:3" ht="15.75" customHeight="1" x14ac:dyDescent="0.2">
      <c r="B757" s="33"/>
      <c r="C757" s="522"/>
    </row>
    <row r="758" spans="2:3" ht="15.75" customHeight="1" x14ac:dyDescent="0.2">
      <c r="B758" s="33"/>
      <c r="C758" s="522"/>
    </row>
    <row r="759" spans="2:3" ht="15.75" customHeight="1" x14ac:dyDescent="0.2">
      <c r="B759" s="33"/>
      <c r="C759" s="522"/>
    </row>
    <row r="760" spans="2:3" ht="15.75" customHeight="1" x14ac:dyDescent="0.2">
      <c r="B760" s="33"/>
      <c r="C760" s="522"/>
    </row>
    <row r="761" spans="2:3" ht="15.75" customHeight="1" x14ac:dyDescent="0.2">
      <c r="B761" s="33"/>
      <c r="C761" s="522"/>
    </row>
    <row r="762" spans="2:3" ht="15.75" customHeight="1" x14ac:dyDescent="0.2">
      <c r="B762" s="33"/>
      <c r="C762" s="522"/>
    </row>
    <row r="763" spans="2:3" ht="15.75" customHeight="1" x14ac:dyDescent="0.2">
      <c r="B763" s="33"/>
      <c r="C763" s="522"/>
    </row>
    <row r="764" spans="2:3" ht="15.75" customHeight="1" x14ac:dyDescent="0.2">
      <c r="B764" s="33"/>
      <c r="C764" s="522"/>
    </row>
    <row r="765" spans="2:3" ht="15.75" customHeight="1" x14ac:dyDescent="0.2">
      <c r="B765" s="33"/>
      <c r="C765" s="522"/>
    </row>
    <row r="766" spans="2:3" ht="15.75" customHeight="1" x14ac:dyDescent="0.2">
      <c r="B766" s="33"/>
      <c r="C766" s="522"/>
    </row>
    <row r="767" spans="2:3" ht="15.75" customHeight="1" x14ac:dyDescent="0.2">
      <c r="B767" s="33"/>
      <c r="C767" s="522"/>
    </row>
    <row r="768" spans="2:3" ht="15.75" customHeight="1" x14ac:dyDescent="0.2">
      <c r="B768" s="33"/>
      <c r="C768" s="522"/>
    </row>
    <row r="769" spans="2:3" ht="15.75" customHeight="1" x14ac:dyDescent="0.2">
      <c r="B769" s="33"/>
      <c r="C769" s="522"/>
    </row>
    <row r="770" spans="2:3" ht="15.75" customHeight="1" x14ac:dyDescent="0.2">
      <c r="B770" s="33"/>
      <c r="C770" s="522"/>
    </row>
    <row r="771" spans="2:3" ht="15.75" customHeight="1" x14ac:dyDescent="0.2">
      <c r="B771" s="33"/>
      <c r="C771" s="522"/>
    </row>
    <row r="772" spans="2:3" ht="15.75" customHeight="1" x14ac:dyDescent="0.2">
      <c r="B772" s="33"/>
      <c r="C772" s="522"/>
    </row>
    <row r="773" spans="2:3" ht="15.75" customHeight="1" x14ac:dyDescent="0.2">
      <c r="B773" s="33"/>
      <c r="C773" s="522"/>
    </row>
    <row r="774" spans="2:3" ht="15.75" customHeight="1" x14ac:dyDescent="0.2">
      <c r="B774" s="33"/>
      <c r="C774" s="522"/>
    </row>
    <row r="775" spans="2:3" ht="15.75" customHeight="1" x14ac:dyDescent="0.2">
      <c r="B775" s="33"/>
      <c r="C775" s="522"/>
    </row>
    <row r="776" spans="2:3" ht="15.75" customHeight="1" x14ac:dyDescent="0.2">
      <c r="B776" s="33"/>
      <c r="C776" s="522"/>
    </row>
    <row r="777" spans="2:3" ht="15.75" customHeight="1" x14ac:dyDescent="0.2">
      <c r="B777" s="33"/>
      <c r="C777" s="522"/>
    </row>
    <row r="778" spans="2:3" ht="15.75" customHeight="1" x14ac:dyDescent="0.2">
      <c r="B778" s="33"/>
      <c r="C778" s="522"/>
    </row>
    <row r="779" spans="2:3" ht="15.75" customHeight="1" x14ac:dyDescent="0.2">
      <c r="B779" s="33"/>
      <c r="C779" s="522"/>
    </row>
    <row r="780" spans="2:3" ht="15.75" customHeight="1" x14ac:dyDescent="0.2">
      <c r="B780" s="33"/>
      <c r="C780" s="522"/>
    </row>
    <row r="781" spans="2:3" ht="15.75" customHeight="1" x14ac:dyDescent="0.2">
      <c r="B781" s="33"/>
      <c r="C781" s="522"/>
    </row>
    <row r="782" spans="2:3" ht="15.75" customHeight="1" x14ac:dyDescent="0.2">
      <c r="B782" s="33"/>
      <c r="C782" s="522"/>
    </row>
    <row r="783" spans="2:3" ht="15.75" customHeight="1" x14ac:dyDescent="0.2">
      <c r="B783" s="33"/>
      <c r="C783" s="522"/>
    </row>
    <row r="784" spans="2:3" ht="15.75" customHeight="1" x14ac:dyDescent="0.2">
      <c r="B784" s="33"/>
      <c r="C784" s="522"/>
    </row>
    <row r="785" spans="2:3" ht="15.75" customHeight="1" x14ac:dyDescent="0.2">
      <c r="B785" s="33"/>
      <c r="C785" s="522"/>
    </row>
    <row r="786" spans="2:3" ht="15.75" customHeight="1" x14ac:dyDescent="0.2">
      <c r="B786" s="33"/>
      <c r="C786" s="522"/>
    </row>
    <row r="787" spans="2:3" ht="15.75" customHeight="1" x14ac:dyDescent="0.2">
      <c r="B787" s="33"/>
      <c r="C787" s="522"/>
    </row>
    <row r="788" spans="2:3" ht="15.75" customHeight="1" x14ac:dyDescent="0.2">
      <c r="B788" s="33"/>
      <c r="C788" s="522"/>
    </row>
    <row r="789" spans="2:3" ht="15.75" customHeight="1" x14ac:dyDescent="0.2">
      <c r="B789" s="33"/>
      <c r="C789" s="522"/>
    </row>
    <row r="790" spans="2:3" ht="15.75" customHeight="1" x14ac:dyDescent="0.2">
      <c r="B790" s="33"/>
      <c r="C790" s="522"/>
    </row>
    <row r="791" spans="2:3" ht="15.75" customHeight="1" x14ac:dyDescent="0.2">
      <c r="B791" s="33"/>
      <c r="C791" s="522"/>
    </row>
    <row r="792" spans="2:3" ht="15.75" customHeight="1" x14ac:dyDescent="0.2">
      <c r="B792" s="33"/>
      <c r="C792" s="522"/>
    </row>
    <row r="793" spans="2:3" ht="15.75" customHeight="1" x14ac:dyDescent="0.2">
      <c r="B793" s="33"/>
      <c r="C793" s="522"/>
    </row>
    <row r="794" spans="2:3" ht="15.75" customHeight="1" x14ac:dyDescent="0.2">
      <c r="B794" s="33"/>
      <c r="C794" s="522"/>
    </row>
    <row r="795" spans="2:3" ht="15.75" customHeight="1" x14ac:dyDescent="0.2">
      <c r="B795" s="33"/>
      <c r="C795" s="522"/>
    </row>
    <row r="796" spans="2:3" ht="15.75" customHeight="1" x14ac:dyDescent="0.2">
      <c r="B796" s="33"/>
      <c r="C796" s="522"/>
    </row>
    <row r="797" spans="2:3" ht="15.75" customHeight="1" x14ac:dyDescent="0.2">
      <c r="B797" s="33"/>
      <c r="C797" s="522"/>
    </row>
    <row r="798" spans="2:3" ht="15.75" customHeight="1" x14ac:dyDescent="0.2">
      <c r="B798" s="33"/>
      <c r="C798" s="522"/>
    </row>
    <row r="799" spans="2:3" ht="15.75" customHeight="1" x14ac:dyDescent="0.2">
      <c r="B799" s="33"/>
      <c r="C799" s="522"/>
    </row>
    <row r="800" spans="2:3" ht="15.75" customHeight="1" x14ac:dyDescent="0.2">
      <c r="B800" s="33"/>
      <c r="C800" s="522"/>
    </row>
    <row r="801" spans="2:3" ht="15.75" customHeight="1" x14ac:dyDescent="0.2">
      <c r="B801" s="33"/>
      <c r="C801" s="522"/>
    </row>
    <row r="802" spans="2:3" ht="15.75" customHeight="1" x14ac:dyDescent="0.2">
      <c r="B802" s="33"/>
      <c r="C802" s="522"/>
    </row>
    <row r="803" spans="2:3" ht="15.75" customHeight="1" x14ac:dyDescent="0.2">
      <c r="B803" s="33"/>
      <c r="C803" s="522"/>
    </row>
    <row r="804" spans="2:3" ht="15.75" customHeight="1" x14ac:dyDescent="0.2">
      <c r="B804" s="33"/>
      <c r="C804" s="522"/>
    </row>
    <row r="805" spans="2:3" ht="15.75" customHeight="1" x14ac:dyDescent="0.2">
      <c r="B805" s="33"/>
      <c r="C805" s="522"/>
    </row>
    <row r="806" spans="2:3" ht="15.75" customHeight="1" x14ac:dyDescent="0.2">
      <c r="B806" s="33"/>
      <c r="C806" s="522"/>
    </row>
    <row r="807" spans="2:3" ht="15.75" customHeight="1" x14ac:dyDescent="0.2">
      <c r="B807" s="33"/>
      <c r="C807" s="522"/>
    </row>
    <row r="808" spans="2:3" ht="15.75" customHeight="1" x14ac:dyDescent="0.2">
      <c r="B808" s="33"/>
      <c r="C808" s="522"/>
    </row>
    <row r="809" spans="2:3" ht="15.75" customHeight="1" x14ac:dyDescent="0.2">
      <c r="B809" s="33"/>
      <c r="C809" s="522"/>
    </row>
    <row r="810" spans="2:3" ht="15.75" customHeight="1" x14ac:dyDescent="0.2">
      <c r="B810" s="33"/>
      <c r="C810" s="522"/>
    </row>
    <row r="811" spans="2:3" ht="15.75" customHeight="1" x14ac:dyDescent="0.2">
      <c r="B811" s="33"/>
      <c r="C811" s="522"/>
    </row>
    <row r="812" spans="2:3" ht="15.75" customHeight="1" x14ac:dyDescent="0.2">
      <c r="B812" s="33"/>
      <c r="C812" s="522"/>
    </row>
    <row r="813" spans="2:3" ht="15.75" customHeight="1" x14ac:dyDescent="0.2">
      <c r="B813" s="33"/>
      <c r="C813" s="522"/>
    </row>
    <row r="814" spans="2:3" ht="15.75" customHeight="1" x14ac:dyDescent="0.2">
      <c r="B814" s="33"/>
      <c r="C814" s="522"/>
    </row>
    <row r="815" spans="2:3" ht="15.75" customHeight="1" x14ac:dyDescent="0.2">
      <c r="B815" s="33"/>
      <c r="C815" s="522"/>
    </row>
    <row r="816" spans="2:3" ht="15.75" customHeight="1" x14ac:dyDescent="0.2">
      <c r="B816" s="33"/>
      <c r="C816" s="522"/>
    </row>
    <row r="817" spans="2:3" ht="15.75" customHeight="1" x14ac:dyDescent="0.2">
      <c r="B817" s="33"/>
      <c r="C817" s="522"/>
    </row>
    <row r="818" spans="2:3" ht="15.75" customHeight="1" x14ac:dyDescent="0.2">
      <c r="B818" s="33"/>
      <c r="C818" s="522"/>
    </row>
    <row r="819" spans="2:3" ht="15.75" customHeight="1" x14ac:dyDescent="0.2">
      <c r="B819" s="33"/>
      <c r="C819" s="522"/>
    </row>
    <row r="820" spans="2:3" ht="15.75" customHeight="1" x14ac:dyDescent="0.2">
      <c r="B820" s="33"/>
      <c r="C820" s="522"/>
    </row>
    <row r="821" spans="2:3" ht="15.75" customHeight="1" x14ac:dyDescent="0.2">
      <c r="B821" s="33"/>
      <c r="C821" s="522"/>
    </row>
    <row r="822" spans="2:3" ht="15.75" customHeight="1" x14ac:dyDescent="0.2">
      <c r="B822" s="33"/>
      <c r="C822" s="522"/>
    </row>
    <row r="823" spans="2:3" ht="15.75" customHeight="1" x14ac:dyDescent="0.2">
      <c r="B823" s="33"/>
      <c r="C823" s="522"/>
    </row>
    <row r="824" spans="2:3" ht="15.75" customHeight="1" x14ac:dyDescent="0.2">
      <c r="B824" s="33"/>
      <c r="C824" s="522"/>
    </row>
    <row r="825" spans="2:3" ht="15.75" customHeight="1" x14ac:dyDescent="0.2">
      <c r="B825" s="33"/>
      <c r="C825" s="522"/>
    </row>
    <row r="826" spans="2:3" ht="15.75" customHeight="1" x14ac:dyDescent="0.2">
      <c r="B826" s="33"/>
      <c r="C826" s="522"/>
    </row>
    <row r="827" spans="2:3" ht="15.75" customHeight="1" x14ac:dyDescent="0.2">
      <c r="B827" s="33"/>
      <c r="C827" s="522"/>
    </row>
    <row r="828" spans="2:3" ht="15.75" customHeight="1" x14ac:dyDescent="0.2">
      <c r="B828" s="33"/>
      <c r="C828" s="522"/>
    </row>
    <row r="829" spans="2:3" ht="15.75" customHeight="1" x14ac:dyDescent="0.2">
      <c r="B829" s="33"/>
      <c r="C829" s="522"/>
    </row>
    <row r="830" spans="2:3" ht="15.75" customHeight="1" x14ac:dyDescent="0.2">
      <c r="B830" s="33"/>
      <c r="C830" s="522"/>
    </row>
    <row r="831" spans="2:3" ht="15.75" customHeight="1" x14ac:dyDescent="0.2">
      <c r="B831" s="33"/>
      <c r="C831" s="522"/>
    </row>
    <row r="832" spans="2:3" ht="15.75" customHeight="1" x14ac:dyDescent="0.2">
      <c r="B832" s="33"/>
      <c r="C832" s="522"/>
    </row>
    <row r="833" spans="2:3" ht="15.75" customHeight="1" x14ac:dyDescent="0.2">
      <c r="B833" s="33"/>
      <c r="C833" s="522"/>
    </row>
    <row r="834" spans="2:3" ht="15.75" customHeight="1" x14ac:dyDescent="0.2">
      <c r="B834" s="33"/>
      <c r="C834" s="522"/>
    </row>
    <row r="835" spans="2:3" ht="15.75" customHeight="1" x14ac:dyDescent="0.2">
      <c r="B835" s="33"/>
      <c r="C835" s="522"/>
    </row>
    <row r="836" spans="2:3" ht="15.75" customHeight="1" x14ac:dyDescent="0.2">
      <c r="B836" s="33"/>
      <c r="C836" s="522"/>
    </row>
    <row r="837" spans="2:3" ht="15.75" customHeight="1" x14ac:dyDescent="0.2">
      <c r="B837" s="33"/>
      <c r="C837" s="522"/>
    </row>
    <row r="838" spans="2:3" ht="15.75" customHeight="1" x14ac:dyDescent="0.2">
      <c r="B838" s="33"/>
      <c r="C838" s="522"/>
    </row>
    <row r="839" spans="2:3" ht="15.75" customHeight="1" x14ac:dyDescent="0.2">
      <c r="B839" s="33"/>
      <c r="C839" s="522"/>
    </row>
    <row r="840" spans="2:3" ht="15.75" customHeight="1" x14ac:dyDescent="0.2">
      <c r="B840" s="33"/>
      <c r="C840" s="522"/>
    </row>
    <row r="841" spans="2:3" ht="15.75" customHeight="1" x14ac:dyDescent="0.2">
      <c r="B841" s="33"/>
      <c r="C841" s="522"/>
    </row>
    <row r="842" spans="2:3" ht="15.75" customHeight="1" x14ac:dyDescent="0.2">
      <c r="B842" s="33"/>
      <c r="C842" s="522"/>
    </row>
    <row r="843" spans="2:3" ht="15.75" customHeight="1" x14ac:dyDescent="0.2">
      <c r="B843" s="33"/>
      <c r="C843" s="522"/>
    </row>
    <row r="844" spans="2:3" ht="15.75" customHeight="1" x14ac:dyDescent="0.2">
      <c r="B844" s="33"/>
      <c r="C844" s="522"/>
    </row>
    <row r="845" spans="2:3" ht="15.75" customHeight="1" x14ac:dyDescent="0.2">
      <c r="B845" s="33"/>
      <c r="C845" s="522"/>
    </row>
    <row r="846" spans="2:3" ht="15.75" customHeight="1" x14ac:dyDescent="0.2">
      <c r="B846" s="33"/>
      <c r="C846" s="522"/>
    </row>
    <row r="847" spans="2:3" ht="15.75" customHeight="1" x14ac:dyDescent="0.2">
      <c r="B847" s="33"/>
      <c r="C847" s="522"/>
    </row>
    <row r="848" spans="2:3" ht="15.75" customHeight="1" x14ac:dyDescent="0.2">
      <c r="B848" s="33"/>
      <c r="C848" s="522"/>
    </row>
    <row r="849" spans="2:3" ht="15.75" customHeight="1" x14ac:dyDescent="0.2">
      <c r="B849" s="33"/>
      <c r="C849" s="522"/>
    </row>
    <row r="850" spans="2:3" ht="15.75" customHeight="1" x14ac:dyDescent="0.2">
      <c r="B850" s="33"/>
      <c r="C850" s="522"/>
    </row>
    <row r="851" spans="2:3" ht="15.75" customHeight="1" x14ac:dyDescent="0.2">
      <c r="B851" s="33"/>
      <c r="C851" s="522"/>
    </row>
    <row r="852" spans="2:3" ht="15.75" customHeight="1" x14ac:dyDescent="0.2">
      <c r="B852" s="33"/>
      <c r="C852" s="522"/>
    </row>
    <row r="853" spans="2:3" ht="15.75" customHeight="1" x14ac:dyDescent="0.2">
      <c r="B853" s="33"/>
      <c r="C853" s="522"/>
    </row>
    <row r="854" spans="2:3" ht="15.75" customHeight="1" x14ac:dyDescent="0.2">
      <c r="B854" s="33"/>
      <c r="C854" s="522"/>
    </row>
    <row r="855" spans="2:3" ht="15.75" customHeight="1" x14ac:dyDescent="0.2">
      <c r="B855" s="33"/>
      <c r="C855" s="522"/>
    </row>
    <row r="856" spans="2:3" ht="15.75" customHeight="1" x14ac:dyDescent="0.2">
      <c r="B856" s="33"/>
      <c r="C856" s="522"/>
    </row>
    <row r="857" spans="2:3" ht="15.75" customHeight="1" x14ac:dyDescent="0.2">
      <c r="B857" s="33"/>
      <c r="C857" s="522"/>
    </row>
    <row r="858" spans="2:3" ht="15.75" customHeight="1" x14ac:dyDescent="0.2">
      <c r="B858" s="33"/>
      <c r="C858" s="522"/>
    </row>
    <row r="859" spans="2:3" ht="15.75" customHeight="1" x14ac:dyDescent="0.2">
      <c r="B859" s="33"/>
      <c r="C859" s="522"/>
    </row>
    <row r="860" spans="2:3" ht="15.75" customHeight="1" x14ac:dyDescent="0.2">
      <c r="B860" s="33"/>
      <c r="C860" s="522"/>
    </row>
    <row r="861" spans="2:3" ht="15.75" customHeight="1" x14ac:dyDescent="0.2">
      <c r="B861" s="33"/>
      <c r="C861" s="522"/>
    </row>
    <row r="862" spans="2:3" ht="15.75" customHeight="1" x14ac:dyDescent="0.2">
      <c r="B862" s="33"/>
      <c r="C862" s="522"/>
    </row>
    <row r="863" spans="2:3" ht="15.75" customHeight="1" x14ac:dyDescent="0.2">
      <c r="B863" s="33"/>
      <c r="C863" s="522"/>
    </row>
    <row r="864" spans="2:3" ht="15.75" customHeight="1" x14ac:dyDescent="0.2">
      <c r="B864" s="33"/>
      <c r="C864" s="522"/>
    </row>
    <row r="865" spans="2:3" ht="15.75" customHeight="1" x14ac:dyDescent="0.2">
      <c r="B865" s="33"/>
      <c r="C865" s="522"/>
    </row>
    <row r="866" spans="2:3" ht="15.75" customHeight="1" x14ac:dyDescent="0.2">
      <c r="B866" s="33"/>
      <c r="C866" s="522"/>
    </row>
    <row r="867" spans="2:3" ht="15.75" customHeight="1" x14ac:dyDescent="0.2">
      <c r="B867" s="33"/>
      <c r="C867" s="522"/>
    </row>
    <row r="868" spans="2:3" ht="15.75" customHeight="1" x14ac:dyDescent="0.2">
      <c r="B868" s="33"/>
      <c r="C868" s="522"/>
    </row>
    <row r="869" spans="2:3" ht="15.75" customHeight="1" x14ac:dyDescent="0.2">
      <c r="B869" s="33"/>
      <c r="C869" s="522"/>
    </row>
    <row r="870" spans="2:3" ht="15.75" customHeight="1" x14ac:dyDescent="0.2">
      <c r="B870" s="33"/>
      <c r="C870" s="522"/>
    </row>
    <row r="871" spans="2:3" ht="15.75" customHeight="1" x14ac:dyDescent="0.2">
      <c r="B871" s="33"/>
      <c r="C871" s="522"/>
    </row>
    <row r="872" spans="2:3" ht="15.75" customHeight="1" x14ac:dyDescent="0.2">
      <c r="B872" s="33"/>
      <c r="C872" s="522"/>
    </row>
    <row r="873" spans="2:3" ht="15.75" customHeight="1" x14ac:dyDescent="0.2">
      <c r="B873" s="33"/>
      <c r="C873" s="522"/>
    </row>
    <row r="874" spans="2:3" ht="15.75" customHeight="1" x14ac:dyDescent="0.2">
      <c r="B874" s="33"/>
      <c r="C874" s="522"/>
    </row>
    <row r="875" spans="2:3" ht="15.75" customHeight="1" x14ac:dyDescent="0.2">
      <c r="B875" s="33"/>
      <c r="C875" s="522"/>
    </row>
    <row r="876" spans="2:3" ht="15.75" customHeight="1" x14ac:dyDescent="0.2">
      <c r="B876" s="33"/>
      <c r="C876" s="522"/>
    </row>
    <row r="877" spans="2:3" ht="15.75" customHeight="1" x14ac:dyDescent="0.2">
      <c r="B877" s="33"/>
      <c r="C877" s="522"/>
    </row>
    <row r="878" spans="2:3" ht="15.75" customHeight="1" x14ac:dyDescent="0.2">
      <c r="B878" s="33"/>
      <c r="C878" s="522"/>
    </row>
    <row r="879" spans="2:3" ht="15.75" customHeight="1" x14ac:dyDescent="0.2">
      <c r="B879" s="33"/>
      <c r="C879" s="522"/>
    </row>
    <row r="880" spans="2:3" ht="15.75" customHeight="1" x14ac:dyDescent="0.2">
      <c r="B880" s="33"/>
      <c r="C880" s="522"/>
    </row>
    <row r="881" spans="2:3" ht="15.75" customHeight="1" x14ac:dyDescent="0.2">
      <c r="B881" s="33"/>
      <c r="C881" s="522"/>
    </row>
    <row r="882" spans="2:3" ht="15.75" customHeight="1" x14ac:dyDescent="0.2">
      <c r="B882" s="33"/>
      <c r="C882" s="522"/>
    </row>
    <row r="883" spans="2:3" ht="15.75" customHeight="1" x14ac:dyDescent="0.2">
      <c r="B883" s="33"/>
      <c r="C883" s="522"/>
    </row>
    <row r="884" spans="2:3" ht="15.75" customHeight="1" x14ac:dyDescent="0.2">
      <c r="B884" s="33"/>
      <c r="C884" s="522"/>
    </row>
    <row r="885" spans="2:3" ht="15.75" customHeight="1" x14ac:dyDescent="0.2">
      <c r="B885" s="33"/>
      <c r="C885" s="522"/>
    </row>
    <row r="886" spans="2:3" ht="15.75" customHeight="1" x14ac:dyDescent="0.2">
      <c r="B886" s="33"/>
      <c r="C886" s="522"/>
    </row>
    <row r="887" spans="2:3" ht="15.75" customHeight="1" x14ac:dyDescent="0.2">
      <c r="B887" s="33"/>
      <c r="C887" s="522"/>
    </row>
    <row r="888" spans="2:3" ht="15.75" customHeight="1" x14ac:dyDescent="0.2">
      <c r="B888" s="33"/>
      <c r="C888" s="522"/>
    </row>
    <row r="889" spans="2:3" ht="15.75" customHeight="1" x14ac:dyDescent="0.2">
      <c r="B889" s="33"/>
      <c r="C889" s="522"/>
    </row>
    <row r="890" spans="2:3" ht="15.75" customHeight="1" x14ac:dyDescent="0.2">
      <c r="B890" s="33"/>
      <c r="C890" s="522"/>
    </row>
    <row r="891" spans="2:3" ht="15.75" customHeight="1" x14ac:dyDescent="0.2">
      <c r="B891" s="33"/>
      <c r="C891" s="522"/>
    </row>
    <row r="892" spans="2:3" ht="15.75" customHeight="1" x14ac:dyDescent="0.2">
      <c r="B892" s="33"/>
      <c r="C892" s="522"/>
    </row>
    <row r="893" spans="2:3" ht="15.75" customHeight="1" x14ac:dyDescent="0.2">
      <c r="B893" s="33"/>
      <c r="C893" s="522"/>
    </row>
    <row r="894" spans="2:3" ht="15.75" customHeight="1" x14ac:dyDescent="0.2">
      <c r="B894" s="33"/>
      <c r="C894" s="522"/>
    </row>
    <row r="895" spans="2:3" ht="15.75" customHeight="1" x14ac:dyDescent="0.2">
      <c r="B895" s="33"/>
      <c r="C895" s="522"/>
    </row>
    <row r="896" spans="2:3" ht="15.75" customHeight="1" x14ac:dyDescent="0.2">
      <c r="B896" s="33"/>
      <c r="C896" s="522"/>
    </row>
    <row r="897" spans="2:3" ht="15.75" customHeight="1" x14ac:dyDescent="0.2">
      <c r="B897" s="33"/>
      <c r="C897" s="522"/>
    </row>
    <row r="898" spans="2:3" ht="15.75" customHeight="1" x14ac:dyDescent="0.2">
      <c r="B898" s="33"/>
      <c r="C898" s="522"/>
    </row>
    <row r="899" spans="2:3" ht="15.75" customHeight="1" x14ac:dyDescent="0.2">
      <c r="B899" s="33"/>
      <c r="C899" s="522"/>
    </row>
    <row r="900" spans="2:3" ht="15.75" customHeight="1" x14ac:dyDescent="0.2">
      <c r="B900" s="33"/>
      <c r="C900" s="522"/>
    </row>
    <row r="901" spans="2:3" ht="15.75" customHeight="1" x14ac:dyDescent="0.2">
      <c r="B901" s="33"/>
      <c r="C901" s="522"/>
    </row>
    <row r="902" spans="2:3" ht="15.75" customHeight="1" x14ac:dyDescent="0.2">
      <c r="B902" s="33"/>
      <c r="C902" s="522"/>
    </row>
    <row r="903" spans="2:3" ht="15.75" customHeight="1" x14ac:dyDescent="0.2">
      <c r="B903" s="33"/>
      <c r="C903" s="522"/>
    </row>
    <row r="904" spans="2:3" ht="15.75" customHeight="1" x14ac:dyDescent="0.2">
      <c r="B904" s="33"/>
      <c r="C904" s="522"/>
    </row>
    <row r="905" spans="2:3" ht="15.75" customHeight="1" x14ac:dyDescent="0.2">
      <c r="B905" s="33"/>
      <c r="C905" s="522"/>
    </row>
    <row r="906" spans="2:3" ht="15.75" customHeight="1" x14ac:dyDescent="0.2">
      <c r="B906" s="33"/>
      <c r="C906" s="522"/>
    </row>
    <row r="907" spans="2:3" ht="15.75" customHeight="1" x14ac:dyDescent="0.2">
      <c r="B907" s="33"/>
      <c r="C907" s="522"/>
    </row>
    <row r="908" spans="2:3" ht="15.75" customHeight="1" x14ac:dyDescent="0.2">
      <c r="B908" s="33"/>
      <c r="C908" s="522"/>
    </row>
    <row r="909" spans="2:3" ht="15.75" customHeight="1" x14ac:dyDescent="0.2">
      <c r="B909" s="33"/>
      <c r="C909" s="522"/>
    </row>
    <row r="910" spans="2:3" ht="15.75" customHeight="1" x14ac:dyDescent="0.2">
      <c r="B910" s="33"/>
      <c r="C910" s="522"/>
    </row>
    <row r="911" spans="2:3" ht="15.75" customHeight="1" x14ac:dyDescent="0.2">
      <c r="B911" s="33"/>
      <c r="C911" s="522"/>
    </row>
    <row r="912" spans="2:3" ht="15.75" customHeight="1" x14ac:dyDescent="0.2">
      <c r="B912" s="33"/>
      <c r="C912" s="522"/>
    </row>
    <row r="913" spans="2:3" ht="15.75" customHeight="1" x14ac:dyDescent="0.2">
      <c r="B913" s="33"/>
      <c r="C913" s="522"/>
    </row>
    <row r="914" spans="2:3" ht="15.75" customHeight="1" x14ac:dyDescent="0.2">
      <c r="B914" s="33"/>
      <c r="C914" s="522"/>
    </row>
    <row r="915" spans="2:3" ht="15.75" customHeight="1" x14ac:dyDescent="0.2">
      <c r="B915" s="33"/>
      <c r="C915" s="522"/>
    </row>
    <row r="916" spans="2:3" ht="15.75" customHeight="1" x14ac:dyDescent="0.2">
      <c r="B916" s="33"/>
      <c r="C916" s="522"/>
    </row>
    <row r="917" spans="2:3" ht="15.75" customHeight="1" x14ac:dyDescent="0.2">
      <c r="B917" s="33"/>
      <c r="C917" s="522"/>
    </row>
    <row r="918" spans="2:3" ht="15.75" customHeight="1" x14ac:dyDescent="0.2">
      <c r="B918" s="33"/>
      <c r="C918" s="522"/>
    </row>
    <row r="919" spans="2:3" ht="15.75" customHeight="1" x14ac:dyDescent="0.2">
      <c r="B919" s="33"/>
      <c r="C919" s="522"/>
    </row>
    <row r="920" spans="2:3" ht="15.75" customHeight="1" x14ac:dyDescent="0.2">
      <c r="B920" s="33"/>
      <c r="C920" s="522"/>
    </row>
    <row r="921" spans="2:3" ht="15.75" customHeight="1" x14ac:dyDescent="0.2">
      <c r="B921" s="33"/>
      <c r="C921" s="522"/>
    </row>
    <row r="922" spans="2:3" ht="15.75" customHeight="1" x14ac:dyDescent="0.2">
      <c r="B922" s="33"/>
      <c r="C922" s="522"/>
    </row>
    <row r="923" spans="2:3" ht="15.75" customHeight="1" x14ac:dyDescent="0.2">
      <c r="B923" s="33"/>
      <c r="C923" s="522"/>
    </row>
    <row r="924" spans="2:3" ht="15.75" customHeight="1" x14ac:dyDescent="0.2">
      <c r="B924" s="33"/>
      <c r="C924" s="522"/>
    </row>
    <row r="925" spans="2:3" ht="15.75" customHeight="1" x14ac:dyDescent="0.2">
      <c r="B925" s="33"/>
      <c r="C925" s="522"/>
    </row>
    <row r="926" spans="2:3" ht="15.75" customHeight="1" x14ac:dyDescent="0.2">
      <c r="B926" s="33"/>
      <c r="C926" s="522"/>
    </row>
    <row r="927" spans="2:3" ht="15.75" customHeight="1" x14ac:dyDescent="0.2">
      <c r="B927" s="33"/>
      <c r="C927" s="522"/>
    </row>
    <row r="928" spans="2:3" ht="15.75" customHeight="1" x14ac:dyDescent="0.2">
      <c r="B928" s="33"/>
      <c r="C928" s="522"/>
    </row>
    <row r="929" spans="2:3" ht="15.75" customHeight="1" x14ac:dyDescent="0.2">
      <c r="B929" s="33"/>
      <c r="C929" s="522"/>
    </row>
    <row r="930" spans="2:3" ht="15.75" customHeight="1" x14ac:dyDescent="0.2">
      <c r="B930" s="33"/>
      <c r="C930" s="522"/>
    </row>
    <row r="931" spans="2:3" ht="15.75" customHeight="1" x14ac:dyDescent="0.2">
      <c r="B931" s="33"/>
      <c r="C931" s="522"/>
    </row>
    <row r="932" spans="2:3" ht="15.75" customHeight="1" x14ac:dyDescent="0.2">
      <c r="B932" s="33"/>
      <c r="C932" s="522"/>
    </row>
    <row r="933" spans="2:3" ht="15.75" customHeight="1" x14ac:dyDescent="0.2">
      <c r="B933" s="33"/>
      <c r="C933" s="522"/>
    </row>
    <row r="934" spans="2:3" ht="15.75" customHeight="1" x14ac:dyDescent="0.2">
      <c r="B934" s="33"/>
      <c r="C934" s="522"/>
    </row>
    <row r="935" spans="2:3" ht="15.75" customHeight="1" x14ac:dyDescent="0.2">
      <c r="B935" s="33"/>
      <c r="C935" s="522"/>
    </row>
    <row r="936" spans="2:3" ht="15.75" customHeight="1" x14ac:dyDescent="0.2">
      <c r="B936" s="33"/>
      <c r="C936" s="522"/>
    </row>
    <row r="937" spans="2:3" ht="15.75" customHeight="1" x14ac:dyDescent="0.2">
      <c r="B937" s="33"/>
      <c r="C937" s="522"/>
    </row>
    <row r="938" spans="2:3" ht="15.75" customHeight="1" x14ac:dyDescent="0.2">
      <c r="B938" s="33"/>
      <c r="C938" s="522"/>
    </row>
    <row r="939" spans="2:3" ht="15.75" customHeight="1" x14ac:dyDescent="0.2">
      <c r="B939" s="33"/>
      <c r="C939" s="522"/>
    </row>
    <row r="940" spans="2:3" ht="15.75" customHeight="1" x14ac:dyDescent="0.2">
      <c r="B940" s="33"/>
      <c r="C940" s="522"/>
    </row>
    <row r="941" spans="2:3" ht="15.75" customHeight="1" x14ac:dyDescent="0.2">
      <c r="B941" s="33"/>
      <c r="C941" s="522"/>
    </row>
    <row r="942" spans="2:3" ht="15.75" customHeight="1" x14ac:dyDescent="0.2">
      <c r="B942" s="33"/>
      <c r="C942" s="522"/>
    </row>
    <row r="943" spans="2:3" ht="15.75" customHeight="1" x14ac:dyDescent="0.2">
      <c r="B943" s="33"/>
      <c r="C943" s="522"/>
    </row>
    <row r="944" spans="2:3" ht="15.75" customHeight="1" x14ac:dyDescent="0.2">
      <c r="B944" s="33"/>
      <c r="C944" s="522"/>
    </row>
    <row r="945" spans="2:3" ht="15.75" customHeight="1" x14ac:dyDescent="0.2">
      <c r="B945" s="33"/>
      <c r="C945" s="522"/>
    </row>
    <row r="946" spans="2:3" ht="15.75" customHeight="1" x14ac:dyDescent="0.2">
      <c r="B946" s="33"/>
      <c r="C946" s="522"/>
    </row>
    <row r="947" spans="2:3" ht="15.75" customHeight="1" x14ac:dyDescent="0.2">
      <c r="B947" s="33"/>
      <c r="C947" s="522"/>
    </row>
    <row r="948" spans="2:3" ht="15.75" customHeight="1" x14ac:dyDescent="0.2">
      <c r="B948" s="33"/>
      <c r="C948" s="522"/>
    </row>
    <row r="949" spans="2:3" ht="15.75" customHeight="1" x14ac:dyDescent="0.2">
      <c r="B949" s="33"/>
      <c r="C949" s="522"/>
    </row>
    <row r="950" spans="2:3" ht="15.75" customHeight="1" x14ac:dyDescent="0.2">
      <c r="B950" s="33"/>
      <c r="C950" s="522"/>
    </row>
    <row r="951" spans="2:3" ht="15.75" customHeight="1" x14ac:dyDescent="0.2">
      <c r="B951" s="33"/>
      <c r="C951" s="522"/>
    </row>
    <row r="952" spans="2:3" ht="15.75" customHeight="1" x14ac:dyDescent="0.2">
      <c r="B952" s="33"/>
      <c r="C952" s="522"/>
    </row>
    <row r="953" spans="2:3" ht="15.75" customHeight="1" x14ac:dyDescent="0.2">
      <c r="B953" s="33"/>
      <c r="C953" s="522"/>
    </row>
    <row r="954" spans="2:3" ht="15.75" customHeight="1" x14ac:dyDescent="0.2">
      <c r="B954" s="33"/>
      <c r="C954" s="522"/>
    </row>
    <row r="955" spans="2:3" ht="15.75" customHeight="1" x14ac:dyDescent="0.2">
      <c r="B955" s="33"/>
      <c r="C955" s="522"/>
    </row>
    <row r="956" spans="2:3" ht="15.75" customHeight="1" x14ac:dyDescent="0.2">
      <c r="B956" s="33"/>
      <c r="C956" s="522"/>
    </row>
    <row r="957" spans="2:3" ht="15.75" customHeight="1" x14ac:dyDescent="0.2">
      <c r="B957" s="33"/>
      <c r="C957" s="522"/>
    </row>
    <row r="958" spans="2:3" ht="15.75" customHeight="1" x14ac:dyDescent="0.2">
      <c r="B958" s="33"/>
      <c r="C958" s="522"/>
    </row>
    <row r="959" spans="2:3" ht="15.75" customHeight="1" x14ac:dyDescent="0.2">
      <c r="B959" s="33"/>
      <c r="C959" s="522"/>
    </row>
    <row r="960" spans="2:3" ht="15.75" customHeight="1" x14ac:dyDescent="0.2">
      <c r="B960" s="33"/>
      <c r="C960" s="522"/>
    </row>
    <row r="961" spans="2:3" ht="15.75" customHeight="1" x14ac:dyDescent="0.2">
      <c r="B961" s="33"/>
      <c r="C961" s="522"/>
    </row>
    <row r="962" spans="2:3" ht="15.75" customHeight="1" x14ac:dyDescent="0.2">
      <c r="B962" s="33"/>
      <c r="C962" s="522"/>
    </row>
    <row r="963" spans="2:3" ht="15.75" customHeight="1" x14ac:dyDescent="0.2">
      <c r="B963" s="33"/>
      <c r="C963" s="522"/>
    </row>
    <row r="964" spans="2:3" ht="15.75" customHeight="1" x14ac:dyDescent="0.2">
      <c r="B964" s="33"/>
      <c r="C964" s="522"/>
    </row>
    <row r="965" spans="2:3" ht="15.75" customHeight="1" x14ac:dyDescent="0.2">
      <c r="B965" s="33"/>
      <c r="C965" s="522"/>
    </row>
    <row r="966" spans="2:3" ht="15.75" customHeight="1" x14ac:dyDescent="0.2">
      <c r="B966" s="33"/>
      <c r="C966" s="522"/>
    </row>
    <row r="967" spans="2:3" ht="15.75" customHeight="1" x14ac:dyDescent="0.2">
      <c r="B967" s="33"/>
      <c r="C967" s="522"/>
    </row>
    <row r="968" spans="2:3" ht="15.75" customHeight="1" x14ac:dyDescent="0.2">
      <c r="B968" s="33"/>
      <c r="C968" s="522"/>
    </row>
    <row r="969" spans="2:3" ht="15.75" customHeight="1" x14ac:dyDescent="0.2">
      <c r="B969" s="33"/>
      <c r="C969" s="522"/>
    </row>
    <row r="970" spans="2:3" ht="15.75" customHeight="1" x14ac:dyDescent="0.2">
      <c r="B970" s="33"/>
      <c r="C970" s="522"/>
    </row>
    <row r="971" spans="2:3" ht="15.75" customHeight="1" x14ac:dyDescent="0.2">
      <c r="B971" s="33"/>
      <c r="C971" s="522"/>
    </row>
    <row r="972" spans="2:3" ht="15.75" customHeight="1" x14ac:dyDescent="0.2">
      <c r="B972" s="33"/>
      <c r="C972" s="522"/>
    </row>
    <row r="973" spans="2:3" ht="15.75" customHeight="1" x14ac:dyDescent="0.2">
      <c r="B973" s="33"/>
      <c r="C973" s="522"/>
    </row>
    <row r="974" spans="2:3" ht="15.75" customHeight="1" x14ac:dyDescent="0.2">
      <c r="B974" s="33"/>
      <c r="C974" s="522"/>
    </row>
    <row r="975" spans="2:3" ht="15.75" customHeight="1" x14ac:dyDescent="0.2">
      <c r="B975" s="33"/>
      <c r="C975" s="522"/>
    </row>
    <row r="976" spans="2:3" ht="15.75" customHeight="1" x14ac:dyDescent="0.2">
      <c r="B976" s="33"/>
      <c r="C976" s="522"/>
    </row>
    <row r="977" spans="2:3" ht="15.75" customHeight="1" x14ac:dyDescent="0.2">
      <c r="B977" s="33"/>
      <c r="C977" s="522"/>
    </row>
    <row r="978" spans="2:3" ht="15.75" customHeight="1" x14ac:dyDescent="0.2">
      <c r="B978" s="33"/>
      <c r="C978" s="522"/>
    </row>
    <row r="979" spans="2:3" ht="15.75" customHeight="1" x14ac:dyDescent="0.2">
      <c r="B979" s="33"/>
      <c r="C979" s="522"/>
    </row>
    <row r="980" spans="2:3" ht="15.75" customHeight="1" x14ac:dyDescent="0.2">
      <c r="B980" s="33"/>
      <c r="C980" s="522"/>
    </row>
    <row r="981" spans="2:3" ht="15.75" customHeight="1" x14ac:dyDescent="0.2">
      <c r="B981" s="33"/>
      <c r="C981" s="522"/>
    </row>
    <row r="982" spans="2:3" ht="15.75" customHeight="1" x14ac:dyDescent="0.2">
      <c r="B982" s="33"/>
      <c r="C982" s="522"/>
    </row>
  </sheetData>
  <dataValidations count="2">
    <dataValidation type="list" allowBlank="1" showErrorMessage="1" sqref="C42" xr:uid="{00000000-0002-0000-0300-000000000000}">
      <formula1>"YES,NO"</formula1>
    </dataValidation>
    <dataValidation type="list" allowBlank="1" showErrorMessage="1" sqref="C7" xr:uid="{00000000-0002-0000-0300-000001000000}">
      <formula1>"1/1/2019,1/1/2020,1/1/2021,1/1/2022"</formula1>
    </dataValidation>
  </dataValidations>
  <hyperlinks>
    <hyperlink ref="D21" r:id="rId1" location=":~:text=Discounted%20cash%20flow%20(DCF)%20is,will%20generate%20in%20the%20future." xr:uid="{00000000-0004-0000-03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G999"/>
  <sheetViews>
    <sheetView workbookViewId="0">
      <selection activeCell="G8" sqref="G8"/>
    </sheetView>
  </sheetViews>
  <sheetFormatPr baseColWidth="10" defaultColWidth="12.6640625" defaultRowHeight="15" customHeight="1" x14ac:dyDescent="0.15"/>
  <cols>
    <col min="1" max="1" width="62" customWidth="1"/>
    <col min="2" max="2" width="10.6640625" customWidth="1"/>
    <col min="3" max="3" width="20.6640625" customWidth="1"/>
    <col min="4" max="4" width="16.6640625" hidden="1" customWidth="1"/>
    <col min="5" max="5" width="17.33203125" hidden="1" customWidth="1"/>
    <col min="6" max="6" width="16.5" hidden="1" customWidth="1"/>
    <col min="7" max="7" width="97.1640625" customWidth="1"/>
  </cols>
  <sheetData>
    <row r="1" spans="1:7" ht="15.75" customHeight="1" x14ac:dyDescent="0.2">
      <c r="A1" s="30" t="s">
        <v>91</v>
      </c>
      <c r="B1" s="148" t="s">
        <v>92</v>
      </c>
      <c r="C1" s="58" t="s">
        <v>93</v>
      </c>
      <c r="D1" s="163" t="s">
        <v>143</v>
      </c>
      <c r="E1" s="163" t="s">
        <v>144</v>
      </c>
      <c r="F1" s="163" t="s">
        <v>145</v>
      </c>
      <c r="G1" s="148" t="s">
        <v>94</v>
      </c>
    </row>
    <row r="2" spans="1:7" ht="15.75" customHeight="1" x14ac:dyDescent="0.15">
      <c r="A2" s="164" t="s">
        <v>146</v>
      </c>
      <c r="B2" s="165"/>
      <c r="C2" s="166"/>
      <c r="D2" s="164"/>
      <c r="E2" s="164"/>
      <c r="F2" s="164"/>
      <c r="G2" s="164"/>
    </row>
    <row r="3" spans="1:7" ht="15.75" customHeight="1" x14ac:dyDescent="0.15">
      <c r="A3" s="59"/>
      <c r="B3" s="60"/>
      <c r="C3" s="61"/>
      <c r="D3" s="59"/>
      <c r="E3" s="59"/>
      <c r="F3" s="59"/>
      <c r="G3" s="59"/>
    </row>
    <row r="4" spans="1:7" ht="15.75" customHeight="1" x14ac:dyDescent="0.15">
      <c r="A4" s="59" t="s">
        <v>147</v>
      </c>
      <c r="B4" s="62" t="s">
        <v>148</v>
      </c>
      <c r="C4" s="482"/>
      <c r="D4" s="63">
        <v>44197</v>
      </c>
      <c r="E4" s="63">
        <v>44197</v>
      </c>
      <c r="F4" s="63">
        <v>44197</v>
      </c>
      <c r="G4" s="59"/>
    </row>
    <row r="5" spans="1:7" ht="15.75" customHeight="1" x14ac:dyDescent="0.15">
      <c r="A5" s="167" t="s">
        <v>149</v>
      </c>
      <c r="B5" s="64" t="s">
        <v>150</v>
      </c>
      <c r="C5" s="481"/>
      <c r="D5" s="65">
        <v>0</v>
      </c>
      <c r="E5" s="65">
        <v>0</v>
      </c>
      <c r="F5" s="65">
        <v>0</v>
      </c>
      <c r="G5" s="59"/>
    </row>
    <row r="6" spans="1:7" ht="15.75" customHeight="1" x14ac:dyDescent="0.15">
      <c r="D6" s="59"/>
      <c r="E6" s="59"/>
      <c r="F6" s="59"/>
      <c r="G6" s="59"/>
    </row>
    <row r="7" spans="1:7" ht="15.75" customHeight="1" x14ac:dyDescent="0.15">
      <c r="A7" s="59"/>
      <c r="B7" s="60"/>
      <c r="C7" s="61"/>
      <c r="D7" s="59"/>
      <c r="E7" s="59"/>
      <c r="F7" s="59"/>
      <c r="G7" s="59"/>
    </row>
    <row r="8" spans="1:7" ht="15.75" customHeight="1" x14ac:dyDescent="0.15">
      <c r="A8" s="59"/>
      <c r="B8" s="60"/>
      <c r="C8" s="61"/>
      <c r="D8" s="59"/>
      <c r="E8" s="59"/>
      <c r="F8" s="59"/>
      <c r="G8" s="59"/>
    </row>
    <row r="9" spans="1:7" ht="15.75" customHeight="1" x14ac:dyDescent="0.15">
      <c r="A9" s="59"/>
      <c r="B9" s="60"/>
      <c r="C9" s="61"/>
      <c r="D9" s="59"/>
      <c r="E9" s="59"/>
      <c r="F9" s="59"/>
      <c r="G9" s="59"/>
    </row>
    <row r="10" spans="1:7" ht="15.75" customHeight="1" x14ac:dyDescent="0.15">
      <c r="A10" s="168" t="s">
        <v>151</v>
      </c>
      <c r="B10" s="169"/>
      <c r="C10" s="170"/>
      <c r="D10" s="168"/>
      <c r="E10" s="168"/>
      <c r="F10" s="168"/>
      <c r="G10" s="168"/>
    </row>
    <row r="11" spans="1:7" ht="15" customHeight="1" x14ac:dyDescent="0.15">
      <c r="A11" s="59"/>
      <c r="B11" s="60"/>
      <c r="C11" s="61"/>
      <c r="D11" s="59"/>
      <c r="E11" s="59"/>
      <c r="F11" s="59"/>
      <c r="G11" s="59"/>
    </row>
    <row r="12" spans="1:7" ht="15.75" customHeight="1" x14ac:dyDescent="0.15">
      <c r="A12" s="66"/>
      <c r="B12" s="62"/>
      <c r="C12" s="61"/>
      <c r="D12" s="59"/>
      <c r="E12" s="59"/>
      <c r="F12" s="59"/>
      <c r="G12" s="59"/>
    </row>
    <row r="13" spans="1:7" ht="15.75" customHeight="1" x14ac:dyDescent="0.15">
      <c r="A13" s="66"/>
      <c r="B13" s="62"/>
      <c r="C13" s="61"/>
      <c r="D13" s="59"/>
      <c r="E13" s="59"/>
      <c r="F13" s="59"/>
      <c r="G13" s="59"/>
    </row>
    <row r="14" spans="1:7" ht="15.75" customHeight="1" x14ac:dyDescent="0.15">
      <c r="A14" s="66"/>
      <c r="B14" s="62"/>
      <c r="C14" s="61"/>
      <c r="D14" s="59"/>
      <c r="E14" s="59"/>
      <c r="F14" s="59"/>
      <c r="G14" s="59"/>
    </row>
    <row r="15" spans="1:7" ht="15.75" customHeight="1" x14ac:dyDescent="0.15">
      <c r="A15" s="66"/>
      <c r="B15" s="62"/>
      <c r="C15" s="61"/>
      <c r="D15" s="59"/>
      <c r="E15" s="59"/>
      <c r="F15" s="59"/>
      <c r="G15" s="59"/>
    </row>
    <row r="16" spans="1:7" ht="15.75" customHeight="1" x14ac:dyDescent="0.15">
      <c r="A16" s="66"/>
      <c r="B16" s="62"/>
      <c r="C16" s="61"/>
      <c r="D16" s="59"/>
      <c r="E16" s="59"/>
      <c r="F16" s="59"/>
      <c r="G16" s="59"/>
    </row>
    <row r="17" spans="1:7" ht="15.75" customHeight="1" x14ac:dyDescent="0.15">
      <c r="A17" s="171" t="s">
        <v>23</v>
      </c>
      <c r="B17" s="172"/>
      <c r="C17" s="173"/>
      <c r="D17" s="171"/>
      <c r="E17" s="171"/>
      <c r="F17" s="171"/>
      <c r="G17" s="171"/>
    </row>
    <row r="18" spans="1:7" ht="15.75" customHeight="1" x14ac:dyDescent="0.15">
      <c r="A18" s="66"/>
      <c r="B18" s="62"/>
      <c r="C18" s="61"/>
      <c r="D18" s="59"/>
      <c r="E18" s="59"/>
      <c r="F18" s="59"/>
      <c r="G18" s="59"/>
    </row>
    <row r="19" spans="1:7" ht="16.5" customHeight="1" x14ac:dyDescent="0.15">
      <c r="A19" s="174" t="s">
        <v>152</v>
      </c>
      <c r="B19" s="64" t="str">
        <f>Settings!$C$6</f>
        <v>CAD</v>
      </c>
      <c r="C19" s="481">
        <v>0</v>
      </c>
      <c r="D19" s="65"/>
      <c r="E19" s="65"/>
      <c r="F19" s="65"/>
      <c r="G19" s="167"/>
    </row>
    <row r="20" spans="1:7" ht="15.75" customHeight="1" x14ac:dyDescent="0.15">
      <c r="A20" s="66"/>
      <c r="B20" s="62"/>
      <c r="C20" s="61"/>
      <c r="D20" s="59"/>
      <c r="E20" s="59"/>
      <c r="F20" s="59"/>
      <c r="G20" s="59"/>
    </row>
    <row r="21" spans="1:7" ht="15.75" customHeight="1" x14ac:dyDescent="0.15">
      <c r="A21" s="66"/>
      <c r="B21" s="62"/>
      <c r="C21" s="61"/>
      <c r="D21" s="59"/>
      <c r="E21" s="59"/>
      <c r="F21" s="59"/>
      <c r="G21" s="59"/>
    </row>
    <row r="22" spans="1:7" ht="15.75" customHeight="1" x14ac:dyDescent="0.15">
      <c r="A22" s="175" t="s">
        <v>21</v>
      </c>
      <c r="B22" s="176"/>
      <c r="C22" s="177"/>
      <c r="D22" s="175"/>
      <c r="E22" s="175"/>
      <c r="F22" s="175"/>
      <c r="G22" s="175"/>
    </row>
    <row r="23" spans="1:7" ht="15.75" customHeight="1" x14ac:dyDescent="0.15">
      <c r="A23" s="66"/>
      <c r="B23" s="62"/>
      <c r="C23" s="61"/>
      <c r="D23" s="59"/>
      <c r="E23" s="59"/>
      <c r="F23" s="59"/>
      <c r="G23" s="59"/>
    </row>
    <row r="24" spans="1:7" ht="16.5" customHeight="1" x14ac:dyDescent="0.15">
      <c r="A24" s="66"/>
      <c r="B24" s="62"/>
      <c r="C24" s="61"/>
      <c r="D24" s="59"/>
      <c r="E24" s="59"/>
      <c r="F24" s="59"/>
      <c r="G24" s="59"/>
    </row>
    <row r="25" spans="1:7" ht="16.5" customHeight="1" x14ac:dyDescent="0.15">
      <c r="A25" s="66"/>
      <c r="B25" s="62"/>
      <c r="C25" s="61"/>
      <c r="D25" s="59"/>
      <c r="E25" s="59"/>
      <c r="F25" s="59"/>
      <c r="G25" s="59"/>
    </row>
    <row r="26" spans="1:7" ht="15.75" customHeight="1" x14ac:dyDescent="0.15">
      <c r="A26" s="178" t="s">
        <v>120</v>
      </c>
      <c r="B26" s="179"/>
      <c r="C26" s="180"/>
      <c r="D26" s="178"/>
      <c r="E26" s="178"/>
      <c r="F26" s="178"/>
      <c r="G26" s="178"/>
    </row>
    <row r="27" spans="1:7" ht="15.75" customHeight="1" x14ac:dyDescent="0.15">
      <c r="A27" s="66"/>
      <c r="B27" s="62"/>
      <c r="C27" s="61"/>
      <c r="D27" s="59"/>
      <c r="E27" s="59"/>
      <c r="F27" s="59"/>
      <c r="G27" s="59"/>
    </row>
    <row r="28" spans="1:7" ht="15.75" customHeight="1" x14ac:dyDescent="0.15">
      <c r="A28" s="59"/>
      <c r="B28" s="62"/>
      <c r="C28" s="61"/>
      <c r="D28" s="59"/>
      <c r="E28" s="59"/>
      <c r="F28" s="59"/>
      <c r="G28" s="59"/>
    </row>
    <row r="29" spans="1:7" ht="15.75" customHeight="1" x14ac:dyDescent="0.15">
      <c r="A29" s="66"/>
      <c r="B29" s="62"/>
      <c r="C29" s="61"/>
      <c r="D29" s="59"/>
      <c r="E29" s="59"/>
      <c r="F29" s="59"/>
      <c r="G29" s="59"/>
    </row>
    <row r="30" spans="1:7" ht="15.75" customHeight="1" x14ac:dyDescent="0.15">
      <c r="A30" s="59"/>
      <c r="B30" s="62"/>
      <c r="C30" s="61"/>
      <c r="D30" s="59"/>
      <c r="E30" s="59"/>
      <c r="F30" s="59"/>
      <c r="G30" s="59"/>
    </row>
    <row r="31" spans="1:7" ht="15.75" customHeight="1" x14ac:dyDescent="0.15">
      <c r="A31" s="59"/>
      <c r="B31" s="62"/>
      <c r="C31" s="61"/>
      <c r="D31" s="59"/>
      <c r="E31" s="59"/>
      <c r="F31" s="59"/>
      <c r="G31" s="59"/>
    </row>
    <row r="32" spans="1:7" ht="15.75" customHeight="1" x14ac:dyDescent="0.15">
      <c r="A32" s="59"/>
      <c r="B32" s="62"/>
      <c r="C32" s="61"/>
      <c r="D32" s="59"/>
      <c r="E32" s="59"/>
      <c r="F32" s="59"/>
      <c r="G32" s="59"/>
    </row>
    <row r="33" spans="1:7" ht="15.75" customHeight="1" x14ac:dyDescent="0.15">
      <c r="A33" s="59"/>
      <c r="B33" s="62"/>
      <c r="C33" s="61"/>
      <c r="D33" s="59"/>
      <c r="E33" s="59"/>
      <c r="F33" s="59"/>
      <c r="G33" s="59"/>
    </row>
    <row r="34" spans="1:7" ht="15.75" customHeight="1" x14ac:dyDescent="0.15">
      <c r="A34" s="59"/>
      <c r="B34" s="62"/>
      <c r="C34" s="61"/>
      <c r="D34" s="59"/>
      <c r="E34" s="59"/>
      <c r="F34" s="59"/>
      <c r="G34" s="59"/>
    </row>
    <row r="35" spans="1:7" ht="15.75" customHeight="1" x14ac:dyDescent="0.15">
      <c r="A35" s="59"/>
      <c r="B35" s="62"/>
      <c r="C35" s="61"/>
      <c r="D35" s="59"/>
      <c r="E35" s="59"/>
      <c r="F35" s="59"/>
      <c r="G35" s="59"/>
    </row>
    <row r="36" spans="1:7" ht="15" customHeight="1" x14ac:dyDescent="0.15">
      <c r="A36" s="59"/>
      <c r="B36" s="62"/>
      <c r="C36" s="61"/>
      <c r="D36" s="59"/>
      <c r="E36" s="59"/>
      <c r="F36" s="59"/>
      <c r="G36" s="59"/>
    </row>
    <row r="37" spans="1:7" ht="15.75" customHeight="1" x14ac:dyDescent="0.15">
      <c r="A37" s="59"/>
      <c r="B37" s="62"/>
      <c r="C37" s="61"/>
      <c r="D37" s="59"/>
      <c r="E37" s="59"/>
      <c r="F37" s="59"/>
      <c r="G37" s="59"/>
    </row>
    <row r="38" spans="1:7" ht="15.75" customHeight="1" x14ac:dyDescent="0.15">
      <c r="A38" s="59"/>
      <c r="B38" s="62"/>
      <c r="C38" s="61"/>
      <c r="D38" s="59"/>
      <c r="E38" s="59"/>
      <c r="F38" s="59"/>
      <c r="G38" s="59"/>
    </row>
    <row r="39" spans="1:7" ht="15.75" customHeight="1" x14ac:dyDescent="0.15">
      <c r="A39" s="59"/>
      <c r="B39" s="62"/>
      <c r="C39" s="61"/>
      <c r="D39" s="59"/>
      <c r="E39" s="59"/>
      <c r="F39" s="59"/>
      <c r="G39" s="59"/>
    </row>
    <row r="40" spans="1:7" ht="15.75" customHeight="1" x14ac:dyDescent="0.15">
      <c r="A40" s="59"/>
      <c r="B40" s="62"/>
      <c r="C40" s="61"/>
      <c r="D40" s="59"/>
      <c r="E40" s="59"/>
      <c r="F40" s="59"/>
      <c r="G40" s="59"/>
    </row>
    <row r="41" spans="1:7" ht="15.75" customHeight="1" x14ac:dyDescent="0.15">
      <c r="A41" s="59"/>
      <c r="B41" s="62"/>
      <c r="C41" s="61"/>
      <c r="D41" s="59"/>
      <c r="E41" s="59"/>
      <c r="F41" s="59"/>
      <c r="G41" s="59"/>
    </row>
    <row r="42" spans="1:7" ht="15.75" customHeight="1" x14ac:dyDescent="0.15">
      <c r="A42" s="59"/>
      <c r="B42" s="62"/>
      <c r="C42" s="61"/>
      <c r="D42" s="59"/>
      <c r="E42" s="59"/>
      <c r="F42" s="59"/>
      <c r="G42" s="59"/>
    </row>
    <row r="43" spans="1:7" ht="15.75" customHeight="1" x14ac:dyDescent="0.15">
      <c r="A43" s="59"/>
      <c r="B43" s="62"/>
      <c r="C43" s="61"/>
      <c r="D43" s="59"/>
      <c r="E43" s="59"/>
      <c r="F43" s="59"/>
      <c r="G43" s="59"/>
    </row>
    <row r="44" spans="1:7" ht="15.75" customHeight="1" x14ac:dyDescent="0.15">
      <c r="A44" s="59"/>
      <c r="B44" s="62"/>
      <c r="C44" s="61"/>
      <c r="D44" s="59"/>
      <c r="E44" s="59"/>
      <c r="F44" s="59"/>
      <c r="G44" s="59"/>
    </row>
    <row r="45" spans="1:7" ht="15.75" customHeight="1" x14ac:dyDescent="0.15">
      <c r="A45" s="59"/>
      <c r="B45" s="62"/>
      <c r="C45" s="61"/>
      <c r="D45" s="59"/>
      <c r="E45" s="59"/>
      <c r="F45" s="59"/>
      <c r="G45" s="59"/>
    </row>
    <row r="46" spans="1:7" ht="15.75" customHeight="1" x14ac:dyDescent="0.15">
      <c r="A46" s="59"/>
      <c r="B46" s="62"/>
      <c r="C46" s="61"/>
      <c r="D46" s="59"/>
      <c r="E46" s="59"/>
      <c r="F46" s="59"/>
      <c r="G46" s="59"/>
    </row>
    <row r="47" spans="1:7" ht="15.75" customHeight="1" x14ac:dyDescent="0.15">
      <c r="A47" s="59"/>
      <c r="B47" s="62"/>
      <c r="C47" s="61"/>
      <c r="D47" s="59"/>
      <c r="E47" s="59"/>
      <c r="F47" s="59"/>
      <c r="G47" s="59"/>
    </row>
    <row r="48" spans="1:7" ht="15.75" customHeight="1" x14ac:dyDescent="0.15">
      <c r="A48" s="59"/>
      <c r="B48" s="62"/>
      <c r="C48" s="61"/>
      <c r="D48" s="59"/>
      <c r="E48" s="59"/>
      <c r="F48" s="59"/>
      <c r="G48" s="59"/>
    </row>
    <row r="49" spans="1:7" ht="15.75" customHeight="1" x14ac:dyDescent="0.15">
      <c r="A49" s="59"/>
      <c r="B49" s="62"/>
      <c r="C49" s="61"/>
      <c r="D49" s="59"/>
      <c r="E49" s="59"/>
      <c r="F49" s="59"/>
      <c r="G49" s="59"/>
    </row>
    <row r="50" spans="1:7" ht="15.75" customHeight="1" x14ac:dyDescent="0.15">
      <c r="A50" s="59"/>
      <c r="B50" s="62"/>
      <c r="C50" s="61"/>
      <c r="D50" s="59"/>
      <c r="E50" s="59"/>
      <c r="F50" s="59"/>
      <c r="G50" s="59"/>
    </row>
    <row r="51" spans="1:7" ht="15.75" customHeight="1" x14ac:dyDescent="0.15">
      <c r="A51" s="59"/>
      <c r="B51" s="62"/>
      <c r="C51" s="61"/>
      <c r="D51" s="59"/>
      <c r="E51" s="59"/>
      <c r="F51" s="59"/>
      <c r="G51" s="59"/>
    </row>
    <row r="52" spans="1:7" ht="15.75" customHeight="1" x14ac:dyDescent="0.15">
      <c r="A52" s="59"/>
      <c r="B52" s="62"/>
      <c r="C52" s="61"/>
      <c r="D52" s="59"/>
      <c r="E52" s="59"/>
      <c r="F52" s="59"/>
      <c r="G52" s="59"/>
    </row>
    <row r="53" spans="1:7" ht="15.75" customHeight="1" x14ac:dyDescent="0.15">
      <c r="A53" s="59"/>
      <c r="B53" s="62"/>
      <c r="C53" s="61"/>
      <c r="D53" s="59"/>
      <c r="E53" s="59"/>
      <c r="F53" s="59"/>
      <c r="G53" s="59"/>
    </row>
    <row r="54" spans="1:7" ht="15.75" customHeight="1" x14ac:dyDescent="0.15">
      <c r="A54" s="59"/>
      <c r="B54" s="62"/>
      <c r="C54" s="61"/>
      <c r="D54" s="59"/>
      <c r="E54" s="59"/>
      <c r="F54" s="59"/>
      <c r="G54" s="59"/>
    </row>
    <row r="55" spans="1:7" ht="15.75" customHeight="1" x14ac:dyDescent="0.15">
      <c r="A55" s="59"/>
      <c r="B55" s="62"/>
      <c r="C55" s="61"/>
      <c r="D55" s="59"/>
      <c r="E55" s="59"/>
      <c r="F55" s="59"/>
      <c r="G55" s="59"/>
    </row>
    <row r="56" spans="1:7" ht="15.75" customHeight="1" x14ac:dyDescent="0.15">
      <c r="A56" s="59"/>
      <c r="B56" s="62"/>
      <c r="C56" s="61"/>
      <c r="D56" s="59"/>
      <c r="E56" s="59"/>
      <c r="F56" s="59"/>
      <c r="G56" s="59"/>
    </row>
    <row r="57" spans="1:7" ht="15.75" customHeight="1" x14ac:dyDescent="0.15">
      <c r="A57" s="59"/>
      <c r="B57" s="62"/>
      <c r="C57" s="61"/>
      <c r="D57" s="59"/>
      <c r="E57" s="59"/>
      <c r="F57" s="59"/>
      <c r="G57" s="59"/>
    </row>
    <row r="58" spans="1:7" ht="15.75" customHeight="1" x14ac:dyDescent="0.15">
      <c r="A58" s="59"/>
      <c r="B58" s="62"/>
      <c r="C58" s="61"/>
      <c r="D58" s="59"/>
      <c r="E58" s="59"/>
      <c r="F58" s="59"/>
      <c r="G58" s="59"/>
    </row>
    <row r="59" spans="1:7" ht="15.75" customHeight="1" x14ac:dyDescent="0.15">
      <c r="A59" s="59"/>
      <c r="B59" s="62"/>
      <c r="C59" s="61"/>
      <c r="D59" s="59"/>
      <c r="E59" s="59"/>
      <c r="F59" s="59"/>
      <c r="G59" s="59"/>
    </row>
    <row r="60" spans="1:7" ht="15.75" customHeight="1" x14ac:dyDescent="0.15">
      <c r="A60" s="59"/>
      <c r="B60" s="62"/>
      <c r="C60" s="61"/>
      <c r="D60" s="59"/>
      <c r="E60" s="59"/>
      <c r="F60" s="59"/>
      <c r="G60" s="59"/>
    </row>
    <row r="61" spans="1:7" ht="15.75" customHeight="1" x14ac:dyDescent="0.15">
      <c r="A61" s="59"/>
      <c r="B61" s="62"/>
      <c r="C61" s="61"/>
      <c r="D61" s="59"/>
      <c r="E61" s="59"/>
      <c r="F61" s="59"/>
      <c r="G61" s="59"/>
    </row>
    <row r="62" spans="1:7" ht="15.75" customHeight="1" x14ac:dyDescent="0.15">
      <c r="A62" s="59"/>
      <c r="B62" s="62"/>
      <c r="C62" s="61"/>
      <c r="D62" s="59"/>
      <c r="E62" s="59"/>
      <c r="F62" s="59"/>
      <c r="G62" s="59"/>
    </row>
    <row r="63" spans="1:7" ht="15.75" customHeight="1" x14ac:dyDescent="0.15">
      <c r="A63" s="59"/>
      <c r="B63" s="62"/>
      <c r="C63" s="61"/>
      <c r="D63" s="59"/>
      <c r="E63" s="59"/>
      <c r="F63" s="59"/>
      <c r="G63" s="59"/>
    </row>
    <row r="64" spans="1:7" ht="15.75" customHeight="1" x14ac:dyDescent="0.15">
      <c r="A64" s="59"/>
      <c r="B64" s="62"/>
      <c r="C64" s="61"/>
      <c r="D64" s="59"/>
      <c r="E64" s="59"/>
      <c r="F64" s="59"/>
      <c r="G64" s="59"/>
    </row>
    <row r="65" spans="1:7" ht="15.75" customHeight="1" x14ac:dyDescent="0.15">
      <c r="A65" s="59"/>
      <c r="B65" s="62"/>
      <c r="C65" s="61"/>
      <c r="D65" s="59"/>
      <c r="E65" s="59"/>
      <c r="F65" s="59"/>
      <c r="G65" s="59"/>
    </row>
    <row r="66" spans="1:7" ht="15.75" customHeight="1" x14ac:dyDescent="0.15">
      <c r="A66" s="59"/>
      <c r="B66" s="62"/>
      <c r="C66" s="61"/>
      <c r="D66" s="59"/>
      <c r="E66" s="59"/>
      <c r="F66" s="59"/>
      <c r="G66" s="59"/>
    </row>
    <row r="67" spans="1:7" ht="15.75" customHeight="1" x14ac:dyDescent="0.15">
      <c r="A67" s="59"/>
      <c r="B67" s="62"/>
      <c r="C67" s="61"/>
      <c r="D67" s="59"/>
      <c r="E67" s="59"/>
      <c r="F67" s="59"/>
      <c r="G67" s="59"/>
    </row>
    <row r="68" spans="1:7" ht="15.75" customHeight="1" x14ac:dyDescent="0.15">
      <c r="A68" s="59"/>
      <c r="B68" s="62"/>
      <c r="C68" s="61"/>
      <c r="D68" s="59"/>
      <c r="E68" s="59"/>
      <c r="F68" s="59"/>
      <c r="G68" s="59"/>
    </row>
    <row r="69" spans="1:7" ht="15.75" customHeight="1" x14ac:dyDescent="0.15">
      <c r="A69" s="59"/>
      <c r="B69" s="62"/>
      <c r="C69" s="61"/>
      <c r="D69" s="59"/>
      <c r="E69" s="59"/>
      <c r="F69" s="59"/>
      <c r="G69" s="59"/>
    </row>
    <row r="70" spans="1:7" ht="15.75" customHeight="1" x14ac:dyDescent="0.15">
      <c r="A70" s="59"/>
      <c r="B70" s="62"/>
      <c r="C70" s="61"/>
      <c r="D70" s="59"/>
      <c r="E70" s="59"/>
      <c r="F70" s="59"/>
      <c r="G70" s="59"/>
    </row>
    <row r="71" spans="1:7" ht="15.75" customHeight="1" x14ac:dyDescent="0.15">
      <c r="A71" s="59"/>
      <c r="B71" s="62"/>
      <c r="C71" s="61"/>
      <c r="D71" s="59"/>
      <c r="E71" s="59"/>
      <c r="F71" s="59"/>
      <c r="G71" s="59"/>
    </row>
    <row r="72" spans="1:7" ht="15.75" customHeight="1" x14ac:dyDescent="0.15">
      <c r="A72" s="59"/>
      <c r="B72" s="62"/>
      <c r="C72" s="61"/>
      <c r="D72" s="59"/>
      <c r="E72" s="59"/>
      <c r="F72" s="59"/>
      <c r="G72" s="59"/>
    </row>
    <row r="73" spans="1:7" ht="15.75" customHeight="1" x14ac:dyDescent="0.15">
      <c r="A73" s="59"/>
      <c r="B73" s="62"/>
      <c r="C73" s="61"/>
      <c r="D73" s="59"/>
      <c r="E73" s="59"/>
      <c r="F73" s="59"/>
      <c r="G73" s="59"/>
    </row>
    <row r="74" spans="1:7" ht="15.75" customHeight="1" x14ac:dyDescent="0.15">
      <c r="A74" s="59"/>
      <c r="B74" s="62"/>
      <c r="C74" s="61"/>
      <c r="D74" s="59"/>
      <c r="E74" s="59"/>
      <c r="F74" s="59"/>
      <c r="G74" s="59"/>
    </row>
    <row r="75" spans="1:7" ht="15.75" customHeight="1" x14ac:dyDescent="0.15">
      <c r="A75" s="59"/>
      <c r="B75" s="62"/>
      <c r="C75" s="61"/>
      <c r="D75" s="59"/>
      <c r="E75" s="59"/>
      <c r="F75" s="59"/>
      <c r="G75" s="59"/>
    </row>
    <row r="76" spans="1:7" ht="15.75" customHeight="1" x14ac:dyDescent="0.15">
      <c r="A76" s="59"/>
      <c r="B76" s="62"/>
      <c r="C76" s="61"/>
      <c r="D76" s="59"/>
      <c r="E76" s="59"/>
      <c r="F76" s="59"/>
      <c r="G76" s="59"/>
    </row>
    <row r="77" spans="1:7" ht="15.75" customHeight="1" x14ac:dyDescent="0.15">
      <c r="A77" s="59"/>
      <c r="B77" s="62"/>
      <c r="C77" s="61"/>
      <c r="D77" s="59"/>
      <c r="E77" s="59"/>
      <c r="F77" s="59"/>
      <c r="G77" s="59"/>
    </row>
    <row r="78" spans="1:7" ht="15.75" customHeight="1" x14ac:dyDescent="0.15">
      <c r="A78" s="59"/>
      <c r="B78" s="62"/>
      <c r="C78" s="61"/>
      <c r="D78" s="59"/>
      <c r="E78" s="59"/>
      <c r="F78" s="59"/>
      <c r="G78" s="59"/>
    </row>
    <row r="79" spans="1:7" ht="15.75" customHeight="1" x14ac:dyDescent="0.15">
      <c r="A79" s="59"/>
      <c r="B79" s="62"/>
      <c r="C79" s="61"/>
      <c r="D79" s="59"/>
      <c r="E79" s="59"/>
      <c r="F79" s="59"/>
      <c r="G79" s="59"/>
    </row>
    <row r="80" spans="1:7" ht="15.75" customHeight="1" x14ac:dyDescent="0.15">
      <c r="A80" s="59"/>
      <c r="B80" s="62"/>
      <c r="C80" s="61"/>
      <c r="D80" s="59"/>
      <c r="E80" s="59"/>
      <c r="F80" s="59"/>
      <c r="G80" s="59"/>
    </row>
    <row r="81" spans="1:7" ht="15.75" customHeight="1" x14ac:dyDescent="0.15">
      <c r="A81" s="59"/>
      <c r="B81" s="62"/>
      <c r="C81" s="61"/>
      <c r="D81" s="59"/>
      <c r="E81" s="59"/>
      <c r="F81" s="59"/>
      <c r="G81" s="59"/>
    </row>
    <row r="82" spans="1:7" ht="15.75" customHeight="1" x14ac:dyDescent="0.15">
      <c r="A82" s="59"/>
      <c r="B82" s="62"/>
      <c r="C82" s="61"/>
      <c r="D82" s="59"/>
      <c r="E82" s="59"/>
      <c r="F82" s="59"/>
      <c r="G82" s="59"/>
    </row>
    <row r="83" spans="1:7" ht="15.75" customHeight="1" x14ac:dyDescent="0.15">
      <c r="A83" s="59"/>
      <c r="B83" s="62"/>
      <c r="C83" s="61"/>
      <c r="D83" s="59"/>
      <c r="E83" s="59"/>
      <c r="F83" s="59"/>
      <c r="G83" s="59"/>
    </row>
    <row r="84" spans="1:7" ht="15.75" customHeight="1" x14ac:dyDescent="0.15">
      <c r="A84" s="59"/>
      <c r="B84" s="62"/>
      <c r="C84" s="61"/>
      <c r="D84" s="59"/>
      <c r="E84" s="59"/>
      <c r="F84" s="59"/>
      <c r="G84" s="59"/>
    </row>
    <row r="85" spans="1:7" ht="15.75" customHeight="1" x14ac:dyDescent="0.15">
      <c r="A85" s="59"/>
      <c r="B85" s="62"/>
      <c r="C85" s="61"/>
      <c r="D85" s="59"/>
      <c r="E85" s="59"/>
      <c r="F85" s="59"/>
      <c r="G85" s="59"/>
    </row>
    <row r="86" spans="1:7" ht="15.75" customHeight="1" x14ac:dyDescent="0.15">
      <c r="A86" s="59"/>
      <c r="B86" s="62"/>
      <c r="C86" s="61"/>
      <c r="D86" s="59"/>
      <c r="E86" s="59"/>
      <c r="F86" s="59"/>
      <c r="G86" s="59"/>
    </row>
    <row r="87" spans="1:7" ht="15.75" customHeight="1" x14ac:dyDescent="0.15">
      <c r="A87" s="59"/>
      <c r="B87" s="62"/>
      <c r="C87" s="61"/>
      <c r="D87" s="59"/>
      <c r="E87" s="59"/>
      <c r="F87" s="59"/>
      <c r="G87" s="59"/>
    </row>
    <row r="88" spans="1:7" ht="15.75" customHeight="1" x14ac:dyDescent="0.15">
      <c r="A88" s="59"/>
      <c r="B88" s="62"/>
      <c r="C88" s="61"/>
      <c r="D88" s="59"/>
      <c r="E88" s="59"/>
      <c r="F88" s="59"/>
      <c r="G88" s="59"/>
    </row>
    <row r="89" spans="1:7" ht="15.75" customHeight="1" x14ac:dyDescent="0.15">
      <c r="A89" s="59"/>
      <c r="B89" s="62"/>
      <c r="C89" s="61"/>
      <c r="D89" s="59"/>
      <c r="E89" s="59"/>
      <c r="F89" s="59"/>
      <c r="G89" s="59"/>
    </row>
    <row r="90" spans="1:7" ht="15.75" customHeight="1" x14ac:dyDescent="0.15">
      <c r="A90" s="59"/>
      <c r="B90" s="62"/>
      <c r="C90" s="61"/>
      <c r="D90" s="59"/>
      <c r="E90" s="59"/>
      <c r="F90" s="59"/>
      <c r="G90" s="59"/>
    </row>
    <row r="91" spans="1:7" ht="15.75" customHeight="1" x14ac:dyDescent="0.15">
      <c r="A91" s="59"/>
      <c r="B91" s="62"/>
      <c r="C91" s="61"/>
      <c r="D91" s="59"/>
      <c r="E91" s="59"/>
      <c r="F91" s="59"/>
      <c r="G91" s="59"/>
    </row>
    <row r="92" spans="1:7" ht="15.75" customHeight="1" x14ac:dyDescent="0.15">
      <c r="A92" s="59"/>
      <c r="B92" s="62"/>
      <c r="C92" s="61"/>
      <c r="D92" s="59"/>
      <c r="E92" s="59"/>
      <c r="F92" s="59"/>
      <c r="G92" s="59"/>
    </row>
    <row r="93" spans="1:7" ht="15.75" customHeight="1" x14ac:dyDescent="0.15">
      <c r="A93" s="59"/>
      <c r="B93" s="62"/>
      <c r="C93" s="61"/>
      <c r="D93" s="59"/>
      <c r="E93" s="59"/>
      <c r="F93" s="59"/>
      <c r="G93" s="59"/>
    </row>
    <row r="94" spans="1:7" ht="15.75" customHeight="1" x14ac:dyDescent="0.15">
      <c r="A94" s="59"/>
      <c r="B94" s="62"/>
      <c r="C94" s="61"/>
      <c r="D94" s="59"/>
      <c r="E94" s="59"/>
      <c r="F94" s="59"/>
      <c r="G94" s="59"/>
    </row>
    <row r="95" spans="1:7" ht="15.75" customHeight="1" x14ac:dyDescent="0.15">
      <c r="A95" s="59"/>
      <c r="B95" s="62"/>
      <c r="C95" s="61"/>
      <c r="D95" s="59"/>
      <c r="E95" s="59"/>
      <c r="F95" s="59"/>
      <c r="G95" s="59"/>
    </row>
    <row r="96" spans="1:7" ht="15.75" customHeight="1" x14ac:dyDescent="0.15">
      <c r="A96" s="59"/>
      <c r="B96" s="62"/>
      <c r="C96" s="61"/>
      <c r="D96" s="59"/>
      <c r="E96" s="59"/>
      <c r="F96" s="59"/>
      <c r="G96" s="59"/>
    </row>
    <row r="97" spans="1:7" ht="15.75" customHeight="1" x14ac:dyDescent="0.15">
      <c r="A97" s="59"/>
      <c r="B97" s="62"/>
      <c r="C97" s="61"/>
      <c r="D97" s="59"/>
      <c r="E97" s="59"/>
      <c r="F97" s="59"/>
      <c r="G97" s="59"/>
    </row>
    <row r="98" spans="1:7" ht="15.75" customHeight="1" x14ac:dyDescent="0.15">
      <c r="A98" s="59"/>
      <c r="B98" s="62"/>
      <c r="C98" s="61"/>
      <c r="D98" s="59"/>
      <c r="E98" s="59"/>
      <c r="F98" s="59"/>
      <c r="G98" s="59"/>
    </row>
    <row r="99" spans="1:7" ht="15.75" customHeight="1" x14ac:dyDescent="0.15">
      <c r="A99" s="59"/>
      <c r="B99" s="62"/>
      <c r="C99" s="61"/>
      <c r="D99" s="59"/>
      <c r="E99" s="59"/>
      <c r="F99" s="59"/>
      <c r="G99" s="59"/>
    </row>
    <row r="100" spans="1:7" ht="15.75" customHeight="1" x14ac:dyDescent="0.15">
      <c r="A100" s="59"/>
      <c r="B100" s="62"/>
      <c r="C100" s="61"/>
      <c r="D100" s="59"/>
      <c r="E100" s="59"/>
      <c r="F100" s="59"/>
      <c r="G100" s="59"/>
    </row>
    <row r="101" spans="1:7" ht="15.75" customHeight="1" x14ac:dyDescent="0.15">
      <c r="A101" s="59"/>
      <c r="B101" s="62"/>
      <c r="C101" s="61"/>
      <c r="D101" s="59"/>
      <c r="E101" s="59"/>
      <c r="F101" s="59"/>
      <c r="G101" s="59"/>
    </row>
    <row r="102" spans="1:7" ht="15.75" customHeight="1" x14ac:dyDescent="0.15">
      <c r="A102" s="59"/>
      <c r="B102" s="62"/>
      <c r="C102" s="61"/>
      <c r="D102" s="59"/>
      <c r="E102" s="59"/>
      <c r="F102" s="59"/>
      <c r="G102" s="59"/>
    </row>
    <row r="103" spans="1:7" ht="15.75" customHeight="1" x14ac:dyDescent="0.15">
      <c r="A103" s="59"/>
      <c r="B103" s="62"/>
      <c r="C103" s="61"/>
      <c r="D103" s="59"/>
      <c r="E103" s="59"/>
      <c r="F103" s="59"/>
      <c r="G103" s="59"/>
    </row>
    <row r="104" spans="1:7" ht="15.75" customHeight="1" x14ac:dyDescent="0.15">
      <c r="A104" s="59"/>
      <c r="B104" s="62"/>
      <c r="C104" s="61"/>
      <c r="D104" s="59"/>
      <c r="E104" s="59"/>
      <c r="F104" s="59"/>
      <c r="G104" s="59"/>
    </row>
    <row r="105" spans="1:7" ht="15.75" customHeight="1" x14ac:dyDescent="0.15">
      <c r="A105" s="59"/>
      <c r="B105" s="62"/>
      <c r="C105" s="61"/>
      <c r="D105" s="59"/>
      <c r="E105" s="59"/>
      <c r="F105" s="59"/>
      <c r="G105" s="59"/>
    </row>
    <row r="106" spans="1:7" ht="15.75" customHeight="1" x14ac:dyDescent="0.15">
      <c r="A106" s="59"/>
      <c r="B106" s="62"/>
      <c r="C106" s="61"/>
      <c r="D106" s="59"/>
      <c r="E106" s="59"/>
      <c r="F106" s="59"/>
      <c r="G106" s="59"/>
    </row>
    <row r="107" spans="1:7" ht="15.75" customHeight="1" x14ac:dyDescent="0.15">
      <c r="A107" s="59"/>
      <c r="B107" s="62"/>
      <c r="C107" s="61"/>
      <c r="D107" s="59"/>
      <c r="E107" s="59"/>
      <c r="F107" s="59"/>
      <c r="G107" s="59"/>
    </row>
    <row r="108" spans="1:7" ht="15.75" customHeight="1" x14ac:dyDescent="0.15">
      <c r="A108" s="59"/>
      <c r="B108" s="62"/>
      <c r="C108" s="61"/>
      <c r="D108" s="59"/>
      <c r="E108" s="59"/>
      <c r="F108" s="59"/>
      <c r="G108" s="59"/>
    </row>
    <row r="109" spans="1:7" ht="15.75" customHeight="1" x14ac:dyDescent="0.15">
      <c r="A109" s="59"/>
      <c r="B109" s="62"/>
      <c r="C109" s="61"/>
      <c r="D109" s="59"/>
      <c r="E109" s="59"/>
      <c r="F109" s="59"/>
      <c r="G109" s="59"/>
    </row>
    <row r="110" spans="1:7" ht="15.75" customHeight="1" x14ac:dyDescent="0.15">
      <c r="A110" s="59"/>
      <c r="B110" s="62"/>
      <c r="C110" s="61"/>
      <c r="D110" s="59"/>
      <c r="E110" s="59"/>
      <c r="F110" s="59"/>
      <c r="G110" s="59"/>
    </row>
    <row r="111" spans="1:7" ht="15.75" customHeight="1" x14ac:dyDescent="0.15">
      <c r="A111" s="59"/>
      <c r="B111" s="62"/>
      <c r="C111" s="61"/>
      <c r="D111" s="59"/>
      <c r="E111" s="59"/>
      <c r="F111" s="59"/>
      <c r="G111" s="59"/>
    </row>
    <row r="112" spans="1:7" ht="15.75" customHeight="1" x14ac:dyDescent="0.15">
      <c r="A112" s="59"/>
      <c r="B112" s="62"/>
      <c r="C112" s="61"/>
      <c r="D112" s="59"/>
      <c r="E112" s="59"/>
      <c r="F112" s="59"/>
      <c r="G112" s="59"/>
    </row>
    <row r="113" spans="1:7" ht="15.75" customHeight="1" x14ac:dyDescent="0.15">
      <c r="A113" s="59"/>
      <c r="B113" s="62"/>
      <c r="C113" s="61"/>
      <c r="D113" s="59"/>
      <c r="E113" s="59"/>
      <c r="F113" s="59"/>
      <c r="G113" s="59"/>
    </row>
    <row r="114" spans="1:7" ht="15.75" customHeight="1" x14ac:dyDescent="0.15">
      <c r="A114" s="59"/>
      <c r="B114" s="62"/>
      <c r="C114" s="61"/>
      <c r="D114" s="59"/>
      <c r="E114" s="59"/>
      <c r="F114" s="59"/>
      <c r="G114" s="59"/>
    </row>
    <row r="115" spans="1:7" ht="15.75" customHeight="1" x14ac:dyDescent="0.15">
      <c r="A115" s="59"/>
      <c r="B115" s="62"/>
      <c r="C115" s="61"/>
      <c r="D115" s="59"/>
      <c r="E115" s="59"/>
      <c r="F115" s="59"/>
      <c r="G115" s="59"/>
    </row>
    <row r="116" spans="1:7" ht="15.75" customHeight="1" x14ac:dyDescent="0.15">
      <c r="A116" s="59"/>
      <c r="B116" s="60"/>
      <c r="C116" s="61"/>
      <c r="D116" s="59"/>
      <c r="E116" s="59"/>
      <c r="F116" s="59"/>
      <c r="G116" s="59"/>
    </row>
    <row r="117" spans="1:7" ht="15.75" customHeight="1" x14ac:dyDescent="0.15">
      <c r="A117" s="59"/>
      <c r="B117" s="60"/>
      <c r="C117" s="61"/>
      <c r="D117" s="59"/>
      <c r="E117" s="59"/>
      <c r="F117" s="59"/>
      <c r="G117" s="59"/>
    </row>
    <row r="118" spans="1:7" ht="15.75" customHeight="1" x14ac:dyDescent="0.15">
      <c r="A118" s="59"/>
      <c r="B118" s="60"/>
      <c r="C118" s="61"/>
      <c r="D118" s="59"/>
      <c r="E118" s="59"/>
      <c r="F118" s="59"/>
      <c r="G118" s="59"/>
    </row>
    <row r="119" spans="1:7" ht="15.75" customHeight="1" x14ac:dyDescent="0.15">
      <c r="A119" s="59"/>
      <c r="B119" s="60"/>
      <c r="C119" s="61"/>
      <c r="D119" s="59"/>
      <c r="E119" s="59"/>
      <c r="F119" s="59"/>
      <c r="G119" s="59"/>
    </row>
    <row r="120" spans="1:7" ht="15.75" customHeight="1" x14ac:dyDescent="0.15">
      <c r="A120" s="59"/>
      <c r="B120" s="60"/>
      <c r="C120" s="61"/>
      <c r="D120" s="59"/>
      <c r="E120" s="59"/>
      <c r="F120" s="59"/>
      <c r="G120" s="59"/>
    </row>
    <row r="121" spans="1:7" ht="15.75" customHeight="1" x14ac:dyDescent="0.15">
      <c r="A121" s="59"/>
      <c r="B121" s="60"/>
      <c r="C121" s="61"/>
      <c r="D121" s="59"/>
      <c r="E121" s="59"/>
      <c r="F121" s="59"/>
      <c r="G121" s="59"/>
    </row>
    <row r="122" spans="1:7" ht="15.75" customHeight="1" x14ac:dyDescent="0.15">
      <c r="A122" s="59"/>
      <c r="B122" s="60"/>
      <c r="C122" s="61"/>
      <c r="D122" s="59"/>
      <c r="E122" s="59"/>
      <c r="F122" s="59"/>
      <c r="G122" s="59"/>
    </row>
    <row r="123" spans="1:7" ht="15.75" customHeight="1" x14ac:dyDescent="0.15">
      <c r="A123" s="59"/>
      <c r="B123" s="60"/>
      <c r="C123" s="61"/>
      <c r="D123" s="59"/>
      <c r="E123" s="59"/>
      <c r="F123" s="59"/>
      <c r="G123" s="59"/>
    </row>
    <row r="124" spans="1:7" ht="15.75" customHeight="1" x14ac:dyDescent="0.15">
      <c r="A124" s="59"/>
      <c r="B124" s="60"/>
      <c r="C124" s="61"/>
      <c r="D124" s="59"/>
      <c r="E124" s="59"/>
      <c r="F124" s="59"/>
      <c r="G124" s="59"/>
    </row>
    <row r="125" spans="1:7" ht="15.75" customHeight="1" x14ac:dyDescent="0.15">
      <c r="A125" s="59"/>
      <c r="B125" s="60"/>
      <c r="C125" s="61"/>
      <c r="D125" s="59"/>
      <c r="E125" s="59"/>
      <c r="F125" s="59"/>
      <c r="G125" s="59"/>
    </row>
    <row r="126" spans="1:7" ht="15.75" customHeight="1" x14ac:dyDescent="0.15">
      <c r="A126" s="59"/>
      <c r="B126" s="60"/>
      <c r="C126" s="61"/>
      <c r="D126" s="59"/>
      <c r="E126" s="59"/>
      <c r="F126" s="59"/>
      <c r="G126" s="59"/>
    </row>
    <row r="127" spans="1:7" ht="15.75" customHeight="1" x14ac:dyDescent="0.15">
      <c r="A127" s="59"/>
      <c r="B127" s="60"/>
      <c r="C127" s="61"/>
      <c r="D127" s="59"/>
      <c r="E127" s="59"/>
      <c r="F127" s="59"/>
      <c r="G127" s="59"/>
    </row>
    <row r="128" spans="1:7" ht="15.75" customHeight="1" x14ac:dyDescent="0.15">
      <c r="A128" s="59"/>
      <c r="B128" s="60"/>
      <c r="C128" s="61"/>
      <c r="D128" s="59"/>
      <c r="E128" s="59"/>
      <c r="F128" s="59"/>
      <c r="G128" s="59"/>
    </row>
    <row r="129" spans="1:7" ht="15.75" customHeight="1" x14ac:dyDescent="0.15">
      <c r="A129" s="59"/>
      <c r="B129" s="60"/>
      <c r="C129" s="61"/>
      <c r="D129" s="59"/>
      <c r="E129" s="59"/>
      <c r="F129" s="59"/>
      <c r="G129" s="59"/>
    </row>
    <row r="130" spans="1:7" ht="15.75" customHeight="1" x14ac:dyDescent="0.15">
      <c r="A130" s="59"/>
      <c r="B130" s="60"/>
      <c r="C130" s="61"/>
      <c r="D130" s="59"/>
      <c r="E130" s="59"/>
      <c r="F130" s="59"/>
      <c r="G130" s="59"/>
    </row>
    <row r="131" spans="1:7" ht="15.75" customHeight="1" x14ac:dyDescent="0.15">
      <c r="A131" s="59"/>
      <c r="B131" s="60"/>
      <c r="C131" s="61"/>
      <c r="D131" s="59"/>
      <c r="E131" s="59"/>
      <c r="F131" s="59"/>
      <c r="G131" s="59"/>
    </row>
    <row r="132" spans="1:7" ht="15.75" customHeight="1" x14ac:dyDescent="0.15">
      <c r="A132" s="59"/>
      <c r="B132" s="60"/>
      <c r="C132" s="61"/>
      <c r="D132" s="59"/>
      <c r="E132" s="59"/>
      <c r="F132" s="59"/>
      <c r="G132" s="59"/>
    </row>
    <row r="133" spans="1:7" ht="15.75" customHeight="1" x14ac:dyDescent="0.15">
      <c r="A133" s="59"/>
      <c r="B133" s="60"/>
      <c r="C133" s="61"/>
      <c r="D133" s="59"/>
      <c r="E133" s="59"/>
      <c r="F133" s="59"/>
      <c r="G133" s="59"/>
    </row>
    <row r="134" spans="1:7" ht="15.75" customHeight="1" x14ac:dyDescent="0.15">
      <c r="A134" s="59"/>
      <c r="B134" s="60"/>
      <c r="C134" s="61"/>
      <c r="D134" s="59"/>
      <c r="E134" s="59"/>
      <c r="F134" s="59"/>
      <c r="G134" s="59"/>
    </row>
    <row r="135" spans="1:7" ht="15.75" customHeight="1" x14ac:dyDescent="0.15">
      <c r="A135" s="59"/>
      <c r="B135" s="60"/>
      <c r="C135" s="61"/>
      <c r="D135" s="59"/>
      <c r="E135" s="59"/>
      <c r="F135" s="59"/>
      <c r="G135" s="59"/>
    </row>
    <row r="136" spans="1:7" ht="15.75" customHeight="1" x14ac:dyDescent="0.15">
      <c r="A136" s="59"/>
      <c r="B136" s="60"/>
      <c r="C136" s="61"/>
      <c r="D136" s="59"/>
      <c r="E136" s="59"/>
      <c r="F136" s="59"/>
      <c r="G136" s="59"/>
    </row>
    <row r="137" spans="1:7" ht="15.75" customHeight="1" x14ac:dyDescent="0.15">
      <c r="A137" s="59"/>
      <c r="B137" s="60"/>
      <c r="C137" s="61"/>
      <c r="D137" s="59"/>
      <c r="E137" s="59"/>
      <c r="F137" s="59"/>
      <c r="G137" s="59"/>
    </row>
    <row r="138" spans="1:7" ht="15.75" customHeight="1" x14ac:dyDescent="0.15">
      <c r="A138" s="59"/>
      <c r="B138" s="60"/>
      <c r="C138" s="61"/>
      <c r="D138" s="59"/>
      <c r="E138" s="59"/>
      <c r="F138" s="59"/>
      <c r="G138" s="59"/>
    </row>
    <row r="139" spans="1:7" ht="15.75" customHeight="1" x14ac:dyDescent="0.15">
      <c r="A139" s="59"/>
      <c r="B139" s="60"/>
      <c r="C139" s="61"/>
      <c r="D139" s="59"/>
      <c r="E139" s="59"/>
      <c r="F139" s="59"/>
      <c r="G139" s="59"/>
    </row>
    <row r="140" spans="1:7" ht="15.75" customHeight="1" x14ac:dyDescent="0.15">
      <c r="A140" s="59"/>
      <c r="B140" s="60"/>
      <c r="C140" s="61"/>
      <c r="D140" s="59"/>
      <c r="E140" s="59"/>
      <c r="F140" s="59"/>
      <c r="G140" s="59"/>
    </row>
    <row r="141" spans="1:7" ht="15.75" customHeight="1" x14ac:dyDescent="0.15">
      <c r="A141" s="59"/>
      <c r="B141" s="60"/>
      <c r="C141" s="61"/>
      <c r="D141" s="59"/>
      <c r="E141" s="59"/>
      <c r="F141" s="59"/>
      <c r="G141" s="59"/>
    </row>
    <row r="142" spans="1:7" ht="15.75" customHeight="1" x14ac:dyDescent="0.15">
      <c r="A142" s="59"/>
      <c r="B142" s="60"/>
      <c r="C142" s="61"/>
      <c r="D142" s="59"/>
      <c r="E142" s="59"/>
      <c r="F142" s="59"/>
      <c r="G142" s="59"/>
    </row>
    <row r="143" spans="1:7" ht="15.75" customHeight="1" x14ac:dyDescent="0.15">
      <c r="A143" s="59"/>
      <c r="B143" s="60"/>
      <c r="C143" s="61"/>
      <c r="D143" s="59"/>
      <c r="E143" s="59"/>
      <c r="F143" s="59"/>
      <c r="G143" s="59"/>
    </row>
    <row r="144" spans="1:7" ht="15.75" customHeight="1" x14ac:dyDescent="0.15">
      <c r="A144" s="59"/>
      <c r="B144" s="60"/>
      <c r="C144" s="61"/>
      <c r="D144" s="59"/>
      <c r="E144" s="59"/>
      <c r="F144" s="59"/>
      <c r="G144" s="59"/>
    </row>
    <row r="145" spans="1:7" ht="15.75" customHeight="1" x14ac:dyDescent="0.15">
      <c r="A145" s="59"/>
      <c r="B145" s="60"/>
      <c r="C145" s="61"/>
      <c r="D145" s="59"/>
      <c r="E145" s="59"/>
      <c r="F145" s="59"/>
      <c r="G145" s="59"/>
    </row>
    <row r="146" spans="1:7" ht="15.75" customHeight="1" x14ac:dyDescent="0.15">
      <c r="A146" s="59"/>
      <c r="B146" s="60"/>
      <c r="C146" s="61"/>
      <c r="D146" s="59"/>
      <c r="E146" s="59"/>
      <c r="F146" s="59"/>
      <c r="G146" s="59"/>
    </row>
    <row r="147" spans="1:7" ht="15.75" customHeight="1" x14ac:dyDescent="0.15">
      <c r="A147" s="59"/>
      <c r="B147" s="60"/>
      <c r="C147" s="61"/>
      <c r="D147" s="59"/>
      <c r="E147" s="59"/>
      <c r="F147" s="59"/>
      <c r="G147" s="59"/>
    </row>
    <row r="148" spans="1:7" ht="15.75" customHeight="1" x14ac:dyDescent="0.15">
      <c r="A148" s="59"/>
      <c r="B148" s="60"/>
      <c r="C148" s="61"/>
      <c r="D148" s="59"/>
      <c r="E148" s="59"/>
      <c r="F148" s="59"/>
      <c r="G148" s="59"/>
    </row>
    <row r="149" spans="1:7" ht="15.75" customHeight="1" x14ac:dyDescent="0.15">
      <c r="A149" s="59"/>
      <c r="B149" s="60"/>
      <c r="C149" s="61"/>
      <c r="D149" s="59"/>
      <c r="E149" s="59"/>
      <c r="F149" s="59"/>
      <c r="G149" s="59"/>
    </row>
    <row r="150" spans="1:7" ht="15.75" customHeight="1" x14ac:dyDescent="0.15">
      <c r="A150" s="59"/>
      <c r="B150" s="60"/>
      <c r="C150" s="61"/>
      <c r="D150" s="59"/>
      <c r="E150" s="59"/>
      <c r="F150" s="59"/>
      <c r="G150" s="59"/>
    </row>
    <row r="151" spans="1:7" ht="15.75" customHeight="1" x14ac:dyDescent="0.15">
      <c r="A151" s="59"/>
      <c r="B151" s="60"/>
      <c r="C151" s="61"/>
      <c r="D151" s="59"/>
      <c r="E151" s="59"/>
      <c r="F151" s="59"/>
      <c r="G151" s="59"/>
    </row>
    <row r="152" spans="1:7" ht="15.75" customHeight="1" x14ac:dyDescent="0.15">
      <c r="A152" s="59"/>
      <c r="B152" s="60"/>
      <c r="C152" s="61"/>
      <c r="D152" s="59"/>
      <c r="E152" s="59"/>
      <c r="F152" s="59"/>
      <c r="G152" s="59"/>
    </row>
    <row r="153" spans="1:7" ht="15.75" customHeight="1" x14ac:dyDescent="0.15">
      <c r="A153" s="59"/>
      <c r="B153" s="60"/>
      <c r="C153" s="61"/>
      <c r="D153" s="59"/>
      <c r="E153" s="59"/>
      <c r="F153" s="59"/>
      <c r="G153" s="59"/>
    </row>
    <row r="154" spans="1:7" ht="15.75" customHeight="1" x14ac:dyDescent="0.15">
      <c r="A154" s="59"/>
      <c r="B154" s="60"/>
      <c r="C154" s="61"/>
      <c r="D154" s="59"/>
      <c r="E154" s="59"/>
      <c r="F154" s="59"/>
      <c r="G154" s="59"/>
    </row>
    <row r="155" spans="1:7" ht="15.75" customHeight="1" x14ac:dyDescent="0.15">
      <c r="A155" s="59"/>
      <c r="B155" s="60"/>
      <c r="C155" s="61"/>
      <c r="D155" s="59"/>
      <c r="E155" s="59"/>
      <c r="F155" s="59"/>
      <c r="G155" s="59"/>
    </row>
    <row r="156" spans="1:7" ht="15.75" customHeight="1" x14ac:dyDescent="0.15">
      <c r="A156" s="59"/>
      <c r="B156" s="60"/>
      <c r="C156" s="61"/>
      <c r="D156" s="59"/>
      <c r="E156" s="59"/>
      <c r="F156" s="59"/>
      <c r="G156" s="59"/>
    </row>
    <row r="157" spans="1:7" ht="15.75" customHeight="1" x14ac:dyDescent="0.15">
      <c r="A157" s="59"/>
      <c r="B157" s="60"/>
      <c r="C157" s="61"/>
      <c r="D157" s="59"/>
      <c r="E157" s="59"/>
      <c r="F157" s="59"/>
      <c r="G157" s="59"/>
    </row>
    <row r="158" spans="1:7" ht="15.75" customHeight="1" x14ac:dyDescent="0.15">
      <c r="A158" s="59"/>
      <c r="B158" s="60"/>
      <c r="C158" s="61"/>
      <c r="D158" s="59"/>
      <c r="E158" s="59"/>
      <c r="F158" s="59"/>
      <c r="G158" s="59"/>
    </row>
    <row r="159" spans="1:7" ht="15.75" customHeight="1" x14ac:dyDescent="0.15">
      <c r="A159" s="59"/>
      <c r="B159" s="60"/>
      <c r="C159" s="61"/>
      <c r="D159" s="59"/>
      <c r="E159" s="59"/>
      <c r="F159" s="59"/>
      <c r="G159" s="59"/>
    </row>
    <row r="160" spans="1:7" ht="15.75" customHeight="1" x14ac:dyDescent="0.15">
      <c r="A160" s="59"/>
      <c r="B160" s="60"/>
      <c r="C160" s="61"/>
      <c r="D160" s="59"/>
      <c r="E160" s="59"/>
      <c r="F160" s="59"/>
      <c r="G160" s="59"/>
    </row>
    <row r="161" spans="1:7" ht="15.75" customHeight="1" x14ac:dyDescent="0.15">
      <c r="A161" s="59"/>
      <c r="B161" s="60"/>
      <c r="C161" s="61"/>
      <c r="D161" s="59"/>
      <c r="E161" s="59"/>
      <c r="F161" s="59"/>
      <c r="G161" s="59"/>
    </row>
    <row r="162" spans="1:7" ht="15.75" customHeight="1" x14ac:dyDescent="0.15">
      <c r="A162" s="59"/>
      <c r="B162" s="60"/>
      <c r="C162" s="61"/>
      <c r="D162" s="59"/>
      <c r="E162" s="59"/>
      <c r="F162" s="59"/>
      <c r="G162" s="59"/>
    </row>
    <row r="163" spans="1:7" ht="15.75" customHeight="1" x14ac:dyDescent="0.15">
      <c r="A163" s="59"/>
      <c r="B163" s="60"/>
      <c r="C163" s="61"/>
      <c r="D163" s="59"/>
      <c r="E163" s="59"/>
      <c r="F163" s="59"/>
      <c r="G163" s="59"/>
    </row>
    <row r="164" spans="1:7" ht="15.75" customHeight="1" x14ac:dyDescent="0.15">
      <c r="A164" s="59"/>
      <c r="B164" s="60"/>
      <c r="C164" s="61"/>
      <c r="D164" s="59"/>
      <c r="E164" s="59"/>
      <c r="F164" s="59"/>
      <c r="G164" s="59"/>
    </row>
    <row r="165" spans="1:7" ht="15.75" customHeight="1" x14ac:dyDescent="0.15">
      <c r="A165" s="59"/>
      <c r="B165" s="60"/>
      <c r="C165" s="61"/>
      <c r="D165" s="59"/>
      <c r="E165" s="59"/>
      <c r="F165" s="59"/>
      <c r="G165" s="59"/>
    </row>
    <row r="166" spans="1:7" ht="15.75" customHeight="1" x14ac:dyDescent="0.15">
      <c r="A166" s="59"/>
      <c r="B166" s="60"/>
      <c r="C166" s="61"/>
      <c r="D166" s="59"/>
      <c r="E166" s="59"/>
      <c r="F166" s="59"/>
      <c r="G166" s="59"/>
    </row>
    <row r="167" spans="1:7" ht="15.75" customHeight="1" x14ac:dyDescent="0.15">
      <c r="A167" s="59"/>
      <c r="B167" s="60"/>
      <c r="C167" s="61"/>
      <c r="D167" s="59"/>
      <c r="E167" s="59"/>
      <c r="F167" s="59"/>
      <c r="G167" s="59"/>
    </row>
    <row r="168" spans="1:7" ht="15.75" customHeight="1" x14ac:dyDescent="0.15">
      <c r="A168" s="59"/>
      <c r="B168" s="60"/>
      <c r="C168" s="61"/>
      <c r="D168" s="59"/>
      <c r="E168" s="59"/>
      <c r="F168" s="59"/>
      <c r="G168" s="59"/>
    </row>
    <row r="169" spans="1:7" ht="15.75" customHeight="1" x14ac:dyDescent="0.15">
      <c r="A169" s="59"/>
      <c r="B169" s="60"/>
      <c r="C169" s="61"/>
      <c r="D169" s="59"/>
      <c r="E169" s="59"/>
      <c r="F169" s="59"/>
      <c r="G169" s="59"/>
    </row>
    <row r="170" spans="1:7" ht="15.75" customHeight="1" x14ac:dyDescent="0.15">
      <c r="A170" s="59"/>
      <c r="B170" s="60"/>
      <c r="C170" s="61"/>
      <c r="D170" s="59"/>
      <c r="E170" s="59"/>
      <c r="F170" s="59"/>
      <c r="G170" s="59"/>
    </row>
    <row r="171" spans="1:7" ht="15.75" customHeight="1" x14ac:dyDescent="0.15">
      <c r="A171" s="59"/>
      <c r="B171" s="60"/>
      <c r="C171" s="61"/>
      <c r="D171" s="59"/>
      <c r="E171" s="59"/>
      <c r="F171" s="59"/>
      <c r="G171" s="59"/>
    </row>
    <row r="172" spans="1:7" ht="15.75" customHeight="1" x14ac:dyDescent="0.15">
      <c r="A172" s="59"/>
      <c r="B172" s="60"/>
      <c r="C172" s="61"/>
      <c r="D172" s="59"/>
      <c r="E172" s="59"/>
      <c r="F172" s="59"/>
      <c r="G172" s="59"/>
    </row>
    <row r="173" spans="1:7" ht="15.75" customHeight="1" x14ac:dyDescent="0.15">
      <c r="A173" s="59"/>
      <c r="B173" s="60"/>
      <c r="C173" s="61"/>
      <c r="D173" s="59"/>
      <c r="E173" s="59"/>
      <c r="F173" s="59"/>
      <c r="G173" s="59"/>
    </row>
    <row r="174" spans="1:7" ht="15.75" customHeight="1" x14ac:dyDescent="0.15">
      <c r="A174" s="59"/>
      <c r="B174" s="60"/>
      <c r="C174" s="61"/>
      <c r="D174" s="59"/>
      <c r="E174" s="59"/>
      <c r="F174" s="59"/>
      <c r="G174" s="59"/>
    </row>
    <row r="175" spans="1:7" ht="15.75" customHeight="1" x14ac:dyDescent="0.15">
      <c r="A175" s="59"/>
      <c r="B175" s="60"/>
      <c r="C175" s="61"/>
      <c r="D175" s="59"/>
      <c r="E175" s="59"/>
      <c r="F175" s="59"/>
      <c r="G175" s="59"/>
    </row>
    <row r="176" spans="1:7" ht="15.75" customHeight="1" x14ac:dyDescent="0.15">
      <c r="A176" s="59"/>
      <c r="B176" s="60"/>
      <c r="C176" s="61"/>
      <c r="D176" s="59"/>
      <c r="E176" s="59"/>
      <c r="F176" s="59"/>
      <c r="G176" s="59"/>
    </row>
    <row r="177" spans="1:7" ht="15.75" customHeight="1" x14ac:dyDescent="0.15">
      <c r="A177" s="59"/>
      <c r="B177" s="60"/>
      <c r="C177" s="61"/>
      <c r="D177" s="59"/>
      <c r="E177" s="59"/>
      <c r="F177" s="59"/>
      <c r="G177" s="59"/>
    </row>
    <row r="178" spans="1:7" ht="15.75" customHeight="1" x14ac:dyDescent="0.15">
      <c r="A178" s="59"/>
      <c r="B178" s="60"/>
      <c r="C178" s="61"/>
      <c r="D178" s="59"/>
      <c r="E178" s="59"/>
      <c r="F178" s="59"/>
      <c r="G178" s="59"/>
    </row>
    <row r="179" spans="1:7" ht="15.75" customHeight="1" x14ac:dyDescent="0.15">
      <c r="A179" s="59"/>
      <c r="B179" s="60"/>
      <c r="C179" s="61"/>
      <c r="D179" s="59"/>
      <c r="E179" s="59"/>
      <c r="F179" s="59"/>
      <c r="G179" s="59"/>
    </row>
    <row r="180" spans="1:7" ht="15.75" customHeight="1" x14ac:dyDescent="0.15">
      <c r="A180" s="59"/>
      <c r="B180" s="60"/>
      <c r="C180" s="61"/>
      <c r="D180" s="59"/>
      <c r="E180" s="59"/>
      <c r="F180" s="59"/>
      <c r="G180" s="59"/>
    </row>
    <row r="181" spans="1:7" ht="15.75" customHeight="1" x14ac:dyDescent="0.15">
      <c r="A181" s="59"/>
      <c r="B181" s="60"/>
      <c r="C181" s="61"/>
      <c r="D181" s="59"/>
      <c r="E181" s="59"/>
      <c r="F181" s="59"/>
      <c r="G181" s="59"/>
    </row>
    <row r="182" spans="1:7" ht="15.75" customHeight="1" x14ac:dyDescent="0.15">
      <c r="A182" s="59"/>
      <c r="B182" s="60"/>
      <c r="C182" s="61"/>
      <c r="D182" s="59"/>
      <c r="E182" s="59"/>
      <c r="F182" s="59"/>
      <c r="G182" s="59"/>
    </row>
    <row r="183" spans="1:7" ht="15.75" customHeight="1" x14ac:dyDescent="0.15">
      <c r="A183" s="59"/>
      <c r="B183" s="60"/>
      <c r="C183" s="61"/>
      <c r="D183" s="59"/>
      <c r="E183" s="59"/>
      <c r="F183" s="59"/>
      <c r="G183" s="59"/>
    </row>
    <row r="184" spans="1:7" ht="15.75" customHeight="1" x14ac:dyDescent="0.15">
      <c r="A184" s="59"/>
      <c r="B184" s="60"/>
      <c r="C184" s="61"/>
      <c r="D184" s="59"/>
      <c r="E184" s="59"/>
      <c r="F184" s="59"/>
      <c r="G184" s="59"/>
    </row>
    <row r="185" spans="1:7" ht="15.75" customHeight="1" x14ac:dyDescent="0.15">
      <c r="A185" s="59"/>
      <c r="B185" s="60"/>
      <c r="C185" s="61"/>
      <c r="D185" s="59"/>
      <c r="E185" s="59"/>
      <c r="F185" s="59"/>
      <c r="G185" s="59"/>
    </row>
    <row r="186" spans="1:7" ht="15.75" customHeight="1" x14ac:dyDescent="0.15">
      <c r="A186" s="59"/>
      <c r="B186" s="60"/>
      <c r="C186" s="61"/>
      <c r="D186" s="59"/>
      <c r="E186" s="59"/>
      <c r="F186" s="59"/>
      <c r="G186" s="59"/>
    </row>
    <row r="187" spans="1:7" ht="15.75" customHeight="1" x14ac:dyDescent="0.15">
      <c r="A187" s="59"/>
      <c r="B187" s="60"/>
      <c r="C187" s="61"/>
      <c r="D187" s="59"/>
      <c r="E187" s="59"/>
      <c r="F187" s="59"/>
      <c r="G187" s="59"/>
    </row>
    <row r="188" spans="1:7" ht="15.75" customHeight="1" x14ac:dyDescent="0.15">
      <c r="A188" s="59"/>
      <c r="B188" s="60"/>
      <c r="C188" s="61"/>
      <c r="D188" s="59"/>
      <c r="E188" s="59"/>
      <c r="F188" s="59"/>
      <c r="G188" s="59"/>
    </row>
    <row r="189" spans="1:7" ht="15.75" customHeight="1" x14ac:dyDescent="0.15">
      <c r="A189" s="59"/>
      <c r="B189" s="60"/>
      <c r="C189" s="61"/>
      <c r="D189" s="59"/>
      <c r="E189" s="59"/>
      <c r="F189" s="59"/>
      <c r="G189" s="59"/>
    </row>
    <row r="190" spans="1:7" ht="15.75" customHeight="1" x14ac:dyDescent="0.15">
      <c r="A190" s="59"/>
      <c r="B190" s="60"/>
      <c r="C190" s="61"/>
      <c r="D190" s="59"/>
      <c r="E190" s="59"/>
      <c r="F190" s="59"/>
      <c r="G190" s="59"/>
    </row>
    <row r="191" spans="1:7" ht="15.75" customHeight="1" x14ac:dyDescent="0.15">
      <c r="A191" s="59"/>
      <c r="B191" s="60"/>
      <c r="C191" s="61"/>
      <c r="D191" s="59"/>
      <c r="E191" s="59"/>
      <c r="F191" s="59"/>
      <c r="G191" s="59"/>
    </row>
    <row r="192" spans="1:7" ht="15.75" customHeight="1" x14ac:dyDescent="0.15">
      <c r="A192" s="59"/>
      <c r="B192" s="60"/>
      <c r="C192" s="61"/>
      <c r="D192" s="59"/>
      <c r="E192" s="59"/>
      <c r="F192" s="59"/>
      <c r="G192" s="59"/>
    </row>
    <row r="193" spans="1:7" ht="15.75" customHeight="1" x14ac:dyDescent="0.15">
      <c r="A193" s="59"/>
      <c r="B193" s="60"/>
      <c r="C193" s="61"/>
      <c r="D193" s="59"/>
      <c r="E193" s="59"/>
      <c r="F193" s="59"/>
      <c r="G193" s="59"/>
    </row>
    <row r="194" spans="1:7" ht="15.75" customHeight="1" x14ac:dyDescent="0.15">
      <c r="A194" s="59"/>
      <c r="B194" s="60"/>
      <c r="C194" s="61"/>
      <c r="D194" s="59"/>
      <c r="E194" s="59"/>
      <c r="F194" s="59"/>
      <c r="G194" s="59"/>
    </row>
    <row r="195" spans="1:7" ht="15.75" customHeight="1" x14ac:dyDescent="0.15">
      <c r="A195" s="59"/>
      <c r="B195" s="60"/>
      <c r="C195" s="61"/>
      <c r="D195" s="59"/>
      <c r="E195" s="59"/>
      <c r="F195" s="59"/>
      <c r="G195" s="59"/>
    </row>
    <row r="196" spans="1:7" ht="15.75" customHeight="1" x14ac:dyDescent="0.15">
      <c r="A196" s="59"/>
      <c r="B196" s="60"/>
      <c r="C196" s="61"/>
      <c r="D196" s="59"/>
      <c r="E196" s="59"/>
      <c r="F196" s="59"/>
      <c r="G196" s="59"/>
    </row>
    <row r="197" spans="1:7" ht="15.75" customHeight="1" x14ac:dyDescent="0.15">
      <c r="A197" s="59"/>
      <c r="B197" s="60"/>
      <c r="C197" s="61"/>
      <c r="D197" s="59"/>
      <c r="E197" s="59"/>
      <c r="F197" s="59"/>
      <c r="G197" s="59"/>
    </row>
    <row r="198" spans="1:7" ht="15.75" customHeight="1" x14ac:dyDescent="0.15">
      <c r="A198" s="59"/>
      <c r="B198" s="60"/>
      <c r="C198" s="61"/>
      <c r="D198" s="59"/>
      <c r="E198" s="59"/>
      <c r="F198" s="59"/>
      <c r="G198" s="59"/>
    </row>
    <row r="199" spans="1:7" ht="15.75" customHeight="1" x14ac:dyDescent="0.15">
      <c r="A199" s="59"/>
      <c r="B199" s="60"/>
      <c r="C199" s="61"/>
      <c r="D199" s="59"/>
      <c r="E199" s="59"/>
      <c r="F199" s="59"/>
      <c r="G199" s="59"/>
    </row>
    <row r="200" spans="1:7" ht="15.75" customHeight="1" x14ac:dyDescent="0.15">
      <c r="A200" s="59"/>
      <c r="B200" s="60"/>
      <c r="C200" s="61"/>
      <c r="D200" s="59"/>
      <c r="E200" s="59"/>
      <c r="F200" s="59"/>
      <c r="G200" s="59"/>
    </row>
    <row r="201" spans="1:7" ht="15.75" customHeight="1" x14ac:dyDescent="0.15">
      <c r="A201" s="59"/>
      <c r="B201" s="60"/>
      <c r="C201" s="61"/>
      <c r="D201" s="59"/>
      <c r="E201" s="59"/>
      <c r="F201" s="59"/>
      <c r="G201" s="59"/>
    </row>
    <row r="202" spans="1:7" ht="15.75" customHeight="1" x14ac:dyDescent="0.15">
      <c r="A202" s="59"/>
      <c r="B202" s="60"/>
      <c r="C202" s="61"/>
      <c r="D202" s="59"/>
      <c r="E202" s="59"/>
      <c r="F202" s="59"/>
      <c r="G202" s="59"/>
    </row>
    <row r="203" spans="1:7" ht="15.75" customHeight="1" x14ac:dyDescent="0.15">
      <c r="A203" s="59"/>
      <c r="B203" s="60"/>
      <c r="C203" s="61"/>
      <c r="D203" s="59"/>
      <c r="E203" s="59"/>
      <c r="F203" s="59"/>
      <c r="G203" s="59"/>
    </row>
    <row r="204" spans="1:7" ht="15.75" customHeight="1" x14ac:dyDescent="0.15">
      <c r="A204" s="59"/>
      <c r="B204" s="60"/>
      <c r="C204" s="61"/>
      <c r="D204" s="59"/>
      <c r="E204" s="59"/>
      <c r="F204" s="59"/>
      <c r="G204" s="59"/>
    </row>
    <row r="205" spans="1:7" ht="15.75" customHeight="1" x14ac:dyDescent="0.15">
      <c r="A205" s="59"/>
      <c r="B205" s="60"/>
      <c r="C205" s="61"/>
      <c r="D205" s="59"/>
      <c r="E205" s="59"/>
      <c r="F205" s="59"/>
      <c r="G205" s="59"/>
    </row>
    <row r="206" spans="1:7" ht="15.75" customHeight="1" x14ac:dyDescent="0.15">
      <c r="A206" s="59"/>
      <c r="B206" s="60"/>
      <c r="C206" s="61"/>
      <c r="D206" s="59"/>
      <c r="E206" s="59"/>
      <c r="F206" s="59"/>
      <c r="G206" s="59"/>
    </row>
    <row r="207" spans="1:7" ht="15.75" customHeight="1" x14ac:dyDescent="0.15">
      <c r="A207" s="59"/>
      <c r="B207" s="60"/>
      <c r="C207" s="61"/>
      <c r="D207" s="59"/>
      <c r="E207" s="59"/>
      <c r="F207" s="59"/>
      <c r="G207" s="59"/>
    </row>
    <row r="208" spans="1:7" ht="15.75" customHeight="1" x14ac:dyDescent="0.15">
      <c r="A208" s="59"/>
      <c r="B208" s="60"/>
      <c r="C208" s="61"/>
      <c r="D208" s="59"/>
      <c r="E208" s="59"/>
      <c r="F208" s="59"/>
      <c r="G208" s="59"/>
    </row>
    <row r="209" spans="1:7" ht="15.75" customHeight="1" x14ac:dyDescent="0.15">
      <c r="A209" s="59"/>
      <c r="B209" s="60"/>
      <c r="C209" s="61"/>
      <c r="D209" s="59"/>
      <c r="E209" s="59"/>
      <c r="F209" s="59"/>
      <c r="G209" s="59"/>
    </row>
    <row r="210" spans="1:7" ht="15.75" customHeight="1" x14ac:dyDescent="0.15">
      <c r="A210" s="59"/>
      <c r="B210" s="60"/>
      <c r="C210" s="61"/>
      <c r="D210" s="59"/>
      <c r="E210" s="59"/>
      <c r="F210" s="59"/>
      <c r="G210" s="59"/>
    </row>
    <row r="211" spans="1:7" ht="15.75" customHeight="1" x14ac:dyDescent="0.15">
      <c r="A211" s="59"/>
      <c r="B211" s="60"/>
      <c r="C211" s="61"/>
      <c r="D211" s="59"/>
      <c r="E211" s="59"/>
      <c r="F211" s="59"/>
      <c r="G211" s="59"/>
    </row>
    <row r="212" spans="1:7" ht="15.75" customHeight="1" x14ac:dyDescent="0.15">
      <c r="A212" s="59"/>
      <c r="B212" s="60"/>
      <c r="C212" s="61"/>
      <c r="D212" s="59"/>
      <c r="E212" s="59"/>
      <c r="F212" s="59"/>
      <c r="G212" s="59"/>
    </row>
    <row r="213" spans="1:7" ht="15.75" customHeight="1" x14ac:dyDescent="0.15">
      <c r="A213" s="59"/>
      <c r="B213" s="60"/>
      <c r="C213" s="61"/>
      <c r="D213" s="59"/>
      <c r="E213" s="59"/>
      <c r="F213" s="59"/>
      <c r="G213" s="59"/>
    </row>
    <row r="214" spans="1:7" ht="15.75" customHeight="1" x14ac:dyDescent="0.15">
      <c r="A214" s="59"/>
      <c r="B214" s="60"/>
      <c r="C214" s="61"/>
      <c r="D214" s="59"/>
      <c r="E214" s="59"/>
      <c r="F214" s="59"/>
      <c r="G214" s="59"/>
    </row>
    <row r="215" spans="1:7" ht="15.75" customHeight="1" x14ac:dyDescent="0.15">
      <c r="A215" s="59"/>
      <c r="B215" s="60"/>
      <c r="C215" s="61"/>
      <c r="D215" s="59"/>
      <c r="E215" s="59"/>
      <c r="F215" s="59"/>
      <c r="G215" s="59"/>
    </row>
    <row r="216" spans="1:7" ht="15.75" customHeight="1" x14ac:dyDescent="0.15">
      <c r="A216" s="59"/>
      <c r="B216" s="60"/>
      <c r="C216" s="61"/>
      <c r="D216" s="59"/>
      <c r="E216" s="59"/>
      <c r="F216" s="59"/>
      <c r="G216" s="59"/>
    </row>
    <row r="217" spans="1:7" ht="15.75" customHeight="1" x14ac:dyDescent="0.15">
      <c r="A217" s="59"/>
      <c r="B217" s="60"/>
      <c r="C217" s="61"/>
      <c r="D217" s="59"/>
      <c r="E217" s="59"/>
      <c r="F217" s="59"/>
      <c r="G217" s="59"/>
    </row>
    <row r="218" spans="1:7" ht="15.75" customHeight="1" x14ac:dyDescent="0.15">
      <c r="A218" s="59"/>
      <c r="B218" s="60"/>
      <c r="C218" s="61"/>
      <c r="D218" s="59"/>
      <c r="E218" s="59"/>
      <c r="F218" s="59"/>
      <c r="G218" s="59"/>
    </row>
    <row r="219" spans="1:7" ht="15.75" customHeight="1" x14ac:dyDescent="0.15">
      <c r="A219" s="59"/>
      <c r="B219" s="60"/>
      <c r="C219" s="61"/>
      <c r="D219" s="59"/>
      <c r="E219" s="59"/>
      <c r="F219" s="59"/>
      <c r="G219" s="59"/>
    </row>
    <row r="220" spans="1:7" ht="15.75" customHeight="1" x14ac:dyDescent="0.15">
      <c r="A220" s="59"/>
      <c r="B220" s="60"/>
      <c r="C220" s="61"/>
      <c r="D220" s="59"/>
      <c r="E220" s="59"/>
      <c r="F220" s="59"/>
      <c r="G220" s="59"/>
    </row>
    <row r="221" spans="1:7" ht="15.75" customHeight="1" x14ac:dyDescent="0.15">
      <c r="A221" s="59"/>
      <c r="B221" s="60"/>
      <c r="C221" s="61"/>
      <c r="D221" s="59"/>
      <c r="E221" s="59"/>
      <c r="F221" s="59"/>
      <c r="G221" s="59"/>
    </row>
    <row r="222" spans="1:7" ht="15.75" customHeight="1" x14ac:dyDescent="0.15">
      <c r="A222" s="59"/>
      <c r="B222" s="60"/>
      <c r="C222" s="61"/>
      <c r="D222" s="59"/>
      <c r="E222" s="59"/>
      <c r="F222" s="59"/>
      <c r="G222" s="59"/>
    </row>
    <row r="223" spans="1:7" ht="15.75" customHeight="1" x14ac:dyDescent="0.15">
      <c r="A223" s="59"/>
      <c r="B223" s="60"/>
      <c r="C223" s="61"/>
      <c r="D223" s="59"/>
      <c r="E223" s="59"/>
      <c r="F223" s="59"/>
      <c r="G223" s="59"/>
    </row>
    <row r="224" spans="1:7" ht="15.75" customHeight="1" x14ac:dyDescent="0.15">
      <c r="A224" s="59"/>
      <c r="B224" s="60"/>
      <c r="C224" s="61"/>
      <c r="D224" s="59"/>
      <c r="E224" s="59"/>
      <c r="F224" s="59"/>
      <c r="G224" s="59"/>
    </row>
    <row r="225" spans="1:7" ht="15.75" customHeight="1" x14ac:dyDescent="0.15">
      <c r="A225" s="59"/>
      <c r="B225" s="60"/>
      <c r="C225" s="61"/>
      <c r="D225" s="59"/>
      <c r="E225" s="59"/>
      <c r="F225" s="59"/>
      <c r="G225" s="59"/>
    </row>
    <row r="226" spans="1:7" ht="15.75" customHeight="1" x14ac:dyDescent="0.15">
      <c r="A226" s="59"/>
      <c r="B226" s="60"/>
      <c r="C226" s="61"/>
      <c r="D226" s="59"/>
      <c r="E226" s="59"/>
      <c r="F226" s="59"/>
      <c r="G226" s="59"/>
    </row>
    <row r="227" spans="1:7" ht="15.75" customHeight="1" x14ac:dyDescent="0.15">
      <c r="A227" s="59"/>
      <c r="B227" s="60"/>
      <c r="C227" s="61"/>
      <c r="D227" s="59"/>
      <c r="E227" s="59"/>
      <c r="F227" s="59"/>
      <c r="G227" s="59"/>
    </row>
    <row r="228" spans="1:7" ht="15.75" customHeight="1" x14ac:dyDescent="0.15">
      <c r="A228" s="59"/>
      <c r="B228" s="60"/>
      <c r="C228" s="61"/>
      <c r="D228" s="59"/>
      <c r="E228" s="59"/>
      <c r="F228" s="59"/>
      <c r="G228" s="59"/>
    </row>
    <row r="229" spans="1:7" ht="15.75" customHeight="1" x14ac:dyDescent="0.15">
      <c r="A229" s="59"/>
      <c r="B229" s="60"/>
      <c r="C229" s="61"/>
      <c r="D229" s="59"/>
      <c r="E229" s="59"/>
      <c r="F229" s="59"/>
      <c r="G229" s="59"/>
    </row>
    <row r="230" spans="1:7" ht="15.75" customHeight="1" x14ac:dyDescent="0.15">
      <c r="A230" s="59"/>
      <c r="B230" s="60"/>
      <c r="C230" s="61"/>
      <c r="D230" s="59"/>
      <c r="E230" s="59"/>
      <c r="F230" s="59"/>
      <c r="G230" s="59"/>
    </row>
    <row r="231" spans="1:7" ht="15.75" customHeight="1" x14ac:dyDescent="0.15">
      <c r="A231" s="59"/>
      <c r="B231" s="60"/>
      <c r="C231" s="61"/>
      <c r="D231" s="59"/>
      <c r="E231" s="59"/>
      <c r="F231" s="59"/>
      <c r="G231" s="59"/>
    </row>
    <row r="232" spans="1:7" ht="15.75" customHeight="1" x14ac:dyDescent="0.15">
      <c r="A232" s="59"/>
      <c r="B232" s="60"/>
      <c r="C232" s="61"/>
      <c r="D232" s="59"/>
      <c r="E232" s="59"/>
      <c r="F232" s="59"/>
      <c r="G232" s="59"/>
    </row>
    <row r="233" spans="1:7" ht="15.75" customHeight="1" x14ac:dyDescent="0.15">
      <c r="A233" s="59"/>
      <c r="B233" s="60"/>
      <c r="C233" s="61"/>
      <c r="D233" s="59"/>
      <c r="E233" s="59"/>
      <c r="F233" s="59"/>
      <c r="G233" s="59"/>
    </row>
    <row r="234" spans="1:7" ht="15.75" customHeight="1" x14ac:dyDescent="0.15">
      <c r="A234" s="59"/>
      <c r="B234" s="60"/>
      <c r="C234" s="61"/>
      <c r="D234" s="59"/>
      <c r="E234" s="59"/>
      <c r="F234" s="59"/>
      <c r="G234" s="59"/>
    </row>
    <row r="235" spans="1:7" ht="15.75" customHeight="1" x14ac:dyDescent="0.15">
      <c r="A235" s="59"/>
      <c r="B235" s="60"/>
      <c r="C235" s="61"/>
      <c r="D235" s="59"/>
      <c r="E235" s="59"/>
      <c r="F235" s="59"/>
      <c r="G235" s="59"/>
    </row>
    <row r="236" spans="1:7" ht="15.75" customHeight="1" x14ac:dyDescent="0.15">
      <c r="A236" s="59"/>
      <c r="B236" s="60"/>
      <c r="C236" s="61"/>
      <c r="D236" s="59"/>
      <c r="E236" s="59"/>
      <c r="F236" s="59"/>
      <c r="G236" s="59"/>
    </row>
    <row r="237" spans="1:7" ht="15.75" customHeight="1" x14ac:dyDescent="0.15">
      <c r="A237" s="59"/>
      <c r="B237" s="60"/>
      <c r="C237" s="61"/>
      <c r="D237" s="59"/>
      <c r="E237" s="59"/>
      <c r="F237" s="59"/>
      <c r="G237" s="59"/>
    </row>
    <row r="238" spans="1:7" ht="15.75" customHeight="1" x14ac:dyDescent="0.15">
      <c r="A238" s="59"/>
      <c r="B238" s="60"/>
      <c r="C238" s="61"/>
      <c r="D238" s="59"/>
      <c r="E238" s="59"/>
      <c r="F238" s="59"/>
      <c r="G238" s="59"/>
    </row>
    <row r="239" spans="1:7" ht="15.75" customHeight="1" x14ac:dyDescent="0.15">
      <c r="A239" s="59"/>
      <c r="B239" s="60"/>
      <c r="C239" s="61"/>
      <c r="D239" s="59"/>
      <c r="E239" s="59"/>
      <c r="F239" s="59"/>
      <c r="G239" s="59"/>
    </row>
    <row r="240" spans="1:7" ht="15.75" customHeight="1" x14ac:dyDescent="0.15">
      <c r="A240" s="59"/>
      <c r="B240" s="60"/>
      <c r="C240" s="61"/>
      <c r="D240" s="59"/>
      <c r="E240" s="59"/>
      <c r="F240" s="59"/>
      <c r="G240" s="59"/>
    </row>
    <row r="241" spans="1:7" ht="15.75" customHeight="1" x14ac:dyDescent="0.15">
      <c r="A241" s="59"/>
      <c r="B241" s="60"/>
      <c r="C241" s="61"/>
      <c r="D241" s="59"/>
      <c r="E241" s="59"/>
      <c r="F241" s="59"/>
      <c r="G241" s="59"/>
    </row>
    <row r="242" spans="1:7" ht="15.75" customHeight="1" x14ac:dyDescent="0.15">
      <c r="A242" s="59"/>
      <c r="B242" s="60"/>
      <c r="C242" s="61"/>
      <c r="D242" s="59"/>
      <c r="E242" s="59"/>
      <c r="F242" s="59"/>
      <c r="G242" s="59"/>
    </row>
    <row r="243" spans="1:7" ht="15.75" customHeight="1" x14ac:dyDescent="0.15">
      <c r="A243" s="59"/>
      <c r="B243" s="60"/>
      <c r="C243" s="61"/>
      <c r="D243" s="59"/>
      <c r="E243" s="59"/>
      <c r="F243" s="59"/>
      <c r="G243" s="59"/>
    </row>
    <row r="244" spans="1:7" ht="15.75" customHeight="1" x14ac:dyDescent="0.15">
      <c r="A244" s="59"/>
      <c r="B244" s="60"/>
      <c r="C244" s="61"/>
      <c r="D244" s="59"/>
      <c r="E244" s="59"/>
      <c r="F244" s="59"/>
      <c r="G244" s="59"/>
    </row>
    <row r="245" spans="1:7" ht="15.75" customHeight="1" x14ac:dyDescent="0.15">
      <c r="A245" s="59"/>
      <c r="B245" s="60"/>
      <c r="C245" s="61"/>
      <c r="D245" s="59"/>
      <c r="E245" s="59"/>
      <c r="F245" s="59"/>
      <c r="G245" s="59"/>
    </row>
    <row r="246" spans="1:7" ht="15.75" customHeight="1" x14ac:dyDescent="0.15">
      <c r="A246" s="59"/>
      <c r="B246" s="60"/>
      <c r="C246" s="61"/>
      <c r="D246" s="59"/>
      <c r="E246" s="59"/>
      <c r="F246" s="59"/>
      <c r="G246" s="59"/>
    </row>
    <row r="247" spans="1:7" ht="15.75" customHeight="1" x14ac:dyDescent="0.15">
      <c r="A247" s="59"/>
      <c r="B247" s="60"/>
      <c r="C247" s="61"/>
      <c r="D247" s="59"/>
      <c r="E247" s="59"/>
      <c r="F247" s="59"/>
      <c r="G247" s="59"/>
    </row>
    <row r="248" spans="1:7" ht="15.75" customHeight="1" x14ac:dyDescent="0.15">
      <c r="A248" s="59"/>
      <c r="B248" s="60"/>
      <c r="C248" s="61"/>
      <c r="D248" s="59"/>
      <c r="E248" s="59"/>
      <c r="F248" s="59"/>
      <c r="G248" s="59"/>
    </row>
    <row r="249" spans="1:7" ht="15.75" customHeight="1" x14ac:dyDescent="0.15">
      <c r="A249" s="59"/>
      <c r="B249" s="60"/>
      <c r="C249" s="61"/>
      <c r="D249" s="59"/>
      <c r="E249" s="59"/>
      <c r="F249" s="59"/>
      <c r="G249" s="59"/>
    </row>
    <row r="250" spans="1:7" ht="15.75" customHeight="1" x14ac:dyDescent="0.15">
      <c r="A250" s="59"/>
      <c r="B250" s="60"/>
      <c r="C250" s="61"/>
      <c r="D250" s="59"/>
      <c r="E250" s="59"/>
      <c r="F250" s="59"/>
      <c r="G250" s="59"/>
    </row>
    <row r="251" spans="1:7" ht="15.75" customHeight="1" x14ac:dyDescent="0.15">
      <c r="A251" s="59"/>
      <c r="B251" s="60"/>
      <c r="C251" s="61"/>
      <c r="D251" s="59"/>
      <c r="E251" s="59"/>
      <c r="F251" s="59"/>
      <c r="G251" s="59"/>
    </row>
    <row r="252" spans="1:7" ht="15.75" customHeight="1" x14ac:dyDescent="0.15">
      <c r="A252" s="59"/>
      <c r="B252" s="60"/>
      <c r="C252" s="61"/>
      <c r="D252" s="59"/>
      <c r="E252" s="59"/>
      <c r="F252" s="59"/>
      <c r="G252" s="59"/>
    </row>
    <row r="253" spans="1:7" ht="15.75" customHeight="1" x14ac:dyDescent="0.15">
      <c r="A253" s="59"/>
      <c r="B253" s="60"/>
      <c r="C253" s="61"/>
      <c r="D253" s="59"/>
      <c r="E253" s="59"/>
      <c r="F253" s="59"/>
      <c r="G253" s="59"/>
    </row>
    <row r="254" spans="1:7" ht="15.75" customHeight="1" x14ac:dyDescent="0.15">
      <c r="A254" s="59"/>
      <c r="B254" s="60"/>
      <c r="C254" s="61"/>
      <c r="D254" s="59"/>
      <c r="E254" s="59"/>
      <c r="F254" s="59"/>
      <c r="G254" s="59"/>
    </row>
    <row r="255" spans="1:7" ht="15.75" customHeight="1" x14ac:dyDescent="0.15">
      <c r="A255" s="59"/>
      <c r="B255" s="60"/>
      <c r="C255" s="61"/>
      <c r="D255" s="59"/>
      <c r="E255" s="59"/>
      <c r="F255" s="59"/>
      <c r="G255" s="59"/>
    </row>
    <row r="256" spans="1:7" ht="15.75" customHeight="1" x14ac:dyDescent="0.15">
      <c r="A256" s="59"/>
      <c r="B256" s="60"/>
      <c r="C256" s="61"/>
      <c r="D256" s="59"/>
      <c r="E256" s="59"/>
      <c r="F256" s="59"/>
      <c r="G256" s="59"/>
    </row>
    <row r="257" spans="1:7" ht="15.75" customHeight="1" x14ac:dyDescent="0.15">
      <c r="A257" s="59"/>
      <c r="B257" s="60"/>
      <c r="C257" s="61"/>
      <c r="D257" s="59"/>
      <c r="E257" s="59"/>
      <c r="F257" s="59"/>
      <c r="G257" s="59"/>
    </row>
    <row r="258" spans="1:7" ht="15.75" customHeight="1" x14ac:dyDescent="0.15">
      <c r="A258" s="59"/>
      <c r="B258" s="60"/>
      <c r="C258" s="61"/>
      <c r="D258" s="59"/>
      <c r="E258" s="59"/>
      <c r="F258" s="59"/>
      <c r="G258" s="59"/>
    </row>
    <row r="259" spans="1:7" ht="15.75" customHeight="1" x14ac:dyDescent="0.15">
      <c r="A259" s="59"/>
      <c r="B259" s="60"/>
      <c r="C259" s="61"/>
      <c r="D259" s="59"/>
      <c r="E259" s="59"/>
      <c r="F259" s="59"/>
      <c r="G259" s="59"/>
    </row>
    <row r="260" spans="1:7" ht="15.75" customHeight="1" x14ac:dyDescent="0.15">
      <c r="A260" s="59"/>
      <c r="B260" s="60"/>
      <c r="C260" s="61"/>
      <c r="D260" s="59"/>
      <c r="E260" s="59"/>
      <c r="F260" s="59"/>
      <c r="G260" s="59"/>
    </row>
    <row r="261" spans="1:7" ht="15.75" customHeight="1" x14ac:dyDescent="0.15">
      <c r="A261" s="59"/>
      <c r="B261" s="60"/>
      <c r="C261" s="61"/>
      <c r="D261" s="59"/>
      <c r="E261" s="59"/>
      <c r="F261" s="59"/>
      <c r="G261" s="59"/>
    </row>
    <row r="262" spans="1:7" ht="15.75" customHeight="1" x14ac:dyDescent="0.15">
      <c r="A262" s="59"/>
      <c r="B262" s="60"/>
      <c r="C262" s="61"/>
      <c r="D262" s="59"/>
      <c r="E262" s="59"/>
      <c r="F262" s="59"/>
      <c r="G262" s="59"/>
    </row>
    <row r="263" spans="1:7" ht="15.75" customHeight="1" x14ac:dyDescent="0.15">
      <c r="A263" s="59"/>
      <c r="B263" s="60"/>
      <c r="C263" s="61"/>
      <c r="D263" s="59"/>
      <c r="E263" s="59"/>
      <c r="F263" s="59"/>
      <c r="G263" s="59"/>
    </row>
    <row r="264" spans="1:7" ht="15.75" customHeight="1" x14ac:dyDescent="0.15">
      <c r="A264" s="59"/>
      <c r="B264" s="60"/>
      <c r="C264" s="61"/>
      <c r="D264" s="59"/>
      <c r="E264" s="59"/>
      <c r="F264" s="59"/>
      <c r="G264" s="59"/>
    </row>
    <row r="265" spans="1:7" ht="15.75" customHeight="1" x14ac:dyDescent="0.15">
      <c r="A265" s="59"/>
      <c r="B265" s="60"/>
      <c r="C265" s="61"/>
      <c r="D265" s="59"/>
      <c r="E265" s="59"/>
      <c r="F265" s="59"/>
      <c r="G265" s="59"/>
    </row>
    <row r="266" spans="1:7" ht="15.75" customHeight="1" x14ac:dyDescent="0.15">
      <c r="A266" s="59"/>
      <c r="B266" s="60"/>
      <c r="C266" s="61"/>
      <c r="D266" s="59"/>
      <c r="E266" s="59"/>
      <c r="F266" s="59"/>
      <c r="G266" s="59"/>
    </row>
    <row r="267" spans="1:7" ht="15.75" customHeight="1" x14ac:dyDescent="0.15">
      <c r="A267" s="59"/>
      <c r="B267" s="60"/>
      <c r="C267" s="61"/>
      <c r="D267" s="59"/>
      <c r="E267" s="59"/>
      <c r="F267" s="59"/>
      <c r="G267" s="59"/>
    </row>
    <row r="268" spans="1:7" ht="15.75" customHeight="1" x14ac:dyDescent="0.15">
      <c r="A268" s="59"/>
      <c r="B268" s="60"/>
      <c r="C268" s="61"/>
      <c r="D268" s="59"/>
      <c r="E268" s="59"/>
      <c r="F268" s="59"/>
      <c r="G268" s="59"/>
    </row>
    <row r="269" spans="1:7" ht="15.75" customHeight="1" x14ac:dyDescent="0.15">
      <c r="A269" s="59"/>
      <c r="B269" s="60"/>
      <c r="C269" s="61"/>
      <c r="D269" s="59"/>
      <c r="E269" s="59"/>
      <c r="F269" s="59"/>
      <c r="G269" s="59"/>
    </row>
    <row r="270" spans="1:7" ht="15.75" customHeight="1" x14ac:dyDescent="0.15">
      <c r="A270" s="59"/>
      <c r="B270" s="60"/>
      <c r="C270" s="61"/>
      <c r="D270" s="59"/>
      <c r="E270" s="59"/>
      <c r="F270" s="59"/>
      <c r="G270" s="59"/>
    </row>
    <row r="271" spans="1:7" ht="15.75" customHeight="1" x14ac:dyDescent="0.15">
      <c r="A271" s="59"/>
      <c r="B271" s="60"/>
      <c r="C271" s="61"/>
      <c r="D271" s="59"/>
      <c r="E271" s="59"/>
      <c r="F271" s="59"/>
      <c r="G271" s="59"/>
    </row>
    <row r="272" spans="1:7" ht="15.75" customHeight="1" x14ac:dyDescent="0.15">
      <c r="A272" s="59"/>
      <c r="B272" s="60"/>
      <c r="C272" s="61"/>
      <c r="D272" s="59"/>
      <c r="E272" s="59"/>
      <c r="F272" s="59"/>
      <c r="G272" s="59"/>
    </row>
    <row r="273" spans="1:7" ht="15.75" customHeight="1" x14ac:dyDescent="0.15">
      <c r="A273" s="59"/>
      <c r="B273" s="60"/>
      <c r="C273" s="61"/>
      <c r="D273" s="59"/>
      <c r="E273" s="59"/>
      <c r="F273" s="59"/>
      <c r="G273" s="59"/>
    </row>
    <row r="274" spans="1:7" ht="15.75" customHeight="1" x14ac:dyDescent="0.15">
      <c r="A274" s="59"/>
      <c r="B274" s="60"/>
      <c r="C274" s="61"/>
      <c r="D274" s="59"/>
      <c r="E274" s="59"/>
      <c r="F274" s="59"/>
      <c r="G274" s="59"/>
    </row>
    <row r="275" spans="1:7" ht="15.75" customHeight="1" x14ac:dyDescent="0.15">
      <c r="A275" s="59"/>
      <c r="B275" s="60"/>
      <c r="C275" s="61"/>
      <c r="D275" s="59"/>
      <c r="E275" s="59"/>
      <c r="F275" s="59"/>
      <c r="G275" s="59"/>
    </row>
    <row r="276" spans="1:7" ht="15.75" customHeight="1" x14ac:dyDescent="0.15">
      <c r="A276" s="59"/>
      <c r="B276" s="60"/>
      <c r="C276" s="61"/>
      <c r="D276" s="59"/>
      <c r="E276" s="59"/>
      <c r="F276" s="59"/>
      <c r="G276" s="59"/>
    </row>
    <row r="277" spans="1:7" ht="15.75" customHeight="1" x14ac:dyDescent="0.15">
      <c r="A277" s="59"/>
      <c r="B277" s="60"/>
      <c r="C277" s="61"/>
      <c r="D277" s="59"/>
      <c r="E277" s="59"/>
      <c r="F277" s="59"/>
      <c r="G277" s="59"/>
    </row>
    <row r="278" spans="1:7" ht="15.75" customHeight="1" x14ac:dyDescent="0.15">
      <c r="A278" s="59"/>
      <c r="B278" s="60"/>
      <c r="C278" s="61"/>
      <c r="D278" s="59"/>
      <c r="E278" s="59"/>
      <c r="F278" s="59"/>
      <c r="G278" s="59"/>
    </row>
    <row r="279" spans="1:7" ht="15.75" customHeight="1" x14ac:dyDescent="0.15">
      <c r="A279" s="59"/>
      <c r="B279" s="60"/>
      <c r="C279" s="61"/>
      <c r="D279" s="59"/>
      <c r="E279" s="59"/>
      <c r="F279" s="59"/>
      <c r="G279" s="59"/>
    </row>
    <row r="280" spans="1:7" ht="15.75" customHeight="1" x14ac:dyDescent="0.15">
      <c r="A280" s="59"/>
      <c r="B280" s="60"/>
      <c r="C280" s="61"/>
      <c r="D280" s="59"/>
      <c r="E280" s="59"/>
      <c r="F280" s="59"/>
      <c r="G280" s="59"/>
    </row>
    <row r="281" spans="1:7" ht="15.75" customHeight="1" x14ac:dyDescent="0.15">
      <c r="A281" s="59"/>
      <c r="B281" s="60"/>
      <c r="C281" s="61"/>
      <c r="D281" s="59"/>
      <c r="E281" s="59"/>
      <c r="F281" s="59"/>
      <c r="G281" s="59"/>
    </row>
    <row r="282" spans="1:7" ht="15.75" customHeight="1" x14ac:dyDescent="0.15">
      <c r="A282" s="59"/>
      <c r="B282" s="60"/>
      <c r="C282" s="61"/>
      <c r="D282" s="59"/>
      <c r="E282" s="59"/>
      <c r="F282" s="59"/>
      <c r="G282" s="59"/>
    </row>
    <row r="283" spans="1:7" ht="15.75" customHeight="1" x14ac:dyDescent="0.15">
      <c r="A283" s="59"/>
      <c r="B283" s="60"/>
      <c r="C283" s="61"/>
      <c r="D283" s="59"/>
      <c r="E283" s="59"/>
      <c r="F283" s="59"/>
      <c r="G283" s="59"/>
    </row>
    <row r="284" spans="1:7" ht="15.75" customHeight="1" x14ac:dyDescent="0.15">
      <c r="A284" s="59"/>
      <c r="B284" s="60"/>
      <c r="C284" s="61"/>
      <c r="D284" s="59"/>
      <c r="E284" s="59"/>
      <c r="F284" s="59"/>
      <c r="G284" s="59"/>
    </row>
    <row r="285" spans="1:7" ht="15.75" customHeight="1" x14ac:dyDescent="0.15">
      <c r="A285" s="59"/>
      <c r="B285" s="60"/>
      <c r="C285" s="61"/>
      <c r="D285" s="59"/>
      <c r="E285" s="59"/>
      <c r="F285" s="59"/>
      <c r="G285" s="59"/>
    </row>
    <row r="286" spans="1:7" ht="15.75" customHeight="1" x14ac:dyDescent="0.15">
      <c r="A286" s="59"/>
      <c r="B286" s="60"/>
      <c r="C286" s="61"/>
      <c r="D286" s="59"/>
      <c r="E286" s="59"/>
      <c r="F286" s="59"/>
      <c r="G286" s="59"/>
    </row>
    <row r="287" spans="1:7" ht="15.75" customHeight="1" x14ac:dyDescent="0.15">
      <c r="A287" s="59"/>
      <c r="B287" s="60"/>
      <c r="C287" s="61"/>
      <c r="D287" s="59"/>
      <c r="E287" s="59"/>
      <c r="F287" s="59"/>
      <c r="G287" s="59"/>
    </row>
    <row r="288" spans="1:7" ht="15.75" customHeight="1" x14ac:dyDescent="0.15">
      <c r="A288" s="59"/>
      <c r="B288" s="60"/>
      <c r="C288" s="61"/>
      <c r="D288" s="59"/>
      <c r="E288" s="59"/>
      <c r="F288" s="59"/>
      <c r="G288" s="59"/>
    </row>
    <row r="289" spans="1:7" ht="15.75" customHeight="1" x14ac:dyDescent="0.15">
      <c r="A289" s="59"/>
      <c r="B289" s="60"/>
      <c r="C289" s="61"/>
      <c r="D289" s="59"/>
      <c r="E289" s="59"/>
      <c r="F289" s="59"/>
      <c r="G289" s="59"/>
    </row>
    <row r="290" spans="1:7" ht="15.75" customHeight="1" x14ac:dyDescent="0.15">
      <c r="A290" s="59"/>
      <c r="B290" s="60"/>
      <c r="C290" s="61"/>
      <c r="D290" s="59"/>
      <c r="E290" s="59"/>
      <c r="F290" s="59"/>
      <c r="G290" s="59"/>
    </row>
    <row r="291" spans="1:7" ht="15.75" customHeight="1" x14ac:dyDescent="0.15">
      <c r="A291" s="59"/>
      <c r="B291" s="60"/>
      <c r="C291" s="61"/>
      <c r="D291" s="59"/>
      <c r="E291" s="59"/>
      <c r="F291" s="59"/>
      <c r="G291" s="59"/>
    </row>
    <row r="292" spans="1:7" ht="15.75" customHeight="1" x14ac:dyDescent="0.15">
      <c r="A292" s="59"/>
      <c r="B292" s="60"/>
      <c r="C292" s="61"/>
      <c r="D292" s="59"/>
      <c r="E292" s="59"/>
      <c r="F292" s="59"/>
      <c r="G292" s="59"/>
    </row>
    <row r="293" spans="1:7" ht="15.75" customHeight="1" x14ac:dyDescent="0.15">
      <c r="A293" s="59"/>
      <c r="B293" s="60"/>
      <c r="C293" s="61"/>
      <c r="D293" s="59"/>
      <c r="E293" s="59"/>
      <c r="F293" s="59"/>
      <c r="G293" s="59"/>
    </row>
    <row r="294" spans="1:7" ht="15.75" customHeight="1" x14ac:dyDescent="0.15">
      <c r="A294" s="59"/>
      <c r="B294" s="60"/>
      <c r="C294" s="61"/>
      <c r="D294" s="59"/>
      <c r="E294" s="59"/>
      <c r="F294" s="59"/>
      <c r="G294" s="59"/>
    </row>
    <row r="295" spans="1:7" ht="15.75" customHeight="1" x14ac:dyDescent="0.15">
      <c r="A295" s="59"/>
      <c r="B295" s="60"/>
      <c r="C295" s="61"/>
      <c r="D295" s="59"/>
      <c r="E295" s="59"/>
      <c r="F295" s="59"/>
      <c r="G295" s="59"/>
    </row>
    <row r="296" spans="1:7" ht="15.75" customHeight="1" x14ac:dyDescent="0.15">
      <c r="A296" s="59"/>
      <c r="B296" s="60"/>
      <c r="C296" s="61"/>
      <c r="D296" s="59"/>
      <c r="E296" s="59"/>
      <c r="F296" s="59"/>
      <c r="G296" s="59"/>
    </row>
    <row r="297" spans="1:7" ht="15.75" customHeight="1" x14ac:dyDescent="0.15">
      <c r="A297" s="59"/>
      <c r="B297" s="60"/>
      <c r="C297" s="61"/>
      <c r="D297" s="59"/>
      <c r="E297" s="59"/>
      <c r="F297" s="59"/>
      <c r="G297" s="59"/>
    </row>
    <row r="298" spans="1:7" ht="15.75" customHeight="1" x14ac:dyDescent="0.15">
      <c r="A298" s="59"/>
      <c r="B298" s="60"/>
      <c r="C298" s="61"/>
      <c r="D298" s="59"/>
      <c r="E298" s="59"/>
      <c r="F298" s="59"/>
      <c r="G298" s="59"/>
    </row>
    <row r="299" spans="1:7" ht="15.75" customHeight="1" x14ac:dyDescent="0.15">
      <c r="A299" s="59"/>
      <c r="B299" s="60"/>
      <c r="C299" s="61"/>
      <c r="D299" s="59"/>
      <c r="E299" s="59"/>
      <c r="F299" s="59"/>
      <c r="G299" s="59"/>
    </row>
    <row r="300" spans="1:7" ht="15.75" customHeight="1" x14ac:dyDescent="0.15">
      <c r="A300" s="59"/>
      <c r="B300" s="60"/>
      <c r="C300" s="61"/>
      <c r="D300" s="59"/>
      <c r="E300" s="59"/>
      <c r="F300" s="59"/>
      <c r="G300" s="59"/>
    </row>
    <row r="301" spans="1:7" ht="15.75" customHeight="1" x14ac:dyDescent="0.15">
      <c r="A301" s="59"/>
      <c r="B301" s="60"/>
      <c r="C301" s="61"/>
      <c r="D301" s="59"/>
      <c r="E301" s="59"/>
      <c r="F301" s="59"/>
      <c r="G301" s="59"/>
    </row>
    <row r="302" spans="1:7" ht="15.75" customHeight="1" x14ac:dyDescent="0.15">
      <c r="A302" s="59"/>
      <c r="B302" s="60"/>
      <c r="C302" s="61"/>
      <c r="D302" s="59"/>
      <c r="E302" s="59"/>
      <c r="F302" s="59"/>
      <c r="G302" s="59"/>
    </row>
    <row r="303" spans="1:7" ht="15.75" customHeight="1" x14ac:dyDescent="0.15">
      <c r="A303" s="59"/>
      <c r="B303" s="60"/>
      <c r="C303" s="61"/>
      <c r="D303" s="59"/>
      <c r="E303" s="59"/>
      <c r="F303" s="59"/>
      <c r="G303" s="59"/>
    </row>
    <row r="304" spans="1:7" ht="15.75" customHeight="1" x14ac:dyDescent="0.15">
      <c r="A304" s="59"/>
      <c r="B304" s="60"/>
      <c r="C304" s="61"/>
      <c r="D304" s="59"/>
      <c r="E304" s="59"/>
      <c r="F304" s="59"/>
      <c r="G304" s="59"/>
    </row>
    <row r="305" spans="1:7" ht="15.75" customHeight="1" x14ac:dyDescent="0.15">
      <c r="A305" s="59"/>
      <c r="B305" s="60"/>
      <c r="C305" s="61"/>
      <c r="D305" s="59"/>
      <c r="E305" s="59"/>
      <c r="F305" s="59"/>
      <c r="G305" s="59"/>
    </row>
    <row r="306" spans="1:7" ht="15.75" customHeight="1" x14ac:dyDescent="0.15">
      <c r="A306" s="59"/>
      <c r="B306" s="60"/>
      <c r="C306" s="61"/>
      <c r="D306" s="59"/>
      <c r="E306" s="59"/>
      <c r="F306" s="59"/>
      <c r="G306" s="59"/>
    </row>
    <row r="307" spans="1:7" ht="15.75" customHeight="1" x14ac:dyDescent="0.15">
      <c r="A307" s="59"/>
      <c r="B307" s="60"/>
      <c r="C307" s="61"/>
      <c r="D307" s="59"/>
      <c r="E307" s="59"/>
      <c r="F307" s="59"/>
      <c r="G307" s="59"/>
    </row>
    <row r="308" spans="1:7" ht="15.75" customHeight="1" x14ac:dyDescent="0.15">
      <c r="A308" s="59"/>
      <c r="B308" s="60"/>
      <c r="C308" s="61"/>
      <c r="D308" s="59"/>
      <c r="E308" s="59"/>
      <c r="F308" s="59"/>
      <c r="G308" s="59"/>
    </row>
    <row r="309" spans="1:7" ht="15.75" customHeight="1" x14ac:dyDescent="0.15">
      <c r="A309" s="59"/>
      <c r="B309" s="60"/>
      <c r="C309" s="61"/>
      <c r="D309" s="59"/>
      <c r="E309" s="59"/>
      <c r="F309" s="59"/>
      <c r="G309" s="59"/>
    </row>
    <row r="310" spans="1:7" ht="15.75" customHeight="1" x14ac:dyDescent="0.15">
      <c r="A310" s="59"/>
      <c r="B310" s="60"/>
      <c r="C310" s="61"/>
      <c r="D310" s="59"/>
      <c r="E310" s="59"/>
      <c r="F310" s="59"/>
      <c r="G310" s="59"/>
    </row>
    <row r="311" spans="1:7" ht="15.75" customHeight="1" x14ac:dyDescent="0.15">
      <c r="A311" s="59"/>
      <c r="B311" s="60"/>
      <c r="C311" s="61"/>
      <c r="D311" s="59"/>
      <c r="E311" s="59"/>
      <c r="F311" s="59"/>
      <c r="G311" s="59"/>
    </row>
    <row r="312" spans="1:7" ht="15.75" customHeight="1" x14ac:dyDescent="0.15">
      <c r="A312" s="59"/>
      <c r="B312" s="60"/>
      <c r="C312" s="61"/>
      <c r="D312" s="59"/>
      <c r="E312" s="59"/>
      <c r="F312" s="59"/>
      <c r="G312" s="59"/>
    </row>
    <row r="313" spans="1:7" ht="15.75" customHeight="1" x14ac:dyDescent="0.15">
      <c r="A313" s="59"/>
      <c r="B313" s="60"/>
      <c r="C313" s="61"/>
      <c r="D313" s="59"/>
      <c r="E313" s="59"/>
      <c r="F313" s="59"/>
      <c r="G313" s="59"/>
    </row>
    <row r="314" spans="1:7" ht="15.75" customHeight="1" x14ac:dyDescent="0.15">
      <c r="A314" s="59"/>
      <c r="B314" s="60"/>
      <c r="C314" s="61"/>
      <c r="D314" s="59"/>
      <c r="E314" s="59"/>
      <c r="F314" s="59"/>
      <c r="G314" s="59"/>
    </row>
    <row r="315" spans="1:7" ht="15.75" customHeight="1" x14ac:dyDescent="0.15">
      <c r="A315" s="59"/>
      <c r="B315" s="60"/>
      <c r="C315" s="61"/>
      <c r="D315" s="59"/>
      <c r="E315" s="59"/>
      <c r="F315" s="59"/>
      <c r="G315" s="59"/>
    </row>
    <row r="316" spans="1:7" ht="15.75" customHeight="1" x14ac:dyDescent="0.15">
      <c r="A316" s="59"/>
      <c r="B316" s="60"/>
      <c r="C316" s="61"/>
      <c r="D316" s="59"/>
      <c r="E316" s="59"/>
      <c r="F316" s="59"/>
      <c r="G316" s="59"/>
    </row>
    <row r="317" spans="1:7" ht="15.75" customHeight="1" x14ac:dyDescent="0.15">
      <c r="A317" s="59"/>
      <c r="B317" s="60"/>
      <c r="C317" s="61"/>
      <c r="D317" s="59"/>
      <c r="E317" s="59"/>
      <c r="F317" s="59"/>
      <c r="G317" s="59"/>
    </row>
    <row r="318" spans="1:7" ht="15.75" customHeight="1" x14ac:dyDescent="0.15">
      <c r="A318" s="59"/>
      <c r="B318" s="60"/>
      <c r="C318" s="61"/>
      <c r="D318" s="59"/>
      <c r="E318" s="59"/>
      <c r="F318" s="59"/>
      <c r="G318" s="59"/>
    </row>
    <row r="319" spans="1:7" ht="15.75" customHeight="1" x14ac:dyDescent="0.15">
      <c r="A319" s="59"/>
      <c r="B319" s="60"/>
      <c r="C319" s="61"/>
      <c r="D319" s="59"/>
      <c r="E319" s="59"/>
      <c r="F319" s="59"/>
      <c r="G319" s="59"/>
    </row>
    <row r="320" spans="1:7" ht="15.75" customHeight="1" x14ac:dyDescent="0.15">
      <c r="A320" s="59"/>
      <c r="B320" s="60"/>
      <c r="C320" s="61"/>
      <c r="D320" s="59"/>
      <c r="E320" s="59"/>
      <c r="F320" s="59"/>
      <c r="G320" s="59"/>
    </row>
    <row r="321" spans="1:7" ht="15.75" customHeight="1" x14ac:dyDescent="0.15">
      <c r="A321" s="59"/>
      <c r="B321" s="60"/>
      <c r="C321" s="61"/>
      <c r="D321" s="59"/>
      <c r="E321" s="59"/>
      <c r="F321" s="59"/>
      <c r="G321" s="59"/>
    </row>
    <row r="322" spans="1:7" ht="15.75" customHeight="1" x14ac:dyDescent="0.15">
      <c r="A322" s="59"/>
      <c r="B322" s="60"/>
      <c r="C322" s="61"/>
      <c r="D322" s="59"/>
      <c r="E322" s="59"/>
      <c r="F322" s="59"/>
      <c r="G322" s="59"/>
    </row>
    <row r="323" spans="1:7" ht="15.75" customHeight="1" x14ac:dyDescent="0.15">
      <c r="A323" s="59"/>
      <c r="B323" s="60"/>
      <c r="C323" s="61"/>
      <c r="D323" s="59"/>
      <c r="E323" s="59"/>
      <c r="F323" s="59"/>
      <c r="G323" s="59"/>
    </row>
    <row r="324" spans="1:7" ht="15.75" customHeight="1" x14ac:dyDescent="0.15">
      <c r="A324" s="59"/>
      <c r="B324" s="60"/>
      <c r="C324" s="61"/>
      <c r="D324" s="59"/>
      <c r="E324" s="59"/>
      <c r="F324" s="59"/>
      <c r="G324" s="59"/>
    </row>
    <row r="325" spans="1:7" ht="15.75" customHeight="1" x14ac:dyDescent="0.15">
      <c r="A325" s="59"/>
      <c r="B325" s="60"/>
      <c r="C325" s="61"/>
      <c r="D325" s="59"/>
      <c r="E325" s="59"/>
      <c r="F325" s="59"/>
      <c r="G325" s="59"/>
    </row>
    <row r="326" spans="1:7" ht="15.75" customHeight="1" x14ac:dyDescent="0.15">
      <c r="A326" s="59"/>
      <c r="B326" s="60"/>
      <c r="C326" s="61"/>
      <c r="D326" s="59"/>
      <c r="E326" s="59"/>
      <c r="F326" s="59"/>
      <c r="G326" s="59"/>
    </row>
    <row r="327" spans="1:7" ht="15.75" customHeight="1" x14ac:dyDescent="0.15">
      <c r="A327" s="59"/>
      <c r="B327" s="60"/>
      <c r="C327" s="61"/>
      <c r="D327" s="59"/>
      <c r="E327" s="59"/>
      <c r="F327" s="59"/>
      <c r="G327" s="59"/>
    </row>
    <row r="328" spans="1:7" ht="15.75" customHeight="1" x14ac:dyDescent="0.15">
      <c r="A328" s="59"/>
      <c r="B328" s="60"/>
      <c r="C328" s="61"/>
      <c r="D328" s="59"/>
      <c r="E328" s="59"/>
      <c r="F328" s="59"/>
      <c r="G328" s="59"/>
    </row>
    <row r="329" spans="1:7" ht="15.75" customHeight="1" x14ac:dyDescent="0.15">
      <c r="A329" s="59"/>
      <c r="B329" s="60"/>
      <c r="C329" s="61"/>
      <c r="D329" s="59"/>
      <c r="E329" s="59"/>
      <c r="F329" s="59"/>
      <c r="G329" s="59"/>
    </row>
    <row r="330" spans="1:7" ht="15.75" customHeight="1" x14ac:dyDescent="0.15">
      <c r="A330" s="59"/>
      <c r="B330" s="60"/>
      <c r="C330" s="61"/>
      <c r="D330" s="59"/>
      <c r="E330" s="59"/>
      <c r="F330" s="59"/>
      <c r="G330" s="59"/>
    </row>
    <row r="331" spans="1:7" ht="15.75" customHeight="1" x14ac:dyDescent="0.15">
      <c r="A331" s="59"/>
      <c r="B331" s="60"/>
      <c r="C331" s="61"/>
      <c r="D331" s="59"/>
      <c r="E331" s="59"/>
      <c r="F331" s="59"/>
      <c r="G331" s="59"/>
    </row>
    <row r="332" spans="1:7" ht="15.75" customHeight="1" x14ac:dyDescent="0.15">
      <c r="A332" s="59"/>
      <c r="B332" s="60"/>
      <c r="C332" s="61"/>
      <c r="D332" s="59"/>
      <c r="E332" s="59"/>
      <c r="F332" s="59"/>
      <c r="G332" s="59"/>
    </row>
    <row r="333" spans="1:7" ht="15.75" customHeight="1" x14ac:dyDescent="0.15">
      <c r="A333" s="59"/>
      <c r="B333" s="60"/>
      <c r="C333" s="61"/>
      <c r="D333" s="59"/>
      <c r="E333" s="59"/>
      <c r="F333" s="59"/>
      <c r="G333" s="59"/>
    </row>
    <row r="334" spans="1:7" ht="15.75" customHeight="1" x14ac:dyDescent="0.15">
      <c r="A334" s="59"/>
      <c r="B334" s="60"/>
      <c r="C334" s="61"/>
      <c r="D334" s="59"/>
      <c r="E334" s="59"/>
      <c r="F334" s="59"/>
      <c r="G334" s="59"/>
    </row>
    <row r="335" spans="1:7" ht="15.75" customHeight="1" x14ac:dyDescent="0.15">
      <c r="A335" s="59"/>
      <c r="B335" s="60"/>
      <c r="C335" s="61"/>
      <c r="D335" s="59"/>
      <c r="E335" s="59"/>
      <c r="F335" s="59"/>
      <c r="G335" s="59"/>
    </row>
    <row r="336" spans="1:7" ht="15.75" customHeight="1" x14ac:dyDescent="0.15">
      <c r="A336" s="59"/>
      <c r="B336" s="60"/>
      <c r="C336" s="61"/>
      <c r="D336" s="59"/>
      <c r="E336" s="59"/>
      <c r="F336" s="59"/>
      <c r="G336" s="59"/>
    </row>
    <row r="337" spans="1:7" ht="15.75" customHeight="1" x14ac:dyDescent="0.15">
      <c r="A337" s="59"/>
      <c r="B337" s="60"/>
      <c r="C337" s="61"/>
      <c r="D337" s="59"/>
      <c r="E337" s="59"/>
      <c r="F337" s="59"/>
      <c r="G337" s="59"/>
    </row>
    <row r="338" spans="1:7" ht="15.75" customHeight="1" x14ac:dyDescent="0.15">
      <c r="A338" s="59"/>
      <c r="B338" s="60"/>
      <c r="C338" s="61"/>
      <c r="D338" s="59"/>
      <c r="E338" s="59"/>
      <c r="F338" s="59"/>
      <c r="G338" s="59"/>
    </row>
    <row r="339" spans="1:7" ht="15.75" customHeight="1" x14ac:dyDescent="0.15">
      <c r="A339" s="59"/>
      <c r="B339" s="60"/>
      <c r="C339" s="61"/>
      <c r="D339" s="59"/>
      <c r="E339" s="59"/>
      <c r="F339" s="59"/>
      <c r="G339" s="59"/>
    </row>
    <row r="340" spans="1:7" ht="15.75" customHeight="1" x14ac:dyDescent="0.15">
      <c r="A340" s="59"/>
      <c r="B340" s="60"/>
      <c r="C340" s="61"/>
      <c r="D340" s="59"/>
      <c r="E340" s="59"/>
      <c r="F340" s="59"/>
      <c r="G340" s="59"/>
    </row>
    <row r="341" spans="1:7" ht="15.75" customHeight="1" x14ac:dyDescent="0.15">
      <c r="A341" s="59"/>
      <c r="B341" s="60"/>
      <c r="C341" s="61"/>
      <c r="D341" s="59"/>
      <c r="E341" s="59"/>
      <c r="F341" s="59"/>
      <c r="G341" s="59"/>
    </row>
    <row r="342" spans="1:7" ht="15.75" customHeight="1" x14ac:dyDescent="0.15">
      <c r="A342" s="59"/>
      <c r="B342" s="60"/>
      <c r="C342" s="61"/>
      <c r="D342" s="59"/>
      <c r="E342" s="59"/>
      <c r="F342" s="59"/>
      <c r="G342" s="59"/>
    </row>
    <row r="343" spans="1:7" ht="15.75" customHeight="1" x14ac:dyDescent="0.15">
      <c r="A343" s="59"/>
      <c r="B343" s="60"/>
      <c r="C343" s="61"/>
      <c r="D343" s="59"/>
      <c r="E343" s="59"/>
      <c r="F343" s="59"/>
      <c r="G343" s="59"/>
    </row>
    <row r="344" spans="1:7" ht="15.75" customHeight="1" x14ac:dyDescent="0.15">
      <c r="A344" s="59"/>
      <c r="B344" s="60"/>
      <c r="C344" s="61"/>
      <c r="D344" s="59"/>
      <c r="E344" s="59"/>
      <c r="F344" s="59"/>
      <c r="G344" s="59"/>
    </row>
    <row r="345" spans="1:7" ht="15.75" customHeight="1" x14ac:dyDescent="0.15">
      <c r="A345" s="59"/>
      <c r="B345" s="60"/>
      <c r="C345" s="61"/>
      <c r="D345" s="59"/>
      <c r="E345" s="59"/>
      <c r="F345" s="59"/>
      <c r="G345" s="59"/>
    </row>
    <row r="346" spans="1:7" ht="15.75" customHeight="1" x14ac:dyDescent="0.15">
      <c r="A346" s="59"/>
      <c r="B346" s="60"/>
      <c r="C346" s="61"/>
      <c r="D346" s="59"/>
      <c r="E346" s="59"/>
      <c r="F346" s="59"/>
      <c r="G346" s="59"/>
    </row>
    <row r="347" spans="1:7" ht="15.75" customHeight="1" x14ac:dyDescent="0.15">
      <c r="A347" s="59"/>
      <c r="B347" s="60"/>
      <c r="C347" s="61"/>
      <c r="D347" s="59"/>
      <c r="E347" s="59"/>
      <c r="F347" s="59"/>
      <c r="G347" s="59"/>
    </row>
    <row r="348" spans="1:7" ht="15.75" customHeight="1" x14ac:dyDescent="0.15">
      <c r="A348" s="59"/>
      <c r="B348" s="60"/>
      <c r="C348" s="61"/>
      <c r="D348" s="59"/>
      <c r="E348" s="59"/>
      <c r="F348" s="59"/>
      <c r="G348" s="59"/>
    </row>
    <row r="349" spans="1:7" ht="15.75" customHeight="1" x14ac:dyDescent="0.15">
      <c r="A349" s="59"/>
      <c r="B349" s="60"/>
      <c r="C349" s="61"/>
      <c r="D349" s="59"/>
      <c r="E349" s="59"/>
      <c r="F349" s="59"/>
      <c r="G349" s="59"/>
    </row>
    <row r="350" spans="1:7" ht="15.75" customHeight="1" x14ac:dyDescent="0.15">
      <c r="A350" s="59"/>
      <c r="B350" s="60"/>
      <c r="C350" s="61"/>
      <c r="D350" s="59"/>
      <c r="E350" s="59"/>
      <c r="F350" s="59"/>
      <c r="G350" s="59"/>
    </row>
    <row r="351" spans="1:7" ht="15.75" customHeight="1" x14ac:dyDescent="0.15">
      <c r="A351" s="59"/>
      <c r="B351" s="60"/>
      <c r="C351" s="61"/>
      <c r="D351" s="59"/>
      <c r="E351" s="59"/>
      <c r="F351" s="59"/>
      <c r="G351" s="59"/>
    </row>
    <row r="352" spans="1:7" ht="15.75" customHeight="1" x14ac:dyDescent="0.15">
      <c r="A352" s="59"/>
      <c r="B352" s="60"/>
      <c r="C352" s="61"/>
      <c r="D352" s="59"/>
      <c r="E352" s="59"/>
      <c r="F352" s="59"/>
      <c r="G352" s="59"/>
    </row>
    <row r="353" spans="1:7" ht="15.75" customHeight="1" x14ac:dyDescent="0.15">
      <c r="A353" s="59"/>
      <c r="B353" s="60"/>
      <c r="C353" s="61"/>
      <c r="D353" s="59"/>
      <c r="E353" s="59"/>
      <c r="F353" s="59"/>
      <c r="G353" s="59"/>
    </row>
    <row r="354" spans="1:7" ht="15.75" customHeight="1" x14ac:dyDescent="0.15">
      <c r="A354" s="59"/>
      <c r="B354" s="60"/>
      <c r="C354" s="61"/>
      <c r="D354" s="59"/>
      <c r="E354" s="59"/>
      <c r="F354" s="59"/>
      <c r="G354" s="59"/>
    </row>
    <row r="355" spans="1:7" ht="15.75" customHeight="1" x14ac:dyDescent="0.15">
      <c r="A355" s="59"/>
      <c r="B355" s="60"/>
      <c r="C355" s="61"/>
      <c r="D355" s="59"/>
      <c r="E355" s="59"/>
      <c r="F355" s="59"/>
      <c r="G355" s="59"/>
    </row>
    <row r="356" spans="1:7" ht="15.75" customHeight="1" x14ac:dyDescent="0.15">
      <c r="A356" s="59"/>
      <c r="B356" s="60"/>
      <c r="C356" s="61"/>
      <c r="D356" s="59"/>
      <c r="E356" s="59"/>
      <c r="F356" s="59"/>
      <c r="G356" s="59"/>
    </row>
    <row r="357" spans="1:7" ht="15.75" customHeight="1" x14ac:dyDescent="0.15">
      <c r="A357" s="59"/>
      <c r="B357" s="60"/>
      <c r="C357" s="61"/>
      <c r="D357" s="59"/>
      <c r="E357" s="59"/>
      <c r="F357" s="59"/>
      <c r="G357" s="59"/>
    </row>
    <row r="358" spans="1:7" ht="15.75" customHeight="1" x14ac:dyDescent="0.15">
      <c r="A358" s="59"/>
      <c r="B358" s="60"/>
      <c r="C358" s="61"/>
      <c r="D358" s="59"/>
      <c r="E358" s="59"/>
      <c r="F358" s="59"/>
      <c r="G358" s="59"/>
    </row>
    <row r="359" spans="1:7" ht="15.75" customHeight="1" x14ac:dyDescent="0.15">
      <c r="A359" s="59"/>
      <c r="B359" s="60"/>
      <c r="C359" s="61"/>
      <c r="D359" s="59"/>
      <c r="E359" s="59"/>
      <c r="F359" s="59"/>
      <c r="G359" s="59"/>
    </row>
    <row r="360" spans="1:7" ht="15.75" customHeight="1" x14ac:dyDescent="0.15">
      <c r="A360" s="59"/>
      <c r="B360" s="60"/>
      <c r="C360" s="61"/>
      <c r="D360" s="59"/>
      <c r="E360" s="59"/>
      <c r="F360" s="59"/>
      <c r="G360" s="59"/>
    </row>
    <row r="361" spans="1:7" ht="15.75" customHeight="1" x14ac:dyDescent="0.15">
      <c r="A361" s="59"/>
      <c r="B361" s="60"/>
      <c r="C361" s="61"/>
      <c r="D361" s="59"/>
      <c r="E361" s="59"/>
      <c r="F361" s="59"/>
      <c r="G361" s="59"/>
    </row>
    <row r="362" spans="1:7" ht="15.75" customHeight="1" x14ac:dyDescent="0.15">
      <c r="A362" s="59"/>
      <c r="B362" s="60"/>
      <c r="C362" s="61"/>
      <c r="D362" s="59"/>
      <c r="E362" s="59"/>
      <c r="F362" s="59"/>
      <c r="G362" s="59"/>
    </row>
    <row r="363" spans="1:7" ht="15.75" customHeight="1" x14ac:dyDescent="0.15">
      <c r="A363" s="59"/>
      <c r="B363" s="60"/>
      <c r="C363" s="61"/>
      <c r="D363" s="59"/>
      <c r="E363" s="59"/>
      <c r="F363" s="59"/>
      <c r="G363" s="59"/>
    </row>
    <row r="364" spans="1:7" ht="15.75" customHeight="1" x14ac:dyDescent="0.15">
      <c r="A364" s="59"/>
      <c r="B364" s="60"/>
      <c r="C364" s="61"/>
      <c r="D364" s="59"/>
      <c r="E364" s="59"/>
      <c r="F364" s="59"/>
      <c r="G364" s="59"/>
    </row>
    <row r="365" spans="1:7" ht="15.75" customHeight="1" x14ac:dyDescent="0.15">
      <c r="A365" s="59"/>
      <c r="B365" s="60"/>
      <c r="C365" s="61"/>
      <c r="D365" s="59"/>
      <c r="E365" s="59"/>
      <c r="F365" s="59"/>
      <c r="G365" s="59"/>
    </row>
    <row r="366" spans="1:7" ht="15.75" customHeight="1" x14ac:dyDescent="0.15">
      <c r="A366" s="59"/>
      <c r="B366" s="60"/>
      <c r="C366" s="61"/>
      <c r="D366" s="59"/>
      <c r="E366" s="59"/>
      <c r="F366" s="59"/>
      <c r="G366" s="59"/>
    </row>
    <row r="367" spans="1:7" ht="15.75" customHeight="1" x14ac:dyDescent="0.15">
      <c r="A367" s="59"/>
      <c r="B367" s="60"/>
      <c r="C367" s="61"/>
      <c r="D367" s="59"/>
      <c r="E367" s="59"/>
      <c r="F367" s="59"/>
      <c r="G367" s="59"/>
    </row>
    <row r="368" spans="1:7" ht="15.75" customHeight="1" x14ac:dyDescent="0.15">
      <c r="A368" s="59"/>
      <c r="B368" s="60"/>
      <c r="C368" s="61"/>
      <c r="D368" s="59"/>
      <c r="E368" s="59"/>
      <c r="F368" s="59"/>
      <c r="G368" s="59"/>
    </row>
    <row r="369" spans="1:7" ht="15.75" customHeight="1" x14ac:dyDescent="0.15">
      <c r="A369" s="59"/>
      <c r="B369" s="60"/>
      <c r="C369" s="61"/>
      <c r="D369" s="59"/>
      <c r="E369" s="59"/>
      <c r="F369" s="59"/>
      <c r="G369" s="59"/>
    </row>
    <row r="370" spans="1:7" ht="15.75" customHeight="1" x14ac:dyDescent="0.15">
      <c r="A370" s="59"/>
      <c r="B370" s="60"/>
      <c r="C370" s="61"/>
      <c r="D370" s="59"/>
      <c r="E370" s="59"/>
      <c r="F370" s="59"/>
      <c r="G370" s="59"/>
    </row>
    <row r="371" spans="1:7" ht="15.75" customHeight="1" x14ac:dyDescent="0.15">
      <c r="A371" s="59"/>
      <c r="B371" s="60"/>
      <c r="C371" s="61"/>
      <c r="D371" s="59"/>
      <c r="E371" s="59"/>
      <c r="F371" s="59"/>
      <c r="G371" s="59"/>
    </row>
    <row r="372" spans="1:7" ht="15.75" customHeight="1" x14ac:dyDescent="0.15">
      <c r="A372" s="59"/>
      <c r="B372" s="60"/>
      <c r="C372" s="61"/>
      <c r="D372" s="59"/>
      <c r="E372" s="59"/>
      <c r="F372" s="59"/>
      <c r="G372" s="59"/>
    </row>
    <row r="373" spans="1:7" ht="15.75" customHeight="1" x14ac:dyDescent="0.15">
      <c r="A373" s="59"/>
      <c r="B373" s="60"/>
      <c r="C373" s="61"/>
      <c r="D373" s="59"/>
      <c r="E373" s="59"/>
      <c r="F373" s="59"/>
      <c r="G373" s="59"/>
    </row>
    <row r="374" spans="1:7" ht="15.75" customHeight="1" x14ac:dyDescent="0.15">
      <c r="A374" s="59"/>
      <c r="B374" s="60"/>
      <c r="C374" s="61"/>
      <c r="D374" s="59"/>
      <c r="E374" s="59"/>
      <c r="F374" s="59"/>
      <c r="G374" s="59"/>
    </row>
    <row r="375" spans="1:7" ht="15.75" customHeight="1" x14ac:dyDescent="0.15">
      <c r="A375" s="59"/>
      <c r="B375" s="60"/>
      <c r="C375" s="61"/>
      <c r="D375" s="59"/>
      <c r="E375" s="59"/>
      <c r="F375" s="59"/>
      <c r="G375" s="59"/>
    </row>
    <row r="376" spans="1:7" ht="15.75" customHeight="1" x14ac:dyDescent="0.15">
      <c r="A376" s="59"/>
      <c r="B376" s="60"/>
      <c r="C376" s="61"/>
      <c r="D376" s="59"/>
      <c r="E376" s="59"/>
      <c r="F376" s="59"/>
      <c r="G376" s="59"/>
    </row>
    <row r="377" spans="1:7" ht="15.75" customHeight="1" x14ac:dyDescent="0.15">
      <c r="A377" s="59"/>
      <c r="B377" s="60"/>
      <c r="C377" s="61"/>
      <c r="D377" s="59"/>
      <c r="E377" s="59"/>
      <c r="F377" s="59"/>
      <c r="G377" s="59"/>
    </row>
    <row r="378" spans="1:7" ht="15.75" customHeight="1" x14ac:dyDescent="0.15">
      <c r="A378" s="59"/>
      <c r="B378" s="60"/>
      <c r="C378" s="61"/>
      <c r="D378" s="59"/>
      <c r="E378" s="59"/>
      <c r="F378" s="59"/>
      <c r="G378" s="59"/>
    </row>
    <row r="379" spans="1:7" ht="15.75" customHeight="1" x14ac:dyDescent="0.15">
      <c r="A379" s="59"/>
      <c r="B379" s="60"/>
      <c r="C379" s="61"/>
      <c r="D379" s="59"/>
      <c r="E379" s="59"/>
      <c r="F379" s="59"/>
      <c r="G379" s="59"/>
    </row>
    <row r="380" spans="1:7" ht="15.75" customHeight="1" x14ac:dyDescent="0.15">
      <c r="A380" s="59"/>
      <c r="B380" s="60"/>
      <c r="C380" s="61"/>
      <c r="D380" s="59"/>
      <c r="E380" s="59"/>
      <c r="F380" s="59"/>
      <c r="G380" s="59"/>
    </row>
    <row r="381" spans="1:7" ht="15.75" customHeight="1" x14ac:dyDescent="0.15">
      <c r="A381" s="59"/>
      <c r="B381" s="60"/>
      <c r="C381" s="61"/>
      <c r="D381" s="59"/>
      <c r="E381" s="59"/>
      <c r="F381" s="59"/>
      <c r="G381" s="59"/>
    </row>
    <row r="382" spans="1:7" ht="15.75" customHeight="1" x14ac:dyDescent="0.15">
      <c r="A382" s="59"/>
      <c r="B382" s="60"/>
      <c r="C382" s="61"/>
      <c r="D382" s="59"/>
      <c r="E382" s="59"/>
      <c r="F382" s="59"/>
      <c r="G382" s="59"/>
    </row>
    <row r="383" spans="1:7" ht="15.75" customHeight="1" x14ac:dyDescent="0.15">
      <c r="A383" s="59"/>
      <c r="B383" s="60"/>
      <c r="C383" s="61"/>
      <c r="D383" s="59"/>
      <c r="E383" s="59"/>
      <c r="F383" s="59"/>
      <c r="G383" s="59"/>
    </row>
    <row r="384" spans="1:7" ht="15.75" customHeight="1" x14ac:dyDescent="0.15">
      <c r="A384" s="59"/>
      <c r="B384" s="60"/>
      <c r="C384" s="61"/>
      <c r="D384" s="59"/>
      <c r="E384" s="59"/>
      <c r="F384" s="59"/>
      <c r="G384" s="59"/>
    </row>
    <row r="385" spans="1:7" ht="15.75" customHeight="1" x14ac:dyDescent="0.15">
      <c r="A385" s="59"/>
      <c r="B385" s="60"/>
      <c r="C385" s="61"/>
      <c r="D385" s="59"/>
      <c r="E385" s="59"/>
      <c r="F385" s="59"/>
      <c r="G385" s="59"/>
    </row>
    <row r="386" spans="1:7" ht="15.75" customHeight="1" x14ac:dyDescent="0.15">
      <c r="A386" s="59"/>
      <c r="B386" s="60"/>
      <c r="C386" s="61"/>
      <c r="D386" s="59"/>
      <c r="E386" s="59"/>
      <c r="F386" s="59"/>
      <c r="G386" s="59"/>
    </row>
    <row r="387" spans="1:7" ht="15.75" customHeight="1" x14ac:dyDescent="0.15">
      <c r="A387" s="59"/>
      <c r="B387" s="60"/>
      <c r="C387" s="61"/>
      <c r="D387" s="59"/>
      <c r="E387" s="59"/>
      <c r="F387" s="59"/>
      <c r="G387" s="59"/>
    </row>
    <row r="388" spans="1:7" ht="15.75" customHeight="1" x14ac:dyDescent="0.15">
      <c r="A388" s="59"/>
      <c r="B388" s="60"/>
      <c r="C388" s="61"/>
      <c r="D388" s="59"/>
      <c r="E388" s="59"/>
      <c r="F388" s="59"/>
      <c r="G388" s="59"/>
    </row>
    <row r="389" spans="1:7" ht="15.75" customHeight="1" x14ac:dyDescent="0.15">
      <c r="A389" s="59"/>
      <c r="B389" s="60"/>
      <c r="C389" s="61"/>
      <c r="D389" s="59"/>
      <c r="E389" s="59"/>
      <c r="F389" s="59"/>
      <c r="G389" s="59"/>
    </row>
    <row r="390" spans="1:7" ht="15.75" customHeight="1" x14ac:dyDescent="0.15">
      <c r="A390" s="59"/>
      <c r="B390" s="60"/>
      <c r="C390" s="61"/>
      <c r="D390" s="59"/>
      <c r="E390" s="59"/>
      <c r="F390" s="59"/>
      <c r="G390" s="59"/>
    </row>
    <row r="391" spans="1:7" ht="15.75" customHeight="1" x14ac:dyDescent="0.15">
      <c r="A391" s="59"/>
      <c r="B391" s="60"/>
      <c r="C391" s="61"/>
      <c r="D391" s="59"/>
      <c r="E391" s="59"/>
      <c r="F391" s="59"/>
      <c r="G391" s="59"/>
    </row>
    <row r="392" spans="1:7" ht="15.75" customHeight="1" x14ac:dyDescent="0.15">
      <c r="A392" s="59"/>
      <c r="B392" s="60"/>
      <c r="C392" s="61"/>
      <c r="D392" s="59"/>
      <c r="E392" s="59"/>
      <c r="F392" s="59"/>
      <c r="G392" s="59"/>
    </row>
    <row r="393" spans="1:7" ht="15.75" customHeight="1" x14ac:dyDescent="0.15">
      <c r="A393" s="59"/>
      <c r="B393" s="60"/>
      <c r="C393" s="61"/>
      <c r="D393" s="59"/>
      <c r="E393" s="59"/>
      <c r="F393" s="59"/>
      <c r="G393" s="59"/>
    </row>
    <row r="394" spans="1:7" ht="15.75" customHeight="1" x14ac:dyDescent="0.15">
      <c r="A394" s="59"/>
      <c r="B394" s="60"/>
      <c r="C394" s="61"/>
      <c r="D394" s="59"/>
      <c r="E394" s="59"/>
      <c r="F394" s="59"/>
      <c r="G394" s="59"/>
    </row>
    <row r="395" spans="1:7" ht="15.75" customHeight="1" x14ac:dyDescent="0.15">
      <c r="A395" s="59"/>
      <c r="B395" s="60"/>
      <c r="C395" s="61"/>
      <c r="D395" s="59"/>
      <c r="E395" s="59"/>
      <c r="F395" s="59"/>
      <c r="G395" s="59"/>
    </row>
    <row r="396" spans="1:7" ht="15.75" customHeight="1" x14ac:dyDescent="0.15">
      <c r="A396" s="59"/>
      <c r="B396" s="60"/>
      <c r="C396" s="61"/>
      <c r="D396" s="59"/>
      <c r="E396" s="59"/>
      <c r="F396" s="59"/>
      <c r="G396" s="59"/>
    </row>
    <row r="397" spans="1:7" ht="15.75" customHeight="1" x14ac:dyDescent="0.15">
      <c r="A397" s="59"/>
      <c r="B397" s="60"/>
      <c r="C397" s="61"/>
      <c r="D397" s="59"/>
      <c r="E397" s="59"/>
      <c r="F397" s="59"/>
      <c r="G397" s="59"/>
    </row>
    <row r="398" spans="1:7" ht="15.75" customHeight="1" x14ac:dyDescent="0.15">
      <c r="A398" s="59"/>
      <c r="B398" s="60"/>
      <c r="C398" s="61"/>
      <c r="D398" s="59"/>
      <c r="E398" s="59"/>
      <c r="F398" s="59"/>
      <c r="G398" s="59"/>
    </row>
    <row r="399" spans="1:7" ht="15.75" customHeight="1" x14ac:dyDescent="0.15">
      <c r="A399" s="59"/>
      <c r="B399" s="60"/>
      <c r="C399" s="61"/>
      <c r="D399" s="59"/>
      <c r="E399" s="59"/>
      <c r="F399" s="59"/>
      <c r="G399" s="59"/>
    </row>
    <row r="400" spans="1:7" ht="15.75" customHeight="1" x14ac:dyDescent="0.15">
      <c r="A400" s="59"/>
      <c r="B400" s="60"/>
      <c r="C400" s="61"/>
      <c r="D400" s="59"/>
      <c r="E400" s="59"/>
      <c r="F400" s="59"/>
      <c r="G400" s="59"/>
    </row>
    <row r="401" spans="1:7" ht="15.75" customHeight="1" x14ac:dyDescent="0.15">
      <c r="A401" s="59"/>
      <c r="B401" s="60"/>
      <c r="C401" s="61"/>
      <c r="D401" s="59"/>
      <c r="E401" s="59"/>
      <c r="F401" s="59"/>
      <c r="G401" s="59"/>
    </row>
    <row r="402" spans="1:7" ht="15.75" customHeight="1" x14ac:dyDescent="0.15">
      <c r="A402" s="59"/>
      <c r="B402" s="60"/>
      <c r="C402" s="61"/>
      <c r="D402" s="59"/>
      <c r="E402" s="59"/>
      <c r="F402" s="59"/>
      <c r="G402" s="59"/>
    </row>
    <row r="403" spans="1:7" ht="15.75" customHeight="1" x14ac:dyDescent="0.15">
      <c r="A403" s="59"/>
      <c r="B403" s="60"/>
      <c r="C403" s="61"/>
      <c r="D403" s="59"/>
      <c r="E403" s="59"/>
      <c r="F403" s="59"/>
      <c r="G403" s="59"/>
    </row>
    <row r="404" spans="1:7" ht="15.75" customHeight="1" x14ac:dyDescent="0.15">
      <c r="A404" s="59"/>
      <c r="B404" s="60"/>
      <c r="C404" s="61"/>
      <c r="D404" s="59"/>
      <c r="E404" s="59"/>
      <c r="F404" s="59"/>
      <c r="G404" s="59"/>
    </row>
    <row r="405" spans="1:7" ht="15.75" customHeight="1" x14ac:dyDescent="0.15">
      <c r="A405" s="59"/>
      <c r="B405" s="60"/>
      <c r="C405" s="61"/>
      <c r="D405" s="59"/>
      <c r="E405" s="59"/>
      <c r="F405" s="59"/>
      <c r="G405" s="59"/>
    </row>
    <row r="406" spans="1:7" ht="15.75" customHeight="1" x14ac:dyDescent="0.15">
      <c r="A406" s="59"/>
      <c r="B406" s="60"/>
      <c r="C406" s="61"/>
      <c r="D406" s="59"/>
      <c r="E406" s="59"/>
      <c r="F406" s="59"/>
      <c r="G406" s="59"/>
    </row>
    <row r="407" spans="1:7" ht="15.75" customHeight="1" x14ac:dyDescent="0.15">
      <c r="A407" s="59"/>
      <c r="B407" s="60"/>
      <c r="C407" s="61"/>
      <c r="D407" s="59"/>
      <c r="E407" s="59"/>
      <c r="F407" s="59"/>
      <c r="G407" s="59"/>
    </row>
    <row r="408" spans="1:7" ht="15.75" customHeight="1" x14ac:dyDescent="0.15">
      <c r="A408" s="59"/>
      <c r="B408" s="60"/>
      <c r="C408" s="61"/>
      <c r="D408" s="59"/>
      <c r="E408" s="59"/>
      <c r="F408" s="59"/>
      <c r="G408" s="59"/>
    </row>
    <row r="409" spans="1:7" ht="15.75" customHeight="1" x14ac:dyDescent="0.15">
      <c r="A409" s="59"/>
      <c r="B409" s="60"/>
      <c r="C409" s="61"/>
      <c r="D409" s="59"/>
      <c r="E409" s="59"/>
      <c r="F409" s="59"/>
      <c r="G409" s="59"/>
    </row>
    <row r="410" spans="1:7" ht="15.75" customHeight="1" x14ac:dyDescent="0.15">
      <c r="A410" s="59"/>
      <c r="B410" s="60"/>
      <c r="C410" s="61"/>
      <c r="D410" s="59"/>
      <c r="E410" s="59"/>
      <c r="F410" s="59"/>
      <c r="G410" s="59"/>
    </row>
    <row r="411" spans="1:7" ht="15.75" customHeight="1" x14ac:dyDescent="0.15">
      <c r="A411" s="59"/>
      <c r="B411" s="60"/>
      <c r="C411" s="61"/>
      <c r="D411" s="59"/>
      <c r="E411" s="59"/>
      <c r="F411" s="59"/>
      <c r="G411" s="59"/>
    </row>
    <row r="412" spans="1:7" ht="15.75" customHeight="1" x14ac:dyDescent="0.15">
      <c r="A412" s="59"/>
      <c r="B412" s="60"/>
      <c r="C412" s="61"/>
      <c r="D412" s="59"/>
      <c r="E412" s="59"/>
      <c r="F412" s="59"/>
      <c r="G412" s="59"/>
    </row>
    <row r="413" spans="1:7" ht="15.75" customHeight="1" x14ac:dyDescent="0.15">
      <c r="A413" s="59"/>
      <c r="B413" s="60"/>
      <c r="C413" s="61"/>
      <c r="D413" s="59"/>
      <c r="E413" s="59"/>
      <c r="F413" s="59"/>
      <c r="G413" s="59"/>
    </row>
    <row r="414" spans="1:7" ht="15.75" customHeight="1" x14ac:dyDescent="0.15">
      <c r="A414" s="59"/>
      <c r="B414" s="60"/>
      <c r="C414" s="61"/>
      <c r="D414" s="59"/>
      <c r="E414" s="59"/>
      <c r="F414" s="59"/>
      <c r="G414" s="59"/>
    </row>
    <row r="415" spans="1:7" ht="15.75" customHeight="1" x14ac:dyDescent="0.15">
      <c r="A415" s="59"/>
      <c r="B415" s="60"/>
      <c r="C415" s="61"/>
      <c r="D415" s="59"/>
      <c r="E415" s="59"/>
      <c r="F415" s="59"/>
      <c r="G415" s="59"/>
    </row>
    <row r="416" spans="1:7" ht="15.75" customHeight="1" x14ac:dyDescent="0.15">
      <c r="A416" s="59"/>
      <c r="B416" s="60"/>
      <c r="C416" s="61"/>
      <c r="D416" s="59"/>
      <c r="E416" s="59"/>
      <c r="F416" s="59"/>
      <c r="G416" s="59"/>
    </row>
    <row r="417" spans="1:7" ht="15.75" customHeight="1" x14ac:dyDescent="0.15">
      <c r="A417" s="59"/>
      <c r="B417" s="60"/>
      <c r="C417" s="61"/>
      <c r="D417" s="59"/>
      <c r="E417" s="59"/>
      <c r="F417" s="59"/>
      <c r="G417" s="59"/>
    </row>
    <row r="418" spans="1:7" ht="15.75" customHeight="1" x14ac:dyDescent="0.15">
      <c r="A418" s="59"/>
      <c r="B418" s="60"/>
      <c r="C418" s="61"/>
      <c r="D418" s="59"/>
      <c r="E418" s="59"/>
      <c r="F418" s="59"/>
      <c r="G418" s="59"/>
    </row>
    <row r="419" spans="1:7" ht="15.75" customHeight="1" x14ac:dyDescent="0.15">
      <c r="A419" s="59"/>
      <c r="B419" s="60"/>
      <c r="C419" s="61"/>
      <c r="D419" s="59"/>
      <c r="E419" s="59"/>
      <c r="F419" s="59"/>
      <c r="G419" s="59"/>
    </row>
    <row r="420" spans="1:7" ht="15.75" customHeight="1" x14ac:dyDescent="0.15">
      <c r="A420" s="59"/>
      <c r="B420" s="60"/>
      <c r="C420" s="61"/>
      <c r="D420" s="59"/>
      <c r="E420" s="59"/>
      <c r="F420" s="59"/>
      <c r="G420" s="59"/>
    </row>
    <row r="421" spans="1:7" ht="15.75" customHeight="1" x14ac:dyDescent="0.15">
      <c r="A421" s="59"/>
      <c r="B421" s="60"/>
      <c r="C421" s="61"/>
      <c r="D421" s="59"/>
      <c r="E421" s="59"/>
      <c r="F421" s="59"/>
      <c r="G421" s="59"/>
    </row>
    <row r="422" spans="1:7" ht="15.75" customHeight="1" x14ac:dyDescent="0.15">
      <c r="A422" s="59"/>
      <c r="B422" s="60"/>
      <c r="C422" s="61"/>
      <c r="D422" s="59"/>
      <c r="E422" s="59"/>
      <c r="F422" s="59"/>
      <c r="G422" s="59"/>
    </row>
    <row r="423" spans="1:7" ht="15.75" customHeight="1" x14ac:dyDescent="0.15">
      <c r="A423" s="59"/>
      <c r="B423" s="60"/>
      <c r="C423" s="61"/>
      <c r="D423" s="59"/>
      <c r="E423" s="59"/>
      <c r="F423" s="59"/>
      <c r="G423" s="59"/>
    </row>
    <row r="424" spans="1:7" ht="15.75" customHeight="1" x14ac:dyDescent="0.15">
      <c r="A424" s="59"/>
      <c r="B424" s="60"/>
      <c r="C424" s="61"/>
      <c r="D424" s="59"/>
      <c r="E424" s="59"/>
      <c r="F424" s="59"/>
      <c r="G424" s="59"/>
    </row>
    <row r="425" spans="1:7" ht="15.75" customHeight="1" x14ac:dyDescent="0.15">
      <c r="A425" s="59"/>
      <c r="B425" s="60"/>
      <c r="C425" s="61"/>
      <c r="D425" s="59"/>
      <c r="E425" s="59"/>
      <c r="F425" s="59"/>
      <c r="G425" s="59"/>
    </row>
    <row r="426" spans="1:7" ht="15.75" customHeight="1" x14ac:dyDescent="0.15">
      <c r="A426" s="59"/>
      <c r="B426" s="60"/>
      <c r="C426" s="61"/>
      <c r="D426" s="59"/>
      <c r="E426" s="59"/>
      <c r="F426" s="59"/>
      <c r="G426" s="59"/>
    </row>
    <row r="427" spans="1:7" ht="15.75" customHeight="1" x14ac:dyDescent="0.15">
      <c r="A427" s="59"/>
      <c r="B427" s="60"/>
      <c r="C427" s="61"/>
      <c r="D427" s="59"/>
      <c r="E427" s="59"/>
      <c r="F427" s="59"/>
      <c r="G427" s="59"/>
    </row>
    <row r="428" spans="1:7" ht="15.75" customHeight="1" x14ac:dyDescent="0.15">
      <c r="A428" s="59"/>
      <c r="B428" s="60"/>
      <c r="C428" s="61"/>
      <c r="D428" s="59"/>
      <c r="E428" s="59"/>
      <c r="F428" s="59"/>
      <c r="G428" s="59"/>
    </row>
    <row r="429" spans="1:7" ht="15.75" customHeight="1" x14ac:dyDescent="0.15">
      <c r="A429" s="59"/>
      <c r="B429" s="60"/>
      <c r="C429" s="61"/>
      <c r="D429" s="59"/>
      <c r="E429" s="59"/>
      <c r="F429" s="59"/>
      <c r="G429" s="59"/>
    </row>
    <row r="430" spans="1:7" ht="15.75" customHeight="1" x14ac:dyDescent="0.15">
      <c r="A430" s="59"/>
      <c r="B430" s="60"/>
      <c r="C430" s="61"/>
      <c r="D430" s="59"/>
      <c r="E430" s="59"/>
      <c r="F430" s="59"/>
      <c r="G430" s="59"/>
    </row>
    <row r="431" spans="1:7" ht="15.75" customHeight="1" x14ac:dyDescent="0.15">
      <c r="A431" s="59"/>
      <c r="B431" s="60"/>
      <c r="C431" s="61"/>
      <c r="D431" s="59"/>
      <c r="E431" s="59"/>
      <c r="F431" s="59"/>
      <c r="G431" s="59"/>
    </row>
    <row r="432" spans="1:7" ht="15.75" customHeight="1" x14ac:dyDescent="0.15">
      <c r="A432" s="59"/>
      <c r="B432" s="60"/>
      <c r="C432" s="61"/>
      <c r="D432" s="59"/>
      <c r="E432" s="59"/>
      <c r="F432" s="59"/>
      <c r="G432" s="59"/>
    </row>
    <row r="433" spans="1:7" ht="15.75" customHeight="1" x14ac:dyDescent="0.15">
      <c r="A433" s="59"/>
      <c r="B433" s="60"/>
      <c r="C433" s="61"/>
      <c r="D433" s="59"/>
      <c r="E433" s="59"/>
      <c r="F433" s="59"/>
      <c r="G433" s="59"/>
    </row>
    <row r="434" spans="1:7" ht="15.75" customHeight="1" x14ac:dyDescent="0.15">
      <c r="A434" s="59"/>
      <c r="B434" s="60"/>
      <c r="C434" s="61"/>
      <c r="D434" s="59"/>
      <c r="E434" s="59"/>
      <c r="F434" s="59"/>
      <c r="G434" s="59"/>
    </row>
    <row r="435" spans="1:7" ht="15.75" customHeight="1" x14ac:dyDescent="0.15">
      <c r="A435" s="59"/>
      <c r="B435" s="60"/>
      <c r="C435" s="61"/>
      <c r="D435" s="59"/>
      <c r="E435" s="59"/>
      <c r="F435" s="59"/>
      <c r="G435" s="59"/>
    </row>
    <row r="436" spans="1:7" ht="15.75" customHeight="1" x14ac:dyDescent="0.15">
      <c r="A436" s="59"/>
      <c r="B436" s="60"/>
      <c r="C436" s="61"/>
      <c r="D436" s="59"/>
      <c r="E436" s="59"/>
      <c r="F436" s="59"/>
      <c r="G436" s="59"/>
    </row>
    <row r="437" spans="1:7" ht="15.75" customHeight="1" x14ac:dyDescent="0.15">
      <c r="A437" s="59"/>
      <c r="B437" s="60"/>
      <c r="C437" s="61"/>
      <c r="D437" s="59"/>
      <c r="E437" s="59"/>
      <c r="F437" s="59"/>
      <c r="G437" s="59"/>
    </row>
    <row r="438" spans="1:7" ht="15.75" customHeight="1" x14ac:dyDescent="0.15">
      <c r="A438" s="59"/>
      <c r="B438" s="60"/>
      <c r="C438" s="61"/>
      <c r="D438" s="59"/>
      <c r="E438" s="59"/>
      <c r="F438" s="59"/>
      <c r="G438" s="59"/>
    </row>
    <row r="439" spans="1:7" ht="15.75" customHeight="1" x14ac:dyDescent="0.15">
      <c r="A439" s="59"/>
      <c r="B439" s="60"/>
      <c r="C439" s="61"/>
      <c r="D439" s="59"/>
      <c r="E439" s="59"/>
      <c r="F439" s="59"/>
      <c r="G439" s="59"/>
    </row>
    <row r="440" spans="1:7" ht="15.75" customHeight="1" x14ac:dyDescent="0.15">
      <c r="A440" s="59"/>
      <c r="B440" s="60"/>
      <c r="C440" s="61"/>
      <c r="D440" s="59"/>
      <c r="E440" s="59"/>
      <c r="F440" s="59"/>
      <c r="G440" s="59"/>
    </row>
    <row r="441" spans="1:7" ht="15.75" customHeight="1" x14ac:dyDescent="0.15">
      <c r="A441" s="59"/>
      <c r="B441" s="60"/>
      <c r="C441" s="61"/>
      <c r="D441" s="59"/>
      <c r="E441" s="59"/>
      <c r="F441" s="59"/>
      <c r="G441" s="59"/>
    </row>
    <row r="442" spans="1:7" ht="15.75" customHeight="1" x14ac:dyDescent="0.15">
      <c r="A442" s="59"/>
      <c r="B442" s="60"/>
      <c r="C442" s="61"/>
      <c r="D442" s="59"/>
      <c r="E442" s="59"/>
      <c r="F442" s="59"/>
      <c r="G442" s="59"/>
    </row>
    <row r="443" spans="1:7" ht="15.75" customHeight="1" x14ac:dyDescent="0.15">
      <c r="A443" s="59"/>
      <c r="B443" s="60"/>
      <c r="C443" s="61"/>
      <c r="D443" s="59"/>
      <c r="E443" s="59"/>
      <c r="F443" s="59"/>
      <c r="G443" s="59"/>
    </row>
    <row r="444" spans="1:7" ht="15.75" customHeight="1" x14ac:dyDescent="0.15">
      <c r="A444" s="59"/>
      <c r="B444" s="60"/>
      <c r="C444" s="61"/>
      <c r="D444" s="59"/>
      <c r="E444" s="59"/>
      <c r="F444" s="59"/>
      <c r="G444" s="59"/>
    </row>
    <row r="445" spans="1:7" ht="15.75" customHeight="1" x14ac:dyDescent="0.15">
      <c r="A445" s="59"/>
      <c r="B445" s="60"/>
      <c r="C445" s="61"/>
      <c r="D445" s="59"/>
      <c r="E445" s="59"/>
      <c r="F445" s="59"/>
      <c r="G445" s="59"/>
    </row>
    <row r="446" spans="1:7" ht="15.75" customHeight="1" x14ac:dyDescent="0.15">
      <c r="A446" s="59"/>
      <c r="B446" s="60"/>
      <c r="C446" s="61"/>
      <c r="D446" s="59"/>
      <c r="E446" s="59"/>
      <c r="F446" s="59"/>
      <c r="G446" s="59"/>
    </row>
    <row r="447" spans="1:7" ht="15.75" customHeight="1" x14ac:dyDescent="0.15">
      <c r="A447" s="59"/>
      <c r="B447" s="60"/>
      <c r="C447" s="61"/>
      <c r="D447" s="59"/>
      <c r="E447" s="59"/>
      <c r="F447" s="59"/>
      <c r="G447" s="59"/>
    </row>
    <row r="448" spans="1:7" ht="15.75" customHeight="1" x14ac:dyDescent="0.15">
      <c r="A448" s="59"/>
      <c r="B448" s="60"/>
      <c r="C448" s="61"/>
      <c r="D448" s="59"/>
      <c r="E448" s="59"/>
      <c r="F448" s="59"/>
      <c r="G448" s="59"/>
    </row>
    <row r="449" spans="1:7" ht="15.75" customHeight="1" x14ac:dyDescent="0.15">
      <c r="A449" s="59"/>
      <c r="B449" s="60"/>
      <c r="C449" s="61"/>
      <c r="D449" s="59"/>
      <c r="E449" s="59"/>
      <c r="F449" s="59"/>
      <c r="G449" s="59"/>
    </row>
    <row r="450" spans="1:7" ht="15.75" customHeight="1" x14ac:dyDescent="0.15">
      <c r="A450" s="59"/>
      <c r="B450" s="60"/>
      <c r="C450" s="61"/>
      <c r="D450" s="59"/>
      <c r="E450" s="59"/>
      <c r="F450" s="59"/>
      <c r="G450" s="59"/>
    </row>
    <row r="451" spans="1:7" ht="15.75" customHeight="1" x14ac:dyDescent="0.15">
      <c r="A451" s="59"/>
      <c r="B451" s="60"/>
      <c r="C451" s="61"/>
      <c r="D451" s="59"/>
      <c r="E451" s="59"/>
      <c r="F451" s="59"/>
      <c r="G451" s="59"/>
    </row>
    <row r="452" spans="1:7" ht="15.75" customHeight="1" x14ac:dyDescent="0.15">
      <c r="A452" s="59"/>
      <c r="B452" s="60"/>
      <c r="C452" s="61"/>
      <c r="D452" s="59"/>
      <c r="E452" s="59"/>
      <c r="F452" s="59"/>
      <c r="G452" s="59"/>
    </row>
    <row r="453" spans="1:7" ht="15.75" customHeight="1" x14ac:dyDescent="0.15">
      <c r="A453" s="59"/>
      <c r="B453" s="60"/>
      <c r="C453" s="61"/>
      <c r="D453" s="59"/>
      <c r="E453" s="59"/>
      <c r="F453" s="59"/>
      <c r="G453" s="59"/>
    </row>
    <row r="454" spans="1:7" ht="15.75" customHeight="1" x14ac:dyDescent="0.15">
      <c r="A454" s="59"/>
      <c r="B454" s="60"/>
      <c r="C454" s="61"/>
      <c r="D454" s="59"/>
      <c r="E454" s="59"/>
      <c r="F454" s="59"/>
      <c r="G454" s="59"/>
    </row>
    <row r="455" spans="1:7" ht="15.75" customHeight="1" x14ac:dyDescent="0.15">
      <c r="A455" s="59"/>
      <c r="B455" s="60"/>
      <c r="C455" s="61"/>
      <c r="D455" s="59"/>
      <c r="E455" s="59"/>
      <c r="F455" s="59"/>
      <c r="G455" s="59"/>
    </row>
    <row r="456" spans="1:7" ht="15.75" customHeight="1" x14ac:dyDescent="0.15">
      <c r="A456" s="59"/>
      <c r="B456" s="60"/>
      <c r="C456" s="61"/>
      <c r="D456" s="59"/>
      <c r="E456" s="59"/>
      <c r="F456" s="59"/>
      <c r="G456" s="59"/>
    </row>
    <row r="457" spans="1:7" ht="15.75" customHeight="1" x14ac:dyDescent="0.15">
      <c r="A457" s="59"/>
      <c r="B457" s="60"/>
      <c r="C457" s="61"/>
      <c r="D457" s="59"/>
      <c r="E457" s="59"/>
      <c r="F457" s="59"/>
      <c r="G457" s="59"/>
    </row>
    <row r="458" spans="1:7" ht="15.75" customHeight="1" x14ac:dyDescent="0.15">
      <c r="A458" s="59"/>
      <c r="B458" s="60"/>
      <c r="C458" s="61"/>
      <c r="D458" s="59"/>
      <c r="E458" s="59"/>
      <c r="F458" s="59"/>
      <c r="G458" s="59"/>
    </row>
    <row r="459" spans="1:7" ht="15.75" customHeight="1" x14ac:dyDescent="0.15">
      <c r="A459" s="59"/>
      <c r="B459" s="60"/>
      <c r="C459" s="61"/>
      <c r="D459" s="59"/>
      <c r="E459" s="59"/>
      <c r="F459" s="59"/>
      <c r="G459" s="59"/>
    </row>
    <row r="460" spans="1:7" ht="15.75" customHeight="1" x14ac:dyDescent="0.15">
      <c r="A460" s="59"/>
      <c r="B460" s="60"/>
      <c r="C460" s="61"/>
      <c r="D460" s="59"/>
      <c r="E460" s="59"/>
      <c r="F460" s="59"/>
      <c r="G460" s="59"/>
    </row>
    <row r="461" spans="1:7" ht="15.75" customHeight="1" x14ac:dyDescent="0.15">
      <c r="A461" s="59"/>
      <c r="B461" s="60"/>
      <c r="C461" s="61"/>
      <c r="D461" s="59"/>
      <c r="E461" s="59"/>
      <c r="F461" s="59"/>
      <c r="G461" s="59"/>
    </row>
    <row r="462" spans="1:7" ht="15.75" customHeight="1" x14ac:dyDescent="0.15">
      <c r="A462" s="59"/>
      <c r="B462" s="60"/>
      <c r="C462" s="61"/>
      <c r="D462" s="59"/>
      <c r="E462" s="59"/>
      <c r="F462" s="59"/>
      <c r="G462" s="59"/>
    </row>
    <row r="463" spans="1:7" ht="15.75" customHeight="1" x14ac:dyDescent="0.15">
      <c r="A463" s="59"/>
      <c r="B463" s="60"/>
      <c r="C463" s="61"/>
      <c r="D463" s="59"/>
      <c r="E463" s="59"/>
      <c r="F463" s="59"/>
      <c r="G463" s="59"/>
    </row>
    <row r="464" spans="1:7" ht="15.75" customHeight="1" x14ac:dyDescent="0.15">
      <c r="A464" s="59"/>
      <c r="B464" s="60"/>
      <c r="C464" s="61"/>
      <c r="D464" s="59"/>
      <c r="E464" s="59"/>
      <c r="F464" s="59"/>
      <c r="G464" s="59"/>
    </row>
    <row r="465" spans="1:7" ht="15.75" customHeight="1" x14ac:dyDescent="0.15">
      <c r="A465" s="59"/>
      <c r="B465" s="60"/>
      <c r="C465" s="61"/>
      <c r="D465" s="59"/>
      <c r="E465" s="59"/>
      <c r="F465" s="59"/>
      <c r="G465" s="59"/>
    </row>
    <row r="466" spans="1:7" ht="15.75" customHeight="1" x14ac:dyDescent="0.15">
      <c r="A466" s="59"/>
      <c r="B466" s="60"/>
      <c r="C466" s="61"/>
      <c r="D466" s="59"/>
      <c r="E466" s="59"/>
      <c r="F466" s="59"/>
      <c r="G466" s="59"/>
    </row>
    <row r="467" spans="1:7" ht="15.75" customHeight="1" x14ac:dyDescent="0.15">
      <c r="A467" s="59"/>
      <c r="B467" s="60"/>
      <c r="C467" s="61"/>
      <c r="D467" s="59"/>
      <c r="E467" s="59"/>
      <c r="F467" s="59"/>
      <c r="G467" s="59"/>
    </row>
    <row r="468" spans="1:7" ht="15.75" customHeight="1" x14ac:dyDescent="0.15">
      <c r="A468" s="59"/>
      <c r="B468" s="60"/>
      <c r="C468" s="61"/>
      <c r="D468" s="59"/>
      <c r="E468" s="59"/>
      <c r="F468" s="59"/>
      <c r="G468" s="59"/>
    </row>
    <row r="469" spans="1:7" ht="15.75" customHeight="1" x14ac:dyDescent="0.15">
      <c r="A469" s="59"/>
      <c r="B469" s="60"/>
      <c r="C469" s="61"/>
      <c r="D469" s="59"/>
      <c r="E469" s="59"/>
      <c r="F469" s="59"/>
      <c r="G469" s="59"/>
    </row>
    <row r="470" spans="1:7" ht="15.75" customHeight="1" x14ac:dyDescent="0.15">
      <c r="A470" s="59"/>
      <c r="B470" s="60"/>
      <c r="C470" s="61"/>
      <c r="D470" s="59"/>
      <c r="E470" s="59"/>
      <c r="F470" s="59"/>
      <c r="G470" s="59"/>
    </row>
    <row r="471" spans="1:7" ht="15.75" customHeight="1" x14ac:dyDescent="0.15">
      <c r="A471" s="59"/>
      <c r="B471" s="60"/>
      <c r="C471" s="61"/>
      <c r="D471" s="59"/>
      <c r="E471" s="59"/>
      <c r="F471" s="59"/>
      <c r="G471" s="59"/>
    </row>
    <row r="472" spans="1:7" ht="15.75" customHeight="1" x14ac:dyDescent="0.15">
      <c r="A472" s="59"/>
      <c r="B472" s="60"/>
      <c r="C472" s="61"/>
      <c r="D472" s="59"/>
      <c r="E472" s="59"/>
      <c r="F472" s="59"/>
      <c r="G472" s="59"/>
    </row>
    <row r="473" spans="1:7" ht="15.75" customHeight="1" x14ac:dyDescent="0.15">
      <c r="A473" s="59"/>
      <c r="B473" s="60"/>
      <c r="C473" s="61"/>
      <c r="D473" s="59"/>
      <c r="E473" s="59"/>
      <c r="F473" s="59"/>
      <c r="G473" s="59"/>
    </row>
    <row r="474" spans="1:7" ht="15.75" customHeight="1" x14ac:dyDescent="0.15">
      <c r="A474" s="59"/>
      <c r="B474" s="60"/>
      <c r="C474" s="61"/>
      <c r="D474" s="59"/>
      <c r="E474" s="59"/>
      <c r="F474" s="59"/>
      <c r="G474" s="59"/>
    </row>
    <row r="475" spans="1:7" ht="15.75" customHeight="1" x14ac:dyDescent="0.15">
      <c r="A475" s="59"/>
      <c r="B475" s="60"/>
      <c r="C475" s="61"/>
      <c r="D475" s="59"/>
      <c r="E475" s="59"/>
      <c r="F475" s="59"/>
      <c r="G475" s="59"/>
    </row>
    <row r="476" spans="1:7" ht="15.75" customHeight="1" x14ac:dyDescent="0.15">
      <c r="A476" s="59"/>
      <c r="B476" s="60"/>
      <c r="C476" s="61"/>
      <c r="D476" s="59"/>
      <c r="E476" s="59"/>
      <c r="F476" s="59"/>
      <c r="G476" s="59"/>
    </row>
    <row r="477" spans="1:7" ht="15.75" customHeight="1" x14ac:dyDescent="0.15">
      <c r="A477" s="59"/>
      <c r="B477" s="60"/>
      <c r="C477" s="61"/>
      <c r="D477" s="59"/>
      <c r="E477" s="59"/>
      <c r="F477" s="59"/>
      <c r="G477" s="59"/>
    </row>
    <row r="478" spans="1:7" ht="15.75" customHeight="1" x14ac:dyDescent="0.15">
      <c r="A478" s="59"/>
      <c r="B478" s="60"/>
      <c r="C478" s="61"/>
      <c r="D478" s="59"/>
      <c r="E478" s="59"/>
      <c r="F478" s="59"/>
      <c r="G478" s="59"/>
    </row>
    <row r="479" spans="1:7" ht="15.75" customHeight="1" x14ac:dyDescent="0.15">
      <c r="A479" s="59"/>
      <c r="B479" s="60"/>
      <c r="C479" s="61"/>
      <c r="D479" s="59"/>
      <c r="E479" s="59"/>
      <c r="F479" s="59"/>
      <c r="G479" s="59"/>
    </row>
    <row r="480" spans="1:7" ht="15.75" customHeight="1" x14ac:dyDescent="0.15">
      <c r="A480" s="59"/>
      <c r="B480" s="60"/>
      <c r="C480" s="61"/>
      <c r="D480" s="59"/>
      <c r="E480" s="59"/>
      <c r="F480" s="59"/>
      <c r="G480" s="59"/>
    </row>
    <row r="481" spans="1:7" ht="15.75" customHeight="1" x14ac:dyDescent="0.15">
      <c r="A481" s="59"/>
      <c r="B481" s="60"/>
      <c r="C481" s="61"/>
      <c r="D481" s="59"/>
      <c r="E481" s="59"/>
      <c r="F481" s="59"/>
      <c r="G481" s="59"/>
    </row>
    <row r="482" spans="1:7" ht="15.75" customHeight="1" x14ac:dyDescent="0.15">
      <c r="A482" s="59"/>
      <c r="B482" s="60"/>
      <c r="C482" s="61"/>
      <c r="D482" s="59"/>
      <c r="E482" s="59"/>
      <c r="F482" s="59"/>
      <c r="G482" s="59"/>
    </row>
    <row r="483" spans="1:7" ht="15.75" customHeight="1" x14ac:dyDescent="0.15">
      <c r="A483" s="59"/>
      <c r="B483" s="60"/>
      <c r="C483" s="61"/>
      <c r="D483" s="59"/>
      <c r="E483" s="59"/>
      <c r="F483" s="59"/>
      <c r="G483" s="59"/>
    </row>
    <row r="484" spans="1:7" ht="15.75" customHeight="1" x14ac:dyDescent="0.15">
      <c r="A484" s="59"/>
      <c r="B484" s="60"/>
      <c r="C484" s="61"/>
      <c r="D484" s="59"/>
      <c r="E484" s="59"/>
      <c r="F484" s="59"/>
      <c r="G484" s="59"/>
    </row>
    <row r="485" spans="1:7" ht="15.75" customHeight="1" x14ac:dyDescent="0.15">
      <c r="A485" s="59"/>
      <c r="B485" s="60"/>
      <c r="C485" s="61"/>
      <c r="D485" s="59"/>
      <c r="E485" s="59"/>
      <c r="F485" s="59"/>
      <c r="G485" s="59"/>
    </row>
    <row r="486" spans="1:7" ht="15.75" customHeight="1" x14ac:dyDescent="0.15">
      <c r="A486" s="59"/>
      <c r="B486" s="60"/>
      <c r="C486" s="61"/>
      <c r="D486" s="59"/>
      <c r="E486" s="59"/>
      <c r="F486" s="59"/>
      <c r="G486" s="59"/>
    </row>
    <row r="487" spans="1:7" ht="15.75" customHeight="1" x14ac:dyDescent="0.15">
      <c r="A487" s="59"/>
      <c r="B487" s="60"/>
      <c r="C487" s="61"/>
      <c r="D487" s="59"/>
      <c r="E487" s="59"/>
      <c r="F487" s="59"/>
      <c r="G487" s="59"/>
    </row>
    <row r="488" spans="1:7" ht="15.75" customHeight="1" x14ac:dyDescent="0.15">
      <c r="A488" s="59"/>
      <c r="B488" s="60"/>
      <c r="C488" s="61"/>
      <c r="D488" s="59"/>
      <c r="E488" s="59"/>
      <c r="F488" s="59"/>
      <c r="G488" s="59"/>
    </row>
    <row r="489" spans="1:7" ht="15.75" customHeight="1" x14ac:dyDescent="0.15">
      <c r="A489" s="59"/>
      <c r="B489" s="60"/>
      <c r="C489" s="61"/>
      <c r="D489" s="59"/>
      <c r="E489" s="59"/>
      <c r="F489" s="59"/>
      <c r="G489" s="59"/>
    </row>
    <row r="490" spans="1:7" ht="15.75" customHeight="1" x14ac:dyDescent="0.15">
      <c r="A490" s="59"/>
      <c r="B490" s="60"/>
      <c r="C490" s="61"/>
      <c r="D490" s="59"/>
      <c r="E490" s="59"/>
      <c r="F490" s="59"/>
      <c r="G490" s="59"/>
    </row>
    <row r="491" spans="1:7" ht="15.75" customHeight="1" x14ac:dyDescent="0.15">
      <c r="A491" s="59"/>
      <c r="B491" s="60"/>
      <c r="C491" s="61"/>
      <c r="D491" s="59"/>
      <c r="E491" s="59"/>
      <c r="F491" s="59"/>
      <c r="G491" s="59"/>
    </row>
    <row r="492" spans="1:7" ht="15.75" customHeight="1" x14ac:dyDescent="0.15">
      <c r="A492" s="59"/>
      <c r="B492" s="60"/>
      <c r="C492" s="61"/>
      <c r="D492" s="59"/>
      <c r="E492" s="59"/>
      <c r="F492" s="59"/>
      <c r="G492" s="59"/>
    </row>
    <row r="493" spans="1:7" ht="15.75" customHeight="1" x14ac:dyDescent="0.15">
      <c r="A493" s="59"/>
      <c r="B493" s="60"/>
      <c r="C493" s="61"/>
      <c r="D493" s="59"/>
      <c r="E493" s="59"/>
      <c r="F493" s="59"/>
      <c r="G493" s="59"/>
    </row>
    <row r="494" spans="1:7" ht="15.75" customHeight="1" x14ac:dyDescent="0.15">
      <c r="A494" s="59"/>
      <c r="B494" s="60"/>
      <c r="C494" s="61"/>
      <c r="D494" s="59"/>
      <c r="E494" s="59"/>
      <c r="F494" s="59"/>
      <c r="G494" s="59"/>
    </row>
    <row r="495" spans="1:7" ht="15.75" customHeight="1" x14ac:dyDescent="0.15">
      <c r="A495" s="59"/>
      <c r="B495" s="60"/>
      <c r="C495" s="61"/>
      <c r="D495" s="59"/>
      <c r="E495" s="59"/>
      <c r="F495" s="59"/>
      <c r="G495" s="59"/>
    </row>
    <row r="496" spans="1:7" ht="15.75" customHeight="1" x14ac:dyDescent="0.15">
      <c r="A496" s="59"/>
      <c r="B496" s="60"/>
      <c r="C496" s="61"/>
      <c r="D496" s="59"/>
      <c r="E496" s="59"/>
      <c r="F496" s="59"/>
      <c r="G496" s="59"/>
    </row>
    <row r="497" spans="1:7" ht="15.75" customHeight="1" x14ac:dyDescent="0.15">
      <c r="A497" s="59"/>
      <c r="B497" s="60"/>
      <c r="C497" s="61"/>
      <c r="D497" s="59"/>
      <c r="E497" s="59"/>
      <c r="F497" s="59"/>
      <c r="G497" s="59"/>
    </row>
    <row r="498" spans="1:7" ht="15.75" customHeight="1" x14ac:dyDescent="0.15">
      <c r="A498" s="59"/>
      <c r="B498" s="60"/>
      <c r="C498" s="61"/>
      <c r="D498" s="59"/>
      <c r="E498" s="59"/>
      <c r="F498" s="59"/>
      <c r="G498" s="59"/>
    </row>
    <row r="499" spans="1:7" ht="15.75" customHeight="1" x14ac:dyDescent="0.15">
      <c r="A499" s="59"/>
      <c r="B499" s="60"/>
      <c r="C499" s="61"/>
      <c r="D499" s="59"/>
      <c r="E499" s="59"/>
      <c r="F499" s="59"/>
      <c r="G499" s="59"/>
    </row>
    <row r="500" spans="1:7" ht="15.75" customHeight="1" x14ac:dyDescent="0.15">
      <c r="A500" s="59"/>
      <c r="B500" s="60"/>
      <c r="C500" s="61"/>
      <c r="D500" s="59"/>
      <c r="E500" s="59"/>
      <c r="F500" s="59"/>
      <c r="G500" s="59"/>
    </row>
    <row r="501" spans="1:7" ht="15.75" customHeight="1" x14ac:dyDescent="0.15">
      <c r="A501" s="59"/>
      <c r="B501" s="60"/>
      <c r="C501" s="61"/>
      <c r="D501" s="59"/>
      <c r="E501" s="59"/>
      <c r="F501" s="59"/>
      <c r="G501" s="59"/>
    </row>
    <row r="502" spans="1:7" ht="15.75" customHeight="1" x14ac:dyDescent="0.15">
      <c r="A502" s="59"/>
      <c r="B502" s="60"/>
      <c r="C502" s="61"/>
      <c r="D502" s="59"/>
      <c r="E502" s="59"/>
      <c r="F502" s="59"/>
      <c r="G502" s="59"/>
    </row>
    <row r="503" spans="1:7" ht="15.75" customHeight="1" x14ac:dyDescent="0.15">
      <c r="A503" s="59"/>
      <c r="B503" s="60"/>
      <c r="C503" s="61"/>
      <c r="D503" s="59"/>
      <c r="E503" s="59"/>
      <c r="F503" s="59"/>
      <c r="G503" s="59"/>
    </row>
    <row r="504" spans="1:7" ht="15.75" customHeight="1" x14ac:dyDescent="0.15">
      <c r="A504" s="59"/>
      <c r="B504" s="60"/>
      <c r="C504" s="61"/>
      <c r="D504" s="59"/>
      <c r="E504" s="59"/>
      <c r="F504" s="59"/>
      <c r="G504" s="59"/>
    </row>
    <row r="505" spans="1:7" ht="15.75" customHeight="1" x14ac:dyDescent="0.15">
      <c r="A505" s="59"/>
      <c r="B505" s="60"/>
      <c r="C505" s="61"/>
      <c r="D505" s="59"/>
      <c r="E505" s="59"/>
      <c r="F505" s="59"/>
      <c r="G505" s="59"/>
    </row>
    <row r="506" spans="1:7" ht="15.75" customHeight="1" x14ac:dyDescent="0.15">
      <c r="A506" s="59"/>
      <c r="B506" s="60"/>
      <c r="C506" s="61"/>
      <c r="D506" s="59"/>
      <c r="E506" s="59"/>
      <c r="F506" s="59"/>
      <c r="G506" s="59"/>
    </row>
    <row r="507" spans="1:7" ht="15.75" customHeight="1" x14ac:dyDescent="0.15">
      <c r="A507" s="59"/>
      <c r="B507" s="60"/>
      <c r="C507" s="61"/>
      <c r="D507" s="59"/>
      <c r="E507" s="59"/>
      <c r="F507" s="59"/>
      <c r="G507" s="59"/>
    </row>
    <row r="508" spans="1:7" ht="15.75" customHeight="1" x14ac:dyDescent="0.15">
      <c r="A508" s="59"/>
      <c r="B508" s="60"/>
      <c r="C508" s="61"/>
      <c r="D508" s="59"/>
      <c r="E508" s="59"/>
      <c r="F508" s="59"/>
      <c r="G508" s="59"/>
    </row>
    <row r="509" spans="1:7" ht="15.75" customHeight="1" x14ac:dyDescent="0.15">
      <c r="A509" s="59"/>
      <c r="B509" s="60"/>
      <c r="C509" s="61"/>
      <c r="D509" s="59"/>
      <c r="E509" s="59"/>
      <c r="F509" s="59"/>
      <c r="G509" s="59"/>
    </row>
    <row r="510" spans="1:7" ht="15.75" customHeight="1" x14ac:dyDescent="0.15">
      <c r="A510" s="59"/>
      <c r="B510" s="60"/>
      <c r="C510" s="61"/>
      <c r="D510" s="59"/>
      <c r="E510" s="59"/>
      <c r="F510" s="59"/>
      <c r="G510" s="59"/>
    </row>
    <row r="511" spans="1:7" ht="15.75" customHeight="1" x14ac:dyDescent="0.15">
      <c r="A511" s="59"/>
      <c r="B511" s="60"/>
      <c r="C511" s="61"/>
      <c r="D511" s="59"/>
      <c r="E511" s="59"/>
      <c r="F511" s="59"/>
      <c r="G511" s="59"/>
    </row>
    <row r="512" spans="1:7" ht="15.75" customHeight="1" x14ac:dyDescent="0.15">
      <c r="A512" s="59"/>
      <c r="B512" s="60"/>
      <c r="C512" s="61"/>
      <c r="D512" s="59"/>
      <c r="E512" s="59"/>
      <c r="F512" s="59"/>
      <c r="G512" s="59"/>
    </row>
    <row r="513" spans="1:7" ht="15.75" customHeight="1" x14ac:dyDescent="0.15">
      <c r="A513" s="59"/>
      <c r="B513" s="60"/>
      <c r="C513" s="61"/>
      <c r="D513" s="59"/>
      <c r="E513" s="59"/>
      <c r="F513" s="59"/>
      <c r="G513" s="59"/>
    </row>
    <row r="514" spans="1:7" ht="15.75" customHeight="1" x14ac:dyDescent="0.15">
      <c r="A514" s="59"/>
      <c r="B514" s="60"/>
      <c r="C514" s="61"/>
      <c r="D514" s="59"/>
      <c r="E514" s="59"/>
      <c r="F514" s="59"/>
      <c r="G514" s="59"/>
    </row>
    <row r="515" spans="1:7" ht="15.75" customHeight="1" x14ac:dyDescent="0.15">
      <c r="A515" s="59"/>
      <c r="B515" s="60"/>
      <c r="C515" s="61"/>
      <c r="D515" s="59"/>
      <c r="E515" s="59"/>
      <c r="F515" s="59"/>
      <c r="G515" s="59"/>
    </row>
    <row r="516" spans="1:7" ht="15.75" customHeight="1" x14ac:dyDescent="0.15">
      <c r="A516" s="59"/>
      <c r="B516" s="60"/>
      <c r="C516" s="61"/>
      <c r="D516" s="59"/>
      <c r="E516" s="59"/>
      <c r="F516" s="59"/>
      <c r="G516" s="59"/>
    </row>
    <row r="517" spans="1:7" ht="15.75" customHeight="1" x14ac:dyDescent="0.15">
      <c r="A517" s="59"/>
      <c r="B517" s="60"/>
      <c r="C517" s="61"/>
      <c r="D517" s="59"/>
      <c r="E517" s="59"/>
      <c r="F517" s="59"/>
      <c r="G517" s="59"/>
    </row>
    <row r="518" spans="1:7" ht="15.75" customHeight="1" x14ac:dyDescent="0.15">
      <c r="A518" s="59"/>
      <c r="B518" s="60"/>
      <c r="C518" s="61"/>
      <c r="D518" s="59"/>
      <c r="E518" s="59"/>
      <c r="F518" s="59"/>
      <c r="G518" s="59"/>
    </row>
    <row r="519" spans="1:7" ht="15.75" customHeight="1" x14ac:dyDescent="0.15">
      <c r="A519" s="59"/>
      <c r="B519" s="60"/>
      <c r="C519" s="61"/>
      <c r="D519" s="59"/>
      <c r="E519" s="59"/>
      <c r="F519" s="59"/>
      <c r="G519" s="59"/>
    </row>
    <row r="520" spans="1:7" ht="15.75" customHeight="1" x14ac:dyDescent="0.15">
      <c r="A520" s="59"/>
      <c r="B520" s="60"/>
      <c r="C520" s="61"/>
      <c r="D520" s="59"/>
      <c r="E520" s="59"/>
      <c r="F520" s="59"/>
      <c r="G520" s="59"/>
    </row>
    <row r="521" spans="1:7" ht="15.75" customHeight="1" x14ac:dyDescent="0.15">
      <c r="A521" s="59"/>
      <c r="B521" s="60"/>
      <c r="C521" s="61"/>
      <c r="D521" s="59"/>
      <c r="E521" s="59"/>
      <c r="F521" s="59"/>
      <c r="G521" s="59"/>
    </row>
    <row r="522" spans="1:7" ht="15.75" customHeight="1" x14ac:dyDescent="0.15">
      <c r="A522" s="59"/>
      <c r="B522" s="60"/>
      <c r="C522" s="61"/>
      <c r="D522" s="59"/>
      <c r="E522" s="59"/>
      <c r="F522" s="59"/>
      <c r="G522" s="59"/>
    </row>
    <row r="523" spans="1:7" ht="15.75" customHeight="1" x14ac:dyDescent="0.15">
      <c r="A523" s="59"/>
      <c r="B523" s="60"/>
      <c r="C523" s="61"/>
      <c r="D523" s="59"/>
      <c r="E523" s="59"/>
      <c r="F523" s="59"/>
      <c r="G523" s="59"/>
    </row>
    <row r="524" spans="1:7" ht="15.75" customHeight="1" x14ac:dyDescent="0.15">
      <c r="A524" s="59"/>
      <c r="B524" s="60"/>
      <c r="C524" s="61"/>
      <c r="D524" s="59"/>
      <c r="E524" s="59"/>
      <c r="F524" s="59"/>
      <c r="G524" s="59"/>
    </row>
    <row r="525" spans="1:7" ht="15.75" customHeight="1" x14ac:dyDescent="0.15">
      <c r="A525" s="59"/>
      <c r="B525" s="60"/>
      <c r="C525" s="61"/>
      <c r="D525" s="59"/>
      <c r="E525" s="59"/>
      <c r="F525" s="59"/>
      <c r="G525" s="59"/>
    </row>
    <row r="526" spans="1:7" ht="15.75" customHeight="1" x14ac:dyDescent="0.15">
      <c r="A526" s="59"/>
      <c r="B526" s="60"/>
      <c r="C526" s="61"/>
      <c r="D526" s="59"/>
      <c r="E526" s="59"/>
      <c r="F526" s="59"/>
      <c r="G526" s="59"/>
    </row>
    <row r="527" spans="1:7" ht="15.75" customHeight="1" x14ac:dyDescent="0.15">
      <c r="A527" s="59"/>
      <c r="B527" s="60"/>
      <c r="C527" s="61"/>
      <c r="D527" s="59"/>
      <c r="E527" s="59"/>
      <c r="F527" s="59"/>
      <c r="G527" s="59"/>
    </row>
    <row r="528" spans="1:7" ht="15.75" customHeight="1" x14ac:dyDescent="0.15">
      <c r="A528" s="59"/>
      <c r="B528" s="60"/>
      <c r="C528" s="61"/>
      <c r="D528" s="59"/>
      <c r="E528" s="59"/>
      <c r="F528" s="59"/>
      <c r="G528" s="59"/>
    </row>
    <row r="529" spans="1:7" ht="15.75" customHeight="1" x14ac:dyDescent="0.15">
      <c r="A529" s="59"/>
      <c r="B529" s="60"/>
      <c r="C529" s="61"/>
      <c r="D529" s="59"/>
      <c r="E529" s="59"/>
      <c r="F529" s="59"/>
      <c r="G529" s="59"/>
    </row>
    <row r="530" spans="1:7" ht="15.75" customHeight="1" x14ac:dyDescent="0.15">
      <c r="A530" s="59"/>
      <c r="B530" s="60"/>
      <c r="C530" s="61"/>
      <c r="D530" s="59"/>
      <c r="E530" s="59"/>
      <c r="F530" s="59"/>
      <c r="G530" s="59"/>
    </row>
    <row r="531" spans="1:7" ht="15.75" customHeight="1" x14ac:dyDescent="0.15">
      <c r="A531" s="59"/>
      <c r="B531" s="60"/>
      <c r="C531" s="61"/>
      <c r="D531" s="59"/>
      <c r="E531" s="59"/>
      <c r="F531" s="59"/>
      <c r="G531" s="59"/>
    </row>
    <row r="532" spans="1:7" ht="15.75" customHeight="1" x14ac:dyDescent="0.15">
      <c r="A532" s="59"/>
      <c r="B532" s="60"/>
      <c r="C532" s="61"/>
      <c r="D532" s="59"/>
      <c r="E532" s="59"/>
      <c r="F532" s="59"/>
      <c r="G532" s="59"/>
    </row>
    <row r="533" spans="1:7" ht="15.75" customHeight="1" x14ac:dyDescent="0.15">
      <c r="A533" s="59"/>
      <c r="B533" s="60"/>
      <c r="C533" s="61"/>
      <c r="D533" s="59"/>
      <c r="E533" s="59"/>
      <c r="F533" s="59"/>
      <c r="G533" s="59"/>
    </row>
    <row r="534" spans="1:7" ht="15.75" customHeight="1" x14ac:dyDescent="0.15">
      <c r="A534" s="59"/>
      <c r="B534" s="60"/>
      <c r="C534" s="61"/>
      <c r="D534" s="59"/>
      <c r="E534" s="59"/>
      <c r="F534" s="59"/>
      <c r="G534" s="59"/>
    </row>
    <row r="535" spans="1:7" ht="15.75" customHeight="1" x14ac:dyDescent="0.15">
      <c r="A535" s="59"/>
      <c r="B535" s="60"/>
      <c r="C535" s="61"/>
      <c r="D535" s="59"/>
      <c r="E535" s="59"/>
      <c r="F535" s="59"/>
      <c r="G535" s="59"/>
    </row>
    <row r="536" spans="1:7" ht="15.75" customHeight="1" x14ac:dyDescent="0.15">
      <c r="A536" s="59"/>
      <c r="B536" s="60"/>
      <c r="C536" s="61"/>
      <c r="D536" s="59"/>
      <c r="E536" s="59"/>
      <c r="F536" s="59"/>
      <c r="G536" s="59"/>
    </row>
    <row r="537" spans="1:7" ht="15.75" customHeight="1" x14ac:dyDescent="0.15">
      <c r="A537" s="59"/>
      <c r="B537" s="60"/>
      <c r="C537" s="61"/>
      <c r="D537" s="59"/>
      <c r="E537" s="59"/>
      <c r="F537" s="59"/>
      <c r="G537" s="59"/>
    </row>
    <row r="538" spans="1:7" ht="15.75" customHeight="1" x14ac:dyDescent="0.15">
      <c r="A538" s="59"/>
      <c r="B538" s="60"/>
      <c r="C538" s="61"/>
      <c r="D538" s="59"/>
      <c r="E538" s="59"/>
      <c r="F538" s="59"/>
      <c r="G538" s="59"/>
    </row>
    <row r="539" spans="1:7" ht="15.75" customHeight="1" x14ac:dyDescent="0.15">
      <c r="A539" s="59"/>
      <c r="B539" s="60"/>
      <c r="C539" s="61"/>
      <c r="D539" s="59"/>
      <c r="E539" s="59"/>
      <c r="F539" s="59"/>
      <c r="G539" s="59"/>
    </row>
    <row r="540" spans="1:7" ht="15.75" customHeight="1" x14ac:dyDescent="0.15">
      <c r="A540" s="59"/>
      <c r="B540" s="60"/>
      <c r="C540" s="61"/>
      <c r="D540" s="59"/>
      <c r="E540" s="59"/>
      <c r="F540" s="59"/>
      <c r="G540" s="59"/>
    </row>
    <row r="541" spans="1:7" ht="15.75" customHeight="1" x14ac:dyDescent="0.15">
      <c r="A541" s="59"/>
      <c r="B541" s="60"/>
      <c r="C541" s="61"/>
      <c r="D541" s="59"/>
      <c r="E541" s="59"/>
      <c r="F541" s="59"/>
      <c r="G541" s="59"/>
    </row>
    <row r="542" spans="1:7" ht="15.75" customHeight="1" x14ac:dyDescent="0.15">
      <c r="A542" s="59"/>
      <c r="B542" s="60"/>
      <c r="C542" s="61"/>
      <c r="D542" s="59"/>
      <c r="E542" s="59"/>
      <c r="F542" s="59"/>
      <c r="G542" s="59"/>
    </row>
    <row r="543" spans="1:7" ht="15.75" customHeight="1" x14ac:dyDescent="0.15">
      <c r="A543" s="59"/>
      <c r="B543" s="60"/>
      <c r="C543" s="61"/>
      <c r="D543" s="59"/>
      <c r="E543" s="59"/>
      <c r="F543" s="59"/>
      <c r="G543" s="59"/>
    </row>
    <row r="544" spans="1:7" ht="15.75" customHeight="1" x14ac:dyDescent="0.15">
      <c r="A544" s="59"/>
      <c r="B544" s="60"/>
      <c r="C544" s="61"/>
      <c r="D544" s="59"/>
      <c r="E544" s="59"/>
      <c r="F544" s="59"/>
      <c r="G544" s="59"/>
    </row>
    <row r="545" spans="1:7" ht="15.75" customHeight="1" x14ac:dyDescent="0.15">
      <c r="A545" s="59"/>
      <c r="B545" s="60"/>
      <c r="C545" s="61"/>
      <c r="D545" s="59"/>
      <c r="E545" s="59"/>
      <c r="F545" s="59"/>
      <c r="G545" s="59"/>
    </row>
    <row r="546" spans="1:7" ht="15.75" customHeight="1" x14ac:dyDescent="0.15">
      <c r="A546" s="59"/>
      <c r="B546" s="60"/>
      <c r="C546" s="61"/>
      <c r="D546" s="59"/>
      <c r="E546" s="59"/>
      <c r="F546" s="59"/>
      <c r="G546" s="59"/>
    </row>
    <row r="547" spans="1:7" ht="15.75" customHeight="1" x14ac:dyDescent="0.15">
      <c r="A547" s="59"/>
      <c r="B547" s="60"/>
      <c r="C547" s="61"/>
      <c r="D547" s="59"/>
      <c r="E547" s="59"/>
      <c r="F547" s="59"/>
      <c r="G547" s="59"/>
    </row>
    <row r="548" spans="1:7" ht="15.75" customHeight="1" x14ac:dyDescent="0.15">
      <c r="A548" s="59"/>
      <c r="B548" s="60"/>
      <c r="C548" s="61"/>
      <c r="D548" s="59"/>
      <c r="E548" s="59"/>
      <c r="F548" s="59"/>
      <c r="G548" s="59"/>
    </row>
    <row r="549" spans="1:7" ht="15.75" customHeight="1" x14ac:dyDescent="0.15">
      <c r="A549" s="59"/>
      <c r="B549" s="60"/>
      <c r="C549" s="61"/>
      <c r="D549" s="59"/>
      <c r="E549" s="59"/>
      <c r="F549" s="59"/>
      <c r="G549" s="59"/>
    </row>
    <row r="550" spans="1:7" ht="15.75" customHeight="1" x14ac:dyDescent="0.15">
      <c r="A550" s="59"/>
      <c r="B550" s="60"/>
      <c r="C550" s="61"/>
      <c r="D550" s="59"/>
      <c r="E550" s="59"/>
      <c r="F550" s="59"/>
      <c r="G550" s="59"/>
    </row>
    <row r="551" spans="1:7" ht="15.75" customHeight="1" x14ac:dyDescent="0.15">
      <c r="A551" s="59"/>
      <c r="B551" s="60"/>
      <c r="C551" s="61"/>
      <c r="D551" s="59"/>
      <c r="E551" s="59"/>
      <c r="F551" s="59"/>
      <c r="G551" s="59"/>
    </row>
    <row r="552" spans="1:7" ht="15.75" customHeight="1" x14ac:dyDescent="0.15">
      <c r="A552" s="59"/>
      <c r="B552" s="60"/>
      <c r="C552" s="61"/>
      <c r="D552" s="59"/>
      <c r="E552" s="59"/>
      <c r="F552" s="59"/>
      <c r="G552" s="59"/>
    </row>
    <row r="553" spans="1:7" ht="15.75" customHeight="1" x14ac:dyDescent="0.15">
      <c r="A553" s="59"/>
      <c r="B553" s="60"/>
      <c r="C553" s="61"/>
      <c r="D553" s="59"/>
      <c r="E553" s="59"/>
      <c r="F553" s="59"/>
      <c r="G553" s="59"/>
    </row>
    <row r="554" spans="1:7" ht="15.75" customHeight="1" x14ac:dyDescent="0.15">
      <c r="A554" s="59"/>
      <c r="B554" s="60"/>
      <c r="C554" s="61"/>
      <c r="D554" s="59"/>
      <c r="E554" s="59"/>
      <c r="F554" s="59"/>
      <c r="G554" s="59"/>
    </row>
    <row r="555" spans="1:7" ht="15.75" customHeight="1" x14ac:dyDescent="0.15">
      <c r="A555" s="59"/>
      <c r="B555" s="60"/>
      <c r="C555" s="61"/>
      <c r="D555" s="59"/>
      <c r="E555" s="59"/>
      <c r="F555" s="59"/>
      <c r="G555" s="59"/>
    </row>
    <row r="556" spans="1:7" ht="15.75" customHeight="1" x14ac:dyDescent="0.15">
      <c r="A556" s="59"/>
      <c r="B556" s="60"/>
      <c r="C556" s="61"/>
      <c r="D556" s="59"/>
      <c r="E556" s="59"/>
      <c r="F556" s="59"/>
      <c r="G556" s="59"/>
    </row>
    <row r="557" spans="1:7" ht="15.75" customHeight="1" x14ac:dyDescent="0.15">
      <c r="A557" s="59"/>
      <c r="B557" s="60"/>
      <c r="C557" s="61"/>
      <c r="D557" s="59"/>
      <c r="E557" s="59"/>
      <c r="F557" s="59"/>
      <c r="G557" s="59"/>
    </row>
    <row r="558" spans="1:7" ht="15.75" customHeight="1" x14ac:dyDescent="0.15">
      <c r="A558" s="59"/>
      <c r="B558" s="60"/>
      <c r="C558" s="61"/>
      <c r="D558" s="59"/>
      <c r="E558" s="59"/>
      <c r="F558" s="59"/>
      <c r="G558" s="59"/>
    </row>
    <row r="559" spans="1:7" ht="15.75" customHeight="1" x14ac:dyDescent="0.15">
      <c r="A559" s="59"/>
      <c r="B559" s="60"/>
      <c r="C559" s="61"/>
      <c r="D559" s="59"/>
      <c r="E559" s="59"/>
      <c r="F559" s="59"/>
      <c r="G559" s="59"/>
    </row>
    <row r="560" spans="1:7" ht="15.75" customHeight="1" x14ac:dyDescent="0.15">
      <c r="A560" s="59"/>
      <c r="B560" s="60"/>
      <c r="C560" s="61"/>
      <c r="D560" s="59"/>
      <c r="E560" s="59"/>
      <c r="F560" s="59"/>
      <c r="G560" s="59"/>
    </row>
    <row r="561" spans="1:7" ht="15.75" customHeight="1" x14ac:dyDescent="0.15">
      <c r="A561" s="59"/>
      <c r="B561" s="60"/>
      <c r="C561" s="61"/>
      <c r="D561" s="59"/>
      <c r="E561" s="59"/>
      <c r="F561" s="59"/>
      <c r="G561" s="59"/>
    </row>
    <row r="562" spans="1:7" ht="15.75" customHeight="1" x14ac:dyDescent="0.15">
      <c r="A562" s="59"/>
      <c r="B562" s="60"/>
      <c r="C562" s="61"/>
      <c r="D562" s="59"/>
      <c r="E562" s="59"/>
      <c r="F562" s="59"/>
      <c r="G562" s="59"/>
    </row>
    <row r="563" spans="1:7" ht="15.75" customHeight="1" x14ac:dyDescent="0.15">
      <c r="A563" s="59"/>
      <c r="B563" s="60"/>
      <c r="C563" s="61"/>
      <c r="D563" s="59"/>
      <c r="E563" s="59"/>
      <c r="F563" s="59"/>
      <c r="G563" s="59"/>
    </row>
    <row r="564" spans="1:7" ht="15.75" customHeight="1" x14ac:dyDescent="0.15">
      <c r="A564" s="59"/>
      <c r="B564" s="60"/>
      <c r="C564" s="61"/>
      <c r="D564" s="59"/>
      <c r="E564" s="59"/>
      <c r="F564" s="59"/>
      <c r="G564" s="59"/>
    </row>
    <row r="565" spans="1:7" ht="15.75" customHeight="1" x14ac:dyDescent="0.15">
      <c r="A565" s="59"/>
      <c r="B565" s="60"/>
      <c r="C565" s="61"/>
      <c r="D565" s="59"/>
      <c r="E565" s="59"/>
      <c r="F565" s="59"/>
      <c r="G565" s="59"/>
    </row>
    <row r="566" spans="1:7" ht="15.75" customHeight="1" x14ac:dyDescent="0.15">
      <c r="A566" s="59"/>
      <c r="B566" s="60"/>
      <c r="C566" s="61"/>
      <c r="D566" s="59"/>
      <c r="E566" s="59"/>
      <c r="F566" s="59"/>
      <c r="G566" s="59"/>
    </row>
    <row r="567" spans="1:7" ht="15.75" customHeight="1" x14ac:dyDescent="0.15">
      <c r="A567" s="59"/>
      <c r="B567" s="60"/>
      <c r="C567" s="61"/>
      <c r="D567" s="59"/>
      <c r="E567" s="59"/>
      <c r="F567" s="59"/>
      <c r="G567" s="59"/>
    </row>
    <row r="568" spans="1:7" ht="15.75" customHeight="1" x14ac:dyDescent="0.15">
      <c r="A568" s="59"/>
      <c r="B568" s="60"/>
      <c r="C568" s="61"/>
      <c r="D568" s="59"/>
      <c r="E568" s="59"/>
      <c r="F568" s="59"/>
      <c r="G568" s="59"/>
    </row>
    <row r="569" spans="1:7" ht="15.75" customHeight="1" x14ac:dyDescent="0.15">
      <c r="A569" s="59"/>
      <c r="B569" s="60"/>
      <c r="C569" s="61"/>
      <c r="D569" s="59"/>
      <c r="E569" s="59"/>
      <c r="F569" s="59"/>
      <c r="G569" s="59"/>
    </row>
    <row r="570" spans="1:7" ht="15.75" customHeight="1" x14ac:dyDescent="0.15">
      <c r="A570" s="59"/>
      <c r="B570" s="60"/>
      <c r="C570" s="61"/>
      <c r="D570" s="59"/>
      <c r="E570" s="59"/>
      <c r="F570" s="59"/>
      <c r="G570" s="59"/>
    </row>
    <row r="571" spans="1:7" ht="15.75" customHeight="1" x14ac:dyDescent="0.15">
      <c r="A571" s="59"/>
      <c r="B571" s="60"/>
      <c r="C571" s="61"/>
      <c r="D571" s="59"/>
      <c r="E571" s="59"/>
      <c r="F571" s="59"/>
      <c r="G571" s="59"/>
    </row>
    <row r="572" spans="1:7" ht="15.75" customHeight="1" x14ac:dyDescent="0.15">
      <c r="A572" s="59"/>
      <c r="B572" s="60"/>
      <c r="C572" s="61"/>
      <c r="D572" s="59"/>
      <c r="E572" s="59"/>
      <c r="F572" s="59"/>
      <c r="G572" s="59"/>
    </row>
    <row r="573" spans="1:7" ht="15.75" customHeight="1" x14ac:dyDescent="0.15">
      <c r="A573" s="59"/>
      <c r="B573" s="60"/>
      <c r="C573" s="61"/>
      <c r="D573" s="59"/>
      <c r="E573" s="59"/>
      <c r="F573" s="59"/>
      <c r="G573" s="59"/>
    </row>
    <row r="574" spans="1:7" ht="15.75" customHeight="1" x14ac:dyDescent="0.15">
      <c r="A574" s="59"/>
      <c r="B574" s="60"/>
      <c r="C574" s="61"/>
      <c r="D574" s="59"/>
      <c r="E574" s="59"/>
      <c r="F574" s="59"/>
      <c r="G574" s="59"/>
    </row>
    <row r="575" spans="1:7" ht="15.75" customHeight="1" x14ac:dyDescent="0.15">
      <c r="A575" s="59"/>
      <c r="B575" s="60"/>
      <c r="C575" s="61"/>
      <c r="D575" s="59"/>
      <c r="E575" s="59"/>
      <c r="F575" s="59"/>
      <c r="G575" s="59"/>
    </row>
    <row r="576" spans="1:7" ht="15.75" customHeight="1" x14ac:dyDescent="0.15">
      <c r="A576" s="59"/>
      <c r="B576" s="60"/>
      <c r="C576" s="61"/>
      <c r="D576" s="59"/>
      <c r="E576" s="59"/>
      <c r="F576" s="59"/>
      <c r="G576" s="59"/>
    </row>
    <row r="577" spans="1:7" ht="15.75" customHeight="1" x14ac:dyDescent="0.15">
      <c r="A577" s="59"/>
      <c r="B577" s="60"/>
      <c r="C577" s="61"/>
      <c r="D577" s="59"/>
      <c r="E577" s="59"/>
      <c r="F577" s="59"/>
      <c r="G577" s="59"/>
    </row>
    <row r="578" spans="1:7" ht="15.75" customHeight="1" x14ac:dyDescent="0.15">
      <c r="A578" s="59"/>
      <c r="B578" s="60"/>
      <c r="C578" s="61"/>
      <c r="D578" s="59"/>
      <c r="E578" s="59"/>
      <c r="F578" s="59"/>
      <c r="G578" s="59"/>
    </row>
    <row r="579" spans="1:7" ht="15.75" customHeight="1" x14ac:dyDescent="0.15">
      <c r="A579" s="59"/>
      <c r="B579" s="60"/>
      <c r="C579" s="61"/>
      <c r="D579" s="59"/>
      <c r="E579" s="59"/>
      <c r="F579" s="59"/>
      <c r="G579" s="59"/>
    </row>
    <row r="580" spans="1:7" ht="15.75" customHeight="1" x14ac:dyDescent="0.15">
      <c r="A580" s="59"/>
      <c r="B580" s="60"/>
      <c r="C580" s="61"/>
      <c r="D580" s="59"/>
      <c r="E580" s="59"/>
      <c r="F580" s="59"/>
      <c r="G580" s="59"/>
    </row>
    <row r="581" spans="1:7" ht="15.75" customHeight="1" x14ac:dyDescent="0.15">
      <c r="A581" s="59"/>
      <c r="B581" s="60"/>
      <c r="C581" s="61"/>
      <c r="D581" s="59"/>
      <c r="E581" s="59"/>
      <c r="F581" s="59"/>
      <c r="G581" s="59"/>
    </row>
    <row r="582" spans="1:7" ht="15.75" customHeight="1" x14ac:dyDescent="0.15">
      <c r="A582" s="59"/>
      <c r="B582" s="60"/>
      <c r="C582" s="61"/>
      <c r="D582" s="59"/>
      <c r="E582" s="59"/>
      <c r="F582" s="59"/>
      <c r="G582" s="59"/>
    </row>
    <row r="583" spans="1:7" ht="15.75" customHeight="1" x14ac:dyDescent="0.15">
      <c r="A583" s="59"/>
      <c r="B583" s="60"/>
      <c r="C583" s="61"/>
      <c r="D583" s="59"/>
      <c r="E583" s="59"/>
      <c r="F583" s="59"/>
      <c r="G583" s="59"/>
    </row>
    <row r="584" spans="1:7" ht="15.75" customHeight="1" x14ac:dyDescent="0.15">
      <c r="A584" s="59"/>
      <c r="B584" s="60"/>
      <c r="C584" s="61"/>
      <c r="D584" s="59"/>
      <c r="E584" s="59"/>
      <c r="F584" s="59"/>
      <c r="G584" s="59"/>
    </row>
    <row r="585" spans="1:7" ht="15.75" customHeight="1" x14ac:dyDescent="0.15">
      <c r="A585" s="59"/>
      <c r="B585" s="60"/>
      <c r="C585" s="61"/>
      <c r="D585" s="59"/>
      <c r="E585" s="59"/>
      <c r="F585" s="59"/>
      <c r="G585" s="59"/>
    </row>
    <row r="586" spans="1:7" ht="15.75" customHeight="1" x14ac:dyDescent="0.15">
      <c r="A586" s="59"/>
      <c r="B586" s="60"/>
      <c r="C586" s="61"/>
      <c r="D586" s="59"/>
      <c r="E586" s="59"/>
      <c r="F586" s="59"/>
      <c r="G586" s="59"/>
    </row>
    <row r="587" spans="1:7" ht="15.75" customHeight="1" x14ac:dyDescent="0.15">
      <c r="A587" s="59"/>
      <c r="B587" s="60"/>
      <c r="C587" s="61"/>
      <c r="D587" s="59"/>
      <c r="E587" s="59"/>
      <c r="F587" s="59"/>
      <c r="G587" s="59"/>
    </row>
    <row r="588" spans="1:7" ht="15.75" customHeight="1" x14ac:dyDescent="0.15">
      <c r="A588" s="59"/>
      <c r="B588" s="60"/>
      <c r="C588" s="61"/>
      <c r="D588" s="59"/>
      <c r="E588" s="59"/>
      <c r="F588" s="59"/>
      <c r="G588" s="59"/>
    </row>
    <row r="589" spans="1:7" ht="15.75" customHeight="1" x14ac:dyDescent="0.15">
      <c r="A589" s="59"/>
      <c r="B589" s="60"/>
      <c r="C589" s="61"/>
      <c r="D589" s="59"/>
      <c r="E589" s="59"/>
      <c r="F589" s="59"/>
      <c r="G589" s="59"/>
    </row>
    <row r="590" spans="1:7" ht="15.75" customHeight="1" x14ac:dyDescent="0.15">
      <c r="A590" s="59"/>
      <c r="B590" s="60"/>
      <c r="C590" s="61"/>
      <c r="D590" s="59"/>
      <c r="E590" s="59"/>
      <c r="F590" s="59"/>
      <c r="G590" s="59"/>
    </row>
    <row r="591" spans="1:7" ht="15.75" customHeight="1" x14ac:dyDescent="0.15">
      <c r="A591" s="59"/>
      <c r="B591" s="60"/>
      <c r="C591" s="61"/>
      <c r="D591" s="59"/>
      <c r="E591" s="59"/>
      <c r="F591" s="59"/>
      <c r="G591" s="59"/>
    </row>
    <row r="592" spans="1:7" ht="15.75" customHeight="1" x14ac:dyDescent="0.15">
      <c r="A592" s="59"/>
      <c r="B592" s="60"/>
      <c r="C592" s="61"/>
      <c r="D592" s="59"/>
      <c r="E592" s="59"/>
      <c r="F592" s="59"/>
      <c r="G592" s="59"/>
    </row>
    <row r="593" spans="1:7" ht="15.75" customHeight="1" x14ac:dyDescent="0.15">
      <c r="A593" s="59"/>
      <c r="B593" s="60"/>
      <c r="C593" s="61"/>
      <c r="D593" s="59"/>
      <c r="E593" s="59"/>
      <c r="F593" s="59"/>
      <c r="G593" s="59"/>
    </row>
    <row r="594" spans="1:7" ht="15.75" customHeight="1" x14ac:dyDescent="0.15">
      <c r="A594" s="59"/>
      <c r="B594" s="60"/>
      <c r="C594" s="61"/>
      <c r="D594" s="59"/>
      <c r="E594" s="59"/>
      <c r="F594" s="59"/>
      <c r="G594" s="59"/>
    </row>
    <row r="595" spans="1:7" ht="15.75" customHeight="1" x14ac:dyDescent="0.15">
      <c r="A595" s="59"/>
      <c r="B595" s="60"/>
      <c r="C595" s="61"/>
      <c r="D595" s="59"/>
      <c r="E595" s="59"/>
      <c r="F595" s="59"/>
      <c r="G595" s="59"/>
    </row>
    <row r="596" spans="1:7" ht="15.75" customHeight="1" x14ac:dyDescent="0.15">
      <c r="A596" s="59"/>
      <c r="B596" s="60"/>
      <c r="C596" s="61"/>
      <c r="D596" s="59"/>
      <c r="E596" s="59"/>
      <c r="F596" s="59"/>
      <c r="G596" s="59"/>
    </row>
    <row r="597" spans="1:7" ht="15.75" customHeight="1" x14ac:dyDescent="0.15">
      <c r="A597" s="59"/>
      <c r="B597" s="60"/>
      <c r="C597" s="61"/>
      <c r="D597" s="59"/>
      <c r="E597" s="59"/>
      <c r="F597" s="59"/>
      <c r="G597" s="59"/>
    </row>
    <row r="598" spans="1:7" ht="15.75" customHeight="1" x14ac:dyDescent="0.15">
      <c r="A598" s="59"/>
      <c r="B598" s="60"/>
      <c r="C598" s="61"/>
      <c r="D598" s="59"/>
      <c r="E598" s="59"/>
      <c r="F598" s="59"/>
      <c r="G598" s="59"/>
    </row>
    <row r="599" spans="1:7" ht="15.75" customHeight="1" x14ac:dyDescent="0.15">
      <c r="A599" s="59"/>
      <c r="B599" s="60"/>
      <c r="C599" s="61"/>
      <c r="D599" s="59"/>
      <c r="E599" s="59"/>
      <c r="F599" s="59"/>
      <c r="G599" s="59"/>
    </row>
    <row r="600" spans="1:7" ht="15.75" customHeight="1" x14ac:dyDescent="0.15">
      <c r="A600" s="59"/>
      <c r="B600" s="60"/>
      <c r="C600" s="61"/>
      <c r="D600" s="59"/>
      <c r="E600" s="59"/>
      <c r="F600" s="59"/>
      <c r="G600" s="59"/>
    </row>
    <row r="601" spans="1:7" ht="15.75" customHeight="1" x14ac:dyDescent="0.15">
      <c r="A601" s="59"/>
      <c r="B601" s="60"/>
      <c r="C601" s="61"/>
      <c r="D601" s="59"/>
      <c r="E601" s="59"/>
      <c r="F601" s="59"/>
      <c r="G601" s="59"/>
    </row>
    <row r="602" spans="1:7" ht="15.75" customHeight="1" x14ac:dyDescent="0.15">
      <c r="A602" s="59"/>
      <c r="B602" s="60"/>
      <c r="C602" s="61"/>
      <c r="D602" s="59"/>
      <c r="E602" s="59"/>
      <c r="F602" s="59"/>
      <c r="G602" s="59"/>
    </row>
    <row r="603" spans="1:7" ht="15.75" customHeight="1" x14ac:dyDescent="0.15">
      <c r="A603" s="59"/>
      <c r="B603" s="60"/>
      <c r="C603" s="61"/>
      <c r="D603" s="59"/>
      <c r="E603" s="59"/>
      <c r="F603" s="59"/>
      <c r="G603" s="59"/>
    </row>
    <row r="604" spans="1:7" ht="15.75" customHeight="1" x14ac:dyDescent="0.15">
      <c r="A604" s="59"/>
      <c r="B604" s="60"/>
      <c r="C604" s="61"/>
      <c r="D604" s="59"/>
      <c r="E604" s="59"/>
      <c r="F604" s="59"/>
      <c r="G604" s="59"/>
    </row>
    <row r="605" spans="1:7" ht="15.75" customHeight="1" x14ac:dyDescent="0.15">
      <c r="A605" s="59"/>
      <c r="B605" s="60"/>
      <c r="C605" s="61"/>
      <c r="D605" s="59"/>
      <c r="E605" s="59"/>
      <c r="F605" s="59"/>
      <c r="G605" s="59"/>
    </row>
    <row r="606" spans="1:7" ht="15.75" customHeight="1" x14ac:dyDescent="0.15">
      <c r="A606" s="59"/>
      <c r="B606" s="60"/>
      <c r="C606" s="61"/>
      <c r="D606" s="59"/>
      <c r="E606" s="59"/>
      <c r="F606" s="59"/>
      <c r="G606" s="59"/>
    </row>
    <row r="607" spans="1:7" ht="15.75" customHeight="1" x14ac:dyDescent="0.15">
      <c r="A607" s="59"/>
      <c r="B607" s="60"/>
      <c r="C607" s="61"/>
      <c r="D607" s="59"/>
      <c r="E607" s="59"/>
      <c r="F607" s="59"/>
      <c r="G607" s="59"/>
    </row>
    <row r="608" spans="1:7" ht="15.75" customHeight="1" x14ac:dyDescent="0.15">
      <c r="A608" s="59"/>
      <c r="B608" s="60"/>
      <c r="C608" s="61"/>
      <c r="D608" s="59"/>
      <c r="E608" s="59"/>
      <c r="F608" s="59"/>
      <c r="G608" s="59"/>
    </row>
    <row r="609" spans="1:7" ht="15.75" customHeight="1" x14ac:dyDescent="0.15">
      <c r="A609" s="59"/>
      <c r="B609" s="60"/>
      <c r="C609" s="61"/>
      <c r="D609" s="59"/>
      <c r="E609" s="59"/>
      <c r="F609" s="59"/>
      <c r="G609" s="59"/>
    </row>
    <row r="610" spans="1:7" ht="15.75" customHeight="1" x14ac:dyDescent="0.15">
      <c r="A610" s="59"/>
      <c r="B610" s="60"/>
      <c r="C610" s="61"/>
      <c r="D610" s="59"/>
      <c r="E610" s="59"/>
      <c r="F610" s="59"/>
      <c r="G610" s="59"/>
    </row>
    <row r="611" spans="1:7" ht="15.75" customHeight="1" x14ac:dyDescent="0.15">
      <c r="A611" s="59"/>
      <c r="B611" s="60"/>
      <c r="C611" s="61"/>
      <c r="D611" s="59"/>
      <c r="E611" s="59"/>
      <c r="F611" s="59"/>
      <c r="G611" s="59"/>
    </row>
    <row r="612" spans="1:7" ht="15.75" customHeight="1" x14ac:dyDescent="0.15">
      <c r="A612" s="59"/>
      <c r="B612" s="60"/>
      <c r="C612" s="61"/>
      <c r="D612" s="59"/>
      <c r="E612" s="59"/>
      <c r="F612" s="59"/>
      <c r="G612" s="59"/>
    </row>
    <row r="613" spans="1:7" ht="15.75" customHeight="1" x14ac:dyDescent="0.15">
      <c r="A613" s="59"/>
      <c r="B613" s="60"/>
      <c r="C613" s="61"/>
      <c r="D613" s="59"/>
      <c r="E613" s="59"/>
      <c r="F613" s="59"/>
      <c r="G613" s="59"/>
    </row>
    <row r="614" spans="1:7" ht="15.75" customHeight="1" x14ac:dyDescent="0.15">
      <c r="A614" s="59"/>
      <c r="B614" s="60"/>
      <c r="C614" s="61"/>
      <c r="D614" s="59"/>
      <c r="E614" s="59"/>
      <c r="F614" s="59"/>
      <c r="G614" s="59"/>
    </row>
    <row r="615" spans="1:7" ht="15.75" customHeight="1" x14ac:dyDescent="0.15">
      <c r="A615" s="59"/>
      <c r="B615" s="60"/>
      <c r="C615" s="61"/>
      <c r="D615" s="59"/>
      <c r="E615" s="59"/>
      <c r="F615" s="59"/>
      <c r="G615" s="59"/>
    </row>
    <row r="616" spans="1:7" ht="15.75" customHeight="1" x14ac:dyDescent="0.15">
      <c r="A616" s="59"/>
      <c r="B616" s="60"/>
      <c r="C616" s="61"/>
      <c r="D616" s="59"/>
      <c r="E616" s="59"/>
      <c r="F616" s="59"/>
      <c r="G616" s="59"/>
    </row>
    <row r="617" spans="1:7" ht="15.75" customHeight="1" x14ac:dyDescent="0.15">
      <c r="A617" s="59"/>
      <c r="B617" s="60"/>
      <c r="C617" s="61"/>
      <c r="D617" s="59"/>
      <c r="E617" s="59"/>
      <c r="F617" s="59"/>
      <c r="G617" s="59"/>
    </row>
    <row r="618" spans="1:7" ht="15.75" customHeight="1" x14ac:dyDescent="0.15">
      <c r="A618" s="59"/>
      <c r="B618" s="60"/>
      <c r="C618" s="61"/>
      <c r="D618" s="59"/>
      <c r="E618" s="59"/>
      <c r="F618" s="59"/>
      <c r="G618" s="59"/>
    </row>
    <row r="619" spans="1:7" ht="15.75" customHeight="1" x14ac:dyDescent="0.15">
      <c r="A619" s="59"/>
      <c r="B619" s="60"/>
      <c r="C619" s="61"/>
      <c r="D619" s="59"/>
      <c r="E619" s="59"/>
      <c r="F619" s="59"/>
      <c r="G619" s="59"/>
    </row>
    <row r="620" spans="1:7" ht="15.75" customHeight="1" x14ac:dyDescent="0.15">
      <c r="A620" s="59"/>
      <c r="B620" s="60"/>
      <c r="C620" s="61"/>
      <c r="D620" s="59"/>
      <c r="E620" s="59"/>
      <c r="F620" s="59"/>
      <c r="G620" s="59"/>
    </row>
    <row r="621" spans="1:7" ht="15.75" customHeight="1" x14ac:dyDescent="0.15">
      <c r="A621" s="59"/>
      <c r="B621" s="60"/>
      <c r="C621" s="61"/>
      <c r="D621" s="59"/>
      <c r="E621" s="59"/>
      <c r="F621" s="59"/>
      <c r="G621" s="59"/>
    </row>
    <row r="622" spans="1:7" ht="15.75" customHeight="1" x14ac:dyDescent="0.15">
      <c r="A622" s="59"/>
      <c r="B622" s="60"/>
      <c r="C622" s="61"/>
      <c r="D622" s="59"/>
      <c r="E622" s="59"/>
      <c r="F622" s="59"/>
      <c r="G622" s="59"/>
    </row>
    <row r="623" spans="1:7" ht="15.75" customHeight="1" x14ac:dyDescent="0.15">
      <c r="A623" s="59"/>
      <c r="B623" s="60"/>
      <c r="C623" s="61"/>
      <c r="D623" s="59"/>
      <c r="E623" s="59"/>
      <c r="F623" s="59"/>
      <c r="G623" s="59"/>
    </row>
    <row r="624" spans="1:7" ht="15.75" customHeight="1" x14ac:dyDescent="0.15">
      <c r="A624" s="59"/>
      <c r="B624" s="60"/>
      <c r="C624" s="61"/>
      <c r="D624" s="59"/>
      <c r="E624" s="59"/>
      <c r="F624" s="59"/>
      <c r="G624" s="59"/>
    </row>
    <row r="625" spans="1:7" ht="15.75" customHeight="1" x14ac:dyDescent="0.15">
      <c r="A625" s="59"/>
      <c r="B625" s="60"/>
      <c r="C625" s="61"/>
      <c r="D625" s="59"/>
      <c r="E625" s="59"/>
      <c r="F625" s="59"/>
      <c r="G625" s="59"/>
    </row>
    <row r="626" spans="1:7" ht="15.75" customHeight="1" x14ac:dyDescent="0.15">
      <c r="A626" s="59"/>
      <c r="B626" s="60"/>
      <c r="C626" s="61"/>
      <c r="D626" s="59"/>
      <c r="E626" s="59"/>
      <c r="F626" s="59"/>
      <c r="G626" s="59"/>
    </row>
    <row r="627" spans="1:7" ht="15.75" customHeight="1" x14ac:dyDescent="0.15">
      <c r="A627" s="59"/>
      <c r="B627" s="60"/>
      <c r="C627" s="61"/>
      <c r="D627" s="59"/>
      <c r="E627" s="59"/>
      <c r="F627" s="59"/>
      <c r="G627" s="59"/>
    </row>
    <row r="628" spans="1:7" ht="15.75" customHeight="1" x14ac:dyDescent="0.15">
      <c r="A628" s="59"/>
      <c r="B628" s="60"/>
      <c r="C628" s="61"/>
      <c r="D628" s="59"/>
      <c r="E628" s="59"/>
      <c r="F628" s="59"/>
      <c r="G628" s="59"/>
    </row>
    <row r="629" spans="1:7" ht="15.75" customHeight="1" x14ac:dyDescent="0.15">
      <c r="A629" s="59"/>
      <c r="B629" s="60"/>
      <c r="C629" s="61"/>
      <c r="D629" s="59"/>
      <c r="E629" s="59"/>
      <c r="F629" s="59"/>
      <c r="G629" s="59"/>
    </row>
    <row r="630" spans="1:7" ht="15.75" customHeight="1" x14ac:dyDescent="0.15">
      <c r="A630" s="59"/>
      <c r="B630" s="60"/>
      <c r="C630" s="61"/>
      <c r="D630" s="59"/>
      <c r="E630" s="59"/>
      <c r="F630" s="59"/>
      <c r="G630" s="59"/>
    </row>
    <row r="631" spans="1:7" ht="15.75" customHeight="1" x14ac:dyDescent="0.15">
      <c r="A631" s="59"/>
      <c r="B631" s="60"/>
      <c r="C631" s="61"/>
      <c r="D631" s="59"/>
      <c r="E631" s="59"/>
      <c r="F631" s="59"/>
      <c r="G631" s="59"/>
    </row>
    <row r="632" spans="1:7" ht="15.75" customHeight="1" x14ac:dyDescent="0.15">
      <c r="A632" s="59"/>
      <c r="B632" s="60"/>
      <c r="C632" s="61"/>
      <c r="D632" s="59"/>
      <c r="E632" s="59"/>
      <c r="F632" s="59"/>
      <c r="G632" s="59"/>
    </row>
    <row r="633" spans="1:7" ht="15.75" customHeight="1" x14ac:dyDescent="0.15">
      <c r="A633" s="59"/>
      <c r="B633" s="60"/>
      <c r="C633" s="61"/>
      <c r="D633" s="59"/>
      <c r="E633" s="59"/>
      <c r="F633" s="59"/>
      <c r="G633" s="59"/>
    </row>
    <row r="634" spans="1:7" ht="15.75" customHeight="1" x14ac:dyDescent="0.15">
      <c r="A634" s="59"/>
      <c r="B634" s="60"/>
      <c r="C634" s="61"/>
      <c r="D634" s="59"/>
      <c r="E634" s="59"/>
      <c r="F634" s="59"/>
      <c r="G634" s="59"/>
    </row>
    <row r="635" spans="1:7" ht="15.75" customHeight="1" x14ac:dyDescent="0.15">
      <c r="A635" s="59"/>
      <c r="B635" s="60"/>
      <c r="C635" s="61"/>
      <c r="D635" s="59"/>
      <c r="E635" s="59"/>
      <c r="F635" s="59"/>
      <c r="G635" s="59"/>
    </row>
    <row r="636" spans="1:7" ht="15.75" customHeight="1" x14ac:dyDescent="0.15">
      <c r="A636" s="59"/>
      <c r="B636" s="60"/>
      <c r="C636" s="61"/>
      <c r="D636" s="59"/>
      <c r="E636" s="59"/>
      <c r="F636" s="59"/>
      <c r="G636" s="59"/>
    </row>
    <row r="637" spans="1:7" ht="15.75" customHeight="1" x14ac:dyDescent="0.15">
      <c r="A637" s="59"/>
      <c r="B637" s="60"/>
      <c r="C637" s="61"/>
      <c r="D637" s="59"/>
      <c r="E637" s="59"/>
      <c r="F637" s="59"/>
      <c r="G637" s="59"/>
    </row>
    <row r="638" spans="1:7" ht="15.75" customHeight="1" x14ac:dyDescent="0.15">
      <c r="A638" s="59"/>
      <c r="B638" s="60"/>
      <c r="C638" s="61"/>
      <c r="D638" s="59"/>
      <c r="E638" s="59"/>
      <c r="F638" s="59"/>
      <c r="G638" s="59"/>
    </row>
    <row r="639" spans="1:7" ht="15.75" customHeight="1" x14ac:dyDescent="0.15">
      <c r="A639" s="59"/>
      <c r="B639" s="60"/>
      <c r="C639" s="61"/>
      <c r="D639" s="59"/>
      <c r="E639" s="59"/>
      <c r="F639" s="59"/>
      <c r="G639" s="59"/>
    </row>
    <row r="640" spans="1:7" ht="15.75" customHeight="1" x14ac:dyDescent="0.15">
      <c r="A640" s="59"/>
      <c r="B640" s="60"/>
      <c r="C640" s="61"/>
      <c r="D640" s="59"/>
      <c r="E640" s="59"/>
      <c r="F640" s="59"/>
      <c r="G640" s="59"/>
    </row>
    <row r="641" spans="1:7" ht="15.75" customHeight="1" x14ac:dyDescent="0.15">
      <c r="A641" s="59"/>
      <c r="B641" s="60"/>
      <c r="C641" s="61"/>
      <c r="D641" s="59"/>
      <c r="E641" s="59"/>
      <c r="F641" s="59"/>
      <c r="G641" s="59"/>
    </row>
    <row r="642" spans="1:7" ht="15.75" customHeight="1" x14ac:dyDescent="0.15">
      <c r="A642" s="59"/>
      <c r="B642" s="60"/>
      <c r="C642" s="61"/>
      <c r="D642" s="59"/>
      <c r="E642" s="59"/>
      <c r="F642" s="59"/>
      <c r="G642" s="59"/>
    </row>
    <row r="643" spans="1:7" ht="15.75" customHeight="1" x14ac:dyDescent="0.15">
      <c r="A643" s="59"/>
      <c r="B643" s="60"/>
      <c r="C643" s="61"/>
      <c r="D643" s="59"/>
      <c r="E643" s="59"/>
      <c r="F643" s="59"/>
      <c r="G643" s="59"/>
    </row>
    <row r="644" spans="1:7" ht="15.75" customHeight="1" x14ac:dyDescent="0.15">
      <c r="A644" s="59"/>
      <c r="B644" s="60"/>
      <c r="C644" s="61"/>
      <c r="D644" s="59"/>
      <c r="E644" s="59"/>
      <c r="F644" s="59"/>
      <c r="G644" s="59"/>
    </row>
    <row r="645" spans="1:7" ht="15.75" customHeight="1" x14ac:dyDescent="0.15">
      <c r="A645" s="59"/>
      <c r="B645" s="60"/>
      <c r="C645" s="61"/>
      <c r="D645" s="59"/>
      <c r="E645" s="59"/>
      <c r="F645" s="59"/>
      <c r="G645" s="59"/>
    </row>
    <row r="646" spans="1:7" ht="15.75" customHeight="1" x14ac:dyDescent="0.15">
      <c r="A646" s="59"/>
      <c r="B646" s="60"/>
      <c r="C646" s="61"/>
      <c r="D646" s="59"/>
      <c r="E646" s="59"/>
      <c r="F646" s="59"/>
      <c r="G646" s="59"/>
    </row>
    <row r="647" spans="1:7" ht="15.75" customHeight="1" x14ac:dyDescent="0.15">
      <c r="A647" s="59"/>
      <c r="B647" s="60"/>
      <c r="C647" s="61"/>
      <c r="D647" s="59"/>
      <c r="E647" s="59"/>
      <c r="F647" s="59"/>
      <c r="G647" s="59"/>
    </row>
    <row r="648" spans="1:7" ht="15.75" customHeight="1" x14ac:dyDescent="0.15">
      <c r="A648" s="59"/>
      <c r="B648" s="60"/>
      <c r="C648" s="61"/>
      <c r="D648" s="59"/>
      <c r="E648" s="59"/>
      <c r="F648" s="59"/>
      <c r="G648" s="59"/>
    </row>
    <row r="649" spans="1:7" ht="15.75" customHeight="1" x14ac:dyDescent="0.15">
      <c r="A649" s="59"/>
      <c r="B649" s="60"/>
      <c r="C649" s="61"/>
      <c r="D649" s="59"/>
      <c r="E649" s="59"/>
      <c r="F649" s="59"/>
      <c r="G649" s="59"/>
    </row>
    <row r="650" spans="1:7" ht="15.75" customHeight="1" x14ac:dyDescent="0.15">
      <c r="A650" s="59"/>
      <c r="B650" s="60"/>
      <c r="C650" s="61"/>
      <c r="D650" s="59"/>
      <c r="E650" s="59"/>
      <c r="F650" s="59"/>
      <c r="G650" s="59"/>
    </row>
    <row r="651" spans="1:7" ht="15.75" customHeight="1" x14ac:dyDescent="0.15">
      <c r="A651" s="59"/>
      <c r="B651" s="60"/>
      <c r="C651" s="61"/>
      <c r="D651" s="59"/>
      <c r="E651" s="59"/>
      <c r="F651" s="59"/>
      <c r="G651" s="59"/>
    </row>
    <row r="652" spans="1:7" ht="15.75" customHeight="1" x14ac:dyDescent="0.15">
      <c r="A652" s="59"/>
      <c r="B652" s="60"/>
      <c r="C652" s="61"/>
      <c r="D652" s="59"/>
      <c r="E652" s="59"/>
      <c r="F652" s="59"/>
      <c r="G652" s="59"/>
    </row>
    <row r="653" spans="1:7" ht="15.75" customHeight="1" x14ac:dyDescent="0.15">
      <c r="A653" s="59"/>
      <c r="B653" s="60"/>
      <c r="C653" s="61"/>
      <c r="D653" s="59"/>
      <c r="E653" s="59"/>
      <c r="F653" s="59"/>
      <c r="G653" s="59"/>
    </row>
    <row r="654" spans="1:7" ht="15.75" customHeight="1" x14ac:dyDescent="0.15">
      <c r="A654" s="59"/>
      <c r="B654" s="60"/>
      <c r="C654" s="61"/>
      <c r="D654" s="59"/>
      <c r="E654" s="59"/>
      <c r="F654" s="59"/>
      <c r="G654" s="59"/>
    </row>
    <row r="655" spans="1:7" ht="15.75" customHeight="1" x14ac:dyDescent="0.15">
      <c r="A655" s="59"/>
      <c r="B655" s="60"/>
      <c r="C655" s="61"/>
      <c r="D655" s="59"/>
      <c r="E655" s="59"/>
      <c r="F655" s="59"/>
      <c r="G655" s="59"/>
    </row>
    <row r="656" spans="1:7" ht="15.75" customHeight="1" x14ac:dyDescent="0.15">
      <c r="A656" s="59"/>
      <c r="B656" s="60"/>
      <c r="C656" s="61"/>
      <c r="D656" s="59"/>
      <c r="E656" s="59"/>
      <c r="F656" s="59"/>
      <c r="G656" s="59"/>
    </row>
    <row r="657" spans="1:7" ht="15.75" customHeight="1" x14ac:dyDescent="0.15">
      <c r="A657" s="59"/>
      <c r="B657" s="60"/>
      <c r="C657" s="61"/>
      <c r="D657" s="59"/>
      <c r="E657" s="59"/>
      <c r="F657" s="59"/>
      <c r="G657" s="59"/>
    </row>
    <row r="658" spans="1:7" ht="15.75" customHeight="1" x14ac:dyDescent="0.15">
      <c r="A658" s="59"/>
      <c r="B658" s="60"/>
      <c r="C658" s="61"/>
      <c r="D658" s="59"/>
      <c r="E658" s="59"/>
      <c r="F658" s="59"/>
      <c r="G658" s="59"/>
    </row>
    <row r="659" spans="1:7" ht="15.75" customHeight="1" x14ac:dyDescent="0.15">
      <c r="A659" s="59"/>
      <c r="B659" s="60"/>
      <c r="C659" s="61"/>
      <c r="D659" s="59"/>
      <c r="E659" s="59"/>
      <c r="F659" s="59"/>
      <c r="G659" s="59"/>
    </row>
    <row r="660" spans="1:7" ht="15.75" customHeight="1" x14ac:dyDescent="0.15">
      <c r="A660" s="59"/>
      <c r="B660" s="60"/>
      <c r="C660" s="61"/>
      <c r="D660" s="59"/>
      <c r="E660" s="59"/>
      <c r="F660" s="59"/>
      <c r="G660" s="59"/>
    </row>
    <row r="661" spans="1:7" ht="15.75" customHeight="1" x14ac:dyDescent="0.15">
      <c r="A661" s="59"/>
      <c r="B661" s="60"/>
      <c r="C661" s="61"/>
      <c r="D661" s="59"/>
      <c r="E661" s="59"/>
      <c r="F661" s="59"/>
      <c r="G661" s="59"/>
    </row>
    <row r="662" spans="1:7" ht="15.75" customHeight="1" x14ac:dyDescent="0.15">
      <c r="A662" s="59"/>
      <c r="B662" s="60"/>
      <c r="C662" s="61"/>
      <c r="D662" s="59"/>
      <c r="E662" s="59"/>
      <c r="F662" s="59"/>
      <c r="G662" s="59"/>
    </row>
    <row r="663" spans="1:7" ht="15.75" customHeight="1" x14ac:dyDescent="0.15">
      <c r="A663" s="59"/>
      <c r="B663" s="60"/>
      <c r="C663" s="61"/>
      <c r="D663" s="59"/>
      <c r="E663" s="59"/>
      <c r="F663" s="59"/>
      <c r="G663" s="59"/>
    </row>
    <row r="664" spans="1:7" ht="15.75" customHeight="1" x14ac:dyDescent="0.15">
      <c r="A664" s="59"/>
      <c r="B664" s="60"/>
      <c r="C664" s="61"/>
      <c r="D664" s="59"/>
      <c r="E664" s="59"/>
      <c r="F664" s="59"/>
      <c r="G664" s="59"/>
    </row>
    <row r="665" spans="1:7" ht="15.75" customHeight="1" x14ac:dyDescent="0.15">
      <c r="A665" s="59"/>
      <c r="B665" s="60"/>
      <c r="C665" s="61"/>
      <c r="D665" s="59"/>
      <c r="E665" s="59"/>
      <c r="F665" s="59"/>
      <c r="G665" s="59"/>
    </row>
    <row r="666" spans="1:7" ht="15.75" customHeight="1" x14ac:dyDescent="0.15">
      <c r="A666" s="59"/>
      <c r="B666" s="60"/>
      <c r="C666" s="61"/>
      <c r="D666" s="59"/>
      <c r="E666" s="59"/>
      <c r="F666" s="59"/>
      <c r="G666" s="59"/>
    </row>
    <row r="667" spans="1:7" ht="15.75" customHeight="1" x14ac:dyDescent="0.15">
      <c r="A667" s="59"/>
      <c r="B667" s="60"/>
      <c r="C667" s="61"/>
      <c r="D667" s="59"/>
      <c r="E667" s="59"/>
      <c r="F667" s="59"/>
      <c r="G667" s="59"/>
    </row>
    <row r="668" spans="1:7" ht="15.75" customHeight="1" x14ac:dyDescent="0.15">
      <c r="A668" s="59"/>
      <c r="B668" s="60"/>
      <c r="C668" s="61"/>
      <c r="D668" s="59"/>
      <c r="E668" s="59"/>
      <c r="F668" s="59"/>
      <c r="G668" s="59"/>
    </row>
    <row r="669" spans="1:7" ht="15.75" customHeight="1" x14ac:dyDescent="0.15">
      <c r="A669" s="59"/>
      <c r="B669" s="60"/>
      <c r="C669" s="61"/>
      <c r="D669" s="59"/>
      <c r="E669" s="59"/>
      <c r="F669" s="59"/>
      <c r="G669" s="59"/>
    </row>
    <row r="670" spans="1:7" ht="15.75" customHeight="1" x14ac:dyDescent="0.15">
      <c r="A670" s="59"/>
      <c r="B670" s="60"/>
      <c r="C670" s="61"/>
      <c r="D670" s="59"/>
      <c r="E670" s="59"/>
      <c r="F670" s="59"/>
      <c r="G670" s="59"/>
    </row>
    <row r="671" spans="1:7" ht="15.75" customHeight="1" x14ac:dyDescent="0.15">
      <c r="A671" s="59"/>
      <c r="B671" s="60"/>
      <c r="C671" s="61"/>
      <c r="D671" s="59"/>
      <c r="E671" s="59"/>
      <c r="F671" s="59"/>
      <c r="G671" s="59"/>
    </row>
    <row r="672" spans="1:7" ht="15.75" customHeight="1" x14ac:dyDescent="0.15">
      <c r="A672" s="59"/>
      <c r="B672" s="60"/>
      <c r="C672" s="61"/>
      <c r="D672" s="59"/>
      <c r="E672" s="59"/>
      <c r="F672" s="59"/>
      <c r="G672" s="59"/>
    </row>
    <row r="673" spans="1:7" ht="15.75" customHeight="1" x14ac:dyDescent="0.15">
      <c r="A673" s="59"/>
      <c r="B673" s="60"/>
      <c r="C673" s="61"/>
      <c r="D673" s="59"/>
      <c r="E673" s="59"/>
      <c r="F673" s="59"/>
      <c r="G673" s="59"/>
    </row>
    <row r="674" spans="1:7" ht="15.75" customHeight="1" x14ac:dyDescent="0.15">
      <c r="A674" s="59"/>
      <c r="B674" s="60"/>
      <c r="C674" s="61"/>
      <c r="D674" s="59"/>
      <c r="E674" s="59"/>
      <c r="F674" s="59"/>
      <c r="G674" s="59"/>
    </row>
    <row r="675" spans="1:7" ht="15.75" customHeight="1" x14ac:dyDescent="0.15">
      <c r="A675" s="59"/>
      <c r="B675" s="60"/>
      <c r="C675" s="61"/>
      <c r="D675" s="59"/>
      <c r="E675" s="59"/>
      <c r="F675" s="59"/>
      <c r="G675" s="59"/>
    </row>
    <row r="676" spans="1:7" ht="15.75" customHeight="1" x14ac:dyDescent="0.15">
      <c r="A676" s="59"/>
      <c r="B676" s="60"/>
      <c r="C676" s="61"/>
      <c r="D676" s="59"/>
      <c r="E676" s="59"/>
      <c r="F676" s="59"/>
      <c r="G676" s="59"/>
    </row>
    <row r="677" spans="1:7" ht="15.75" customHeight="1" x14ac:dyDescent="0.15">
      <c r="A677" s="59"/>
      <c r="B677" s="60"/>
      <c r="C677" s="61"/>
      <c r="D677" s="59"/>
      <c r="E677" s="59"/>
      <c r="F677" s="59"/>
      <c r="G677" s="59"/>
    </row>
    <row r="678" spans="1:7" ht="15.75" customHeight="1" x14ac:dyDescent="0.15">
      <c r="A678" s="59"/>
      <c r="B678" s="60"/>
      <c r="C678" s="61"/>
      <c r="D678" s="59"/>
      <c r="E678" s="59"/>
      <c r="F678" s="59"/>
      <c r="G678" s="59"/>
    </row>
    <row r="679" spans="1:7" ht="15.75" customHeight="1" x14ac:dyDescent="0.15">
      <c r="A679" s="59"/>
      <c r="B679" s="60"/>
      <c r="C679" s="61"/>
      <c r="D679" s="59"/>
      <c r="E679" s="59"/>
      <c r="F679" s="59"/>
      <c r="G679" s="59"/>
    </row>
    <row r="680" spans="1:7" ht="15.75" customHeight="1" x14ac:dyDescent="0.15">
      <c r="A680" s="59"/>
      <c r="B680" s="60"/>
      <c r="C680" s="61"/>
      <c r="D680" s="59"/>
      <c r="E680" s="59"/>
      <c r="F680" s="59"/>
      <c r="G680" s="59"/>
    </row>
    <row r="681" spans="1:7" ht="15.75" customHeight="1" x14ac:dyDescent="0.15">
      <c r="A681" s="59"/>
      <c r="B681" s="60"/>
      <c r="C681" s="61"/>
      <c r="D681" s="59"/>
      <c r="E681" s="59"/>
      <c r="F681" s="59"/>
      <c r="G681" s="59"/>
    </row>
    <row r="682" spans="1:7" ht="15.75" customHeight="1" x14ac:dyDescent="0.15">
      <c r="A682" s="59"/>
      <c r="B682" s="60"/>
      <c r="C682" s="61"/>
      <c r="D682" s="59"/>
      <c r="E682" s="59"/>
      <c r="F682" s="59"/>
      <c r="G682" s="59"/>
    </row>
    <row r="683" spans="1:7" ht="15.75" customHeight="1" x14ac:dyDescent="0.15">
      <c r="A683" s="59"/>
      <c r="B683" s="60"/>
      <c r="C683" s="61"/>
      <c r="D683" s="59"/>
      <c r="E683" s="59"/>
      <c r="F683" s="59"/>
      <c r="G683" s="59"/>
    </row>
    <row r="684" spans="1:7" ht="15.75" customHeight="1" x14ac:dyDescent="0.15">
      <c r="A684" s="59"/>
      <c r="B684" s="60"/>
      <c r="C684" s="61"/>
      <c r="D684" s="59"/>
      <c r="E684" s="59"/>
      <c r="F684" s="59"/>
      <c r="G684" s="59"/>
    </row>
    <row r="685" spans="1:7" ht="15.75" customHeight="1" x14ac:dyDescent="0.15">
      <c r="A685" s="59"/>
      <c r="B685" s="60"/>
      <c r="C685" s="61"/>
      <c r="D685" s="59"/>
      <c r="E685" s="59"/>
      <c r="F685" s="59"/>
      <c r="G685" s="59"/>
    </row>
    <row r="686" spans="1:7" ht="15.75" customHeight="1" x14ac:dyDescent="0.15">
      <c r="A686" s="59"/>
      <c r="B686" s="60"/>
      <c r="C686" s="61"/>
      <c r="D686" s="59"/>
      <c r="E686" s="59"/>
      <c r="F686" s="59"/>
      <c r="G686" s="59"/>
    </row>
    <row r="687" spans="1:7" ht="15.75" customHeight="1" x14ac:dyDescent="0.15">
      <c r="A687" s="59"/>
      <c r="B687" s="60"/>
      <c r="C687" s="61"/>
      <c r="D687" s="59"/>
      <c r="E687" s="59"/>
      <c r="F687" s="59"/>
      <c r="G687" s="59"/>
    </row>
    <row r="688" spans="1:7" ht="15.75" customHeight="1" x14ac:dyDescent="0.15">
      <c r="A688" s="59"/>
      <c r="B688" s="60"/>
      <c r="C688" s="61"/>
      <c r="D688" s="59"/>
      <c r="E688" s="59"/>
      <c r="F688" s="59"/>
      <c r="G688" s="59"/>
    </row>
    <row r="689" spans="1:7" ht="15.75" customHeight="1" x14ac:dyDescent="0.15">
      <c r="A689" s="59"/>
      <c r="B689" s="60"/>
      <c r="C689" s="61"/>
      <c r="D689" s="59"/>
      <c r="E689" s="59"/>
      <c r="F689" s="59"/>
      <c r="G689" s="59"/>
    </row>
    <row r="690" spans="1:7" ht="15.75" customHeight="1" x14ac:dyDescent="0.15">
      <c r="A690" s="59"/>
      <c r="B690" s="60"/>
      <c r="C690" s="61"/>
      <c r="D690" s="59"/>
      <c r="E690" s="59"/>
      <c r="F690" s="59"/>
      <c r="G690" s="59"/>
    </row>
    <row r="691" spans="1:7" ht="15.75" customHeight="1" x14ac:dyDescent="0.15">
      <c r="A691" s="59"/>
      <c r="B691" s="60"/>
      <c r="C691" s="61"/>
      <c r="D691" s="59"/>
      <c r="E691" s="59"/>
      <c r="F691" s="59"/>
      <c r="G691" s="59"/>
    </row>
    <row r="692" spans="1:7" ht="15.75" customHeight="1" x14ac:dyDescent="0.15">
      <c r="A692" s="59"/>
      <c r="B692" s="60"/>
      <c r="C692" s="61"/>
      <c r="D692" s="59"/>
      <c r="E692" s="59"/>
      <c r="F692" s="59"/>
      <c r="G692" s="59"/>
    </row>
    <row r="693" spans="1:7" ht="15.75" customHeight="1" x14ac:dyDescent="0.15">
      <c r="A693" s="59"/>
      <c r="B693" s="60"/>
      <c r="C693" s="61"/>
      <c r="D693" s="59"/>
      <c r="E693" s="59"/>
      <c r="F693" s="59"/>
      <c r="G693" s="59"/>
    </row>
    <row r="694" spans="1:7" ht="15.75" customHeight="1" x14ac:dyDescent="0.15">
      <c r="A694" s="59"/>
      <c r="B694" s="60"/>
      <c r="C694" s="61"/>
      <c r="D694" s="59"/>
      <c r="E694" s="59"/>
      <c r="F694" s="59"/>
      <c r="G694" s="59"/>
    </row>
    <row r="695" spans="1:7" ht="15.75" customHeight="1" x14ac:dyDescent="0.15">
      <c r="A695" s="59"/>
      <c r="B695" s="60"/>
      <c r="C695" s="61"/>
      <c r="D695" s="59"/>
      <c r="E695" s="59"/>
      <c r="F695" s="59"/>
      <c r="G695" s="59"/>
    </row>
    <row r="696" spans="1:7" ht="15.75" customHeight="1" x14ac:dyDescent="0.15">
      <c r="A696" s="59"/>
      <c r="B696" s="60"/>
      <c r="C696" s="61"/>
      <c r="D696" s="59"/>
      <c r="E696" s="59"/>
      <c r="F696" s="59"/>
      <c r="G696" s="59"/>
    </row>
    <row r="697" spans="1:7" ht="15.75" customHeight="1" x14ac:dyDescent="0.15">
      <c r="A697" s="59"/>
      <c r="B697" s="60"/>
      <c r="C697" s="61"/>
      <c r="D697" s="59"/>
      <c r="E697" s="59"/>
      <c r="F697" s="59"/>
      <c r="G697" s="59"/>
    </row>
    <row r="698" spans="1:7" ht="15.75" customHeight="1" x14ac:dyDescent="0.15">
      <c r="A698" s="59"/>
      <c r="B698" s="60"/>
      <c r="C698" s="61"/>
      <c r="D698" s="59"/>
      <c r="E698" s="59"/>
      <c r="F698" s="59"/>
      <c r="G698" s="59"/>
    </row>
    <row r="699" spans="1:7" ht="15.75" customHeight="1" x14ac:dyDescent="0.15">
      <c r="A699" s="59"/>
      <c r="B699" s="60"/>
      <c r="C699" s="61"/>
      <c r="D699" s="59"/>
      <c r="E699" s="59"/>
      <c r="F699" s="59"/>
      <c r="G699" s="59"/>
    </row>
    <row r="700" spans="1:7" ht="15.75" customHeight="1" x14ac:dyDescent="0.15">
      <c r="A700" s="59"/>
      <c r="B700" s="60"/>
      <c r="C700" s="61"/>
      <c r="D700" s="59"/>
      <c r="E700" s="59"/>
      <c r="F700" s="59"/>
      <c r="G700" s="59"/>
    </row>
    <row r="701" spans="1:7" ht="15.75" customHeight="1" x14ac:dyDescent="0.15">
      <c r="A701" s="59"/>
      <c r="B701" s="60"/>
      <c r="C701" s="61"/>
      <c r="D701" s="59"/>
      <c r="E701" s="59"/>
      <c r="F701" s="59"/>
      <c r="G701" s="59"/>
    </row>
    <row r="702" spans="1:7" ht="15.75" customHeight="1" x14ac:dyDescent="0.15">
      <c r="A702" s="59"/>
      <c r="B702" s="60"/>
      <c r="C702" s="61"/>
      <c r="D702" s="59"/>
      <c r="E702" s="59"/>
      <c r="F702" s="59"/>
      <c r="G702" s="59"/>
    </row>
    <row r="703" spans="1:7" ht="15.75" customHeight="1" x14ac:dyDescent="0.15">
      <c r="A703" s="59"/>
      <c r="B703" s="60"/>
      <c r="C703" s="61"/>
      <c r="D703" s="59"/>
      <c r="E703" s="59"/>
      <c r="F703" s="59"/>
      <c r="G703" s="59"/>
    </row>
    <row r="704" spans="1:7" ht="15.75" customHeight="1" x14ac:dyDescent="0.15">
      <c r="A704" s="59"/>
      <c r="B704" s="60"/>
      <c r="C704" s="61"/>
      <c r="D704" s="59"/>
      <c r="E704" s="59"/>
      <c r="F704" s="59"/>
      <c r="G704" s="59"/>
    </row>
    <row r="705" spans="1:7" ht="15.75" customHeight="1" x14ac:dyDescent="0.15">
      <c r="A705" s="59"/>
      <c r="B705" s="60"/>
      <c r="C705" s="61"/>
      <c r="D705" s="59"/>
      <c r="E705" s="59"/>
      <c r="F705" s="59"/>
      <c r="G705" s="59"/>
    </row>
    <row r="706" spans="1:7" ht="15.75" customHeight="1" x14ac:dyDescent="0.15">
      <c r="A706" s="59"/>
      <c r="B706" s="60"/>
      <c r="C706" s="61"/>
      <c r="D706" s="59"/>
      <c r="E706" s="59"/>
      <c r="F706" s="59"/>
      <c r="G706" s="59"/>
    </row>
    <row r="707" spans="1:7" ht="15.75" customHeight="1" x14ac:dyDescent="0.15">
      <c r="A707" s="59"/>
      <c r="B707" s="60"/>
      <c r="C707" s="61"/>
      <c r="D707" s="59"/>
      <c r="E707" s="59"/>
      <c r="F707" s="59"/>
      <c r="G707" s="59"/>
    </row>
    <row r="708" spans="1:7" ht="15.75" customHeight="1" x14ac:dyDescent="0.15">
      <c r="A708" s="59"/>
      <c r="B708" s="60"/>
      <c r="C708" s="61"/>
      <c r="D708" s="59"/>
      <c r="E708" s="59"/>
      <c r="F708" s="59"/>
      <c r="G708" s="59"/>
    </row>
    <row r="709" spans="1:7" ht="15.75" customHeight="1" x14ac:dyDescent="0.15">
      <c r="A709" s="59"/>
      <c r="B709" s="60"/>
      <c r="C709" s="61"/>
      <c r="D709" s="59"/>
      <c r="E709" s="59"/>
      <c r="F709" s="59"/>
      <c r="G709" s="59"/>
    </row>
    <row r="710" spans="1:7" ht="15.75" customHeight="1" x14ac:dyDescent="0.15">
      <c r="A710" s="59"/>
      <c r="B710" s="60"/>
      <c r="C710" s="61"/>
      <c r="D710" s="59"/>
      <c r="E710" s="59"/>
      <c r="F710" s="59"/>
      <c r="G710" s="59"/>
    </row>
    <row r="711" spans="1:7" ht="15.75" customHeight="1" x14ac:dyDescent="0.15">
      <c r="A711" s="59"/>
      <c r="B711" s="60"/>
      <c r="C711" s="61"/>
      <c r="D711" s="59"/>
      <c r="E711" s="59"/>
      <c r="F711" s="59"/>
      <c r="G711" s="59"/>
    </row>
    <row r="712" spans="1:7" ht="15.75" customHeight="1" x14ac:dyDescent="0.15">
      <c r="A712" s="59"/>
      <c r="B712" s="60"/>
      <c r="C712" s="61"/>
      <c r="D712" s="59"/>
      <c r="E712" s="59"/>
      <c r="F712" s="59"/>
      <c r="G712" s="59"/>
    </row>
    <row r="713" spans="1:7" ht="15.75" customHeight="1" x14ac:dyDescent="0.15">
      <c r="A713" s="59"/>
      <c r="B713" s="60"/>
      <c r="C713" s="61"/>
      <c r="D713" s="59"/>
      <c r="E713" s="59"/>
      <c r="F713" s="59"/>
      <c r="G713" s="59"/>
    </row>
    <row r="714" spans="1:7" ht="15.75" customHeight="1" x14ac:dyDescent="0.15">
      <c r="A714" s="59"/>
      <c r="B714" s="60"/>
      <c r="C714" s="61"/>
      <c r="D714" s="59"/>
      <c r="E714" s="59"/>
      <c r="F714" s="59"/>
      <c r="G714" s="59"/>
    </row>
    <row r="715" spans="1:7" ht="15.75" customHeight="1" x14ac:dyDescent="0.15">
      <c r="A715" s="59"/>
      <c r="B715" s="60"/>
      <c r="C715" s="61"/>
      <c r="D715" s="59"/>
      <c r="E715" s="59"/>
      <c r="F715" s="59"/>
      <c r="G715" s="59"/>
    </row>
    <row r="716" spans="1:7" ht="15.75" customHeight="1" x14ac:dyDescent="0.15">
      <c r="A716" s="59"/>
      <c r="B716" s="60"/>
      <c r="C716" s="61"/>
      <c r="D716" s="59"/>
      <c r="E716" s="59"/>
      <c r="F716" s="59"/>
      <c r="G716" s="59"/>
    </row>
    <row r="717" spans="1:7" ht="15.75" customHeight="1" x14ac:dyDescent="0.15">
      <c r="A717" s="59"/>
      <c r="B717" s="60"/>
      <c r="C717" s="61"/>
      <c r="D717" s="59"/>
      <c r="E717" s="59"/>
      <c r="F717" s="59"/>
      <c r="G717" s="59"/>
    </row>
    <row r="718" spans="1:7" ht="15.75" customHeight="1" x14ac:dyDescent="0.15">
      <c r="A718" s="59"/>
      <c r="B718" s="60"/>
      <c r="C718" s="61"/>
      <c r="D718" s="59"/>
      <c r="E718" s="59"/>
      <c r="F718" s="59"/>
      <c r="G718" s="59"/>
    </row>
    <row r="719" spans="1:7" ht="15.75" customHeight="1" x14ac:dyDescent="0.15">
      <c r="A719" s="59"/>
      <c r="B719" s="60"/>
      <c r="C719" s="61"/>
      <c r="D719" s="59"/>
      <c r="E719" s="59"/>
      <c r="F719" s="59"/>
      <c r="G719" s="59"/>
    </row>
    <row r="720" spans="1:7" ht="15.75" customHeight="1" x14ac:dyDescent="0.15">
      <c r="A720" s="59"/>
      <c r="B720" s="60"/>
      <c r="C720" s="61"/>
      <c r="D720" s="59"/>
      <c r="E720" s="59"/>
      <c r="F720" s="59"/>
      <c r="G720" s="59"/>
    </row>
    <row r="721" spans="1:7" ht="15.75" customHeight="1" x14ac:dyDescent="0.15">
      <c r="A721" s="59"/>
      <c r="B721" s="60"/>
      <c r="C721" s="61"/>
      <c r="D721" s="59"/>
      <c r="E721" s="59"/>
      <c r="F721" s="59"/>
      <c r="G721" s="59"/>
    </row>
    <row r="722" spans="1:7" ht="15.75" customHeight="1" x14ac:dyDescent="0.15">
      <c r="A722" s="59"/>
      <c r="B722" s="60"/>
      <c r="C722" s="61"/>
      <c r="D722" s="59"/>
      <c r="E722" s="59"/>
      <c r="F722" s="59"/>
      <c r="G722" s="59"/>
    </row>
    <row r="723" spans="1:7" ht="15.75" customHeight="1" x14ac:dyDescent="0.15">
      <c r="A723" s="59"/>
      <c r="B723" s="60"/>
      <c r="C723" s="61"/>
      <c r="D723" s="59"/>
      <c r="E723" s="59"/>
      <c r="F723" s="59"/>
      <c r="G723" s="59"/>
    </row>
    <row r="724" spans="1:7" ht="15.75" customHeight="1" x14ac:dyDescent="0.15">
      <c r="A724" s="59"/>
      <c r="B724" s="60"/>
      <c r="C724" s="61"/>
      <c r="D724" s="59"/>
      <c r="E724" s="59"/>
      <c r="F724" s="59"/>
      <c r="G724" s="59"/>
    </row>
    <row r="725" spans="1:7" ht="15.75" customHeight="1" x14ac:dyDescent="0.15">
      <c r="A725" s="59"/>
      <c r="B725" s="60"/>
      <c r="C725" s="61"/>
      <c r="D725" s="59"/>
      <c r="E725" s="59"/>
      <c r="F725" s="59"/>
      <c r="G725" s="59"/>
    </row>
    <row r="726" spans="1:7" ht="15.75" customHeight="1" x14ac:dyDescent="0.15">
      <c r="A726" s="59"/>
      <c r="B726" s="60"/>
      <c r="C726" s="61"/>
      <c r="D726" s="59"/>
      <c r="E726" s="59"/>
      <c r="F726" s="59"/>
      <c r="G726" s="59"/>
    </row>
    <row r="727" spans="1:7" ht="15.75" customHeight="1" x14ac:dyDescent="0.15">
      <c r="A727" s="59"/>
      <c r="B727" s="60"/>
      <c r="C727" s="61"/>
      <c r="D727" s="59"/>
      <c r="E727" s="59"/>
      <c r="F727" s="59"/>
      <c r="G727" s="59"/>
    </row>
    <row r="728" spans="1:7" ht="15.75" customHeight="1" x14ac:dyDescent="0.15">
      <c r="A728" s="59"/>
      <c r="B728" s="60"/>
      <c r="C728" s="61"/>
      <c r="D728" s="59"/>
      <c r="E728" s="59"/>
      <c r="F728" s="59"/>
      <c r="G728" s="59"/>
    </row>
    <row r="729" spans="1:7" ht="15.75" customHeight="1" x14ac:dyDescent="0.15">
      <c r="A729" s="59"/>
      <c r="B729" s="60"/>
      <c r="C729" s="61"/>
      <c r="D729" s="59"/>
      <c r="E729" s="59"/>
      <c r="F729" s="59"/>
      <c r="G729" s="59"/>
    </row>
    <row r="730" spans="1:7" ht="15.75" customHeight="1" x14ac:dyDescent="0.15">
      <c r="A730" s="59"/>
      <c r="B730" s="60"/>
      <c r="C730" s="61"/>
      <c r="D730" s="59"/>
      <c r="E730" s="59"/>
      <c r="F730" s="59"/>
      <c r="G730" s="59"/>
    </row>
    <row r="731" spans="1:7" ht="15.75" customHeight="1" x14ac:dyDescent="0.15">
      <c r="A731" s="59"/>
      <c r="B731" s="60"/>
      <c r="C731" s="61"/>
      <c r="D731" s="59"/>
      <c r="E731" s="59"/>
      <c r="F731" s="59"/>
      <c r="G731" s="59"/>
    </row>
    <row r="732" spans="1:7" ht="15.75" customHeight="1" x14ac:dyDescent="0.15">
      <c r="A732" s="59"/>
      <c r="B732" s="60"/>
      <c r="C732" s="61"/>
      <c r="D732" s="59"/>
      <c r="E732" s="59"/>
      <c r="F732" s="59"/>
      <c r="G732" s="59"/>
    </row>
    <row r="733" spans="1:7" ht="15.75" customHeight="1" x14ac:dyDescent="0.15">
      <c r="A733" s="59"/>
      <c r="B733" s="60"/>
      <c r="C733" s="61"/>
      <c r="D733" s="59"/>
      <c r="E733" s="59"/>
      <c r="F733" s="59"/>
      <c r="G733" s="59"/>
    </row>
    <row r="734" spans="1:7" ht="15.75" customHeight="1" x14ac:dyDescent="0.15">
      <c r="A734" s="59"/>
      <c r="B734" s="60"/>
      <c r="C734" s="61"/>
      <c r="D734" s="59"/>
      <c r="E734" s="59"/>
      <c r="F734" s="59"/>
      <c r="G734" s="59"/>
    </row>
    <row r="735" spans="1:7" ht="15.75" customHeight="1" x14ac:dyDescent="0.15">
      <c r="A735" s="59"/>
      <c r="B735" s="60"/>
      <c r="C735" s="61"/>
      <c r="D735" s="59"/>
      <c r="E735" s="59"/>
      <c r="F735" s="59"/>
      <c r="G735" s="59"/>
    </row>
    <row r="736" spans="1:7" ht="15.75" customHeight="1" x14ac:dyDescent="0.15">
      <c r="A736" s="59"/>
      <c r="B736" s="60"/>
      <c r="C736" s="61"/>
      <c r="D736" s="59"/>
      <c r="E736" s="59"/>
      <c r="F736" s="59"/>
      <c r="G736" s="59"/>
    </row>
    <row r="737" spans="1:7" ht="15.75" customHeight="1" x14ac:dyDescent="0.15">
      <c r="A737" s="59"/>
      <c r="B737" s="60"/>
      <c r="C737" s="61"/>
      <c r="D737" s="59"/>
      <c r="E737" s="59"/>
      <c r="F737" s="59"/>
      <c r="G737" s="59"/>
    </row>
    <row r="738" spans="1:7" ht="15.75" customHeight="1" x14ac:dyDescent="0.15">
      <c r="A738" s="59"/>
      <c r="B738" s="60"/>
      <c r="C738" s="61"/>
      <c r="D738" s="59"/>
      <c r="E738" s="59"/>
      <c r="F738" s="59"/>
      <c r="G738" s="59"/>
    </row>
    <row r="739" spans="1:7" ht="15.75" customHeight="1" x14ac:dyDescent="0.15">
      <c r="A739" s="59"/>
      <c r="B739" s="60"/>
      <c r="C739" s="61"/>
      <c r="D739" s="59"/>
      <c r="E739" s="59"/>
      <c r="F739" s="59"/>
      <c r="G739" s="59"/>
    </row>
    <row r="740" spans="1:7" ht="15.75" customHeight="1" x14ac:dyDescent="0.15">
      <c r="A740" s="59"/>
      <c r="B740" s="60"/>
      <c r="C740" s="61"/>
      <c r="D740" s="59"/>
      <c r="E740" s="59"/>
      <c r="F740" s="59"/>
      <c r="G740" s="59"/>
    </row>
    <row r="741" spans="1:7" ht="15.75" customHeight="1" x14ac:dyDescent="0.15">
      <c r="A741" s="59"/>
      <c r="B741" s="60"/>
      <c r="C741" s="61"/>
      <c r="D741" s="59"/>
      <c r="E741" s="59"/>
      <c r="F741" s="59"/>
      <c r="G741" s="59"/>
    </row>
    <row r="742" spans="1:7" ht="15.75" customHeight="1" x14ac:dyDescent="0.15">
      <c r="A742" s="59"/>
      <c r="B742" s="60"/>
      <c r="C742" s="61"/>
      <c r="D742" s="59"/>
      <c r="E742" s="59"/>
      <c r="F742" s="59"/>
      <c r="G742" s="59"/>
    </row>
    <row r="743" spans="1:7" ht="15.75" customHeight="1" x14ac:dyDescent="0.15">
      <c r="A743" s="59"/>
      <c r="B743" s="60"/>
      <c r="C743" s="61"/>
      <c r="D743" s="59"/>
      <c r="E743" s="59"/>
      <c r="F743" s="59"/>
      <c r="G743" s="59"/>
    </row>
    <row r="744" spans="1:7" ht="15.75" customHeight="1" x14ac:dyDescent="0.15">
      <c r="A744" s="59"/>
      <c r="B744" s="60"/>
      <c r="C744" s="61"/>
      <c r="D744" s="59"/>
      <c r="E744" s="59"/>
      <c r="F744" s="59"/>
      <c r="G744" s="59"/>
    </row>
    <row r="745" spans="1:7" ht="15.75" customHeight="1" x14ac:dyDescent="0.15">
      <c r="A745" s="59"/>
      <c r="B745" s="60"/>
      <c r="C745" s="61"/>
      <c r="D745" s="59"/>
      <c r="E745" s="59"/>
      <c r="F745" s="59"/>
      <c r="G745" s="59"/>
    </row>
    <row r="746" spans="1:7" ht="15.75" customHeight="1" x14ac:dyDescent="0.15">
      <c r="A746" s="59"/>
      <c r="B746" s="60"/>
      <c r="C746" s="61"/>
      <c r="D746" s="59"/>
      <c r="E746" s="59"/>
      <c r="F746" s="59"/>
      <c r="G746" s="59"/>
    </row>
    <row r="747" spans="1:7" ht="15.75" customHeight="1" x14ac:dyDescent="0.15">
      <c r="A747" s="59"/>
      <c r="B747" s="60"/>
      <c r="C747" s="61"/>
      <c r="D747" s="59"/>
      <c r="E747" s="59"/>
      <c r="F747" s="59"/>
      <c r="G747" s="59"/>
    </row>
    <row r="748" spans="1:7" ht="15.75" customHeight="1" x14ac:dyDescent="0.15">
      <c r="A748" s="59"/>
      <c r="B748" s="60"/>
      <c r="C748" s="61"/>
      <c r="D748" s="59"/>
      <c r="E748" s="59"/>
      <c r="F748" s="59"/>
      <c r="G748" s="59"/>
    </row>
    <row r="749" spans="1:7" ht="15.75" customHeight="1" x14ac:dyDescent="0.15">
      <c r="A749" s="59"/>
      <c r="B749" s="60"/>
      <c r="C749" s="61"/>
      <c r="D749" s="59"/>
      <c r="E749" s="59"/>
      <c r="F749" s="59"/>
      <c r="G749" s="59"/>
    </row>
    <row r="750" spans="1:7" ht="15.75" customHeight="1" x14ac:dyDescent="0.15">
      <c r="A750" s="59"/>
      <c r="B750" s="60"/>
      <c r="C750" s="61"/>
      <c r="D750" s="59"/>
      <c r="E750" s="59"/>
      <c r="F750" s="59"/>
      <c r="G750" s="59"/>
    </row>
    <row r="751" spans="1:7" ht="15.75" customHeight="1" x14ac:dyDescent="0.15">
      <c r="A751" s="59"/>
      <c r="B751" s="60"/>
      <c r="C751" s="61"/>
      <c r="D751" s="59"/>
      <c r="E751" s="59"/>
      <c r="F751" s="59"/>
      <c r="G751" s="59"/>
    </row>
    <row r="752" spans="1:7" ht="15.75" customHeight="1" x14ac:dyDescent="0.15">
      <c r="A752" s="59"/>
      <c r="B752" s="60"/>
      <c r="C752" s="61"/>
      <c r="D752" s="59"/>
      <c r="E752" s="59"/>
      <c r="F752" s="59"/>
      <c r="G752" s="59"/>
    </row>
    <row r="753" spans="1:7" ht="15.75" customHeight="1" x14ac:dyDescent="0.15">
      <c r="A753" s="59"/>
      <c r="B753" s="60"/>
      <c r="C753" s="61"/>
      <c r="D753" s="59"/>
      <c r="E753" s="59"/>
      <c r="F753" s="59"/>
      <c r="G753" s="59"/>
    </row>
    <row r="754" spans="1:7" ht="15.75" customHeight="1" x14ac:dyDescent="0.15">
      <c r="A754" s="59"/>
      <c r="B754" s="60"/>
      <c r="C754" s="61"/>
      <c r="D754" s="59"/>
      <c r="E754" s="59"/>
      <c r="F754" s="59"/>
      <c r="G754" s="59"/>
    </row>
    <row r="755" spans="1:7" ht="15.75" customHeight="1" x14ac:dyDescent="0.15">
      <c r="A755" s="59"/>
      <c r="B755" s="60"/>
      <c r="C755" s="61"/>
      <c r="D755" s="59"/>
      <c r="E755" s="59"/>
      <c r="F755" s="59"/>
      <c r="G755" s="59"/>
    </row>
    <row r="756" spans="1:7" ht="15.75" customHeight="1" x14ac:dyDescent="0.15">
      <c r="A756" s="59"/>
      <c r="B756" s="60"/>
      <c r="C756" s="61"/>
      <c r="D756" s="59"/>
      <c r="E756" s="59"/>
      <c r="F756" s="59"/>
      <c r="G756" s="59"/>
    </row>
    <row r="757" spans="1:7" ht="15.75" customHeight="1" x14ac:dyDescent="0.15">
      <c r="A757" s="59"/>
      <c r="B757" s="60"/>
      <c r="C757" s="61"/>
      <c r="D757" s="59"/>
      <c r="E757" s="59"/>
      <c r="F757" s="59"/>
      <c r="G757" s="59"/>
    </row>
    <row r="758" spans="1:7" ht="15.75" customHeight="1" x14ac:dyDescent="0.15">
      <c r="A758" s="59"/>
      <c r="B758" s="60"/>
      <c r="C758" s="61"/>
      <c r="D758" s="59"/>
      <c r="E758" s="59"/>
      <c r="F758" s="59"/>
      <c r="G758" s="59"/>
    </row>
    <row r="759" spans="1:7" ht="15.75" customHeight="1" x14ac:dyDescent="0.15">
      <c r="A759" s="59"/>
      <c r="B759" s="60"/>
      <c r="C759" s="61"/>
      <c r="D759" s="59"/>
      <c r="E759" s="59"/>
      <c r="F759" s="59"/>
      <c r="G759" s="59"/>
    </row>
    <row r="760" spans="1:7" ht="15.75" customHeight="1" x14ac:dyDescent="0.15">
      <c r="A760" s="59"/>
      <c r="B760" s="60"/>
      <c r="C760" s="61"/>
      <c r="D760" s="59"/>
      <c r="E760" s="59"/>
      <c r="F760" s="59"/>
      <c r="G760" s="59"/>
    </row>
    <row r="761" spans="1:7" ht="15.75" customHeight="1" x14ac:dyDescent="0.15">
      <c r="A761" s="59"/>
      <c r="B761" s="60"/>
      <c r="C761" s="61"/>
      <c r="D761" s="59"/>
      <c r="E761" s="59"/>
      <c r="F761" s="59"/>
      <c r="G761" s="59"/>
    </row>
    <row r="762" spans="1:7" ht="15.75" customHeight="1" x14ac:dyDescent="0.15">
      <c r="A762" s="59"/>
      <c r="B762" s="60"/>
      <c r="C762" s="61"/>
      <c r="D762" s="59"/>
      <c r="E762" s="59"/>
      <c r="F762" s="59"/>
      <c r="G762" s="59"/>
    </row>
    <row r="763" spans="1:7" ht="15.75" customHeight="1" x14ac:dyDescent="0.15">
      <c r="A763" s="59"/>
      <c r="B763" s="60"/>
      <c r="C763" s="61"/>
      <c r="D763" s="59"/>
      <c r="E763" s="59"/>
      <c r="F763" s="59"/>
      <c r="G763" s="59"/>
    </row>
    <row r="764" spans="1:7" ht="15.75" customHeight="1" x14ac:dyDescent="0.15">
      <c r="A764" s="59"/>
      <c r="B764" s="60"/>
      <c r="C764" s="61"/>
      <c r="D764" s="59"/>
      <c r="E764" s="59"/>
      <c r="F764" s="59"/>
      <c r="G764" s="59"/>
    </row>
    <row r="765" spans="1:7" ht="15.75" customHeight="1" x14ac:dyDescent="0.15">
      <c r="A765" s="59"/>
      <c r="B765" s="60"/>
      <c r="C765" s="61"/>
      <c r="D765" s="59"/>
      <c r="E765" s="59"/>
      <c r="F765" s="59"/>
      <c r="G765" s="59"/>
    </row>
    <row r="766" spans="1:7" ht="15.75" customHeight="1" x14ac:dyDescent="0.15">
      <c r="A766" s="59"/>
      <c r="B766" s="60"/>
      <c r="C766" s="61"/>
      <c r="D766" s="59"/>
      <c r="E766" s="59"/>
      <c r="F766" s="59"/>
      <c r="G766" s="59"/>
    </row>
    <row r="767" spans="1:7" ht="15.75" customHeight="1" x14ac:dyDescent="0.15">
      <c r="A767" s="59"/>
      <c r="B767" s="60"/>
      <c r="C767" s="61"/>
      <c r="D767" s="59"/>
      <c r="E767" s="59"/>
      <c r="F767" s="59"/>
      <c r="G767" s="59"/>
    </row>
    <row r="768" spans="1:7" ht="15.75" customHeight="1" x14ac:dyDescent="0.15">
      <c r="A768" s="59"/>
      <c r="B768" s="60"/>
      <c r="C768" s="61"/>
      <c r="D768" s="59"/>
      <c r="E768" s="59"/>
      <c r="F768" s="59"/>
      <c r="G768" s="59"/>
    </row>
    <row r="769" spans="1:7" ht="15.75" customHeight="1" x14ac:dyDescent="0.15">
      <c r="A769" s="59"/>
      <c r="B769" s="60"/>
      <c r="C769" s="61"/>
      <c r="D769" s="59"/>
      <c r="E769" s="59"/>
      <c r="F769" s="59"/>
      <c r="G769" s="59"/>
    </row>
    <row r="770" spans="1:7" ht="15.75" customHeight="1" x14ac:dyDescent="0.15">
      <c r="A770" s="59"/>
      <c r="B770" s="60"/>
      <c r="C770" s="61"/>
      <c r="D770" s="59"/>
      <c r="E770" s="59"/>
      <c r="F770" s="59"/>
      <c r="G770" s="59"/>
    </row>
    <row r="771" spans="1:7" ht="15.75" customHeight="1" x14ac:dyDescent="0.15">
      <c r="A771" s="59"/>
      <c r="B771" s="60"/>
      <c r="C771" s="61"/>
      <c r="D771" s="59"/>
      <c r="E771" s="59"/>
      <c r="F771" s="59"/>
      <c r="G771" s="59"/>
    </row>
    <row r="772" spans="1:7" ht="15.75" customHeight="1" x14ac:dyDescent="0.15">
      <c r="A772" s="59"/>
      <c r="B772" s="60"/>
      <c r="C772" s="61"/>
      <c r="D772" s="59"/>
      <c r="E772" s="59"/>
      <c r="F772" s="59"/>
      <c r="G772" s="59"/>
    </row>
    <row r="773" spans="1:7" ht="15.75" customHeight="1" x14ac:dyDescent="0.15">
      <c r="A773" s="59"/>
      <c r="B773" s="60"/>
      <c r="C773" s="61"/>
      <c r="D773" s="59"/>
      <c r="E773" s="59"/>
      <c r="F773" s="59"/>
      <c r="G773" s="59"/>
    </row>
    <row r="774" spans="1:7" ht="15.75" customHeight="1" x14ac:dyDescent="0.15">
      <c r="A774" s="59"/>
      <c r="B774" s="60"/>
      <c r="C774" s="61"/>
      <c r="D774" s="59"/>
      <c r="E774" s="59"/>
      <c r="F774" s="59"/>
      <c r="G774" s="59"/>
    </row>
    <row r="775" spans="1:7" ht="15.75" customHeight="1" x14ac:dyDescent="0.15">
      <c r="A775" s="59"/>
      <c r="B775" s="60"/>
      <c r="C775" s="61"/>
      <c r="D775" s="59"/>
      <c r="E775" s="59"/>
      <c r="F775" s="59"/>
      <c r="G775" s="59"/>
    </row>
    <row r="776" spans="1:7" ht="15.75" customHeight="1" x14ac:dyDescent="0.15">
      <c r="A776" s="59"/>
      <c r="B776" s="60"/>
      <c r="C776" s="61"/>
      <c r="D776" s="59"/>
      <c r="E776" s="59"/>
      <c r="F776" s="59"/>
      <c r="G776" s="59"/>
    </row>
    <row r="777" spans="1:7" ht="15.75" customHeight="1" x14ac:dyDescent="0.15">
      <c r="A777" s="59"/>
      <c r="B777" s="60"/>
      <c r="C777" s="61"/>
      <c r="D777" s="59"/>
      <c r="E777" s="59"/>
      <c r="F777" s="59"/>
      <c r="G777" s="59"/>
    </row>
    <row r="778" spans="1:7" ht="15.75" customHeight="1" x14ac:dyDescent="0.15">
      <c r="A778" s="59"/>
      <c r="B778" s="60"/>
      <c r="C778" s="61"/>
      <c r="D778" s="59"/>
      <c r="E778" s="59"/>
      <c r="F778" s="59"/>
      <c r="G778" s="59"/>
    </row>
    <row r="779" spans="1:7" ht="15.75" customHeight="1" x14ac:dyDescent="0.15">
      <c r="A779" s="59"/>
      <c r="B779" s="60"/>
      <c r="C779" s="61"/>
      <c r="D779" s="59"/>
      <c r="E779" s="59"/>
      <c r="F779" s="59"/>
      <c r="G779" s="59"/>
    </row>
    <row r="780" spans="1:7" ht="15.75" customHeight="1" x14ac:dyDescent="0.15">
      <c r="A780" s="59"/>
      <c r="B780" s="60"/>
      <c r="C780" s="61"/>
      <c r="D780" s="59"/>
      <c r="E780" s="59"/>
      <c r="F780" s="59"/>
      <c r="G780" s="59"/>
    </row>
    <row r="781" spans="1:7" ht="15.75" customHeight="1" x14ac:dyDescent="0.15">
      <c r="A781" s="59"/>
      <c r="B781" s="60"/>
      <c r="C781" s="61"/>
      <c r="D781" s="59"/>
      <c r="E781" s="59"/>
      <c r="F781" s="59"/>
      <c r="G781" s="59"/>
    </row>
    <row r="782" spans="1:7" ht="15.75" customHeight="1" x14ac:dyDescent="0.15">
      <c r="A782" s="59"/>
      <c r="B782" s="60"/>
      <c r="C782" s="61"/>
      <c r="D782" s="59"/>
      <c r="E782" s="59"/>
      <c r="F782" s="59"/>
      <c r="G782" s="59"/>
    </row>
    <row r="783" spans="1:7" ht="15.75" customHeight="1" x14ac:dyDescent="0.15">
      <c r="A783" s="59"/>
      <c r="B783" s="60"/>
      <c r="C783" s="61"/>
      <c r="D783" s="59"/>
      <c r="E783" s="59"/>
      <c r="F783" s="59"/>
      <c r="G783" s="59"/>
    </row>
    <row r="784" spans="1:7" ht="15.75" customHeight="1" x14ac:dyDescent="0.15">
      <c r="A784" s="59"/>
      <c r="B784" s="60"/>
      <c r="C784" s="61"/>
      <c r="D784" s="59"/>
      <c r="E784" s="59"/>
      <c r="F784" s="59"/>
      <c r="G784" s="59"/>
    </row>
    <row r="785" spans="1:7" ht="15.75" customHeight="1" x14ac:dyDescent="0.15">
      <c r="A785" s="59"/>
      <c r="B785" s="60"/>
      <c r="C785" s="61"/>
      <c r="D785" s="59"/>
      <c r="E785" s="59"/>
      <c r="F785" s="59"/>
      <c r="G785" s="59"/>
    </row>
    <row r="786" spans="1:7" ht="15.75" customHeight="1" x14ac:dyDescent="0.15">
      <c r="A786" s="59"/>
      <c r="B786" s="60"/>
      <c r="C786" s="61"/>
      <c r="D786" s="59"/>
      <c r="E786" s="59"/>
      <c r="F786" s="59"/>
      <c r="G786" s="59"/>
    </row>
    <row r="787" spans="1:7" ht="15.75" customHeight="1" x14ac:dyDescent="0.15">
      <c r="A787" s="59"/>
      <c r="B787" s="60"/>
      <c r="C787" s="61"/>
      <c r="D787" s="59"/>
      <c r="E787" s="59"/>
      <c r="F787" s="59"/>
      <c r="G787" s="59"/>
    </row>
    <row r="788" spans="1:7" ht="15.75" customHeight="1" x14ac:dyDescent="0.15">
      <c r="A788" s="59"/>
      <c r="B788" s="60"/>
      <c r="C788" s="61"/>
      <c r="D788" s="59"/>
      <c r="E788" s="59"/>
      <c r="F788" s="59"/>
      <c r="G788" s="59"/>
    </row>
    <row r="789" spans="1:7" ht="15.75" customHeight="1" x14ac:dyDescent="0.15">
      <c r="A789" s="59"/>
      <c r="B789" s="60"/>
      <c r="C789" s="61"/>
      <c r="D789" s="59"/>
      <c r="E789" s="59"/>
      <c r="F789" s="59"/>
      <c r="G789" s="59"/>
    </row>
    <row r="790" spans="1:7" ht="15.75" customHeight="1" x14ac:dyDescent="0.15">
      <c r="A790" s="59"/>
      <c r="B790" s="60"/>
      <c r="C790" s="61"/>
      <c r="D790" s="59"/>
      <c r="E790" s="59"/>
      <c r="F790" s="59"/>
      <c r="G790" s="59"/>
    </row>
    <row r="791" spans="1:7" ht="15.75" customHeight="1" x14ac:dyDescent="0.15">
      <c r="A791" s="59"/>
      <c r="B791" s="60"/>
      <c r="C791" s="61"/>
      <c r="D791" s="59"/>
      <c r="E791" s="59"/>
      <c r="F791" s="59"/>
      <c r="G791" s="59"/>
    </row>
    <row r="792" spans="1:7" ht="15.75" customHeight="1" x14ac:dyDescent="0.15">
      <c r="A792" s="59"/>
      <c r="B792" s="60"/>
      <c r="C792" s="61"/>
      <c r="D792" s="59"/>
      <c r="E792" s="59"/>
      <c r="F792" s="59"/>
      <c r="G792" s="59"/>
    </row>
    <row r="793" spans="1:7" ht="15.75" customHeight="1" x14ac:dyDescent="0.15">
      <c r="A793" s="59"/>
      <c r="B793" s="60"/>
      <c r="C793" s="61"/>
      <c r="D793" s="59"/>
      <c r="E793" s="59"/>
      <c r="F793" s="59"/>
      <c r="G793" s="59"/>
    </row>
    <row r="794" spans="1:7" ht="15.75" customHeight="1" x14ac:dyDescent="0.15">
      <c r="A794" s="59"/>
      <c r="B794" s="60"/>
      <c r="C794" s="61"/>
      <c r="D794" s="59"/>
      <c r="E794" s="59"/>
      <c r="F794" s="59"/>
      <c r="G794" s="59"/>
    </row>
    <row r="795" spans="1:7" ht="15.75" customHeight="1" x14ac:dyDescent="0.15">
      <c r="A795" s="59"/>
      <c r="B795" s="60"/>
      <c r="C795" s="61"/>
      <c r="D795" s="59"/>
      <c r="E795" s="59"/>
      <c r="F795" s="59"/>
      <c r="G795" s="59"/>
    </row>
    <row r="796" spans="1:7" ht="15.75" customHeight="1" x14ac:dyDescent="0.15">
      <c r="A796" s="59"/>
      <c r="B796" s="60"/>
      <c r="C796" s="61"/>
      <c r="D796" s="59"/>
      <c r="E796" s="59"/>
      <c r="F796" s="59"/>
      <c r="G796" s="59"/>
    </row>
    <row r="797" spans="1:7" ht="15.75" customHeight="1" x14ac:dyDescent="0.15">
      <c r="A797" s="59"/>
      <c r="B797" s="60"/>
      <c r="C797" s="61"/>
      <c r="D797" s="59"/>
      <c r="E797" s="59"/>
      <c r="F797" s="59"/>
      <c r="G797" s="59"/>
    </row>
    <row r="798" spans="1:7" ht="15.75" customHeight="1" x14ac:dyDescent="0.15">
      <c r="A798" s="59"/>
      <c r="B798" s="60"/>
      <c r="C798" s="61"/>
      <c r="D798" s="59"/>
      <c r="E798" s="59"/>
      <c r="F798" s="59"/>
      <c r="G798" s="59"/>
    </row>
    <row r="799" spans="1:7" ht="15.75" customHeight="1" x14ac:dyDescent="0.15">
      <c r="A799" s="59"/>
      <c r="B799" s="60"/>
      <c r="C799" s="61"/>
      <c r="D799" s="59"/>
      <c r="E799" s="59"/>
      <c r="F799" s="59"/>
      <c r="G799" s="59"/>
    </row>
    <row r="800" spans="1:7" ht="15.75" customHeight="1" x14ac:dyDescent="0.15">
      <c r="A800" s="59"/>
      <c r="B800" s="60"/>
      <c r="C800" s="61"/>
      <c r="D800" s="59"/>
      <c r="E800" s="59"/>
      <c r="F800" s="59"/>
      <c r="G800" s="59"/>
    </row>
    <row r="801" spans="1:7" ht="15.75" customHeight="1" x14ac:dyDescent="0.15">
      <c r="A801" s="59"/>
      <c r="B801" s="60"/>
      <c r="C801" s="61"/>
      <c r="D801" s="59"/>
      <c r="E801" s="59"/>
      <c r="F801" s="59"/>
      <c r="G801" s="59"/>
    </row>
    <row r="802" spans="1:7" ht="15.75" customHeight="1" x14ac:dyDescent="0.15">
      <c r="A802" s="59"/>
      <c r="B802" s="60"/>
      <c r="C802" s="61"/>
      <c r="D802" s="59"/>
      <c r="E802" s="59"/>
      <c r="F802" s="59"/>
      <c r="G802" s="59"/>
    </row>
    <row r="803" spans="1:7" ht="15.75" customHeight="1" x14ac:dyDescent="0.15">
      <c r="A803" s="59"/>
      <c r="B803" s="60"/>
      <c r="C803" s="61"/>
      <c r="D803" s="59"/>
      <c r="E803" s="59"/>
      <c r="F803" s="59"/>
      <c r="G803" s="59"/>
    </row>
    <row r="804" spans="1:7" ht="15.75" customHeight="1" x14ac:dyDescent="0.15">
      <c r="A804" s="59"/>
      <c r="B804" s="60"/>
      <c r="C804" s="61"/>
      <c r="D804" s="59"/>
      <c r="E804" s="59"/>
      <c r="F804" s="59"/>
      <c r="G804" s="59"/>
    </row>
    <row r="805" spans="1:7" ht="15.75" customHeight="1" x14ac:dyDescent="0.15">
      <c r="A805" s="59"/>
      <c r="B805" s="60"/>
      <c r="C805" s="61"/>
      <c r="D805" s="59"/>
      <c r="E805" s="59"/>
      <c r="F805" s="59"/>
      <c r="G805" s="59"/>
    </row>
    <row r="806" spans="1:7" ht="15.75" customHeight="1" x14ac:dyDescent="0.15">
      <c r="A806" s="59"/>
      <c r="B806" s="60"/>
      <c r="C806" s="61"/>
      <c r="D806" s="59"/>
      <c r="E806" s="59"/>
      <c r="F806" s="59"/>
      <c r="G806" s="59"/>
    </row>
    <row r="807" spans="1:7" ht="15.75" customHeight="1" x14ac:dyDescent="0.15">
      <c r="A807" s="59"/>
      <c r="B807" s="60"/>
      <c r="C807" s="61"/>
      <c r="D807" s="59"/>
      <c r="E807" s="59"/>
      <c r="F807" s="59"/>
      <c r="G807" s="59"/>
    </row>
    <row r="808" spans="1:7" ht="15.75" customHeight="1" x14ac:dyDescent="0.15">
      <c r="A808" s="59"/>
      <c r="B808" s="60"/>
      <c r="C808" s="61"/>
      <c r="D808" s="59"/>
      <c r="E808" s="59"/>
      <c r="F808" s="59"/>
      <c r="G808" s="59"/>
    </row>
    <row r="809" spans="1:7" ht="15.75" customHeight="1" x14ac:dyDescent="0.15">
      <c r="A809" s="59"/>
      <c r="B809" s="60"/>
      <c r="C809" s="61"/>
      <c r="D809" s="59"/>
      <c r="E809" s="59"/>
      <c r="F809" s="59"/>
      <c r="G809" s="59"/>
    </row>
    <row r="810" spans="1:7" ht="15.75" customHeight="1" x14ac:dyDescent="0.15">
      <c r="A810" s="59"/>
      <c r="B810" s="60"/>
      <c r="C810" s="61"/>
      <c r="D810" s="59"/>
      <c r="E810" s="59"/>
      <c r="F810" s="59"/>
      <c r="G810" s="59"/>
    </row>
    <row r="811" spans="1:7" ht="15.75" customHeight="1" x14ac:dyDescent="0.15">
      <c r="A811" s="59"/>
      <c r="B811" s="60"/>
      <c r="C811" s="61"/>
      <c r="D811" s="59"/>
      <c r="E811" s="59"/>
      <c r="F811" s="59"/>
      <c r="G811" s="59"/>
    </row>
    <row r="812" spans="1:7" ht="15.75" customHeight="1" x14ac:dyDescent="0.15">
      <c r="A812" s="59"/>
      <c r="B812" s="60"/>
      <c r="C812" s="61"/>
      <c r="D812" s="59"/>
      <c r="E812" s="59"/>
      <c r="F812" s="59"/>
      <c r="G812" s="59"/>
    </row>
    <row r="813" spans="1:7" ht="15.75" customHeight="1" x14ac:dyDescent="0.15">
      <c r="A813" s="59"/>
      <c r="B813" s="60"/>
      <c r="C813" s="61"/>
      <c r="D813" s="59"/>
      <c r="E813" s="59"/>
      <c r="F813" s="59"/>
      <c r="G813" s="59"/>
    </row>
    <row r="814" spans="1:7" ht="15.75" customHeight="1" x14ac:dyDescent="0.15">
      <c r="A814" s="59"/>
      <c r="B814" s="60"/>
      <c r="C814" s="61"/>
      <c r="D814" s="59"/>
      <c r="E814" s="59"/>
      <c r="F814" s="59"/>
      <c r="G814" s="59"/>
    </row>
    <row r="815" spans="1:7" ht="15.75" customHeight="1" x14ac:dyDescent="0.15">
      <c r="A815" s="59"/>
      <c r="B815" s="60"/>
      <c r="C815" s="61"/>
      <c r="D815" s="59"/>
      <c r="E815" s="59"/>
      <c r="F815" s="59"/>
      <c r="G815" s="59"/>
    </row>
    <row r="816" spans="1:7" ht="15.75" customHeight="1" x14ac:dyDescent="0.15">
      <c r="A816" s="59"/>
      <c r="B816" s="60"/>
      <c r="C816" s="61"/>
      <c r="D816" s="59"/>
      <c r="E816" s="59"/>
      <c r="F816" s="59"/>
      <c r="G816" s="59"/>
    </row>
    <row r="817" spans="1:7" ht="15.75" customHeight="1" x14ac:dyDescent="0.15">
      <c r="A817" s="59"/>
      <c r="B817" s="60"/>
      <c r="C817" s="61"/>
      <c r="D817" s="59"/>
      <c r="E817" s="59"/>
      <c r="F817" s="59"/>
      <c r="G817" s="59"/>
    </row>
    <row r="818" spans="1:7" ht="15.75" customHeight="1" x14ac:dyDescent="0.15">
      <c r="A818" s="59"/>
      <c r="B818" s="60"/>
      <c r="C818" s="61"/>
      <c r="D818" s="59"/>
      <c r="E818" s="59"/>
      <c r="F818" s="59"/>
      <c r="G818" s="59"/>
    </row>
    <row r="819" spans="1:7" ht="15.75" customHeight="1" x14ac:dyDescent="0.15">
      <c r="A819" s="59"/>
      <c r="B819" s="60"/>
      <c r="C819" s="61"/>
      <c r="D819" s="59"/>
      <c r="E819" s="59"/>
      <c r="F819" s="59"/>
      <c r="G819" s="59"/>
    </row>
    <row r="820" spans="1:7" ht="15.75" customHeight="1" x14ac:dyDescent="0.15">
      <c r="A820" s="59"/>
      <c r="B820" s="60"/>
      <c r="C820" s="61"/>
      <c r="D820" s="59"/>
      <c r="E820" s="59"/>
      <c r="F820" s="59"/>
      <c r="G820" s="59"/>
    </row>
    <row r="821" spans="1:7" ht="15.75" customHeight="1" x14ac:dyDescent="0.15">
      <c r="A821" s="59"/>
      <c r="B821" s="60"/>
      <c r="C821" s="61"/>
      <c r="D821" s="59"/>
      <c r="E821" s="59"/>
      <c r="F821" s="59"/>
      <c r="G821" s="59"/>
    </row>
    <row r="822" spans="1:7" ht="15.75" customHeight="1" x14ac:dyDescent="0.15">
      <c r="A822" s="59"/>
      <c r="B822" s="60"/>
      <c r="C822" s="61"/>
      <c r="D822" s="59"/>
      <c r="E822" s="59"/>
      <c r="F822" s="59"/>
      <c r="G822" s="59"/>
    </row>
    <row r="823" spans="1:7" ht="15.75" customHeight="1" x14ac:dyDescent="0.15">
      <c r="A823" s="59"/>
      <c r="B823" s="60"/>
      <c r="C823" s="61"/>
      <c r="D823" s="59"/>
      <c r="E823" s="59"/>
      <c r="F823" s="59"/>
      <c r="G823" s="59"/>
    </row>
    <row r="824" spans="1:7" ht="15.75" customHeight="1" x14ac:dyDescent="0.15">
      <c r="A824" s="59"/>
      <c r="B824" s="60"/>
      <c r="C824" s="61"/>
      <c r="D824" s="59"/>
      <c r="E824" s="59"/>
      <c r="F824" s="59"/>
      <c r="G824" s="59"/>
    </row>
    <row r="825" spans="1:7" ht="15.75" customHeight="1" x14ac:dyDescent="0.15">
      <c r="A825" s="59"/>
      <c r="B825" s="60"/>
      <c r="C825" s="61"/>
      <c r="D825" s="59"/>
      <c r="E825" s="59"/>
      <c r="F825" s="59"/>
      <c r="G825" s="59"/>
    </row>
    <row r="826" spans="1:7" ht="15.75" customHeight="1" x14ac:dyDescent="0.15">
      <c r="A826" s="59"/>
      <c r="B826" s="60"/>
      <c r="C826" s="61"/>
      <c r="D826" s="59"/>
      <c r="E826" s="59"/>
      <c r="F826" s="59"/>
      <c r="G826" s="59"/>
    </row>
    <row r="827" spans="1:7" ht="15.75" customHeight="1" x14ac:dyDescent="0.15">
      <c r="A827" s="59"/>
      <c r="B827" s="60"/>
      <c r="C827" s="61"/>
      <c r="D827" s="59"/>
      <c r="E827" s="59"/>
      <c r="F827" s="59"/>
      <c r="G827" s="59"/>
    </row>
    <row r="828" spans="1:7" ht="15.75" customHeight="1" x14ac:dyDescent="0.15">
      <c r="A828" s="59"/>
      <c r="B828" s="60"/>
      <c r="C828" s="61"/>
      <c r="D828" s="59"/>
      <c r="E828" s="59"/>
      <c r="F828" s="59"/>
      <c r="G828" s="59"/>
    </row>
    <row r="829" spans="1:7" ht="15.75" customHeight="1" x14ac:dyDescent="0.15">
      <c r="A829" s="59"/>
      <c r="B829" s="60"/>
      <c r="C829" s="61"/>
      <c r="D829" s="59"/>
      <c r="E829" s="59"/>
      <c r="F829" s="59"/>
      <c r="G829" s="59"/>
    </row>
    <row r="830" spans="1:7" ht="15.75" customHeight="1" x14ac:dyDescent="0.15">
      <c r="A830" s="59"/>
      <c r="B830" s="60"/>
      <c r="C830" s="61"/>
      <c r="D830" s="59"/>
      <c r="E830" s="59"/>
      <c r="F830" s="59"/>
      <c r="G830" s="59"/>
    </row>
    <row r="831" spans="1:7" ht="15.75" customHeight="1" x14ac:dyDescent="0.15">
      <c r="A831" s="59"/>
      <c r="B831" s="60"/>
      <c r="C831" s="61"/>
      <c r="D831" s="59"/>
      <c r="E831" s="59"/>
      <c r="F831" s="59"/>
      <c r="G831" s="59"/>
    </row>
    <row r="832" spans="1:7" ht="15.75" customHeight="1" x14ac:dyDescent="0.15">
      <c r="A832" s="59"/>
      <c r="B832" s="60"/>
      <c r="C832" s="61"/>
      <c r="D832" s="59"/>
      <c r="E832" s="59"/>
      <c r="F832" s="59"/>
      <c r="G832" s="59"/>
    </row>
    <row r="833" spans="1:7" ht="15.75" customHeight="1" x14ac:dyDescent="0.15">
      <c r="A833" s="59"/>
      <c r="B833" s="60"/>
      <c r="C833" s="61"/>
      <c r="D833" s="59"/>
      <c r="E833" s="59"/>
      <c r="F833" s="59"/>
      <c r="G833" s="59"/>
    </row>
    <row r="834" spans="1:7" ht="15.75" customHeight="1" x14ac:dyDescent="0.15">
      <c r="A834" s="59"/>
      <c r="B834" s="60"/>
      <c r="C834" s="61"/>
      <c r="D834" s="59"/>
      <c r="E834" s="59"/>
      <c r="F834" s="59"/>
      <c r="G834" s="59"/>
    </row>
    <row r="835" spans="1:7" ht="15.75" customHeight="1" x14ac:dyDescent="0.15">
      <c r="A835" s="59"/>
      <c r="B835" s="60"/>
      <c r="C835" s="61"/>
      <c r="D835" s="59"/>
      <c r="E835" s="59"/>
      <c r="F835" s="59"/>
      <c r="G835" s="59"/>
    </row>
    <row r="836" spans="1:7" ht="15.75" customHeight="1" x14ac:dyDescent="0.15">
      <c r="A836" s="59"/>
      <c r="B836" s="60"/>
      <c r="C836" s="61"/>
      <c r="D836" s="59"/>
      <c r="E836" s="59"/>
      <c r="F836" s="59"/>
      <c r="G836" s="59"/>
    </row>
    <row r="837" spans="1:7" ht="15.75" customHeight="1" x14ac:dyDescent="0.15">
      <c r="A837" s="59"/>
      <c r="B837" s="60"/>
      <c r="C837" s="61"/>
      <c r="D837" s="59"/>
      <c r="E837" s="59"/>
      <c r="F837" s="59"/>
      <c r="G837" s="59"/>
    </row>
    <row r="838" spans="1:7" ht="15.75" customHeight="1" x14ac:dyDescent="0.15">
      <c r="A838" s="59"/>
      <c r="B838" s="60"/>
      <c r="C838" s="61"/>
      <c r="D838" s="59"/>
      <c r="E838" s="59"/>
      <c r="F838" s="59"/>
      <c r="G838" s="59"/>
    </row>
    <row r="839" spans="1:7" ht="15.75" customHeight="1" x14ac:dyDescent="0.15">
      <c r="A839" s="59"/>
      <c r="B839" s="60"/>
      <c r="C839" s="61"/>
      <c r="D839" s="59"/>
      <c r="E839" s="59"/>
      <c r="F839" s="59"/>
      <c r="G839" s="59"/>
    </row>
    <row r="840" spans="1:7" ht="15.75" customHeight="1" x14ac:dyDescent="0.15">
      <c r="A840" s="59"/>
      <c r="B840" s="60"/>
      <c r="C840" s="61"/>
      <c r="D840" s="59"/>
      <c r="E840" s="59"/>
      <c r="F840" s="59"/>
      <c r="G840" s="59"/>
    </row>
    <row r="841" spans="1:7" ht="15.75" customHeight="1" x14ac:dyDescent="0.15">
      <c r="A841" s="59"/>
      <c r="B841" s="60"/>
      <c r="C841" s="61"/>
      <c r="D841" s="59"/>
      <c r="E841" s="59"/>
      <c r="F841" s="59"/>
      <c r="G841" s="59"/>
    </row>
    <row r="842" spans="1:7" ht="15.75" customHeight="1" x14ac:dyDescent="0.15">
      <c r="A842" s="59"/>
      <c r="B842" s="60"/>
      <c r="C842" s="61"/>
      <c r="D842" s="59"/>
      <c r="E842" s="59"/>
      <c r="F842" s="59"/>
      <c r="G842" s="59"/>
    </row>
    <row r="843" spans="1:7" ht="15.75" customHeight="1" x14ac:dyDescent="0.15">
      <c r="A843" s="59"/>
      <c r="B843" s="60"/>
      <c r="C843" s="61"/>
      <c r="D843" s="59"/>
      <c r="E843" s="59"/>
      <c r="F843" s="59"/>
      <c r="G843" s="59"/>
    </row>
    <row r="844" spans="1:7" ht="15.75" customHeight="1" x14ac:dyDescent="0.15">
      <c r="A844" s="59"/>
      <c r="B844" s="60"/>
      <c r="C844" s="61"/>
      <c r="D844" s="59"/>
      <c r="E844" s="59"/>
      <c r="F844" s="59"/>
      <c r="G844" s="59"/>
    </row>
    <row r="845" spans="1:7" ht="15.75" customHeight="1" x14ac:dyDescent="0.15">
      <c r="A845" s="59"/>
      <c r="B845" s="60"/>
      <c r="C845" s="61"/>
      <c r="D845" s="59"/>
      <c r="E845" s="59"/>
      <c r="F845" s="59"/>
      <c r="G845" s="59"/>
    </row>
    <row r="846" spans="1:7" ht="15.75" customHeight="1" x14ac:dyDescent="0.15">
      <c r="A846" s="59"/>
      <c r="B846" s="60"/>
      <c r="C846" s="61"/>
      <c r="D846" s="59"/>
      <c r="E846" s="59"/>
      <c r="F846" s="59"/>
      <c r="G846" s="59"/>
    </row>
    <row r="847" spans="1:7" ht="15.75" customHeight="1" x14ac:dyDescent="0.15">
      <c r="A847" s="59"/>
      <c r="B847" s="60"/>
      <c r="C847" s="61"/>
      <c r="D847" s="59"/>
      <c r="E847" s="59"/>
      <c r="F847" s="59"/>
      <c r="G847" s="59"/>
    </row>
    <row r="848" spans="1:7" ht="15.75" customHeight="1" x14ac:dyDescent="0.15">
      <c r="A848" s="59"/>
      <c r="B848" s="60"/>
      <c r="C848" s="61"/>
      <c r="D848" s="59"/>
      <c r="E848" s="59"/>
      <c r="F848" s="59"/>
      <c r="G848" s="59"/>
    </row>
    <row r="849" spans="1:7" ht="15.75" customHeight="1" x14ac:dyDescent="0.15">
      <c r="A849" s="59"/>
      <c r="B849" s="60"/>
      <c r="C849" s="61"/>
      <c r="D849" s="59"/>
      <c r="E849" s="59"/>
      <c r="F849" s="59"/>
      <c r="G849" s="59"/>
    </row>
    <row r="850" spans="1:7" ht="15.75" customHeight="1" x14ac:dyDescent="0.15">
      <c r="A850" s="59"/>
      <c r="B850" s="60"/>
      <c r="C850" s="61"/>
      <c r="D850" s="59"/>
      <c r="E850" s="59"/>
      <c r="F850" s="59"/>
      <c r="G850" s="59"/>
    </row>
    <row r="851" spans="1:7" ht="15.75" customHeight="1" x14ac:dyDescent="0.15">
      <c r="A851" s="59"/>
      <c r="B851" s="60"/>
      <c r="C851" s="61"/>
      <c r="D851" s="59"/>
      <c r="E851" s="59"/>
      <c r="F851" s="59"/>
      <c r="G851" s="59"/>
    </row>
    <row r="852" spans="1:7" ht="15.75" customHeight="1" x14ac:dyDescent="0.15">
      <c r="A852" s="59"/>
      <c r="B852" s="60"/>
      <c r="C852" s="61"/>
      <c r="D852" s="59"/>
      <c r="E852" s="59"/>
      <c r="F852" s="59"/>
      <c r="G852" s="59"/>
    </row>
    <row r="853" spans="1:7" ht="15.75" customHeight="1" x14ac:dyDescent="0.15">
      <c r="A853" s="59"/>
      <c r="B853" s="60"/>
      <c r="C853" s="61"/>
      <c r="D853" s="59"/>
      <c r="E853" s="59"/>
      <c r="F853" s="59"/>
      <c r="G853" s="59"/>
    </row>
    <row r="854" spans="1:7" ht="15.75" customHeight="1" x14ac:dyDescent="0.15">
      <c r="A854" s="59"/>
      <c r="B854" s="60"/>
      <c r="C854" s="61"/>
      <c r="D854" s="59"/>
      <c r="E854" s="59"/>
      <c r="F854" s="59"/>
      <c r="G854" s="59"/>
    </row>
    <row r="855" spans="1:7" ht="15.75" customHeight="1" x14ac:dyDescent="0.15">
      <c r="A855" s="59"/>
      <c r="B855" s="60"/>
      <c r="C855" s="61"/>
      <c r="D855" s="59"/>
      <c r="E855" s="59"/>
      <c r="F855" s="59"/>
      <c r="G855" s="59"/>
    </row>
    <row r="856" spans="1:7" ht="15.75" customHeight="1" x14ac:dyDescent="0.15">
      <c r="A856" s="59"/>
      <c r="B856" s="60"/>
      <c r="C856" s="61"/>
      <c r="D856" s="59"/>
      <c r="E856" s="59"/>
      <c r="F856" s="59"/>
      <c r="G856" s="59"/>
    </row>
    <row r="857" spans="1:7" ht="15.75" customHeight="1" x14ac:dyDescent="0.15">
      <c r="A857" s="59"/>
      <c r="B857" s="60"/>
      <c r="C857" s="61"/>
      <c r="D857" s="59"/>
      <c r="E857" s="59"/>
      <c r="F857" s="59"/>
      <c r="G857" s="59"/>
    </row>
    <row r="858" spans="1:7" ht="15.75" customHeight="1" x14ac:dyDescent="0.15">
      <c r="A858" s="59"/>
      <c r="B858" s="60"/>
      <c r="C858" s="61"/>
      <c r="D858" s="59"/>
      <c r="E858" s="59"/>
      <c r="F858" s="59"/>
      <c r="G858" s="59"/>
    </row>
    <row r="859" spans="1:7" ht="15.75" customHeight="1" x14ac:dyDescent="0.15">
      <c r="A859" s="59"/>
      <c r="B859" s="60"/>
      <c r="C859" s="61"/>
      <c r="D859" s="59"/>
      <c r="E859" s="59"/>
      <c r="F859" s="59"/>
      <c r="G859" s="59"/>
    </row>
    <row r="860" spans="1:7" ht="15.75" customHeight="1" x14ac:dyDescent="0.15">
      <c r="A860" s="59"/>
      <c r="B860" s="60"/>
      <c r="C860" s="61"/>
      <c r="D860" s="59"/>
      <c r="E860" s="59"/>
      <c r="F860" s="59"/>
      <c r="G860" s="59"/>
    </row>
    <row r="861" spans="1:7" ht="15.75" customHeight="1" x14ac:dyDescent="0.15">
      <c r="A861" s="59"/>
      <c r="B861" s="60"/>
      <c r="C861" s="61"/>
      <c r="D861" s="59"/>
      <c r="E861" s="59"/>
      <c r="F861" s="59"/>
      <c r="G861" s="59"/>
    </row>
    <row r="862" spans="1:7" ht="15.75" customHeight="1" x14ac:dyDescent="0.15">
      <c r="A862" s="59"/>
      <c r="B862" s="60"/>
      <c r="C862" s="61"/>
      <c r="D862" s="59"/>
      <c r="E862" s="59"/>
      <c r="F862" s="59"/>
      <c r="G862" s="59"/>
    </row>
    <row r="863" spans="1:7" ht="15.75" customHeight="1" x14ac:dyDescent="0.15">
      <c r="A863" s="59"/>
      <c r="B863" s="60"/>
      <c r="C863" s="61"/>
      <c r="D863" s="59"/>
      <c r="E863" s="59"/>
      <c r="F863" s="59"/>
      <c r="G863" s="59"/>
    </row>
    <row r="864" spans="1:7" ht="15.75" customHeight="1" x14ac:dyDescent="0.15">
      <c r="A864" s="59"/>
      <c r="B864" s="60"/>
      <c r="C864" s="61"/>
      <c r="D864" s="59"/>
      <c r="E864" s="59"/>
      <c r="F864" s="59"/>
      <c r="G864" s="59"/>
    </row>
    <row r="865" spans="1:7" ht="15.75" customHeight="1" x14ac:dyDescent="0.15">
      <c r="A865" s="59"/>
      <c r="B865" s="60"/>
      <c r="C865" s="61"/>
      <c r="D865" s="59"/>
      <c r="E865" s="59"/>
      <c r="F865" s="59"/>
      <c r="G865" s="59"/>
    </row>
    <row r="866" spans="1:7" ht="15.75" customHeight="1" x14ac:dyDescent="0.15">
      <c r="A866" s="59"/>
      <c r="B866" s="60"/>
      <c r="C866" s="61"/>
      <c r="D866" s="59"/>
      <c r="E866" s="59"/>
      <c r="F866" s="59"/>
      <c r="G866" s="59"/>
    </row>
    <row r="867" spans="1:7" ht="15.75" customHeight="1" x14ac:dyDescent="0.15">
      <c r="A867" s="59"/>
      <c r="B867" s="60"/>
      <c r="C867" s="61"/>
      <c r="D867" s="59"/>
      <c r="E867" s="59"/>
      <c r="F867" s="59"/>
      <c r="G867" s="59"/>
    </row>
    <row r="868" spans="1:7" ht="15.75" customHeight="1" x14ac:dyDescent="0.15">
      <c r="A868" s="59"/>
      <c r="B868" s="60"/>
      <c r="C868" s="61"/>
      <c r="D868" s="59"/>
      <c r="E868" s="59"/>
      <c r="F868" s="59"/>
      <c r="G868" s="59"/>
    </row>
    <row r="869" spans="1:7" ht="15.75" customHeight="1" x14ac:dyDescent="0.15">
      <c r="A869" s="59"/>
      <c r="B869" s="60"/>
      <c r="C869" s="61"/>
      <c r="D869" s="59"/>
      <c r="E869" s="59"/>
      <c r="F869" s="59"/>
      <c r="G869" s="59"/>
    </row>
    <row r="870" spans="1:7" ht="15.75" customHeight="1" x14ac:dyDescent="0.15">
      <c r="A870" s="59"/>
      <c r="B870" s="60"/>
      <c r="C870" s="61"/>
      <c r="D870" s="59"/>
      <c r="E870" s="59"/>
      <c r="F870" s="59"/>
      <c r="G870" s="59"/>
    </row>
    <row r="871" spans="1:7" ht="15.75" customHeight="1" x14ac:dyDescent="0.15">
      <c r="A871" s="59"/>
      <c r="B871" s="60"/>
      <c r="C871" s="61"/>
      <c r="D871" s="59"/>
      <c r="E871" s="59"/>
      <c r="F871" s="59"/>
      <c r="G871" s="59"/>
    </row>
    <row r="872" spans="1:7" ht="15.75" customHeight="1" x14ac:dyDescent="0.15">
      <c r="A872" s="59"/>
      <c r="B872" s="60"/>
      <c r="C872" s="61"/>
      <c r="D872" s="59"/>
      <c r="E872" s="59"/>
      <c r="F872" s="59"/>
      <c r="G872" s="59"/>
    </row>
    <row r="873" spans="1:7" ht="15.75" customHeight="1" x14ac:dyDescent="0.15">
      <c r="A873" s="59"/>
      <c r="B873" s="60"/>
      <c r="C873" s="61"/>
      <c r="D873" s="59"/>
      <c r="E873" s="59"/>
      <c r="F873" s="59"/>
      <c r="G873" s="59"/>
    </row>
    <row r="874" spans="1:7" ht="15.75" customHeight="1" x14ac:dyDescent="0.15">
      <c r="A874" s="59"/>
      <c r="B874" s="60"/>
      <c r="C874" s="61"/>
      <c r="D874" s="59"/>
      <c r="E874" s="59"/>
      <c r="F874" s="59"/>
      <c r="G874" s="59"/>
    </row>
    <row r="875" spans="1:7" ht="15.75" customHeight="1" x14ac:dyDescent="0.15">
      <c r="A875" s="59"/>
      <c r="B875" s="60"/>
      <c r="C875" s="61"/>
      <c r="D875" s="59"/>
      <c r="E875" s="59"/>
      <c r="F875" s="59"/>
      <c r="G875" s="59"/>
    </row>
    <row r="876" spans="1:7" ht="15.75" customHeight="1" x14ac:dyDescent="0.15">
      <c r="A876" s="59"/>
      <c r="B876" s="60"/>
      <c r="C876" s="61"/>
      <c r="D876" s="59"/>
      <c r="E876" s="59"/>
      <c r="F876" s="59"/>
      <c r="G876" s="59"/>
    </row>
    <row r="877" spans="1:7" ht="15.75" customHeight="1" x14ac:dyDescent="0.15">
      <c r="A877" s="59"/>
      <c r="B877" s="60"/>
      <c r="C877" s="61"/>
      <c r="D877" s="59"/>
      <c r="E877" s="59"/>
      <c r="F877" s="59"/>
      <c r="G877" s="59"/>
    </row>
    <row r="878" spans="1:7" ht="15.75" customHeight="1" x14ac:dyDescent="0.15">
      <c r="A878" s="59"/>
      <c r="B878" s="60"/>
      <c r="C878" s="61"/>
      <c r="D878" s="59"/>
      <c r="E878" s="59"/>
      <c r="F878" s="59"/>
      <c r="G878" s="59"/>
    </row>
    <row r="879" spans="1:7" ht="15.75" customHeight="1" x14ac:dyDescent="0.15">
      <c r="A879" s="59"/>
      <c r="B879" s="60"/>
      <c r="C879" s="61"/>
      <c r="D879" s="59"/>
      <c r="E879" s="59"/>
      <c r="F879" s="59"/>
      <c r="G879" s="59"/>
    </row>
    <row r="880" spans="1:7" ht="15.75" customHeight="1" x14ac:dyDescent="0.15">
      <c r="A880" s="59"/>
      <c r="B880" s="60"/>
      <c r="C880" s="61"/>
      <c r="D880" s="59"/>
      <c r="E880" s="59"/>
      <c r="F880" s="59"/>
      <c r="G880" s="59"/>
    </row>
    <row r="881" spans="1:7" ht="15.75" customHeight="1" x14ac:dyDescent="0.15">
      <c r="A881" s="59"/>
      <c r="B881" s="60"/>
      <c r="C881" s="61"/>
      <c r="D881" s="59"/>
      <c r="E881" s="59"/>
      <c r="F881" s="59"/>
      <c r="G881" s="59"/>
    </row>
    <row r="882" spans="1:7" ht="15.75" customHeight="1" x14ac:dyDescent="0.15">
      <c r="A882" s="59"/>
      <c r="B882" s="60"/>
      <c r="C882" s="61"/>
      <c r="D882" s="59"/>
      <c r="E882" s="59"/>
      <c r="F882" s="59"/>
      <c r="G882" s="59"/>
    </row>
    <row r="883" spans="1:7" ht="15.75" customHeight="1" x14ac:dyDescent="0.15">
      <c r="A883" s="59"/>
      <c r="B883" s="60"/>
      <c r="C883" s="61"/>
      <c r="D883" s="59"/>
      <c r="E883" s="59"/>
      <c r="F883" s="59"/>
      <c r="G883" s="59"/>
    </row>
    <row r="884" spans="1:7" ht="15.75" customHeight="1" x14ac:dyDescent="0.15">
      <c r="A884" s="59"/>
      <c r="B884" s="60"/>
      <c r="C884" s="61"/>
      <c r="D884" s="59"/>
      <c r="E884" s="59"/>
      <c r="F884" s="59"/>
      <c r="G884" s="59"/>
    </row>
    <row r="885" spans="1:7" ht="15.75" customHeight="1" x14ac:dyDescent="0.15">
      <c r="A885" s="59"/>
      <c r="B885" s="60"/>
      <c r="C885" s="61"/>
      <c r="D885" s="59"/>
      <c r="E885" s="59"/>
      <c r="F885" s="59"/>
      <c r="G885" s="59"/>
    </row>
    <row r="886" spans="1:7" ht="15.75" customHeight="1" x14ac:dyDescent="0.15">
      <c r="A886" s="59"/>
      <c r="B886" s="60"/>
      <c r="C886" s="61"/>
      <c r="D886" s="59"/>
      <c r="E886" s="59"/>
      <c r="F886" s="59"/>
      <c r="G886" s="59"/>
    </row>
    <row r="887" spans="1:7" ht="15.75" customHeight="1" x14ac:dyDescent="0.15">
      <c r="A887" s="59"/>
      <c r="B887" s="60"/>
      <c r="C887" s="61"/>
      <c r="D887" s="59"/>
      <c r="E887" s="59"/>
      <c r="F887" s="59"/>
      <c r="G887" s="59"/>
    </row>
    <row r="888" spans="1:7" ht="15.75" customHeight="1" x14ac:dyDescent="0.15">
      <c r="A888" s="59"/>
      <c r="B888" s="60"/>
      <c r="C888" s="61"/>
      <c r="D888" s="59"/>
      <c r="E888" s="59"/>
      <c r="F888" s="59"/>
      <c r="G888" s="59"/>
    </row>
    <row r="889" spans="1:7" ht="15.75" customHeight="1" x14ac:dyDescent="0.15">
      <c r="A889" s="59"/>
      <c r="B889" s="60"/>
      <c r="C889" s="61"/>
      <c r="D889" s="59"/>
      <c r="E889" s="59"/>
      <c r="F889" s="59"/>
      <c r="G889" s="59"/>
    </row>
    <row r="890" spans="1:7" ht="15.75" customHeight="1" x14ac:dyDescent="0.15">
      <c r="A890" s="59"/>
      <c r="B890" s="60"/>
      <c r="C890" s="61"/>
      <c r="D890" s="59"/>
      <c r="E890" s="59"/>
      <c r="F890" s="59"/>
      <c r="G890" s="59"/>
    </row>
    <row r="891" spans="1:7" ht="15.75" customHeight="1" x14ac:dyDescent="0.15">
      <c r="A891" s="59"/>
      <c r="B891" s="60"/>
      <c r="C891" s="61"/>
      <c r="D891" s="59"/>
      <c r="E891" s="59"/>
      <c r="F891" s="59"/>
      <c r="G891" s="59"/>
    </row>
    <row r="892" spans="1:7" ht="15.75" customHeight="1" x14ac:dyDescent="0.15">
      <c r="A892" s="59"/>
      <c r="B892" s="60"/>
      <c r="C892" s="61"/>
      <c r="D892" s="59"/>
      <c r="E892" s="59"/>
      <c r="F892" s="59"/>
      <c r="G892" s="59"/>
    </row>
    <row r="893" spans="1:7" ht="15.75" customHeight="1" x14ac:dyDescent="0.15">
      <c r="A893" s="59"/>
      <c r="B893" s="60"/>
      <c r="C893" s="61"/>
      <c r="D893" s="59"/>
      <c r="E893" s="59"/>
      <c r="F893" s="59"/>
      <c r="G893" s="59"/>
    </row>
    <row r="894" spans="1:7" ht="15.75" customHeight="1" x14ac:dyDescent="0.15">
      <c r="A894" s="59"/>
      <c r="B894" s="60"/>
      <c r="C894" s="61"/>
      <c r="D894" s="59"/>
      <c r="E894" s="59"/>
      <c r="F894" s="59"/>
      <c r="G894" s="59"/>
    </row>
    <row r="895" spans="1:7" ht="15.75" customHeight="1" x14ac:dyDescent="0.15">
      <c r="A895" s="59"/>
      <c r="B895" s="60"/>
      <c r="C895" s="61"/>
      <c r="D895" s="59"/>
      <c r="E895" s="59"/>
      <c r="F895" s="59"/>
      <c r="G895" s="59"/>
    </row>
    <row r="896" spans="1:7" ht="15.75" customHeight="1" x14ac:dyDescent="0.15">
      <c r="A896" s="59"/>
      <c r="B896" s="60"/>
      <c r="C896" s="61"/>
      <c r="D896" s="59"/>
      <c r="E896" s="59"/>
      <c r="F896" s="59"/>
      <c r="G896" s="59"/>
    </row>
    <row r="897" spans="1:7" ht="15.75" customHeight="1" x14ac:dyDescent="0.15">
      <c r="A897" s="59"/>
      <c r="B897" s="60"/>
      <c r="C897" s="61"/>
      <c r="D897" s="59"/>
      <c r="E897" s="59"/>
      <c r="F897" s="59"/>
      <c r="G897" s="59"/>
    </row>
    <row r="898" spans="1:7" ht="15.75" customHeight="1" x14ac:dyDescent="0.15">
      <c r="A898" s="59"/>
      <c r="B898" s="60"/>
      <c r="C898" s="61"/>
      <c r="D898" s="59"/>
      <c r="E898" s="59"/>
      <c r="F898" s="59"/>
      <c r="G898" s="59"/>
    </row>
    <row r="899" spans="1:7" ht="15.75" customHeight="1" x14ac:dyDescent="0.15">
      <c r="A899" s="59"/>
      <c r="B899" s="60"/>
      <c r="C899" s="61"/>
      <c r="D899" s="59"/>
      <c r="E899" s="59"/>
      <c r="F899" s="59"/>
      <c r="G899" s="59"/>
    </row>
    <row r="900" spans="1:7" ht="15.75" customHeight="1" x14ac:dyDescent="0.15">
      <c r="A900" s="59"/>
      <c r="B900" s="60"/>
      <c r="C900" s="61"/>
      <c r="D900" s="59"/>
      <c r="E900" s="59"/>
      <c r="F900" s="59"/>
      <c r="G900" s="59"/>
    </row>
    <row r="901" spans="1:7" ht="15.75" customHeight="1" x14ac:dyDescent="0.15">
      <c r="A901" s="59"/>
      <c r="B901" s="60"/>
      <c r="C901" s="61"/>
      <c r="D901" s="59"/>
      <c r="E901" s="59"/>
      <c r="F901" s="59"/>
      <c r="G901" s="59"/>
    </row>
    <row r="902" spans="1:7" ht="15.75" customHeight="1" x14ac:dyDescent="0.15">
      <c r="A902" s="59"/>
      <c r="B902" s="60"/>
      <c r="C902" s="61"/>
      <c r="D902" s="59"/>
      <c r="E902" s="59"/>
      <c r="F902" s="59"/>
      <c r="G902" s="59"/>
    </row>
    <row r="903" spans="1:7" ht="15.75" customHeight="1" x14ac:dyDescent="0.15">
      <c r="A903" s="59"/>
      <c r="B903" s="60"/>
      <c r="C903" s="61"/>
      <c r="D903" s="59"/>
      <c r="E903" s="59"/>
      <c r="F903" s="59"/>
      <c r="G903" s="59"/>
    </row>
    <row r="904" spans="1:7" ht="15.75" customHeight="1" x14ac:dyDescent="0.15">
      <c r="A904" s="59"/>
      <c r="B904" s="60"/>
      <c r="C904" s="61"/>
      <c r="D904" s="59"/>
      <c r="E904" s="59"/>
      <c r="F904" s="59"/>
      <c r="G904" s="59"/>
    </row>
    <row r="905" spans="1:7" ht="15.75" customHeight="1" x14ac:dyDescent="0.15">
      <c r="A905" s="59"/>
      <c r="B905" s="60"/>
      <c r="C905" s="61"/>
      <c r="D905" s="59"/>
      <c r="E905" s="59"/>
      <c r="F905" s="59"/>
      <c r="G905" s="59"/>
    </row>
    <row r="906" spans="1:7" ht="15.75" customHeight="1" x14ac:dyDescent="0.15">
      <c r="A906" s="59"/>
      <c r="B906" s="60"/>
      <c r="C906" s="61"/>
      <c r="D906" s="59"/>
      <c r="E906" s="59"/>
      <c r="F906" s="59"/>
      <c r="G906" s="59"/>
    </row>
    <row r="907" spans="1:7" ht="15.75" customHeight="1" x14ac:dyDescent="0.15">
      <c r="A907" s="59"/>
      <c r="B907" s="60"/>
      <c r="C907" s="61"/>
      <c r="D907" s="59"/>
      <c r="E907" s="59"/>
      <c r="F907" s="59"/>
      <c r="G907" s="59"/>
    </row>
    <row r="908" spans="1:7" ht="15.75" customHeight="1" x14ac:dyDescent="0.15">
      <c r="A908" s="59"/>
      <c r="B908" s="60"/>
      <c r="C908" s="61"/>
      <c r="D908" s="59"/>
      <c r="E908" s="59"/>
      <c r="F908" s="59"/>
      <c r="G908" s="59"/>
    </row>
    <row r="909" spans="1:7" ht="15.75" customHeight="1" x14ac:dyDescent="0.15">
      <c r="A909" s="59"/>
      <c r="B909" s="60"/>
      <c r="C909" s="61"/>
      <c r="D909" s="59"/>
      <c r="E909" s="59"/>
      <c r="F909" s="59"/>
      <c r="G909" s="59"/>
    </row>
    <row r="910" spans="1:7" ht="15.75" customHeight="1" x14ac:dyDescent="0.15">
      <c r="A910" s="59"/>
      <c r="B910" s="60"/>
      <c r="C910" s="61"/>
      <c r="D910" s="59"/>
      <c r="E910" s="59"/>
      <c r="F910" s="59"/>
      <c r="G910" s="59"/>
    </row>
    <row r="911" spans="1:7" ht="15.75" customHeight="1" x14ac:dyDescent="0.15">
      <c r="A911" s="59"/>
      <c r="B911" s="60"/>
      <c r="C911" s="61"/>
      <c r="D911" s="59"/>
      <c r="E911" s="59"/>
      <c r="F911" s="59"/>
      <c r="G911" s="59"/>
    </row>
    <row r="912" spans="1:7" ht="15.75" customHeight="1" x14ac:dyDescent="0.15">
      <c r="A912" s="59"/>
      <c r="B912" s="60"/>
      <c r="C912" s="61"/>
      <c r="D912" s="59"/>
      <c r="E912" s="59"/>
      <c r="F912" s="59"/>
      <c r="G912" s="59"/>
    </row>
    <row r="913" spans="1:7" ht="15.75" customHeight="1" x14ac:dyDescent="0.15">
      <c r="A913" s="59"/>
      <c r="B913" s="60"/>
      <c r="C913" s="61"/>
      <c r="D913" s="59"/>
      <c r="E913" s="59"/>
      <c r="F913" s="59"/>
      <c r="G913" s="59"/>
    </row>
    <row r="914" spans="1:7" ht="15.75" customHeight="1" x14ac:dyDescent="0.15">
      <c r="A914" s="59"/>
      <c r="B914" s="60"/>
      <c r="C914" s="61"/>
      <c r="D914" s="59"/>
      <c r="E914" s="59"/>
      <c r="F914" s="59"/>
      <c r="G914" s="59"/>
    </row>
    <row r="915" spans="1:7" ht="15.75" customHeight="1" x14ac:dyDescent="0.15">
      <c r="A915" s="59"/>
      <c r="B915" s="60"/>
      <c r="C915" s="61"/>
      <c r="D915" s="59"/>
      <c r="E915" s="59"/>
      <c r="F915" s="59"/>
      <c r="G915" s="59"/>
    </row>
    <row r="916" spans="1:7" ht="15.75" customHeight="1" x14ac:dyDescent="0.15">
      <c r="A916" s="59"/>
      <c r="B916" s="60"/>
      <c r="C916" s="61"/>
      <c r="D916" s="59"/>
      <c r="E916" s="59"/>
      <c r="F916" s="59"/>
      <c r="G916" s="59"/>
    </row>
    <row r="917" spans="1:7" ht="15.75" customHeight="1" x14ac:dyDescent="0.15">
      <c r="A917" s="59"/>
      <c r="B917" s="60"/>
      <c r="C917" s="61"/>
      <c r="D917" s="59"/>
      <c r="E917" s="59"/>
      <c r="F917" s="59"/>
      <c r="G917" s="59"/>
    </row>
    <row r="918" spans="1:7" ht="15.75" customHeight="1" x14ac:dyDescent="0.15">
      <c r="A918" s="59"/>
      <c r="B918" s="60"/>
      <c r="C918" s="61"/>
      <c r="D918" s="59"/>
      <c r="E918" s="59"/>
      <c r="F918" s="59"/>
      <c r="G918" s="59"/>
    </row>
    <row r="919" spans="1:7" ht="15.75" customHeight="1" x14ac:dyDescent="0.15">
      <c r="A919" s="59"/>
      <c r="B919" s="60"/>
      <c r="C919" s="61"/>
      <c r="D919" s="59"/>
      <c r="E919" s="59"/>
      <c r="F919" s="59"/>
      <c r="G919" s="59"/>
    </row>
    <row r="920" spans="1:7" ht="15.75" customHeight="1" x14ac:dyDescent="0.15">
      <c r="A920" s="59"/>
      <c r="B920" s="60"/>
      <c r="C920" s="61"/>
      <c r="D920" s="59"/>
      <c r="E920" s="59"/>
      <c r="F920" s="59"/>
      <c r="G920" s="59"/>
    </row>
    <row r="921" spans="1:7" ht="15.75" customHeight="1" x14ac:dyDescent="0.15">
      <c r="A921" s="59"/>
      <c r="B921" s="60"/>
      <c r="C921" s="61"/>
      <c r="D921" s="59"/>
      <c r="E921" s="59"/>
      <c r="F921" s="59"/>
      <c r="G921" s="59"/>
    </row>
    <row r="922" spans="1:7" ht="15.75" customHeight="1" x14ac:dyDescent="0.15">
      <c r="A922" s="59"/>
      <c r="B922" s="60"/>
      <c r="C922" s="61"/>
      <c r="D922" s="59"/>
      <c r="E922" s="59"/>
      <c r="F922" s="59"/>
      <c r="G922" s="59"/>
    </row>
    <row r="923" spans="1:7" ht="15.75" customHeight="1" x14ac:dyDescent="0.15">
      <c r="A923" s="59"/>
      <c r="B923" s="60"/>
      <c r="C923" s="61"/>
      <c r="D923" s="59"/>
      <c r="E923" s="59"/>
      <c r="F923" s="59"/>
      <c r="G923" s="59"/>
    </row>
    <row r="924" spans="1:7" ht="15.75" customHeight="1" x14ac:dyDescent="0.15">
      <c r="A924" s="59"/>
      <c r="B924" s="60"/>
      <c r="C924" s="61"/>
      <c r="D924" s="59"/>
      <c r="E924" s="59"/>
      <c r="F924" s="59"/>
      <c r="G924" s="59"/>
    </row>
    <row r="925" spans="1:7" ht="15.75" customHeight="1" x14ac:dyDescent="0.15">
      <c r="A925" s="59"/>
      <c r="B925" s="60"/>
      <c r="C925" s="61"/>
      <c r="D925" s="59"/>
      <c r="E925" s="59"/>
      <c r="F925" s="59"/>
      <c r="G925" s="59"/>
    </row>
    <row r="926" spans="1:7" ht="15.75" customHeight="1" x14ac:dyDescent="0.15">
      <c r="A926" s="59"/>
      <c r="B926" s="60"/>
      <c r="C926" s="61"/>
      <c r="D926" s="59"/>
      <c r="E926" s="59"/>
      <c r="F926" s="59"/>
      <c r="G926" s="59"/>
    </row>
    <row r="927" spans="1:7" ht="15.75" customHeight="1" x14ac:dyDescent="0.15">
      <c r="A927" s="59"/>
      <c r="B927" s="60"/>
      <c r="C927" s="61"/>
      <c r="D927" s="59"/>
      <c r="E927" s="59"/>
      <c r="F927" s="59"/>
      <c r="G927" s="59"/>
    </row>
    <row r="928" spans="1:7" ht="15.75" customHeight="1" x14ac:dyDescent="0.15">
      <c r="A928" s="59"/>
      <c r="B928" s="60"/>
      <c r="C928" s="61"/>
      <c r="D928" s="59"/>
      <c r="E928" s="59"/>
      <c r="F928" s="59"/>
      <c r="G928" s="59"/>
    </row>
    <row r="929" spans="1:7" ht="15.75" customHeight="1" x14ac:dyDescent="0.15">
      <c r="A929" s="59"/>
      <c r="B929" s="60"/>
      <c r="C929" s="61"/>
      <c r="D929" s="59"/>
      <c r="E929" s="59"/>
      <c r="F929" s="59"/>
      <c r="G929" s="59"/>
    </row>
    <row r="930" spans="1:7" ht="15.75" customHeight="1" x14ac:dyDescent="0.15">
      <c r="A930" s="59"/>
      <c r="B930" s="60"/>
      <c r="C930" s="61"/>
      <c r="D930" s="59"/>
      <c r="E930" s="59"/>
      <c r="F930" s="59"/>
      <c r="G930" s="59"/>
    </row>
    <row r="931" spans="1:7" ht="15.75" customHeight="1" x14ac:dyDescent="0.15">
      <c r="A931" s="59"/>
      <c r="B931" s="60"/>
      <c r="C931" s="61"/>
      <c r="D931" s="59"/>
      <c r="E931" s="59"/>
      <c r="F931" s="59"/>
      <c r="G931" s="59"/>
    </row>
    <row r="932" spans="1:7" ht="15.75" customHeight="1" x14ac:dyDescent="0.15">
      <c r="A932" s="59"/>
      <c r="B932" s="60"/>
      <c r="C932" s="61"/>
      <c r="D932" s="59"/>
      <c r="E932" s="59"/>
      <c r="F932" s="59"/>
      <c r="G932" s="59"/>
    </row>
    <row r="933" spans="1:7" ht="15.75" customHeight="1" x14ac:dyDescent="0.15">
      <c r="A933" s="59"/>
      <c r="B933" s="60"/>
      <c r="C933" s="61"/>
      <c r="D933" s="59"/>
      <c r="E933" s="59"/>
      <c r="F933" s="59"/>
      <c r="G933" s="59"/>
    </row>
    <row r="934" spans="1:7" ht="15.75" customHeight="1" x14ac:dyDescent="0.15">
      <c r="A934" s="59"/>
      <c r="B934" s="60"/>
      <c r="C934" s="61"/>
      <c r="D934" s="59"/>
      <c r="E934" s="59"/>
      <c r="F934" s="59"/>
      <c r="G934" s="59"/>
    </row>
    <row r="935" spans="1:7" ht="15.75" customHeight="1" x14ac:dyDescent="0.15">
      <c r="A935" s="59"/>
      <c r="B935" s="60"/>
      <c r="C935" s="61"/>
      <c r="D935" s="59"/>
      <c r="E935" s="59"/>
      <c r="F935" s="59"/>
      <c r="G935" s="59"/>
    </row>
    <row r="936" spans="1:7" ht="15.75" customHeight="1" x14ac:dyDescent="0.15">
      <c r="A936" s="59"/>
      <c r="B936" s="60"/>
      <c r="C936" s="61"/>
      <c r="D936" s="59"/>
      <c r="E936" s="59"/>
      <c r="F936" s="59"/>
      <c r="G936" s="59"/>
    </row>
    <row r="937" spans="1:7" ht="15.75" customHeight="1" x14ac:dyDescent="0.15">
      <c r="A937" s="59"/>
      <c r="B937" s="60"/>
      <c r="C937" s="61"/>
      <c r="D937" s="59"/>
      <c r="E937" s="59"/>
      <c r="F937" s="59"/>
      <c r="G937" s="59"/>
    </row>
    <row r="938" spans="1:7" ht="15.75" customHeight="1" x14ac:dyDescent="0.15">
      <c r="A938" s="59"/>
      <c r="B938" s="60"/>
      <c r="C938" s="61"/>
      <c r="D938" s="59"/>
      <c r="E938" s="59"/>
      <c r="F938" s="59"/>
      <c r="G938" s="59"/>
    </row>
    <row r="939" spans="1:7" ht="15.75" customHeight="1" x14ac:dyDescent="0.15">
      <c r="A939" s="59"/>
      <c r="B939" s="60"/>
      <c r="C939" s="61"/>
      <c r="D939" s="59"/>
      <c r="E939" s="59"/>
      <c r="F939" s="59"/>
      <c r="G939" s="59"/>
    </row>
    <row r="940" spans="1:7" ht="15.75" customHeight="1" x14ac:dyDescent="0.15">
      <c r="A940" s="59"/>
      <c r="B940" s="60"/>
      <c r="C940" s="61"/>
      <c r="D940" s="59"/>
      <c r="E940" s="59"/>
      <c r="F940" s="59"/>
      <c r="G940" s="59"/>
    </row>
    <row r="941" spans="1:7" ht="15.75" customHeight="1" x14ac:dyDescent="0.15">
      <c r="A941" s="59"/>
      <c r="B941" s="60"/>
      <c r="C941" s="61"/>
      <c r="D941" s="59"/>
      <c r="E941" s="59"/>
      <c r="F941" s="59"/>
      <c r="G941" s="59"/>
    </row>
    <row r="942" spans="1:7" ht="15.75" customHeight="1" x14ac:dyDescent="0.15">
      <c r="A942" s="59"/>
      <c r="B942" s="60"/>
      <c r="C942" s="61"/>
      <c r="D942" s="59"/>
      <c r="E942" s="59"/>
      <c r="F942" s="59"/>
      <c r="G942" s="59"/>
    </row>
    <row r="943" spans="1:7" ht="15.75" customHeight="1" x14ac:dyDescent="0.15">
      <c r="A943" s="59"/>
      <c r="B943" s="60"/>
      <c r="C943" s="61"/>
      <c r="D943" s="59"/>
      <c r="E943" s="59"/>
      <c r="F943" s="59"/>
      <c r="G943" s="59"/>
    </row>
    <row r="944" spans="1:7" ht="15.75" customHeight="1" x14ac:dyDescent="0.15">
      <c r="A944" s="59"/>
      <c r="B944" s="60"/>
      <c r="C944" s="61"/>
      <c r="D944" s="59"/>
      <c r="E944" s="59"/>
      <c r="F944" s="59"/>
      <c r="G944" s="59"/>
    </row>
    <row r="945" spans="1:7" ht="15.75" customHeight="1" x14ac:dyDescent="0.15">
      <c r="A945" s="59"/>
      <c r="B945" s="60"/>
      <c r="C945" s="61"/>
      <c r="D945" s="59"/>
      <c r="E945" s="59"/>
      <c r="F945" s="59"/>
      <c r="G945" s="59"/>
    </row>
    <row r="946" spans="1:7" ht="15.75" customHeight="1" x14ac:dyDescent="0.15">
      <c r="A946" s="59"/>
      <c r="B946" s="60"/>
      <c r="C946" s="61"/>
      <c r="D946" s="59"/>
      <c r="E946" s="59"/>
      <c r="F946" s="59"/>
      <c r="G946" s="59"/>
    </row>
    <row r="947" spans="1:7" ht="15.75" customHeight="1" x14ac:dyDescent="0.15">
      <c r="A947" s="59"/>
      <c r="B947" s="60"/>
      <c r="C947" s="61"/>
      <c r="D947" s="59"/>
      <c r="E947" s="59"/>
      <c r="F947" s="59"/>
      <c r="G947" s="59"/>
    </row>
    <row r="948" spans="1:7" ht="15.75" customHeight="1" x14ac:dyDescent="0.15">
      <c r="A948" s="59"/>
      <c r="B948" s="60"/>
      <c r="C948" s="61"/>
      <c r="D948" s="59"/>
      <c r="E948" s="59"/>
      <c r="F948" s="59"/>
      <c r="G948" s="59"/>
    </row>
    <row r="949" spans="1:7" ht="15.75" customHeight="1" x14ac:dyDescent="0.15">
      <c r="A949" s="59"/>
      <c r="B949" s="60"/>
      <c r="C949" s="61"/>
      <c r="D949" s="59"/>
      <c r="E949" s="59"/>
      <c r="F949" s="59"/>
      <c r="G949" s="59"/>
    </row>
    <row r="950" spans="1:7" ht="15.75" customHeight="1" x14ac:dyDescent="0.15">
      <c r="A950" s="59"/>
      <c r="B950" s="60"/>
      <c r="C950" s="61"/>
      <c r="D950" s="59"/>
      <c r="E950" s="59"/>
      <c r="F950" s="59"/>
      <c r="G950" s="59"/>
    </row>
    <row r="951" spans="1:7" ht="15.75" customHeight="1" x14ac:dyDescent="0.15">
      <c r="A951" s="59"/>
      <c r="B951" s="60"/>
      <c r="C951" s="61"/>
      <c r="D951" s="59"/>
      <c r="E951" s="59"/>
      <c r="F951" s="59"/>
      <c r="G951" s="59"/>
    </row>
    <row r="952" spans="1:7" ht="15.75" customHeight="1" x14ac:dyDescent="0.15">
      <c r="A952" s="59"/>
      <c r="B952" s="60"/>
      <c r="C952" s="61"/>
      <c r="D952" s="59"/>
      <c r="E952" s="59"/>
      <c r="F952" s="59"/>
      <c r="G952" s="59"/>
    </row>
    <row r="953" spans="1:7" ht="15.75" customHeight="1" x14ac:dyDescent="0.15">
      <c r="A953" s="59"/>
      <c r="B953" s="60"/>
      <c r="C953" s="61"/>
      <c r="D953" s="59"/>
      <c r="E953" s="59"/>
      <c r="F953" s="59"/>
      <c r="G953" s="59"/>
    </row>
    <row r="954" spans="1:7" ht="15.75" customHeight="1" x14ac:dyDescent="0.15">
      <c r="A954" s="59"/>
      <c r="B954" s="60"/>
      <c r="C954" s="61"/>
      <c r="D954" s="59"/>
      <c r="E954" s="59"/>
      <c r="F954" s="59"/>
      <c r="G954" s="59"/>
    </row>
    <row r="955" spans="1:7" ht="15.75" customHeight="1" x14ac:dyDescent="0.15">
      <c r="A955" s="59"/>
      <c r="B955" s="60"/>
      <c r="C955" s="61"/>
      <c r="D955" s="59"/>
      <c r="E955" s="59"/>
      <c r="F955" s="59"/>
      <c r="G955" s="59"/>
    </row>
    <row r="956" spans="1:7" ht="15.75" customHeight="1" x14ac:dyDescent="0.15">
      <c r="A956" s="59"/>
      <c r="B956" s="60"/>
      <c r="C956" s="61"/>
      <c r="D956" s="59"/>
      <c r="E956" s="59"/>
      <c r="F956" s="59"/>
      <c r="G956" s="59"/>
    </row>
    <row r="957" spans="1:7" ht="15.75" customHeight="1" x14ac:dyDescent="0.15">
      <c r="A957" s="59"/>
      <c r="B957" s="60"/>
      <c r="C957" s="61"/>
      <c r="D957" s="59"/>
      <c r="E957" s="59"/>
      <c r="F957" s="59"/>
      <c r="G957" s="59"/>
    </row>
    <row r="958" spans="1:7" ht="15.75" customHeight="1" x14ac:dyDescent="0.15">
      <c r="A958" s="59"/>
      <c r="B958" s="60"/>
      <c r="C958" s="61"/>
      <c r="D958" s="59"/>
      <c r="E958" s="59"/>
      <c r="F958" s="59"/>
      <c r="G958" s="59"/>
    </row>
    <row r="959" spans="1:7" ht="15.75" customHeight="1" x14ac:dyDescent="0.15">
      <c r="A959" s="59"/>
      <c r="B959" s="60"/>
      <c r="C959" s="61"/>
      <c r="D959" s="59"/>
      <c r="E959" s="59"/>
      <c r="F959" s="59"/>
      <c r="G959" s="59"/>
    </row>
    <row r="960" spans="1:7" ht="15.75" customHeight="1" x14ac:dyDescent="0.15">
      <c r="A960" s="59"/>
      <c r="B960" s="60"/>
      <c r="C960" s="61"/>
      <c r="D960" s="59"/>
      <c r="E960" s="59"/>
      <c r="F960" s="59"/>
      <c r="G960" s="59"/>
    </row>
    <row r="961" spans="1:7" ht="15.75" customHeight="1" x14ac:dyDescent="0.15">
      <c r="A961" s="59"/>
      <c r="B961" s="60"/>
      <c r="C961" s="61"/>
      <c r="D961" s="59"/>
      <c r="E961" s="59"/>
      <c r="F961" s="59"/>
      <c r="G961" s="59"/>
    </row>
    <row r="962" spans="1:7" ht="15.75" customHeight="1" x14ac:dyDescent="0.15">
      <c r="A962" s="59"/>
      <c r="B962" s="60"/>
      <c r="C962" s="61"/>
      <c r="D962" s="59"/>
      <c r="E962" s="59"/>
      <c r="F962" s="59"/>
      <c r="G962" s="59"/>
    </row>
    <row r="963" spans="1:7" ht="15.75" customHeight="1" x14ac:dyDescent="0.15">
      <c r="A963" s="59"/>
      <c r="B963" s="60"/>
      <c r="C963" s="61"/>
      <c r="D963" s="59"/>
      <c r="E963" s="59"/>
      <c r="F963" s="59"/>
      <c r="G963" s="59"/>
    </row>
    <row r="964" spans="1:7" ht="15.75" customHeight="1" x14ac:dyDescent="0.15">
      <c r="A964" s="59"/>
      <c r="B964" s="60"/>
      <c r="C964" s="61"/>
      <c r="D964" s="59"/>
      <c r="E964" s="59"/>
      <c r="F964" s="59"/>
      <c r="G964" s="59"/>
    </row>
    <row r="965" spans="1:7" ht="15.75" customHeight="1" x14ac:dyDescent="0.15">
      <c r="A965" s="59"/>
      <c r="B965" s="60"/>
      <c r="C965" s="61"/>
      <c r="D965" s="59"/>
      <c r="E965" s="59"/>
      <c r="F965" s="59"/>
      <c r="G965" s="59"/>
    </row>
    <row r="966" spans="1:7" ht="15.75" customHeight="1" x14ac:dyDescent="0.15">
      <c r="A966" s="59"/>
      <c r="B966" s="60"/>
      <c r="C966" s="61"/>
      <c r="D966" s="59"/>
      <c r="E966" s="59"/>
      <c r="F966" s="59"/>
      <c r="G966" s="59"/>
    </row>
    <row r="967" spans="1:7" ht="15.75" customHeight="1" x14ac:dyDescent="0.15">
      <c r="A967" s="59"/>
      <c r="B967" s="60"/>
      <c r="C967" s="61"/>
      <c r="D967" s="59"/>
      <c r="E967" s="59"/>
      <c r="F967" s="59"/>
      <c r="G967" s="59"/>
    </row>
    <row r="968" spans="1:7" ht="15.75" customHeight="1" x14ac:dyDescent="0.15">
      <c r="A968" s="59"/>
      <c r="B968" s="60"/>
      <c r="C968" s="61"/>
      <c r="D968" s="59"/>
      <c r="E968" s="59"/>
      <c r="F968" s="59"/>
      <c r="G968" s="59"/>
    </row>
    <row r="969" spans="1:7" ht="15.75" customHeight="1" x14ac:dyDescent="0.15">
      <c r="A969" s="59"/>
      <c r="B969" s="60"/>
      <c r="C969" s="61"/>
      <c r="D969" s="59"/>
      <c r="E969" s="59"/>
      <c r="F969" s="59"/>
      <c r="G969" s="59"/>
    </row>
    <row r="970" spans="1:7" ht="15.75" customHeight="1" x14ac:dyDescent="0.15">
      <c r="A970" s="59"/>
      <c r="B970" s="60"/>
      <c r="C970" s="61"/>
      <c r="D970" s="59"/>
      <c r="E970" s="59"/>
      <c r="F970" s="59"/>
      <c r="G970" s="59"/>
    </row>
    <row r="971" spans="1:7" ht="15.75" customHeight="1" x14ac:dyDescent="0.15">
      <c r="A971" s="59"/>
      <c r="B971" s="60"/>
      <c r="C971" s="61"/>
      <c r="D971" s="59"/>
      <c r="E971" s="59"/>
      <c r="F971" s="59"/>
      <c r="G971" s="59"/>
    </row>
    <row r="972" spans="1:7" ht="15.75" customHeight="1" x14ac:dyDescent="0.15">
      <c r="A972" s="59"/>
      <c r="B972" s="60"/>
      <c r="C972" s="61"/>
      <c r="D972" s="59"/>
      <c r="E972" s="59"/>
      <c r="F972" s="59"/>
      <c r="G972" s="59"/>
    </row>
    <row r="973" spans="1:7" ht="15.75" customHeight="1" x14ac:dyDescent="0.15">
      <c r="A973" s="59"/>
      <c r="B973" s="60"/>
      <c r="C973" s="61"/>
      <c r="D973" s="59"/>
      <c r="E973" s="59"/>
      <c r="F973" s="59"/>
      <c r="G973" s="59"/>
    </row>
    <row r="974" spans="1:7" ht="15.75" customHeight="1" x14ac:dyDescent="0.15">
      <c r="A974" s="59"/>
      <c r="B974" s="60"/>
      <c r="C974" s="61"/>
      <c r="D974" s="59"/>
      <c r="E974" s="59"/>
      <c r="F974" s="59"/>
      <c r="G974" s="59"/>
    </row>
    <row r="975" spans="1:7" ht="15.75" customHeight="1" x14ac:dyDescent="0.15">
      <c r="A975" s="59"/>
      <c r="B975" s="60"/>
      <c r="C975" s="61"/>
      <c r="D975" s="59"/>
      <c r="E975" s="59"/>
      <c r="F975" s="59"/>
      <c r="G975" s="59"/>
    </row>
    <row r="976" spans="1:7" ht="15.75" customHeight="1" x14ac:dyDescent="0.15">
      <c r="A976" s="59"/>
      <c r="B976" s="60"/>
      <c r="C976" s="61"/>
      <c r="D976" s="59"/>
      <c r="E976" s="59"/>
      <c r="F976" s="59"/>
      <c r="G976" s="59"/>
    </row>
    <row r="977" spans="1:7" ht="15.75" customHeight="1" x14ac:dyDescent="0.15">
      <c r="A977" s="59"/>
      <c r="B977" s="60"/>
      <c r="C977" s="61"/>
      <c r="D977" s="59"/>
      <c r="E977" s="59"/>
      <c r="F977" s="59"/>
      <c r="G977" s="59"/>
    </row>
    <row r="978" spans="1:7" ht="15.75" customHeight="1" x14ac:dyDescent="0.15">
      <c r="A978" s="59"/>
      <c r="B978" s="60"/>
      <c r="C978" s="61"/>
      <c r="D978" s="59"/>
      <c r="E978" s="59"/>
      <c r="F978" s="59"/>
      <c r="G978" s="59"/>
    </row>
    <row r="979" spans="1:7" ht="15.75" customHeight="1" x14ac:dyDescent="0.15">
      <c r="A979" s="59"/>
      <c r="B979" s="60"/>
      <c r="C979" s="61"/>
      <c r="D979" s="59"/>
      <c r="E979" s="59"/>
      <c r="F979" s="59"/>
      <c r="G979" s="59"/>
    </row>
    <row r="980" spans="1:7" ht="15.75" customHeight="1" x14ac:dyDescent="0.15">
      <c r="A980" s="59"/>
      <c r="B980" s="60"/>
      <c r="C980" s="61"/>
      <c r="D980" s="59"/>
      <c r="E980" s="59"/>
      <c r="F980" s="59"/>
      <c r="G980" s="59"/>
    </row>
    <row r="981" spans="1:7" ht="15.75" customHeight="1" x14ac:dyDescent="0.15">
      <c r="A981" s="59"/>
      <c r="B981" s="60"/>
      <c r="C981" s="61"/>
      <c r="D981" s="59"/>
      <c r="E981" s="59"/>
      <c r="F981" s="59"/>
      <c r="G981" s="59"/>
    </row>
    <row r="982" spans="1:7" ht="15.75" customHeight="1" x14ac:dyDescent="0.15">
      <c r="A982" s="59"/>
      <c r="B982" s="60"/>
      <c r="C982" s="61"/>
      <c r="D982" s="59"/>
      <c r="E982" s="59"/>
      <c r="F982" s="59"/>
      <c r="G982" s="59"/>
    </row>
    <row r="983" spans="1:7" ht="15.75" customHeight="1" x14ac:dyDescent="0.15">
      <c r="A983" s="59"/>
      <c r="B983" s="60"/>
      <c r="C983" s="61"/>
      <c r="D983" s="59"/>
      <c r="E983" s="59"/>
      <c r="F983" s="59"/>
      <c r="G983" s="59"/>
    </row>
    <row r="984" spans="1:7" ht="15.75" customHeight="1" x14ac:dyDescent="0.15">
      <c r="A984" s="59"/>
      <c r="B984" s="60"/>
      <c r="C984" s="61"/>
      <c r="D984" s="59"/>
      <c r="E984" s="59"/>
      <c r="F984" s="59"/>
      <c r="G984" s="59"/>
    </row>
    <row r="985" spans="1:7" ht="15.75" customHeight="1" x14ac:dyDescent="0.15">
      <c r="A985" s="59"/>
      <c r="B985" s="60"/>
      <c r="C985" s="61"/>
      <c r="D985" s="59"/>
      <c r="E985" s="59"/>
      <c r="F985" s="59"/>
      <c r="G985" s="59"/>
    </row>
    <row r="986" spans="1:7" ht="15.75" customHeight="1" x14ac:dyDescent="0.15">
      <c r="A986" s="59"/>
      <c r="B986" s="60"/>
      <c r="C986" s="61"/>
      <c r="D986" s="59"/>
      <c r="E986" s="59"/>
      <c r="F986" s="59"/>
      <c r="G986" s="59"/>
    </row>
    <row r="987" spans="1:7" ht="15.75" customHeight="1" x14ac:dyDescent="0.15">
      <c r="A987" s="59"/>
      <c r="B987" s="60"/>
      <c r="C987" s="61"/>
      <c r="D987" s="59"/>
      <c r="E987" s="59"/>
      <c r="F987" s="59"/>
      <c r="G987" s="59"/>
    </row>
    <row r="988" spans="1:7" ht="15.75" customHeight="1" x14ac:dyDescent="0.15">
      <c r="A988" s="59"/>
      <c r="B988" s="60"/>
      <c r="C988" s="61"/>
      <c r="D988" s="59"/>
      <c r="E988" s="59"/>
      <c r="F988" s="59"/>
      <c r="G988" s="59"/>
    </row>
    <row r="989" spans="1:7" ht="15.75" customHeight="1" x14ac:dyDescent="0.15">
      <c r="A989" s="59"/>
      <c r="B989" s="60"/>
      <c r="C989" s="61"/>
      <c r="D989" s="59"/>
      <c r="E989" s="59"/>
      <c r="F989" s="59"/>
      <c r="G989" s="59"/>
    </row>
    <row r="990" spans="1:7" ht="15.75" customHeight="1" x14ac:dyDescent="0.15">
      <c r="A990" s="59"/>
      <c r="B990" s="60"/>
      <c r="C990" s="61"/>
      <c r="D990" s="59"/>
      <c r="E990" s="59"/>
      <c r="F990" s="59"/>
      <c r="G990" s="59"/>
    </row>
    <row r="991" spans="1:7" ht="15.75" customHeight="1" x14ac:dyDescent="0.15">
      <c r="A991" s="59"/>
      <c r="B991" s="60"/>
      <c r="C991" s="61"/>
      <c r="D991" s="59"/>
      <c r="E991" s="59"/>
      <c r="F991" s="59"/>
      <c r="G991" s="59"/>
    </row>
    <row r="992" spans="1:7" ht="15.75" customHeight="1" x14ac:dyDescent="0.15">
      <c r="A992" s="59"/>
      <c r="B992" s="60"/>
      <c r="C992" s="61"/>
      <c r="D992" s="59"/>
      <c r="E992" s="59"/>
      <c r="F992" s="59"/>
      <c r="G992" s="59"/>
    </row>
    <row r="993" spans="1:7" ht="15.75" customHeight="1" x14ac:dyDescent="0.15">
      <c r="A993" s="59"/>
      <c r="B993" s="60"/>
      <c r="C993" s="61"/>
      <c r="D993" s="59"/>
      <c r="E993" s="59"/>
      <c r="F993" s="59"/>
      <c r="G993" s="59"/>
    </row>
    <row r="994" spans="1:7" ht="15.75" customHeight="1" x14ac:dyDescent="0.15">
      <c r="A994" s="59"/>
      <c r="B994" s="60"/>
      <c r="C994" s="61"/>
      <c r="D994" s="59"/>
      <c r="E994" s="59"/>
      <c r="F994" s="59"/>
      <c r="G994" s="59"/>
    </row>
    <row r="995" spans="1:7" ht="15.75" customHeight="1" x14ac:dyDescent="0.15">
      <c r="A995" s="59"/>
      <c r="B995" s="60"/>
      <c r="C995" s="61"/>
      <c r="D995" s="59"/>
      <c r="E995" s="59"/>
      <c r="F995" s="59"/>
      <c r="G995" s="59"/>
    </row>
    <row r="996" spans="1:7" ht="15.75" customHeight="1" x14ac:dyDescent="0.15">
      <c r="A996" s="59"/>
      <c r="B996" s="60"/>
      <c r="C996" s="61"/>
      <c r="D996" s="59"/>
      <c r="E996" s="59"/>
      <c r="F996" s="59"/>
      <c r="G996" s="59"/>
    </row>
    <row r="997" spans="1:7" ht="15.75" customHeight="1" x14ac:dyDescent="0.15">
      <c r="A997" s="59"/>
      <c r="B997" s="60"/>
      <c r="C997" s="61"/>
      <c r="D997" s="59"/>
      <c r="E997" s="59"/>
      <c r="F997" s="59"/>
      <c r="G997" s="59"/>
    </row>
    <row r="998" spans="1:7" ht="15.75" customHeight="1" x14ac:dyDescent="0.15">
      <c r="A998" s="59"/>
      <c r="B998" s="60"/>
      <c r="C998" s="61"/>
      <c r="D998" s="59"/>
      <c r="E998" s="59"/>
      <c r="F998" s="59"/>
      <c r="G998" s="59"/>
    </row>
    <row r="999" spans="1:7" ht="15.75" customHeight="1" x14ac:dyDescent="0.15">
      <c r="A999" s="59"/>
      <c r="B999" s="60"/>
      <c r="C999" s="61"/>
      <c r="D999" s="59"/>
      <c r="E999" s="59"/>
      <c r="F999" s="59"/>
      <c r="G999" s="59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'FS-Month'!$6:$6</xm:f>
          </x14:formula1>
          <xm:sqref>C4:F4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I997"/>
  <sheetViews>
    <sheetView workbookViewId="0"/>
  </sheetViews>
  <sheetFormatPr baseColWidth="10" defaultColWidth="12.6640625" defaultRowHeight="15" customHeight="1" x14ac:dyDescent="0.15"/>
  <cols>
    <col min="1" max="1" width="29.33203125" customWidth="1"/>
  </cols>
  <sheetData>
    <row r="1" spans="1:87" ht="13.5" customHeight="1" x14ac:dyDescent="0.2">
      <c r="A1" s="181" t="str">
        <f>Settings!C5</f>
        <v>CosignSimple</v>
      </c>
      <c r="B1" s="67"/>
      <c r="C1" s="67"/>
      <c r="D1" s="67"/>
      <c r="F1" s="39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</row>
    <row r="2" spans="1:87" ht="13.5" customHeight="1" x14ac:dyDescent="0.25">
      <c r="A2" s="182" t="s">
        <v>153</v>
      </c>
      <c r="B2" s="40"/>
      <c r="C2" s="40"/>
      <c r="D2" s="68"/>
      <c r="E2" s="69"/>
      <c r="F2" s="70"/>
      <c r="G2" s="68"/>
      <c r="H2" s="71"/>
      <c r="I2" s="72"/>
      <c r="J2" s="68"/>
      <c r="K2" s="71"/>
      <c r="L2" s="70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</row>
    <row r="3" spans="1:87" ht="13.5" customHeight="1" x14ac:dyDescent="0.2">
      <c r="A3" s="183">
        <f ca="1">+TODAY()</f>
        <v>44539</v>
      </c>
      <c r="B3" s="40"/>
      <c r="C3" s="40"/>
      <c r="D3" s="73"/>
      <c r="E3" s="74"/>
      <c r="F3" s="70"/>
      <c r="G3" s="73"/>
      <c r="H3" s="74"/>
      <c r="I3" s="72"/>
      <c r="J3" s="68"/>
      <c r="K3" s="74"/>
      <c r="L3" s="184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</row>
    <row r="4" spans="1:87" ht="13.5" customHeight="1" x14ac:dyDescent="0.2">
      <c r="A4" s="183"/>
      <c r="B4" s="40"/>
      <c r="C4" s="40"/>
      <c r="D4" s="68"/>
      <c r="E4" s="69"/>
      <c r="F4" s="70"/>
      <c r="G4" s="73"/>
      <c r="H4" s="74"/>
      <c r="I4" s="70"/>
      <c r="J4" s="73"/>
      <c r="K4" s="74"/>
      <c r="L4" s="72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</row>
    <row r="5" spans="1:87" ht="3.75" customHeight="1" x14ac:dyDescent="0.2">
      <c r="A5" s="183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</row>
    <row r="6" spans="1:87" ht="13.5" customHeight="1" x14ac:dyDescent="0.2">
      <c r="A6" s="185"/>
      <c r="B6" s="186"/>
      <c r="C6" s="186"/>
      <c r="D6" s="75">
        <f>'FS-Month'!C6</f>
        <v>43831</v>
      </c>
      <c r="E6" s="75">
        <f>'FS-Month'!D6</f>
        <v>43862</v>
      </c>
      <c r="F6" s="75">
        <f>'FS-Month'!E6</f>
        <v>43891</v>
      </c>
      <c r="G6" s="75">
        <f>'FS-Month'!F6</f>
        <v>43922</v>
      </c>
      <c r="H6" s="75">
        <f>'FS-Month'!G6</f>
        <v>43952</v>
      </c>
      <c r="I6" s="75">
        <f>'FS-Month'!H6</f>
        <v>43983</v>
      </c>
      <c r="J6" s="75">
        <f>'FS-Month'!I6</f>
        <v>44013</v>
      </c>
      <c r="K6" s="75">
        <f>'FS-Month'!J6</f>
        <v>44044</v>
      </c>
      <c r="L6" s="75">
        <f>'FS-Month'!K6</f>
        <v>44075</v>
      </c>
      <c r="M6" s="75">
        <f>'FS-Month'!L6</f>
        <v>44105</v>
      </c>
      <c r="N6" s="75">
        <f>'FS-Month'!M6</f>
        <v>44136</v>
      </c>
      <c r="O6" s="75">
        <f>'FS-Month'!N6</f>
        <v>44166</v>
      </c>
      <c r="P6" s="75">
        <f>'FS-Month'!O6</f>
        <v>44197</v>
      </c>
      <c r="Q6" s="75">
        <f>'FS-Month'!P6</f>
        <v>44228</v>
      </c>
      <c r="R6" s="75">
        <f>'FS-Month'!Q6</f>
        <v>44256</v>
      </c>
      <c r="S6" s="75">
        <f>'FS-Month'!R6</f>
        <v>44287</v>
      </c>
      <c r="T6" s="75">
        <f>'FS-Month'!S6</f>
        <v>44317</v>
      </c>
      <c r="U6" s="75">
        <f>'FS-Month'!T6</f>
        <v>44348</v>
      </c>
      <c r="V6" s="75" t="e">
        <f>'FS-Month'!#REF!</f>
        <v>#REF!</v>
      </c>
      <c r="W6" s="75" t="e">
        <f>'FS-Month'!#REF!</f>
        <v>#REF!</v>
      </c>
      <c r="X6" s="75" t="e">
        <f>'FS-Month'!#REF!</f>
        <v>#REF!</v>
      </c>
      <c r="Y6" s="75" t="e">
        <f>'FS-Month'!#REF!</f>
        <v>#REF!</v>
      </c>
      <c r="Z6" s="75" t="e">
        <f>'FS-Month'!#REF!</f>
        <v>#REF!</v>
      </c>
      <c r="AA6" s="75" t="e">
        <f>'FS-Month'!#REF!</f>
        <v>#REF!</v>
      </c>
      <c r="AB6" s="75" t="e">
        <f>'FS-Month'!#REF!</f>
        <v>#REF!</v>
      </c>
      <c r="AC6" s="75" t="e">
        <f>'FS-Month'!#REF!</f>
        <v>#REF!</v>
      </c>
      <c r="AD6" s="75" t="e">
        <f>'FS-Month'!#REF!</f>
        <v>#REF!</v>
      </c>
      <c r="AE6" s="75" t="e">
        <f>'FS-Month'!#REF!</f>
        <v>#REF!</v>
      </c>
      <c r="AF6" s="75" t="e">
        <f>'FS-Month'!#REF!</f>
        <v>#REF!</v>
      </c>
      <c r="AG6" s="75" t="e">
        <f>'FS-Month'!#REF!</f>
        <v>#REF!</v>
      </c>
      <c r="AH6" s="75" t="e">
        <f>'FS-Month'!#REF!</f>
        <v>#REF!</v>
      </c>
      <c r="AI6" s="75" t="e">
        <f>'FS-Month'!#REF!</f>
        <v>#REF!</v>
      </c>
      <c r="AJ6" s="75" t="e">
        <f>'FS-Month'!#REF!</f>
        <v>#REF!</v>
      </c>
      <c r="AK6" s="75" t="e">
        <f>'FS-Month'!#REF!</f>
        <v>#REF!</v>
      </c>
      <c r="AL6" s="75" t="e">
        <f>'FS-Month'!#REF!</f>
        <v>#REF!</v>
      </c>
      <c r="AM6" s="75" t="e">
        <f>'FS-Month'!#REF!</f>
        <v>#REF!</v>
      </c>
      <c r="AN6" s="75" t="e">
        <f>'FS-Month'!#REF!</f>
        <v>#REF!</v>
      </c>
      <c r="AO6" s="75" t="e">
        <f>'FS-Month'!#REF!</f>
        <v>#REF!</v>
      </c>
      <c r="AP6" s="75" t="e">
        <f>'FS-Month'!#REF!</f>
        <v>#REF!</v>
      </c>
      <c r="AQ6" s="75" t="e">
        <f>'FS-Month'!#REF!</f>
        <v>#REF!</v>
      </c>
      <c r="AR6" s="75" t="e">
        <f>'FS-Month'!#REF!</f>
        <v>#REF!</v>
      </c>
      <c r="AS6" s="75" t="e">
        <f>'FS-Month'!#REF!</f>
        <v>#REF!</v>
      </c>
      <c r="AT6" s="75" t="e">
        <f>'FS-Month'!#REF!</f>
        <v>#REF!</v>
      </c>
      <c r="AU6" s="75" t="e">
        <f>'FS-Month'!#REF!</f>
        <v>#REF!</v>
      </c>
      <c r="AV6" s="75" t="e">
        <f>'FS-Month'!#REF!</f>
        <v>#REF!</v>
      </c>
      <c r="AW6" s="75" t="e">
        <f>'FS-Month'!#REF!</f>
        <v>#REF!</v>
      </c>
      <c r="AX6" s="75" t="e">
        <f>'FS-Month'!#REF!</f>
        <v>#REF!</v>
      </c>
      <c r="AY6" s="75" t="e">
        <f>'FS-Month'!#REF!</f>
        <v>#REF!</v>
      </c>
      <c r="AZ6" s="75" t="e">
        <f>'FS-Month'!#REF!</f>
        <v>#REF!</v>
      </c>
      <c r="BA6" s="75" t="e">
        <f>'FS-Month'!#REF!</f>
        <v>#REF!</v>
      </c>
      <c r="BB6" s="75" t="e">
        <f>'FS-Month'!#REF!</f>
        <v>#REF!</v>
      </c>
      <c r="BC6" s="75" t="e">
        <f>'FS-Month'!#REF!</f>
        <v>#REF!</v>
      </c>
      <c r="BD6" s="75" t="e">
        <f>'FS-Month'!#REF!</f>
        <v>#REF!</v>
      </c>
      <c r="BE6" s="75" t="e">
        <f>'FS-Month'!#REF!</f>
        <v>#REF!</v>
      </c>
      <c r="BF6" s="75" t="e">
        <f>'FS-Month'!#REF!</f>
        <v>#REF!</v>
      </c>
      <c r="BG6" s="75" t="e">
        <f>'FS-Month'!#REF!</f>
        <v>#REF!</v>
      </c>
      <c r="BH6" s="75" t="e">
        <f>'FS-Month'!#REF!</f>
        <v>#REF!</v>
      </c>
      <c r="BI6" s="75" t="e">
        <f>'FS-Month'!#REF!</f>
        <v>#REF!</v>
      </c>
      <c r="BJ6" s="75" t="e">
        <f>'FS-Month'!#REF!</f>
        <v>#REF!</v>
      </c>
      <c r="BK6" s="75" t="e">
        <f>'FS-Month'!#REF!</f>
        <v>#REF!</v>
      </c>
      <c r="BL6" s="75" t="e">
        <f>'FS-Month'!#REF!</f>
        <v>#REF!</v>
      </c>
      <c r="BM6" s="75" t="e">
        <f>'FS-Month'!#REF!</f>
        <v>#REF!</v>
      </c>
      <c r="BN6" s="75" t="e">
        <f>'FS-Month'!#REF!</f>
        <v>#REF!</v>
      </c>
      <c r="BO6" s="75" t="e">
        <f>'FS-Month'!#REF!</f>
        <v>#REF!</v>
      </c>
      <c r="BP6" s="75" t="e">
        <f>'FS-Month'!#REF!</f>
        <v>#REF!</v>
      </c>
      <c r="BQ6" s="75" t="e">
        <f>'FS-Month'!#REF!</f>
        <v>#REF!</v>
      </c>
      <c r="BR6" s="75" t="e">
        <f>'FS-Month'!#REF!</f>
        <v>#REF!</v>
      </c>
      <c r="BS6" s="75" t="e">
        <f>'FS-Month'!#REF!</f>
        <v>#REF!</v>
      </c>
      <c r="BT6" s="75" t="e">
        <f>'FS-Month'!#REF!</f>
        <v>#REF!</v>
      </c>
      <c r="BU6" s="75" t="e">
        <f>'FS-Month'!#REF!</f>
        <v>#REF!</v>
      </c>
      <c r="BV6" s="75" t="e">
        <f>'FS-Month'!#REF!</f>
        <v>#REF!</v>
      </c>
      <c r="BW6" s="75" t="e">
        <f>'FS-Month'!#REF!</f>
        <v>#REF!</v>
      </c>
      <c r="BX6" s="75" t="e">
        <f>'FS-Month'!#REF!</f>
        <v>#REF!</v>
      </c>
      <c r="BY6" s="75" t="e">
        <f>'FS-Month'!#REF!</f>
        <v>#REF!</v>
      </c>
      <c r="BZ6" s="75" t="e">
        <f>'FS-Month'!#REF!</f>
        <v>#REF!</v>
      </c>
      <c r="CA6" s="75" t="e">
        <f>'FS-Month'!#REF!</f>
        <v>#REF!</v>
      </c>
      <c r="CB6" s="75" t="e">
        <f>'FS-Month'!#REF!</f>
        <v>#REF!</v>
      </c>
      <c r="CC6" s="75" t="e">
        <f>'FS-Month'!#REF!</f>
        <v>#REF!</v>
      </c>
      <c r="CD6" s="75" t="e">
        <f>'FS-Month'!#REF!</f>
        <v>#REF!</v>
      </c>
      <c r="CE6" s="75" t="e">
        <f>'FS-Month'!#REF!</f>
        <v>#REF!</v>
      </c>
      <c r="CF6" s="75" t="e">
        <f>'FS-Month'!#REF!</f>
        <v>#REF!</v>
      </c>
      <c r="CG6" s="75" t="e">
        <f>'FS-Month'!#REF!</f>
        <v>#REF!</v>
      </c>
      <c r="CH6" s="75" t="e">
        <f>'FS-Month'!#REF!</f>
        <v>#REF!</v>
      </c>
      <c r="CI6" s="75" t="e">
        <f>'FS-Month'!#REF!</f>
        <v>#REF!</v>
      </c>
    </row>
    <row r="7" spans="1:87" ht="18" customHeight="1" x14ac:dyDescent="0.15">
      <c r="A7" s="76"/>
      <c r="B7" s="77"/>
      <c r="C7" s="77"/>
      <c r="D7" s="187">
        <f>'FS-Month'!C7</f>
        <v>1</v>
      </c>
      <c r="E7" s="187">
        <f>'FS-Month'!D7</f>
        <v>2</v>
      </c>
      <c r="F7" s="187">
        <f>'FS-Month'!E7</f>
        <v>3</v>
      </c>
      <c r="G7" s="187">
        <f>'FS-Month'!F7</f>
        <v>4</v>
      </c>
      <c r="H7" s="187">
        <f>'FS-Month'!G7</f>
        <v>5</v>
      </c>
      <c r="I7" s="187">
        <f>'FS-Month'!H7</f>
        <v>1</v>
      </c>
      <c r="J7" s="187">
        <f>'FS-Month'!I7</f>
        <v>2</v>
      </c>
      <c r="K7" s="187">
        <f>'FS-Month'!J7</f>
        <v>3</v>
      </c>
      <c r="L7" s="187">
        <f>'FS-Month'!K7</f>
        <v>4</v>
      </c>
      <c r="M7" s="187">
        <f>'FS-Month'!L7</f>
        <v>5</v>
      </c>
      <c r="N7" s="187">
        <f>'FS-Month'!M7</f>
        <v>6</v>
      </c>
      <c r="O7" s="187">
        <f>'FS-Month'!N7</f>
        <v>7</v>
      </c>
      <c r="P7" s="187">
        <f>'FS-Month'!O7</f>
        <v>8</v>
      </c>
      <c r="Q7" s="187">
        <f>'FS-Month'!P7</f>
        <v>9</v>
      </c>
      <c r="R7" s="187">
        <f>'FS-Month'!Q7</f>
        <v>10</v>
      </c>
      <c r="S7" s="187">
        <f>'FS-Month'!R7</f>
        <v>11</v>
      </c>
      <c r="T7" s="187">
        <f>'FS-Month'!S7</f>
        <v>12</v>
      </c>
      <c r="U7" s="187">
        <f>'FS-Month'!T7</f>
        <v>13</v>
      </c>
      <c r="V7" s="187" t="e">
        <f>'FS-Month'!#REF!</f>
        <v>#REF!</v>
      </c>
      <c r="W7" s="187" t="e">
        <f>'FS-Month'!#REF!</f>
        <v>#REF!</v>
      </c>
      <c r="X7" s="187" t="e">
        <f>'FS-Month'!#REF!</f>
        <v>#REF!</v>
      </c>
      <c r="Y7" s="187" t="e">
        <f>'FS-Month'!#REF!</f>
        <v>#REF!</v>
      </c>
      <c r="Z7" s="187" t="e">
        <f>'FS-Month'!#REF!</f>
        <v>#REF!</v>
      </c>
      <c r="AA7" s="187" t="e">
        <f>'FS-Month'!#REF!</f>
        <v>#REF!</v>
      </c>
      <c r="AB7" s="187" t="e">
        <f>'FS-Month'!#REF!</f>
        <v>#REF!</v>
      </c>
      <c r="AC7" s="187" t="e">
        <f>'FS-Month'!#REF!</f>
        <v>#REF!</v>
      </c>
      <c r="AD7" s="187" t="e">
        <f>'FS-Month'!#REF!</f>
        <v>#REF!</v>
      </c>
      <c r="AE7" s="187" t="e">
        <f>'FS-Month'!#REF!</f>
        <v>#REF!</v>
      </c>
      <c r="AF7" s="187" t="e">
        <f>'FS-Month'!#REF!</f>
        <v>#REF!</v>
      </c>
      <c r="AG7" s="187" t="e">
        <f>'FS-Month'!#REF!</f>
        <v>#REF!</v>
      </c>
      <c r="AH7" s="187" t="e">
        <f>'FS-Month'!#REF!</f>
        <v>#REF!</v>
      </c>
      <c r="AI7" s="187" t="e">
        <f>'FS-Month'!#REF!</f>
        <v>#REF!</v>
      </c>
      <c r="AJ7" s="187" t="e">
        <f>'FS-Month'!#REF!</f>
        <v>#REF!</v>
      </c>
      <c r="AK7" s="187" t="e">
        <f>'FS-Month'!#REF!</f>
        <v>#REF!</v>
      </c>
      <c r="AL7" s="187" t="e">
        <f>'FS-Month'!#REF!</f>
        <v>#REF!</v>
      </c>
      <c r="AM7" s="187" t="e">
        <f>'FS-Month'!#REF!</f>
        <v>#REF!</v>
      </c>
      <c r="AN7" s="187" t="e">
        <f>'FS-Month'!#REF!</f>
        <v>#REF!</v>
      </c>
      <c r="AO7" s="187" t="e">
        <f>'FS-Month'!#REF!</f>
        <v>#REF!</v>
      </c>
      <c r="AP7" s="187" t="e">
        <f>'FS-Month'!#REF!</f>
        <v>#REF!</v>
      </c>
      <c r="AQ7" s="187" t="e">
        <f>'FS-Month'!#REF!</f>
        <v>#REF!</v>
      </c>
      <c r="AR7" s="187" t="e">
        <f>'FS-Month'!#REF!</f>
        <v>#REF!</v>
      </c>
      <c r="AS7" s="187" t="e">
        <f>'FS-Month'!#REF!</f>
        <v>#REF!</v>
      </c>
      <c r="AT7" s="187" t="e">
        <f>'FS-Month'!#REF!</f>
        <v>#REF!</v>
      </c>
      <c r="AU7" s="187" t="e">
        <f>'FS-Month'!#REF!</f>
        <v>#REF!</v>
      </c>
      <c r="AV7" s="187" t="e">
        <f>'FS-Month'!#REF!</f>
        <v>#REF!</v>
      </c>
      <c r="AW7" s="187" t="e">
        <f>'FS-Month'!#REF!</f>
        <v>#REF!</v>
      </c>
      <c r="AX7" s="187" t="e">
        <f>'FS-Month'!#REF!</f>
        <v>#REF!</v>
      </c>
      <c r="AY7" s="187" t="e">
        <f>'FS-Month'!#REF!</f>
        <v>#REF!</v>
      </c>
      <c r="AZ7" s="187" t="e">
        <f>'FS-Month'!#REF!</f>
        <v>#REF!</v>
      </c>
      <c r="BA7" s="187" t="e">
        <f>'FS-Month'!#REF!</f>
        <v>#REF!</v>
      </c>
      <c r="BB7" s="187" t="e">
        <f>'FS-Month'!#REF!</f>
        <v>#REF!</v>
      </c>
      <c r="BC7" s="187" t="e">
        <f>'FS-Month'!#REF!</f>
        <v>#REF!</v>
      </c>
      <c r="BD7" s="187" t="e">
        <f>'FS-Month'!#REF!</f>
        <v>#REF!</v>
      </c>
      <c r="BE7" s="187" t="e">
        <f>'FS-Month'!#REF!</f>
        <v>#REF!</v>
      </c>
      <c r="BF7" s="187" t="e">
        <f>'FS-Month'!#REF!</f>
        <v>#REF!</v>
      </c>
      <c r="BG7" s="187" t="e">
        <f>'FS-Month'!#REF!</f>
        <v>#REF!</v>
      </c>
      <c r="BH7" s="187" t="e">
        <f>'FS-Month'!#REF!</f>
        <v>#REF!</v>
      </c>
      <c r="BI7" s="187" t="e">
        <f>'FS-Month'!#REF!</f>
        <v>#REF!</v>
      </c>
      <c r="BJ7" s="187" t="e">
        <f>'FS-Month'!#REF!</f>
        <v>#REF!</v>
      </c>
      <c r="BK7" s="187" t="e">
        <f>'FS-Month'!#REF!</f>
        <v>#REF!</v>
      </c>
      <c r="BL7" s="187" t="e">
        <f>'FS-Month'!#REF!</f>
        <v>#REF!</v>
      </c>
      <c r="BM7" s="187" t="e">
        <f>'FS-Month'!#REF!</f>
        <v>#REF!</v>
      </c>
      <c r="BN7" s="187" t="e">
        <f>'FS-Month'!#REF!</f>
        <v>#REF!</v>
      </c>
      <c r="BO7" s="187" t="e">
        <f>'FS-Month'!#REF!</f>
        <v>#REF!</v>
      </c>
      <c r="BP7" s="187" t="e">
        <f>'FS-Month'!#REF!</f>
        <v>#REF!</v>
      </c>
      <c r="BQ7" s="187" t="e">
        <f>'FS-Month'!#REF!</f>
        <v>#REF!</v>
      </c>
      <c r="BR7" s="187" t="e">
        <f>'FS-Month'!#REF!</f>
        <v>#REF!</v>
      </c>
      <c r="BS7" s="187" t="e">
        <f>'FS-Month'!#REF!</f>
        <v>#REF!</v>
      </c>
      <c r="BT7" s="187" t="e">
        <f>'FS-Month'!#REF!</f>
        <v>#REF!</v>
      </c>
      <c r="BU7" s="187" t="e">
        <f>'FS-Month'!#REF!</f>
        <v>#REF!</v>
      </c>
      <c r="BV7" s="187" t="e">
        <f>'FS-Month'!#REF!</f>
        <v>#REF!</v>
      </c>
      <c r="BW7" s="187" t="e">
        <f>'FS-Month'!#REF!</f>
        <v>#REF!</v>
      </c>
      <c r="BX7" s="187" t="e">
        <f>'FS-Month'!#REF!</f>
        <v>#REF!</v>
      </c>
      <c r="BY7" s="187" t="e">
        <f>'FS-Month'!#REF!</f>
        <v>#REF!</v>
      </c>
      <c r="BZ7" s="187" t="e">
        <f>'FS-Month'!#REF!</f>
        <v>#REF!</v>
      </c>
      <c r="CA7" s="187" t="e">
        <f>'FS-Month'!#REF!</f>
        <v>#REF!</v>
      </c>
      <c r="CB7" s="187" t="e">
        <f>'FS-Month'!#REF!</f>
        <v>#REF!</v>
      </c>
      <c r="CC7" s="187" t="e">
        <f>'FS-Month'!#REF!</f>
        <v>#REF!</v>
      </c>
      <c r="CD7" s="187" t="e">
        <f>'FS-Month'!#REF!</f>
        <v>#REF!</v>
      </c>
      <c r="CE7" s="187" t="e">
        <f>'FS-Month'!#REF!</f>
        <v>#REF!</v>
      </c>
      <c r="CF7" s="187" t="e">
        <f>'FS-Month'!#REF!</f>
        <v>#REF!</v>
      </c>
      <c r="CG7" s="187" t="e">
        <f>'FS-Month'!#REF!</f>
        <v>#REF!</v>
      </c>
      <c r="CH7" s="187" t="e">
        <f>'FS-Month'!#REF!</f>
        <v>#REF!</v>
      </c>
      <c r="CI7" s="187" t="e">
        <f>'FS-Month'!#REF!</f>
        <v>#REF!</v>
      </c>
    </row>
    <row r="8" spans="1:87" ht="13.5" customHeight="1" x14ac:dyDescent="0.15">
      <c r="A8" s="81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</row>
    <row r="9" spans="1:87" ht="13.5" customHeight="1" x14ac:dyDescent="0.15">
      <c r="A9" s="81"/>
      <c r="B9" s="78"/>
      <c r="C9" s="78"/>
      <c r="D9" s="78"/>
      <c r="E9" s="78"/>
      <c r="F9" s="78"/>
      <c r="G9" s="78"/>
      <c r="H9" s="78"/>
      <c r="I9" s="78"/>
      <c r="J9" s="188"/>
      <c r="K9" s="188"/>
      <c r="L9" s="18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</row>
    <row r="10" spans="1:87" ht="13.5" customHeight="1" x14ac:dyDescent="0.15">
      <c r="A10" s="81"/>
      <c r="B10" s="78"/>
      <c r="C10" s="78"/>
      <c r="D10" s="78"/>
      <c r="E10" s="78"/>
      <c r="F10" s="78"/>
      <c r="G10" s="78"/>
      <c r="H10" s="78"/>
      <c r="I10" s="78"/>
      <c r="J10" s="188"/>
      <c r="K10" s="188"/>
      <c r="L10" s="18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</row>
    <row r="11" spans="1:87" ht="13.5" customHeight="1" x14ac:dyDescent="0.25">
      <c r="A11" s="14" t="s">
        <v>154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4" x14ac:dyDescent="0.1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</row>
    <row r="13" spans="1:87" ht="14" x14ac:dyDescent="0.15">
      <c r="A13" s="80" t="str">
        <f>'FS-Month'!A24</f>
        <v>Revenue</v>
      </c>
      <c r="B13" s="80"/>
      <c r="C13" s="80"/>
      <c r="D13" s="80" t="e">
        <f>'FS-Month'!C24</f>
        <v>#REF!</v>
      </c>
      <c r="E13" s="80" t="e">
        <f>'FS-Month'!D24</f>
        <v>#REF!</v>
      </c>
      <c r="F13" s="80" t="e">
        <f>'FS-Month'!E24</f>
        <v>#REF!</v>
      </c>
      <c r="G13" s="80" t="e">
        <f>'FS-Month'!F24</f>
        <v>#REF!</v>
      </c>
      <c r="H13" s="80" t="e">
        <f>'FS-Month'!G24</f>
        <v>#REF!</v>
      </c>
      <c r="I13" s="80">
        <f>'FS-Month'!H24</f>
        <v>11019.37</v>
      </c>
      <c r="J13" s="80">
        <f>'FS-Month'!I24</f>
        <v>40182.380000000005</v>
      </c>
      <c r="K13" s="80">
        <f>'FS-Month'!J24</f>
        <v>71359.875</v>
      </c>
      <c r="L13" s="80">
        <f>'FS-Month'!K24</f>
        <v>64513.301000000007</v>
      </c>
      <c r="M13" s="80">
        <f>'FS-Month'!L24</f>
        <v>48562.917000000001</v>
      </c>
      <c r="N13" s="80">
        <f>'FS-Month'!M24</f>
        <v>58672.416000000005</v>
      </c>
      <c r="O13" s="80">
        <f>'FS-Month'!N24</f>
        <v>55357.983999999997</v>
      </c>
      <c r="P13" s="80">
        <f>'FS-Month'!O24</f>
        <v>43253.15</v>
      </c>
      <c r="Q13" s="80">
        <f>'FS-Month'!P24</f>
        <v>47035.740000000005</v>
      </c>
      <c r="R13" s="80">
        <f>'FS-Month'!Q24</f>
        <v>84363.028000000006</v>
      </c>
      <c r="S13" s="80">
        <f>'FS-Month'!R24</f>
        <v>94252.858999999997</v>
      </c>
      <c r="T13" s="80">
        <f>'FS-Month'!S24</f>
        <v>87405.551000000007</v>
      </c>
      <c r="U13" s="80">
        <f>'FS-Month'!T24</f>
        <v>106334.6</v>
      </c>
      <c r="V13" s="80" t="e">
        <f>'FS-Month'!#REF!</f>
        <v>#REF!</v>
      </c>
      <c r="W13" s="80" t="e">
        <f>'FS-Month'!#REF!</f>
        <v>#REF!</v>
      </c>
      <c r="X13" s="80" t="e">
        <f>'FS-Month'!#REF!</f>
        <v>#REF!</v>
      </c>
      <c r="Y13" s="80" t="e">
        <f>'FS-Month'!#REF!</f>
        <v>#REF!</v>
      </c>
      <c r="Z13" s="80" t="e">
        <f>'FS-Month'!#REF!</f>
        <v>#REF!</v>
      </c>
      <c r="AA13" s="80" t="e">
        <f>'FS-Month'!#REF!</f>
        <v>#REF!</v>
      </c>
      <c r="AB13" s="80" t="e">
        <f>'FS-Month'!#REF!</f>
        <v>#REF!</v>
      </c>
      <c r="AC13" s="80" t="e">
        <f>'FS-Month'!#REF!</f>
        <v>#REF!</v>
      </c>
      <c r="AD13" s="80" t="e">
        <f>'FS-Month'!#REF!</f>
        <v>#REF!</v>
      </c>
      <c r="AE13" s="80" t="e">
        <f>'FS-Month'!#REF!</f>
        <v>#REF!</v>
      </c>
      <c r="AF13" s="80" t="e">
        <f>'FS-Month'!#REF!</f>
        <v>#REF!</v>
      </c>
      <c r="AG13" s="80" t="e">
        <f>'FS-Month'!#REF!</f>
        <v>#REF!</v>
      </c>
      <c r="AH13" s="80" t="e">
        <f>'FS-Month'!#REF!</f>
        <v>#REF!</v>
      </c>
      <c r="AI13" s="80" t="e">
        <f>'FS-Month'!#REF!</f>
        <v>#REF!</v>
      </c>
      <c r="AJ13" s="80" t="e">
        <f>'FS-Month'!#REF!</f>
        <v>#REF!</v>
      </c>
      <c r="AK13" s="80" t="e">
        <f>'FS-Month'!#REF!</f>
        <v>#REF!</v>
      </c>
      <c r="AL13" s="80" t="e">
        <f>'FS-Month'!#REF!</f>
        <v>#REF!</v>
      </c>
      <c r="AM13" s="80" t="e">
        <f>'FS-Month'!#REF!</f>
        <v>#REF!</v>
      </c>
      <c r="AN13" s="80" t="e">
        <f>'FS-Month'!#REF!</f>
        <v>#REF!</v>
      </c>
      <c r="AO13" s="80" t="e">
        <f>'FS-Month'!#REF!</f>
        <v>#REF!</v>
      </c>
      <c r="AP13" s="80" t="e">
        <f>'FS-Month'!#REF!</f>
        <v>#REF!</v>
      </c>
      <c r="AQ13" s="80" t="e">
        <f>'FS-Month'!#REF!</f>
        <v>#REF!</v>
      </c>
      <c r="AR13" s="80" t="e">
        <f>'FS-Month'!#REF!</f>
        <v>#REF!</v>
      </c>
      <c r="AS13" s="80" t="e">
        <f>'FS-Month'!#REF!</f>
        <v>#REF!</v>
      </c>
      <c r="AT13" s="80" t="e">
        <f>'FS-Month'!#REF!</f>
        <v>#REF!</v>
      </c>
      <c r="AU13" s="80" t="e">
        <f>'FS-Month'!#REF!</f>
        <v>#REF!</v>
      </c>
      <c r="AV13" s="80" t="e">
        <f>'FS-Month'!#REF!</f>
        <v>#REF!</v>
      </c>
      <c r="AW13" s="80" t="e">
        <f>'FS-Month'!#REF!</f>
        <v>#REF!</v>
      </c>
      <c r="AX13" s="80" t="e">
        <f>'FS-Month'!#REF!</f>
        <v>#REF!</v>
      </c>
      <c r="AY13" s="80" t="e">
        <f>'FS-Month'!#REF!</f>
        <v>#REF!</v>
      </c>
      <c r="AZ13" s="80" t="e">
        <f>'FS-Month'!#REF!</f>
        <v>#REF!</v>
      </c>
      <c r="BA13" s="80" t="e">
        <f>'FS-Month'!#REF!</f>
        <v>#REF!</v>
      </c>
      <c r="BB13" s="80" t="e">
        <f>'FS-Month'!#REF!</f>
        <v>#REF!</v>
      </c>
      <c r="BC13" s="80" t="e">
        <f>'FS-Month'!#REF!</f>
        <v>#REF!</v>
      </c>
      <c r="BD13" s="80" t="e">
        <f>'FS-Month'!#REF!</f>
        <v>#REF!</v>
      </c>
      <c r="BE13" s="80" t="e">
        <f>'FS-Month'!#REF!</f>
        <v>#REF!</v>
      </c>
      <c r="BF13" s="80" t="e">
        <f>'FS-Month'!#REF!</f>
        <v>#REF!</v>
      </c>
      <c r="BG13" s="80" t="e">
        <f>'FS-Month'!#REF!</f>
        <v>#REF!</v>
      </c>
      <c r="BH13" s="80" t="e">
        <f>'FS-Month'!#REF!</f>
        <v>#REF!</v>
      </c>
      <c r="BI13" s="80" t="e">
        <f>'FS-Month'!#REF!</f>
        <v>#REF!</v>
      </c>
      <c r="BJ13" s="80" t="e">
        <f>'FS-Month'!#REF!</f>
        <v>#REF!</v>
      </c>
      <c r="BK13" s="80" t="e">
        <f>'FS-Month'!#REF!</f>
        <v>#REF!</v>
      </c>
      <c r="BL13" s="80" t="e">
        <f>'FS-Month'!#REF!</f>
        <v>#REF!</v>
      </c>
      <c r="BM13" s="80" t="e">
        <f>'FS-Month'!#REF!</f>
        <v>#REF!</v>
      </c>
      <c r="BN13" s="80" t="e">
        <f>'FS-Month'!#REF!</f>
        <v>#REF!</v>
      </c>
      <c r="BO13" s="80" t="e">
        <f>'FS-Month'!#REF!</f>
        <v>#REF!</v>
      </c>
      <c r="BP13" s="80" t="e">
        <f>'FS-Month'!#REF!</f>
        <v>#REF!</v>
      </c>
      <c r="BQ13" s="80" t="e">
        <f>'FS-Month'!#REF!</f>
        <v>#REF!</v>
      </c>
      <c r="BR13" s="80" t="e">
        <f>'FS-Month'!#REF!</f>
        <v>#REF!</v>
      </c>
      <c r="BS13" s="80" t="e">
        <f>'FS-Month'!#REF!</f>
        <v>#REF!</v>
      </c>
      <c r="BT13" s="80" t="e">
        <f>'FS-Month'!#REF!</f>
        <v>#REF!</v>
      </c>
      <c r="BU13" s="80" t="e">
        <f>'FS-Month'!#REF!</f>
        <v>#REF!</v>
      </c>
      <c r="BV13" s="80" t="e">
        <f>'FS-Month'!#REF!</f>
        <v>#REF!</v>
      </c>
      <c r="BW13" s="80" t="e">
        <f>'FS-Month'!#REF!</f>
        <v>#REF!</v>
      </c>
      <c r="BX13" s="80" t="e">
        <f>'FS-Month'!#REF!</f>
        <v>#REF!</v>
      </c>
      <c r="BY13" s="80" t="e">
        <f>'FS-Month'!#REF!</f>
        <v>#REF!</v>
      </c>
      <c r="BZ13" s="80" t="e">
        <f>'FS-Month'!#REF!</f>
        <v>#REF!</v>
      </c>
      <c r="CA13" s="80" t="e">
        <f>'FS-Month'!#REF!</f>
        <v>#REF!</v>
      </c>
      <c r="CB13" s="80" t="e">
        <f>'FS-Month'!#REF!</f>
        <v>#REF!</v>
      </c>
      <c r="CC13" s="80" t="e">
        <f>'FS-Month'!#REF!</f>
        <v>#REF!</v>
      </c>
      <c r="CD13" s="80" t="e">
        <f>'FS-Month'!#REF!</f>
        <v>#REF!</v>
      </c>
      <c r="CE13" s="80" t="e">
        <f>'FS-Month'!#REF!</f>
        <v>#REF!</v>
      </c>
      <c r="CF13" s="80" t="e">
        <f>'FS-Month'!#REF!</f>
        <v>#REF!</v>
      </c>
      <c r="CG13" s="80" t="e">
        <f>'FS-Month'!#REF!</f>
        <v>#REF!</v>
      </c>
      <c r="CH13" s="80" t="e">
        <f>'FS-Month'!#REF!</f>
        <v>#REF!</v>
      </c>
      <c r="CI13" s="80" t="e">
        <f>'FS-Month'!#REF!</f>
        <v>#REF!</v>
      </c>
    </row>
    <row r="14" spans="1:87" ht="14" x14ac:dyDescent="0.15">
      <c r="A14" s="80" t="str">
        <f>'FS-Month'!A29</f>
        <v>COS</v>
      </c>
      <c r="B14" s="80"/>
      <c r="C14" s="80"/>
      <c r="D14" s="80" t="e">
        <f>'FS-Month'!C29*-1</f>
        <v>#REF!</v>
      </c>
      <c r="E14" s="80" t="e">
        <f>'FS-Month'!D29*-1</f>
        <v>#REF!</v>
      </c>
      <c r="F14" s="80" t="e">
        <f>'FS-Month'!E29*-1</f>
        <v>#REF!</v>
      </c>
      <c r="G14" s="80" t="e">
        <f>'FS-Month'!F29*-1</f>
        <v>#REF!</v>
      </c>
      <c r="H14" s="80" t="e">
        <f>'FS-Month'!G29*-1</f>
        <v>#REF!</v>
      </c>
      <c r="I14" s="80">
        <f>'FS-Month'!H29*-1</f>
        <v>0</v>
      </c>
      <c r="J14" s="80">
        <f>'FS-Month'!I29*-1</f>
        <v>0</v>
      </c>
      <c r="K14" s="80">
        <f>'FS-Month'!J29*-1</f>
        <v>0</v>
      </c>
      <c r="L14" s="80">
        <f>'FS-Month'!K29*-1</f>
        <v>0</v>
      </c>
      <c r="M14" s="80">
        <f>'FS-Month'!L29*-1</f>
        <v>0</v>
      </c>
      <c r="N14" s="80">
        <f>'FS-Month'!M29*-1</f>
        <v>0</v>
      </c>
      <c r="O14" s="80">
        <f>'FS-Month'!N29*-1</f>
        <v>0</v>
      </c>
      <c r="P14" s="80">
        <f>'FS-Month'!O29*-1</f>
        <v>0</v>
      </c>
      <c r="Q14" s="80">
        <f>'FS-Month'!P29*-1</f>
        <v>0</v>
      </c>
      <c r="R14" s="80">
        <f>'FS-Month'!Q29*-1</f>
        <v>0</v>
      </c>
      <c r="S14" s="80">
        <f>'FS-Month'!R29*-1</f>
        <v>0</v>
      </c>
      <c r="T14" s="80">
        <f>'FS-Month'!S29*-1</f>
        <v>0</v>
      </c>
      <c r="U14" s="80">
        <f>'FS-Month'!T29*-1</f>
        <v>0</v>
      </c>
      <c r="V14" s="80" t="e">
        <f>'FS-Month'!#REF!*-1</f>
        <v>#REF!</v>
      </c>
      <c r="W14" s="80" t="e">
        <f>'FS-Month'!#REF!*-1</f>
        <v>#REF!</v>
      </c>
      <c r="X14" s="80" t="e">
        <f>'FS-Month'!#REF!*-1</f>
        <v>#REF!</v>
      </c>
      <c r="Y14" s="80" t="e">
        <f>'FS-Month'!#REF!*-1</f>
        <v>#REF!</v>
      </c>
      <c r="Z14" s="80" t="e">
        <f>'FS-Month'!#REF!*-1</f>
        <v>#REF!</v>
      </c>
      <c r="AA14" s="80" t="e">
        <f>'FS-Month'!#REF!*-1</f>
        <v>#REF!</v>
      </c>
      <c r="AB14" s="80" t="e">
        <f>'FS-Month'!#REF!*-1</f>
        <v>#REF!</v>
      </c>
      <c r="AC14" s="80" t="e">
        <f>'FS-Month'!#REF!*-1</f>
        <v>#REF!</v>
      </c>
      <c r="AD14" s="80" t="e">
        <f>'FS-Month'!#REF!*-1</f>
        <v>#REF!</v>
      </c>
      <c r="AE14" s="80" t="e">
        <f>'FS-Month'!#REF!*-1</f>
        <v>#REF!</v>
      </c>
      <c r="AF14" s="80" t="e">
        <f>'FS-Month'!#REF!*-1</f>
        <v>#REF!</v>
      </c>
      <c r="AG14" s="80" t="e">
        <f>'FS-Month'!#REF!*-1</f>
        <v>#REF!</v>
      </c>
      <c r="AH14" s="80" t="e">
        <f>'FS-Month'!#REF!*-1</f>
        <v>#REF!</v>
      </c>
      <c r="AI14" s="80" t="e">
        <f>'FS-Month'!#REF!*-1</f>
        <v>#REF!</v>
      </c>
      <c r="AJ14" s="80" t="e">
        <f>'FS-Month'!#REF!*-1</f>
        <v>#REF!</v>
      </c>
      <c r="AK14" s="80" t="e">
        <f>'FS-Month'!#REF!*-1</f>
        <v>#REF!</v>
      </c>
      <c r="AL14" s="80" t="e">
        <f>'FS-Month'!#REF!*-1</f>
        <v>#REF!</v>
      </c>
      <c r="AM14" s="80" t="e">
        <f>'FS-Month'!#REF!*-1</f>
        <v>#REF!</v>
      </c>
      <c r="AN14" s="80" t="e">
        <f>'FS-Month'!#REF!*-1</f>
        <v>#REF!</v>
      </c>
      <c r="AO14" s="80" t="e">
        <f>'FS-Month'!#REF!*-1</f>
        <v>#REF!</v>
      </c>
      <c r="AP14" s="80" t="e">
        <f>'FS-Month'!#REF!*-1</f>
        <v>#REF!</v>
      </c>
      <c r="AQ14" s="80" t="e">
        <f>'FS-Month'!#REF!*-1</f>
        <v>#REF!</v>
      </c>
      <c r="AR14" s="80" t="e">
        <f>'FS-Month'!#REF!*-1</f>
        <v>#REF!</v>
      </c>
      <c r="AS14" s="80" t="e">
        <f>'FS-Month'!#REF!*-1</f>
        <v>#REF!</v>
      </c>
      <c r="AT14" s="80" t="e">
        <f>'FS-Month'!#REF!*-1</f>
        <v>#REF!</v>
      </c>
      <c r="AU14" s="80" t="e">
        <f>'FS-Month'!#REF!*-1</f>
        <v>#REF!</v>
      </c>
      <c r="AV14" s="80" t="e">
        <f>'FS-Month'!#REF!*-1</f>
        <v>#REF!</v>
      </c>
      <c r="AW14" s="80" t="e">
        <f>'FS-Month'!#REF!*-1</f>
        <v>#REF!</v>
      </c>
      <c r="AX14" s="80" t="e">
        <f>'FS-Month'!#REF!*-1</f>
        <v>#REF!</v>
      </c>
      <c r="AY14" s="80" t="e">
        <f>'FS-Month'!#REF!*-1</f>
        <v>#REF!</v>
      </c>
      <c r="AZ14" s="80" t="e">
        <f>'FS-Month'!#REF!*-1</f>
        <v>#REF!</v>
      </c>
      <c r="BA14" s="80" t="e">
        <f>'FS-Month'!#REF!*-1</f>
        <v>#REF!</v>
      </c>
      <c r="BB14" s="80" t="e">
        <f>'FS-Month'!#REF!*-1</f>
        <v>#REF!</v>
      </c>
      <c r="BC14" s="80" t="e">
        <f>'FS-Month'!#REF!*-1</f>
        <v>#REF!</v>
      </c>
      <c r="BD14" s="80" t="e">
        <f>'FS-Month'!#REF!*-1</f>
        <v>#REF!</v>
      </c>
      <c r="BE14" s="80" t="e">
        <f>'FS-Month'!#REF!*-1</f>
        <v>#REF!</v>
      </c>
      <c r="BF14" s="80" t="e">
        <f>'FS-Month'!#REF!*-1</f>
        <v>#REF!</v>
      </c>
      <c r="BG14" s="80" t="e">
        <f>'FS-Month'!#REF!*-1</f>
        <v>#REF!</v>
      </c>
      <c r="BH14" s="80" t="e">
        <f>'FS-Month'!#REF!*-1</f>
        <v>#REF!</v>
      </c>
      <c r="BI14" s="80" t="e">
        <f>'FS-Month'!#REF!*-1</f>
        <v>#REF!</v>
      </c>
      <c r="BJ14" s="80" t="e">
        <f>'FS-Month'!#REF!*-1</f>
        <v>#REF!</v>
      </c>
      <c r="BK14" s="80" t="e">
        <f>'FS-Month'!#REF!*-1</f>
        <v>#REF!</v>
      </c>
      <c r="BL14" s="80" t="e">
        <f>'FS-Month'!#REF!*-1</f>
        <v>#REF!</v>
      </c>
      <c r="BM14" s="80" t="e">
        <f>'FS-Month'!#REF!*-1</f>
        <v>#REF!</v>
      </c>
      <c r="BN14" s="80" t="e">
        <f>'FS-Month'!#REF!*-1</f>
        <v>#REF!</v>
      </c>
      <c r="BO14" s="80" t="e">
        <f>'FS-Month'!#REF!*-1</f>
        <v>#REF!</v>
      </c>
      <c r="BP14" s="80" t="e">
        <f>'FS-Month'!#REF!*-1</f>
        <v>#REF!</v>
      </c>
      <c r="BQ14" s="80" t="e">
        <f>'FS-Month'!#REF!*-1</f>
        <v>#REF!</v>
      </c>
      <c r="BR14" s="80" t="e">
        <f>'FS-Month'!#REF!*-1</f>
        <v>#REF!</v>
      </c>
      <c r="BS14" s="80" t="e">
        <f>'FS-Month'!#REF!*-1</f>
        <v>#REF!</v>
      </c>
      <c r="BT14" s="80" t="e">
        <f>'FS-Month'!#REF!*-1</f>
        <v>#REF!</v>
      </c>
      <c r="BU14" s="80" t="e">
        <f>'FS-Month'!#REF!*-1</f>
        <v>#REF!</v>
      </c>
      <c r="BV14" s="80" t="e">
        <f>'FS-Month'!#REF!*-1</f>
        <v>#REF!</v>
      </c>
      <c r="BW14" s="80" t="e">
        <f>'FS-Month'!#REF!*-1</f>
        <v>#REF!</v>
      </c>
      <c r="BX14" s="80" t="e">
        <f>'FS-Month'!#REF!*-1</f>
        <v>#REF!</v>
      </c>
      <c r="BY14" s="80" t="e">
        <f>'FS-Month'!#REF!*-1</f>
        <v>#REF!</v>
      </c>
      <c r="BZ14" s="80" t="e">
        <f>'FS-Month'!#REF!*-1</f>
        <v>#REF!</v>
      </c>
      <c r="CA14" s="80" t="e">
        <f>'FS-Month'!#REF!*-1</f>
        <v>#REF!</v>
      </c>
      <c r="CB14" s="80" t="e">
        <f>'FS-Month'!#REF!*-1</f>
        <v>#REF!</v>
      </c>
      <c r="CC14" s="80" t="e">
        <f>'FS-Month'!#REF!*-1</f>
        <v>#REF!</v>
      </c>
      <c r="CD14" s="80" t="e">
        <f>'FS-Month'!#REF!*-1</f>
        <v>#REF!</v>
      </c>
      <c r="CE14" s="80" t="e">
        <f>'FS-Month'!#REF!*-1</f>
        <v>#REF!</v>
      </c>
      <c r="CF14" s="80" t="e">
        <f>'FS-Month'!#REF!*-1</f>
        <v>#REF!</v>
      </c>
      <c r="CG14" s="80" t="e">
        <f>'FS-Month'!#REF!*-1</f>
        <v>#REF!</v>
      </c>
      <c r="CH14" s="80" t="e">
        <f>'FS-Month'!#REF!*-1</f>
        <v>#REF!</v>
      </c>
      <c r="CI14" s="80" t="e">
        <f>'FS-Month'!#REF!*-1</f>
        <v>#REF!</v>
      </c>
    </row>
    <row r="15" spans="1:87" ht="14" x14ac:dyDescent="0.15">
      <c r="A15" s="80" t="str">
        <f>'FS-Month'!A35</f>
        <v>SG&amp;A</v>
      </c>
      <c r="B15" s="80"/>
      <c r="C15" s="80"/>
      <c r="D15" s="80">
        <f>'FS-Month'!C35*-1</f>
        <v>0</v>
      </c>
      <c r="E15" s="80">
        <f>'FS-Month'!D35*-1</f>
        <v>0</v>
      </c>
      <c r="F15" s="80">
        <f>'FS-Month'!E35*-1</f>
        <v>0</v>
      </c>
      <c r="G15" s="80">
        <f>'FS-Month'!F35*-1</f>
        <v>0</v>
      </c>
      <c r="H15" s="80">
        <f>'FS-Month'!G35*-1</f>
        <v>0</v>
      </c>
      <c r="I15" s="80">
        <f>'FS-Month'!H35*-1</f>
        <v>739.88670000000002</v>
      </c>
      <c r="J15" s="80">
        <f>'FS-Month'!I35*-1</f>
        <v>739.88670000000002</v>
      </c>
      <c r="K15" s="80">
        <f>'FS-Month'!J35*-1</f>
        <v>739.88670000000002</v>
      </c>
      <c r="L15" s="80">
        <f>'FS-Month'!K35*-1</f>
        <v>739.88670000000002</v>
      </c>
      <c r="M15" s="80">
        <f>'FS-Month'!L35*-1</f>
        <v>739.88670000000002</v>
      </c>
      <c r="N15" s="80">
        <f>'FS-Month'!M35*-1</f>
        <v>739.88670000000002</v>
      </c>
      <c r="O15" s="80">
        <f>'FS-Month'!N35*-1</f>
        <v>5964.8867</v>
      </c>
      <c r="P15" s="80">
        <f>'FS-Month'!O35*-1</f>
        <v>5964.8867</v>
      </c>
      <c r="Q15" s="80">
        <f>'FS-Month'!P35*-1</f>
        <v>5964.8867</v>
      </c>
      <c r="R15" s="80">
        <f>'FS-Month'!Q35*-1</f>
        <v>5964.8867</v>
      </c>
      <c r="S15" s="80">
        <f>'FS-Month'!R35*-1</f>
        <v>5964.8867</v>
      </c>
      <c r="T15" s="80">
        <f>'FS-Month'!S35*-1</f>
        <v>11664.886699999999</v>
      </c>
      <c r="U15" s="80">
        <f>'FS-Month'!T35*-1</f>
        <v>12099.886699999999</v>
      </c>
      <c r="V15" s="80" t="e">
        <f>'FS-Month'!#REF!*-1</f>
        <v>#REF!</v>
      </c>
      <c r="W15" s="80" t="e">
        <f>'FS-Month'!#REF!*-1</f>
        <v>#REF!</v>
      </c>
      <c r="X15" s="80" t="e">
        <f>'FS-Month'!#REF!*-1</f>
        <v>#REF!</v>
      </c>
      <c r="Y15" s="80" t="e">
        <f>'FS-Month'!#REF!*-1</f>
        <v>#REF!</v>
      </c>
      <c r="Z15" s="80" t="e">
        <f>'FS-Month'!#REF!*-1</f>
        <v>#REF!</v>
      </c>
      <c r="AA15" s="80" t="e">
        <f>'FS-Month'!#REF!*-1</f>
        <v>#REF!</v>
      </c>
      <c r="AB15" s="80" t="e">
        <f>'FS-Month'!#REF!*-1</f>
        <v>#REF!</v>
      </c>
      <c r="AC15" s="80" t="e">
        <f>'FS-Month'!#REF!*-1</f>
        <v>#REF!</v>
      </c>
      <c r="AD15" s="80" t="e">
        <f>'FS-Month'!#REF!*-1</f>
        <v>#REF!</v>
      </c>
      <c r="AE15" s="80" t="e">
        <f>'FS-Month'!#REF!*-1</f>
        <v>#REF!</v>
      </c>
      <c r="AF15" s="80" t="e">
        <f>'FS-Month'!#REF!*-1</f>
        <v>#REF!</v>
      </c>
      <c r="AG15" s="80" t="e">
        <f>'FS-Month'!#REF!*-1</f>
        <v>#REF!</v>
      </c>
      <c r="AH15" s="80" t="e">
        <f>'FS-Month'!#REF!*-1</f>
        <v>#REF!</v>
      </c>
      <c r="AI15" s="80" t="e">
        <f>'FS-Month'!#REF!*-1</f>
        <v>#REF!</v>
      </c>
      <c r="AJ15" s="80" t="e">
        <f>'FS-Month'!#REF!*-1</f>
        <v>#REF!</v>
      </c>
      <c r="AK15" s="80" t="e">
        <f>'FS-Month'!#REF!*-1</f>
        <v>#REF!</v>
      </c>
      <c r="AL15" s="80" t="e">
        <f>'FS-Month'!#REF!*-1</f>
        <v>#REF!</v>
      </c>
      <c r="AM15" s="80" t="e">
        <f>'FS-Month'!#REF!*-1</f>
        <v>#REF!</v>
      </c>
      <c r="AN15" s="80" t="e">
        <f>'FS-Month'!#REF!*-1</f>
        <v>#REF!</v>
      </c>
      <c r="AO15" s="80" t="e">
        <f>'FS-Month'!#REF!*-1</f>
        <v>#REF!</v>
      </c>
      <c r="AP15" s="80" t="e">
        <f>'FS-Month'!#REF!*-1</f>
        <v>#REF!</v>
      </c>
      <c r="AQ15" s="80" t="e">
        <f>'FS-Month'!#REF!*-1</f>
        <v>#REF!</v>
      </c>
      <c r="AR15" s="80" t="e">
        <f>'FS-Month'!#REF!*-1</f>
        <v>#REF!</v>
      </c>
      <c r="AS15" s="80" t="e">
        <f>'FS-Month'!#REF!*-1</f>
        <v>#REF!</v>
      </c>
      <c r="AT15" s="80" t="e">
        <f>'FS-Month'!#REF!*-1</f>
        <v>#REF!</v>
      </c>
      <c r="AU15" s="80" t="e">
        <f>'FS-Month'!#REF!*-1</f>
        <v>#REF!</v>
      </c>
      <c r="AV15" s="80" t="e">
        <f>'FS-Month'!#REF!*-1</f>
        <v>#REF!</v>
      </c>
      <c r="AW15" s="80" t="e">
        <f>'FS-Month'!#REF!*-1</f>
        <v>#REF!</v>
      </c>
      <c r="AX15" s="80" t="e">
        <f>'FS-Month'!#REF!*-1</f>
        <v>#REF!</v>
      </c>
      <c r="AY15" s="80" t="e">
        <f>'FS-Month'!#REF!*-1</f>
        <v>#REF!</v>
      </c>
      <c r="AZ15" s="80" t="e">
        <f>'FS-Month'!#REF!*-1</f>
        <v>#REF!</v>
      </c>
      <c r="BA15" s="80" t="e">
        <f>'FS-Month'!#REF!*-1</f>
        <v>#REF!</v>
      </c>
      <c r="BB15" s="80" t="e">
        <f>'FS-Month'!#REF!*-1</f>
        <v>#REF!</v>
      </c>
      <c r="BC15" s="80" t="e">
        <f>'FS-Month'!#REF!*-1</f>
        <v>#REF!</v>
      </c>
      <c r="BD15" s="80" t="e">
        <f>'FS-Month'!#REF!*-1</f>
        <v>#REF!</v>
      </c>
      <c r="BE15" s="80" t="e">
        <f>'FS-Month'!#REF!*-1</f>
        <v>#REF!</v>
      </c>
      <c r="BF15" s="80" t="e">
        <f>'FS-Month'!#REF!*-1</f>
        <v>#REF!</v>
      </c>
      <c r="BG15" s="80" t="e">
        <f>'FS-Month'!#REF!*-1</f>
        <v>#REF!</v>
      </c>
      <c r="BH15" s="80" t="e">
        <f>'FS-Month'!#REF!*-1</f>
        <v>#REF!</v>
      </c>
      <c r="BI15" s="80" t="e">
        <f>'FS-Month'!#REF!*-1</f>
        <v>#REF!</v>
      </c>
      <c r="BJ15" s="80" t="e">
        <f>'FS-Month'!#REF!*-1</f>
        <v>#REF!</v>
      </c>
      <c r="BK15" s="80" t="e">
        <f>'FS-Month'!#REF!*-1</f>
        <v>#REF!</v>
      </c>
      <c r="BL15" s="80" t="e">
        <f>'FS-Month'!#REF!*-1</f>
        <v>#REF!</v>
      </c>
      <c r="BM15" s="80" t="e">
        <f>'FS-Month'!#REF!*-1</f>
        <v>#REF!</v>
      </c>
      <c r="BN15" s="80" t="e">
        <f>'FS-Month'!#REF!*-1</f>
        <v>#REF!</v>
      </c>
      <c r="BO15" s="80" t="e">
        <f>'FS-Month'!#REF!*-1</f>
        <v>#REF!</v>
      </c>
      <c r="BP15" s="80" t="e">
        <f>'FS-Month'!#REF!*-1</f>
        <v>#REF!</v>
      </c>
      <c r="BQ15" s="80" t="e">
        <f>'FS-Month'!#REF!*-1</f>
        <v>#REF!</v>
      </c>
      <c r="BR15" s="80" t="e">
        <f>'FS-Month'!#REF!*-1</f>
        <v>#REF!</v>
      </c>
      <c r="BS15" s="80" t="e">
        <f>'FS-Month'!#REF!*-1</f>
        <v>#REF!</v>
      </c>
      <c r="BT15" s="80" t="e">
        <f>'FS-Month'!#REF!*-1</f>
        <v>#REF!</v>
      </c>
      <c r="BU15" s="80" t="e">
        <f>'FS-Month'!#REF!*-1</f>
        <v>#REF!</v>
      </c>
      <c r="BV15" s="80" t="e">
        <f>'FS-Month'!#REF!*-1</f>
        <v>#REF!</v>
      </c>
      <c r="BW15" s="80" t="e">
        <f>'FS-Month'!#REF!*-1</f>
        <v>#REF!</v>
      </c>
      <c r="BX15" s="80" t="e">
        <f>'FS-Month'!#REF!*-1</f>
        <v>#REF!</v>
      </c>
      <c r="BY15" s="80" t="e">
        <f>'FS-Month'!#REF!*-1</f>
        <v>#REF!</v>
      </c>
      <c r="BZ15" s="80" t="e">
        <f>'FS-Month'!#REF!*-1</f>
        <v>#REF!</v>
      </c>
      <c r="CA15" s="80" t="e">
        <f>'FS-Month'!#REF!*-1</f>
        <v>#REF!</v>
      </c>
      <c r="CB15" s="80" t="e">
        <f>'FS-Month'!#REF!*-1</f>
        <v>#REF!</v>
      </c>
      <c r="CC15" s="80" t="e">
        <f>'FS-Month'!#REF!*-1</f>
        <v>#REF!</v>
      </c>
      <c r="CD15" s="80" t="e">
        <f>'FS-Month'!#REF!*-1</f>
        <v>#REF!</v>
      </c>
      <c r="CE15" s="80" t="e">
        <f>'FS-Month'!#REF!*-1</f>
        <v>#REF!</v>
      </c>
      <c r="CF15" s="80" t="e">
        <f>'FS-Month'!#REF!*-1</f>
        <v>#REF!</v>
      </c>
      <c r="CG15" s="80" t="e">
        <f>'FS-Month'!#REF!*-1</f>
        <v>#REF!</v>
      </c>
      <c r="CH15" s="80" t="e">
        <f>'FS-Month'!#REF!*-1</f>
        <v>#REF!</v>
      </c>
      <c r="CI15" s="80" t="e">
        <f>'FS-Month'!#REF!*-1</f>
        <v>#REF!</v>
      </c>
    </row>
    <row r="16" spans="1:87" ht="14" x14ac:dyDescent="0.15">
      <c r="A16" s="80" t="s">
        <v>120</v>
      </c>
      <c r="B16" s="80"/>
      <c r="C16" s="80"/>
      <c r="D16" s="80">
        <f>'FS-Month'!C98*-1</f>
        <v>0</v>
      </c>
      <c r="E16" s="80">
        <f>'FS-Month'!D98*-1</f>
        <v>0</v>
      </c>
      <c r="F16" s="80">
        <f>'FS-Month'!E98*-1</f>
        <v>0</v>
      </c>
      <c r="G16" s="80">
        <f>'FS-Month'!F98*-1</f>
        <v>0</v>
      </c>
      <c r="H16" s="80">
        <f>'FS-Month'!G98*-1</f>
        <v>0</v>
      </c>
      <c r="I16" s="80">
        <f>'FS-Month'!H98*-1</f>
        <v>0</v>
      </c>
      <c r="J16" s="80">
        <f>'FS-Month'!I98*-1</f>
        <v>0</v>
      </c>
      <c r="K16" s="80">
        <f>'FS-Month'!J98*-1</f>
        <v>0</v>
      </c>
      <c r="L16" s="80">
        <f>'FS-Month'!K98*-1</f>
        <v>0</v>
      </c>
      <c r="M16" s="80">
        <f>'FS-Month'!L98*-1</f>
        <v>0</v>
      </c>
      <c r="N16" s="80">
        <f>'FS-Month'!M98*-1</f>
        <v>0</v>
      </c>
      <c r="O16" s="80">
        <f>'FS-Month'!N98*-1</f>
        <v>0</v>
      </c>
      <c r="P16" s="80">
        <f>'FS-Month'!O98*-1</f>
        <v>0</v>
      </c>
      <c r="Q16" s="80">
        <f>'FS-Month'!P98*-1</f>
        <v>0</v>
      </c>
      <c r="R16" s="80">
        <f>'FS-Month'!Q98*-1</f>
        <v>0</v>
      </c>
      <c r="S16" s="80">
        <f>'FS-Month'!R98*-1</f>
        <v>0</v>
      </c>
      <c r="T16" s="80">
        <f>'FS-Month'!S98*-1</f>
        <v>0</v>
      </c>
      <c r="U16" s="80">
        <f>'FS-Month'!T98*-1</f>
        <v>0</v>
      </c>
      <c r="V16" s="80" t="e">
        <f>'FS-Month'!#REF!*-1</f>
        <v>#REF!</v>
      </c>
      <c r="W16" s="80" t="e">
        <f>'FS-Month'!#REF!*-1</f>
        <v>#REF!</v>
      </c>
      <c r="X16" s="80" t="e">
        <f>'FS-Month'!#REF!*-1</f>
        <v>#REF!</v>
      </c>
      <c r="Y16" s="80" t="e">
        <f>'FS-Month'!#REF!*-1</f>
        <v>#REF!</v>
      </c>
      <c r="Z16" s="80" t="e">
        <f>'FS-Month'!#REF!*-1</f>
        <v>#REF!</v>
      </c>
      <c r="AA16" s="80" t="e">
        <f>'FS-Month'!#REF!*-1</f>
        <v>#REF!</v>
      </c>
      <c r="AB16" s="80" t="e">
        <f>'FS-Month'!#REF!*-1</f>
        <v>#REF!</v>
      </c>
      <c r="AC16" s="80" t="e">
        <f>'FS-Month'!#REF!*-1</f>
        <v>#REF!</v>
      </c>
      <c r="AD16" s="80" t="e">
        <f>'FS-Month'!#REF!*-1</f>
        <v>#REF!</v>
      </c>
      <c r="AE16" s="80" t="e">
        <f>'FS-Month'!#REF!*-1</f>
        <v>#REF!</v>
      </c>
      <c r="AF16" s="80" t="e">
        <f>'FS-Month'!#REF!*-1</f>
        <v>#REF!</v>
      </c>
      <c r="AG16" s="80" t="e">
        <f>'FS-Month'!#REF!*-1</f>
        <v>#REF!</v>
      </c>
      <c r="AH16" s="80" t="e">
        <f>'FS-Month'!#REF!*-1</f>
        <v>#REF!</v>
      </c>
      <c r="AI16" s="80" t="e">
        <f>'FS-Month'!#REF!*-1</f>
        <v>#REF!</v>
      </c>
      <c r="AJ16" s="80" t="e">
        <f>'FS-Month'!#REF!*-1</f>
        <v>#REF!</v>
      </c>
      <c r="AK16" s="80" t="e">
        <f>'FS-Month'!#REF!*-1</f>
        <v>#REF!</v>
      </c>
      <c r="AL16" s="80" t="e">
        <f>'FS-Month'!#REF!*-1</f>
        <v>#REF!</v>
      </c>
      <c r="AM16" s="80" t="e">
        <f>'FS-Month'!#REF!*-1</f>
        <v>#REF!</v>
      </c>
      <c r="AN16" s="80" t="e">
        <f>'FS-Month'!#REF!*-1</f>
        <v>#REF!</v>
      </c>
      <c r="AO16" s="80" t="e">
        <f>'FS-Month'!#REF!*-1</f>
        <v>#REF!</v>
      </c>
      <c r="AP16" s="80" t="e">
        <f>'FS-Month'!#REF!*-1</f>
        <v>#REF!</v>
      </c>
      <c r="AQ16" s="80" t="e">
        <f>'FS-Month'!#REF!*-1</f>
        <v>#REF!</v>
      </c>
      <c r="AR16" s="80" t="e">
        <f>'FS-Month'!#REF!*-1</f>
        <v>#REF!</v>
      </c>
      <c r="AS16" s="80" t="e">
        <f>'FS-Month'!#REF!*-1</f>
        <v>#REF!</v>
      </c>
      <c r="AT16" s="80" t="e">
        <f>'FS-Month'!#REF!*-1</f>
        <v>#REF!</v>
      </c>
      <c r="AU16" s="80" t="e">
        <f>'FS-Month'!#REF!*-1</f>
        <v>#REF!</v>
      </c>
      <c r="AV16" s="80" t="e">
        <f>'FS-Month'!#REF!*-1</f>
        <v>#REF!</v>
      </c>
      <c r="AW16" s="80" t="e">
        <f>'FS-Month'!#REF!*-1</f>
        <v>#REF!</v>
      </c>
      <c r="AX16" s="80" t="e">
        <f>'FS-Month'!#REF!*-1</f>
        <v>#REF!</v>
      </c>
      <c r="AY16" s="80" t="e">
        <f>'FS-Month'!#REF!*-1</f>
        <v>#REF!</v>
      </c>
      <c r="AZ16" s="80" t="e">
        <f>'FS-Month'!#REF!*-1</f>
        <v>#REF!</v>
      </c>
      <c r="BA16" s="80" t="e">
        <f>'FS-Month'!#REF!*-1</f>
        <v>#REF!</v>
      </c>
      <c r="BB16" s="80" t="e">
        <f>'FS-Month'!#REF!*-1</f>
        <v>#REF!</v>
      </c>
      <c r="BC16" s="80" t="e">
        <f>'FS-Month'!#REF!*-1</f>
        <v>#REF!</v>
      </c>
      <c r="BD16" s="80" t="e">
        <f>'FS-Month'!#REF!*-1</f>
        <v>#REF!</v>
      </c>
      <c r="BE16" s="80" t="e">
        <f>'FS-Month'!#REF!*-1</f>
        <v>#REF!</v>
      </c>
      <c r="BF16" s="80" t="e">
        <f>'FS-Month'!#REF!*-1</f>
        <v>#REF!</v>
      </c>
      <c r="BG16" s="80" t="e">
        <f>'FS-Month'!#REF!*-1</f>
        <v>#REF!</v>
      </c>
      <c r="BH16" s="80" t="e">
        <f>'FS-Month'!#REF!*-1</f>
        <v>#REF!</v>
      </c>
      <c r="BI16" s="80" t="e">
        <f>'FS-Month'!#REF!*-1</f>
        <v>#REF!</v>
      </c>
      <c r="BJ16" s="80" t="e">
        <f>'FS-Month'!#REF!*-1</f>
        <v>#REF!</v>
      </c>
      <c r="BK16" s="80" t="e">
        <f>'FS-Month'!#REF!*-1</f>
        <v>#REF!</v>
      </c>
      <c r="BL16" s="80" t="e">
        <f>'FS-Month'!#REF!*-1</f>
        <v>#REF!</v>
      </c>
      <c r="BM16" s="80" t="e">
        <f>'FS-Month'!#REF!*-1</f>
        <v>#REF!</v>
      </c>
      <c r="BN16" s="80" t="e">
        <f>'FS-Month'!#REF!*-1</f>
        <v>#REF!</v>
      </c>
      <c r="BO16" s="80" t="e">
        <f>'FS-Month'!#REF!*-1</f>
        <v>#REF!</v>
      </c>
      <c r="BP16" s="80" t="e">
        <f>'FS-Month'!#REF!*-1</f>
        <v>#REF!</v>
      </c>
      <c r="BQ16" s="80" t="e">
        <f>'FS-Month'!#REF!*-1</f>
        <v>#REF!</v>
      </c>
      <c r="BR16" s="80" t="e">
        <f>'FS-Month'!#REF!*-1</f>
        <v>#REF!</v>
      </c>
      <c r="BS16" s="80" t="e">
        <f>'FS-Month'!#REF!*-1</f>
        <v>#REF!</v>
      </c>
      <c r="BT16" s="80" t="e">
        <f>'FS-Month'!#REF!*-1</f>
        <v>#REF!</v>
      </c>
      <c r="BU16" s="80" t="e">
        <f>'FS-Month'!#REF!*-1</f>
        <v>#REF!</v>
      </c>
      <c r="BV16" s="80" t="e">
        <f>'FS-Month'!#REF!*-1</f>
        <v>#REF!</v>
      </c>
      <c r="BW16" s="80" t="e">
        <f>'FS-Month'!#REF!*-1</f>
        <v>#REF!</v>
      </c>
      <c r="BX16" s="80" t="e">
        <f>'FS-Month'!#REF!*-1</f>
        <v>#REF!</v>
      </c>
      <c r="BY16" s="80" t="e">
        <f>'FS-Month'!#REF!*-1</f>
        <v>#REF!</v>
      </c>
      <c r="BZ16" s="80" t="e">
        <f>'FS-Month'!#REF!*-1</f>
        <v>#REF!</v>
      </c>
      <c r="CA16" s="80" t="e">
        <f>'FS-Month'!#REF!*-1</f>
        <v>#REF!</v>
      </c>
      <c r="CB16" s="80" t="e">
        <f>'FS-Month'!#REF!*-1</f>
        <v>#REF!</v>
      </c>
      <c r="CC16" s="80" t="e">
        <f>'FS-Month'!#REF!*-1</f>
        <v>#REF!</v>
      </c>
      <c r="CD16" s="80" t="e">
        <f>'FS-Month'!#REF!*-1</f>
        <v>#REF!</v>
      </c>
      <c r="CE16" s="80" t="e">
        <f>'FS-Month'!#REF!*-1</f>
        <v>#REF!</v>
      </c>
      <c r="CF16" s="80" t="e">
        <f>'FS-Month'!#REF!*-1</f>
        <v>#REF!</v>
      </c>
      <c r="CG16" s="80" t="e">
        <f>'FS-Month'!#REF!*-1</f>
        <v>#REF!</v>
      </c>
      <c r="CH16" s="80" t="e">
        <f>'FS-Month'!#REF!*-1</f>
        <v>#REF!</v>
      </c>
      <c r="CI16" s="80" t="e">
        <f>'FS-Month'!#REF!*-1</f>
        <v>#REF!</v>
      </c>
    </row>
    <row r="17" spans="1:87" ht="14" x14ac:dyDescent="0.1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</row>
    <row r="18" spans="1:87" ht="14" x14ac:dyDescent="0.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</row>
    <row r="19" spans="1:87" ht="13.5" customHeight="1" x14ac:dyDescent="0.25">
      <c r="A19" s="14" t="s">
        <v>155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4" x14ac:dyDescent="0.15">
      <c r="A20" s="80" t="s">
        <v>155</v>
      </c>
      <c r="B20" s="80"/>
      <c r="C20" s="80"/>
      <c r="D20" s="80" t="e">
        <f>'FS-Month'!C101</f>
        <v>#REF!</v>
      </c>
      <c r="E20" s="80" t="e">
        <f>'FS-Month'!D101</f>
        <v>#REF!</v>
      </c>
      <c r="F20" s="80" t="e">
        <f>'FS-Month'!E101</f>
        <v>#REF!</v>
      </c>
      <c r="G20" s="80" t="e">
        <f>'FS-Month'!F101</f>
        <v>#REF!</v>
      </c>
      <c r="H20" s="80" t="e">
        <f>'FS-Month'!G101</f>
        <v>#REF!</v>
      </c>
      <c r="I20" s="80">
        <f>'FS-Month'!H101</f>
        <v>10279.4833</v>
      </c>
      <c r="J20" s="80">
        <f>'FS-Month'!I101</f>
        <v>49721.976600000002</v>
      </c>
      <c r="K20" s="80">
        <f>'FS-Month'!J101</f>
        <v>120341.96489999999</v>
      </c>
      <c r="L20" s="80">
        <f>'FS-Month'!K101</f>
        <v>184115.3792</v>
      </c>
      <c r="M20" s="80">
        <f>'FS-Month'!L101</f>
        <v>231938.40950000001</v>
      </c>
      <c r="N20" s="80">
        <f>'FS-Month'!M101</f>
        <v>289870.9388</v>
      </c>
      <c r="O20" s="80">
        <f>'FS-Month'!N101</f>
        <v>339264.03610000003</v>
      </c>
      <c r="P20" s="80">
        <f>'FS-Month'!O101</f>
        <v>376552.29940000002</v>
      </c>
      <c r="Q20" s="80">
        <f>'FS-Month'!P101</f>
        <v>417623.15270000004</v>
      </c>
      <c r="R20" s="80">
        <f>'FS-Month'!Q101</f>
        <v>496021.29400000005</v>
      </c>
      <c r="S20" s="80">
        <f>'FS-Month'!R101</f>
        <v>584309.26630000002</v>
      </c>
      <c r="T20" s="80">
        <f>'FS-Month'!S101</f>
        <v>660049.93060000008</v>
      </c>
      <c r="U20" s="80">
        <f>'FS-Month'!T101</f>
        <v>754284.64390000002</v>
      </c>
      <c r="V20" s="80" t="e">
        <f>'FS-Month'!#REF!</f>
        <v>#REF!</v>
      </c>
      <c r="W20" s="80" t="e">
        <f>'FS-Month'!#REF!</f>
        <v>#REF!</v>
      </c>
      <c r="X20" s="80" t="e">
        <f>'FS-Month'!#REF!</f>
        <v>#REF!</v>
      </c>
      <c r="Y20" s="80" t="e">
        <f>'FS-Month'!#REF!</f>
        <v>#REF!</v>
      </c>
      <c r="Z20" s="80" t="e">
        <f>'FS-Month'!#REF!</f>
        <v>#REF!</v>
      </c>
      <c r="AA20" s="80" t="e">
        <f>'FS-Month'!#REF!</f>
        <v>#REF!</v>
      </c>
      <c r="AB20" s="80" t="e">
        <f>'FS-Month'!#REF!</f>
        <v>#REF!</v>
      </c>
      <c r="AC20" s="80" t="e">
        <f>'FS-Month'!#REF!</f>
        <v>#REF!</v>
      </c>
      <c r="AD20" s="80" t="e">
        <f>'FS-Month'!#REF!</f>
        <v>#REF!</v>
      </c>
      <c r="AE20" s="80" t="e">
        <f>'FS-Month'!#REF!</f>
        <v>#REF!</v>
      </c>
      <c r="AF20" s="80" t="e">
        <f>'FS-Month'!#REF!</f>
        <v>#REF!</v>
      </c>
      <c r="AG20" s="80" t="e">
        <f>'FS-Month'!#REF!</f>
        <v>#REF!</v>
      </c>
      <c r="AH20" s="80" t="e">
        <f>'FS-Month'!#REF!</f>
        <v>#REF!</v>
      </c>
      <c r="AI20" s="80" t="e">
        <f>'FS-Month'!#REF!</f>
        <v>#REF!</v>
      </c>
      <c r="AJ20" s="80" t="e">
        <f>'FS-Month'!#REF!</f>
        <v>#REF!</v>
      </c>
      <c r="AK20" s="80" t="e">
        <f>'FS-Month'!#REF!</f>
        <v>#REF!</v>
      </c>
      <c r="AL20" s="80" t="e">
        <f>'FS-Month'!#REF!</f>
        <v>#REF!</v>
      </c>
      <c r="AM20" s="80" t="e">
        <f>'FS-Month'!#REF!</f>
        <v>#REF!</v>
      </c>
      <c r="AN20" s="80" t="e">
        <f>'FS-Month'!#REF!</f>
        <v>#REF!</v>
      </c>
      <c r="AO20" s="80" t="e">
        <f>'FS-Month'!#REF!</f>
        <v>#REF!</v>
      </c>
      <c r="AP20" s="80" t="e">
        <f>'FS-Month'!#REF!</f>
        <v>#REF!</v>
      </c>
      <c r="AQ20" s="80" t="e">
        <f>'FS-Month'!#REF!</f>
        <v>#REF!</v>
      </c>
      <c r="AR20" s="80" t="e">
        <f>'FS-Month'!#REF!</f>
        <v>#REF!</v>
      </c>
      <c r="AS20" s="80" t="e">
        <f>'FS-Month'!#REF!</f>
        <v>#REF!</v>
      </c>
      <c r="AT20" s="80" t="e">
        <f>'FS-Month'!#REF!</f>
        <v>#REF!</v>
      </c>
      <c r="AU20" s="80" t="e">
        <f>'FS-Month'!#REF!</f>
        <v>#REF!</v>
      </c>
      <c r="AV20" s="80" t="e">
        <f>'FS-Month'!#REF!</f>
        <v>#REF!</v>
      </c>
      <c r="AW20" s="80" t="e">
        <f>'FS-Month'!#REF!</f>
        <v>#REF!</v>
      </c>
      <c r="AX20" s="80" t="e">
        <f>'FS-Month'!#REF!</f>
        <v>#REF!</v>
      </c>
      <c r="AY20" s="80" t="e">
        <f>'FS-Month'!#REF!</f>
        <v>#REF!</v>
      </c>
      <c r="AZ20" s="80" t="e">
        <f>'FS-Month'!#REF!</f>
        <v>#REF!</v>
      </c>
      <c r="BA20" s="80" t="e">
        <f>'FS-Month'!#REF!</f>
        <v>#REF!</v>
      </c>
      <c r="BB20" s="80" t="e">
        <f>'FS-Month'!#REF!</f>
        <v>#REF!</v>
      </c>
      <c r="BC20" s="80" t="e">
        <f>'FS-Month'!#REF!</f>
        <v>#REF!</v>
      </c>
      <c r="BD20" s="80" t="e">
        <f>'FS-Month'!#REF!</f>
        <v>#REF!</v>
      </c>
      <c r="BE20" s="80" t="e">
        <f>'FS-Month'!#REF!</f>
        <v>#REF!</v>
      </c>
      <c r="BF20" s="80" t="e">
        <f>'FS-Month'!#REF!</f>
        <v>#REF!</v>
      </c>
      <c r="BG20" s="80" t="e">
        <f>'FS-Month'!#REF!</f>
        <v>#REF!</v>
      </c>
      <c r="BH20" s="80" t="e">
        <f>'FS-Month'!#REF!</f>
        <v>#REF!</v>
      </c>
      <c r="BI20" s="80" t="e">
        <f>'FS-Month'!#REF!</f>
        <v>#REF!</v>
      </c>
      <c r="BJ20" s="80" t="e">
        <f>'FS-Month'!#REF!</f>
        <v>#REF!</v>
      </c>
      <c r="BK20" s="80" t="e">
        <f>'FS-Month'!#REF!</f>
        <v>#REF!</v>
      </c>
      <c r="BL20" s="80" t="e">
        <f>'FS-Month'!#REF!</f>
        <v>#REF!</v>
      </c>
      <c r="BM20" s="80" t="e">
        <f>'FS-Month'!#REF!</f>
        <v>#REF!</v>
      </c>
      <c r="BN20" s="80" t="e">
        <f>'FS-Month'!#REF!</f>
        <v>#REF!</v>
      </c>
      <c r="BO20" s="80" t="e">
        <f>'FS-Month'!#REF!</f>
        <v>#REF!</v>
      </c>
      <c r="BP20" s="80" t="e">
        <f>'FS-Month'!#REF!</f>
        <v>#REF!</v>
      </c>
      <c r="BQ20" s="80" t="e">
        <f>'FS-Month'!#REF!</f>
        <v>#REF!</v>
      </c>
      <c r="BR20" s="80" t="e">
        <f>'FS-Month'!#REF!</f>
        <v>#REF!</v>
      </c>
      <c r="BS20" s="80" t="e">
        <f>'FS-Month'!#REF!</f>
        <v>#REF!</v>
      </c>
      <c r="BT20" s="80" t="e">
        <f>'FS-Month'!#REF!</f>
        <v>#REF!</v>
      </c>
      <c r="BU20" s="80" t="e">
        <f>'FS-Month'!#REF!</f>
        <v>#REF!</v>
      </c>
      <c r="BV20" s="80" t="e">
        <f>'FS-Month'!#REF!</f>
        <v>#REF!</v>
      </c>
      <c r="BW20" s="80" t="e">
        <f>'FS-Month'!#REF!</f>
        <v>#REF!</v>
      </c>
      <c r="BX20" s="80" t="e">
        <f>'FS-Month'!#REF!</f>
        <v>#REF!</v>
      </c>
      <c r="BY20" s="80" t="e">
        <f>'FS-Month'!#REF!</f>
        <v>#REF!</v>
      </c>
      <c r="BZ20" s="80" t="e">
        <f>'FS-Month'!#REF!</f>
        <v>#REF!</v>
      </c>
      <c r="CA20" s="80" t="e">
        <f>'FS-Month'!#REF!</f>
        <v>#REF!</v>
      </c>
      <c r="CB20" s="80" t="e">
        <f>'FS-Month'!#REF!</f>
        <v>#REF!</v>
      </c>
      <c r="CC20" s="80" t="e">
        <f>'FS-Month'!#REF!</f>
        <v>#REF!</v>
      </c>
      <c r="CD20" s="80" t="e">
        <f>'FS-Month'!#REF!</f>
        <v>#REF!</v>
      </c>
      <c r="CE20" s="80" t="e">
        <f>'FS-Month'!#REF!</f>
        <v>#REF!</v>
      </c>
      <c r="CF20" s="80" t="e">
        <f>'FS-Month'!#REF!</f>
        <v>#REF!</v>
      </c>
      <c r="CG20" s="80" t="e">
        <f>'FS-Month'!#REF!</f>
        <v>#REF!</v>
      </c>
      <c r="CH20" s="80" t="e">
        <f>'FS-Month'!#REF!</f>
        <v>#REF!</v>
      </c>
      <c r="CI20" s="80" t="e">
        <f>'FS-Month'!#REF!</f>
        <v>#REF!</v>
      </c>
    </row>
    <row r="21" spans="1:87" ht="14" x14ac:dyDescent="0.15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</row>
    <row r="22" spans="1:87" ht="14" x14ac:dyDescent="0.1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</row>
    <row r="23" spans="1:87" ht="14" x14ac:dyDescent="0.1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</row>
    <row r="24" spans="1:87" ht="13.5" customHeight="1" x14ac:dyDescent="0.25">
      <c r="A24" s="14" t="s">
        <v>156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4" x14ac:dyDescent="0.1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</row>
    <row r="26" spans="1:87" ht="14" x14ac:dyDescent="0.15">
      <c r="A26" s="81" t="s">
        <v>23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</row>
    <row r="27" spans="1:87" ht="14" x14ac:dyDescent="0.15">
      <c r="A27" s="80" t="s">
        <v>157</v>
      </c>
      <c r="B27" s="80"/>
      <c r="C27" s="80"/>
      <c r="D27" s="80" t="e">
        <f>SUMIF('COS and SG&amp;A'!#REF!,$A27,'COS and SG&amp;A'!C:C)</f>
        <v>#REF!</v>
      </c>
      <c r="E27" s="80" t="e">
        <f>SUMIF('COS and SG&amp;A'!#REF!,$A27,'COS and SG&amp;A'!D:D)</f>
        <v>#REF!</v>
      </c>
      <c r="F27" s="80" t="e">
        <f>SUMIF('COS and SG&amp;A'!#REF!,$A27,'COS and SG&amp;A'!E:E)</f>
        <v>#REF!</v>
      </c>
      <c r="G27" s="80" t="e">
        <f>SUMIF('COS and SG&amp;A'!#REF!,$A27,'COS and SG&amp;A'!F:F)</f>
        <v>#REF!</v>
      </c>
      <c r="H27" s="80" t="e">
        <f>SUMIF('COS and SG&amp;A'!#REF!,$A27,'COS and SG&amp;A'!G:G)</f>
        <v>#REF!</v>
      </c>
      <c r="I27" s="80" t="e">
        <f>SUMIF('COS and SG&amp;A'!#REF!,$A27,'COS and SG&amp;A'!H:H)</f>
        <v>#REF!</v>
      </c>
      <c r="J27" s="80" t="e">
        <f>SUMIF('COS and SG&amp;A'!#REF!,$A27,'COS and SG&amp;A'!I:I)</f>
        <v>#REF!</v>
      </c>
      <c r="K27" s="80" t="e">
        <f>SUMIF('COS and SG&amp;A'!#REF!,$A27,'COS and SG&amp;A'!J:J)</f>
        <v>#REF!</v>
      </c>
      <c r="L27" s="80" t="e">
        <f>SUMIF('COS and SG&amp;A'!#REF!,$A27,'COS and SG&amp;A'!K:K)</f>
        <v>#REF!</v>
      </c>
      <c r="M27" s="80" t="e">
        <f>SUMIF('COS and SG&amp;A'!#REF!,$A27,'COS and SG&amp;A'!L:L)</f>
        <v>#REF!</v>
      </c>
      <c r="N27" s="80" t="e">
        <f>SUMIF('COS and SG&amp;A'!#REF!,$A27,'COS and SG&amp;A'!M:M)</f>
        <v>#REF!</v>
      </c>
      <c r="O27" s="80" t="e">
        <f>SUMIF('COS and SG&amp;A'!#REF!,$A27,'COS and SG&amp;A'!N:N)</f>
        <v>#REF!</v>
      </c>
      <c r="P27" s="80" t="e">
        <f>SUMIF('COS and SG&amp;A'!#REF!,$A27,'COS and SG&amp;A'!O:O)</f>
        <v>#REF!</v>
      </c>
      <c r="Q27" s="80" t="e">
        <f>SUMIF('COS and SG&amp;A'!#REF!,$A27,'COS and SG&amp;A'!P:P)</f>
        <v>#REF!</v>
      </c>
      <c r="R27" s="80" t="e">
        <f>SUMIF('COS and SG&amp;A'!#REF!,$A27,'COS and SG&amp;A'!Q:Q)</f>
        <v>#REF!</v>
      </c>
      <c r="S27" s="80" t="e">
        <f>SUMIF('COS and SG&amp;A'!#REF!,$A27,'COS and SG&amp;A'!R:R)</f>
        <v>#REF!</v>
      </c>
      <c r="T27" s="80" t="e">
        <f>SUMIF('COS and SG&amp;A'!#REF!,$A27,'COS and SG&amp;A'!S:S)</f>
        <v>#REF!</v>
      </c>
      <c r="U27" s="80" t="e">
        <f>SUMIF('COS and SG&amp;A'!#REF!,$A27,'COS and SG&amp;A'!T:T)</f>
        <v>#REF!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</row>
    <row r="28" spans="1:87" ht="14" x14ac:dyDescent="0.15">
      <c r="A28" s="80" t="s">
        <v>158</v>
      </c>
      <c r="B28" s="80"/>
      <c r="C28" s="80"/>
      <c r="D28" s="80" t="e">
        <f>SUMIF('COS and SG&amp;A'!#REF!,$A28,'COS and SG&amp;A'!C:C)</f>
        <v>#REF!</v>
      </c>
      <c r="E28" s="80" t="e">
        <f>SUMIF('COS and SG&amp;A'!#REF!,$A28,'COS and SG&amp;A'!D:D)</f>
        <v>#REF!</v>
      </c>
      <c r="F28" s="80" t="e">
        <f>SUMIF('COS and SG&amp;A'!#REF!,$A28,'COS and SG&amp;A'!E:E)</f>
        <v>#REF!</v>
      </c>
      <c r="G28" s="80" t="e">
        <f>SUMIF('COS and SG&amp;A'!#REF!,$A28,'COS and SG&amp;A'!F:F)</f>
        <v>#REF!</v>
      </c>
      <c r="H28" s="80" t="e">
        <f>SUMIF('COS and SG&amp;A'!#REF!,$A28,'COS and SG&amp;A'!G:G)</f>
        <v>#REF!</v>
      </c>
      <c r="I28" s="80" t="e">
        <f>SUMIF('COS and SG&amp;A'!#REF!,$A28,'COS and SG&amp;A'!H:H)</f>
        <v>#REF!</v>
      </c>
      <c r="J28" s="80" t="e">
        <f>SUMIF('COS and SG&amp;A'!#REF!,$A28,'COS and SG&amp;A'!I:I)</f>
        <v>#REF!</v>
      </c>
      <c r="K28" s="80" t="e">
        <f>SUMIF('COS and SG&amp;A'!#REF!,$A28,'COS and SG&amp;A'!J:J)</f>
        <v>#REF!</v>
      </c>
      <c r="L28" s="80" t="e">
        <f>SUMIF('COS and SG&amp;A'!#REF!,$A28,'COS and SG&amp;A'!K:K)</f>
        <v>#REF!</v>
      </c>
      <c r="M28" s="80" t="e">
        <f>SUMIF('COS and SG&amp;A'!#REF!,$A28,'COS and SG&amp;A'!L:L)</f>
        <v>#REF!</v>
      </c>
      <c r="N28" s="80" t="e">
        <f>SUMIF('COS and SG&amp;A'!#REF!,$A28,'COS and SG&amp;A'!M:M)</f>
        <v>#REF!</v>
      </c>
      <c r="O28" s="80" t="e">
        <f>SUMIF('COS and SG&amp;A'!#REF!,$A28,'COS and SG&amp;A'!N:N)</f>
        <v>#REF!</v>
      </c>
      <c r="P28" s="80" t="e">
        <f>SUMIF('COS and SG&amp;A'!#REF!,$A28,'COS and SG&amp;A'!O:O)</f>
        <v>#REF!</v>
      </c>
      <c r="Q28" s="80" t="e">
        <f>SUMIF('COS and SG&amp;A'!#REF!,$A28,'COS and SG&amp;A'!P:P)</f>
        <v>#REF!</v>
      </c>
      <c r="R28" s="80" t="e">
        <f>SUMIF('COS and SG&amp;A'!#REF!,$A28,'COS and SG&amp;A'!Q:Q)</f>
        <v>#REF!</v>
      </c>
      <c r="S28" s="80" t="e">
        <f>SUMIF('COS and SG&amp;A'!#REF!,$A28,'COS and SG&amp;A'!R:R)</f>
        <v>#REF!</v>
      </c>
      <c r="T28" s="80" t="e">
        <f>SUMIF('COS and SG&amp;A'!#REF!,$A28,'COS and SG&amp;A'!S:S)</f>
        <v>#REF!</v>
      </c>
      <c r="U28" s="80" t="e">
        <f>SUMIF('COS and SG&amp;A'!#REF!,$A28,'COS and SG&amp;A'!T:T)</f>
        <v>#REF!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</row>
    <row r="29" spans="1:87" ht="14" x14ac:dyDescent="0.15">
      <c r="A29" s="80" t="s">
        <v>159</v>
      </c>
      <c r="B29" s="80"/>
      <c r="C29" s="80"/>
      <c r="D29" s="80" t="e">
        <f>SUMIF('COS and SG&amp;A'!#REF!,$A29,'COS and SG&amp;A'!C:C)</f>
        <v>#REF!</v>
      </c>
      <c r="E29" s="80" t="e">
        <f>SUMIF('COS and SG&amp;A'!#REF!,$A29,'COS and SG&amp;A'!D:D)</f>
        <v>#REF!</v>
      </c>
      <c r="F29" s="80" t="e">
        <f>SUMIF('COS and SG&amp;A'!#REF!,$A29,'COS and SG&amp;A'!E:E)</f>
        <v>#REF!</v>
      </c>
      <c r="G29" s="80" t="e">
        <f>SUMIF('COS and SG&amp;A'!#REF!,$A29,'COS and SG&amp;A'!F:F)</f>
        <v>#REF!</v>
      </c>
      <c r="H29" s="80" t="e">
        <f>SUMIF('COS and SG&amp;A'!#REF!,$A29,'COS and SG&amp;A'!G:G)</f>
        <v>#REF!</v>
      </c>
      <c r="I29" s="80" t="e">
        <f>SUMIF('COS and SG&amp;A'!#REF!,$A29,'COS and SG&amp;A'!H:H)</f>
        <v>#REF!</v>
      </c>
      <c r="J29" s="80" t="e">
        <f>SUMIF('COS and SG&amp;A'!#REF!,$A29,'COS and SG&amp;A'!I:I)</f>
        <v>#REF!</v>
      </c>
      <c r="K29" s="80" t="e">
        <f>SUMIF('COS and SG&amp;A'!#REF!,$A29,'COS and SG&amp;A'!J:J)</f>
        <v>#REF!</v>
      </c>
      <c r="L29" s="80" t="e">
        <f>SUMIF('COS and SG&amp;A'!#REF!,$A29,'COS and SG&amp;A'!K:K)</f>
        <v>#REF!</v>
      </c>
      <c r="M29" s="80" t="e">
        <f>SUMIF('COS and SG&amp;A'!#REF!,$A29,'COS and SG&amp;A'!L:L)</f>
        <v>#REF!</v>
      </c>
      <c r="N29" s="80" t="e">
        <f>SUMIF('COS and SG&amp;A'!#REF!,$A29,'COS and SG&amp;A'!M:M)</f>
        <v>#REF!</v>
      </c>
      <c r="O29" s="80" t="e">
        <f>SUMIF('COS and SG&amp;A'!#REF!,$A29,'COS and SG&amp;A'!N:N)</f>
        <v>#REF!</v>
      </c>
      <c r="P29" s="80" t="e">
        <f>SUMIF('COS and SG&amp;A'!#REF!,$A29,'COS and SG&amp;A'!O:O)</f>
        <v>#REF!</v>
      </c>
      <c r="Q29" s="80" t="e">
        <f>SUMIF('COS and SG&amp;A'!#REF!,$A29,'COS and SG&amp;A'!P:P)</f>
        <v>#REF!</v>
      </c>
      <c r="R29" s="80" t="e">
        <f>SUMIF('COS and SG&amp;A'!#REF!,$A29,'COS and SG&amp;A'!Q:Q)</f>
        <v>#REF!</v>
      </c>
      <c r="S29" s="80" t="e">
        <f>SUMIF('COS and SG&amp;A'!#REF!,$A29,'COS and SG&amp;A'!R:R)</f>
        <v>#REF!</v>
      </c>
      <c r="T29" s="80" t="e">
        <f>SUMIF('COS and SG&amp;A'!#REF!,$A29,'COS and SG&amp;A'!S:S)</f>
        <v>#REF!</v>
      </c>
      <c r="U29" s="80" t="e">
        <f>SUMIF('COS and SG&amp;A'!#REF!,$A29,'COS and SG&amp;A'!T:T)</f>
        <v>#REF!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</row>
    <row r="30" spans="1:87" ht="14" x14ac:dyDescent="0.1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</row>
    <row r="31" spans="1:87" ht="14" x14ac:dyDescent="0.15">
      <c r="A31" s="81" t="s">
        <v>21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</row>
    <row r="32" spans="1:87" ht="14" x14ac:dyDescent="0.15">
      <c r="A32" s="80" t="s">
        <v>157</v>
      </c>
      <c r="B32" s="80"/>
      <c r="C32" s="80"/>
      <c r="D32" s="80" t="e">
        <f>SUMIF(#REF!,$A32,#REF!)</f>
        <v>#REF!</v>
      </c>
      <c r="E32" s="80" t="e">
        <f>SUMIF(#REF!,$A32,#REF!)</f>
        <v>#REF!</v>
      </c>
      <c r="F32" s="80" t="e">
        <f>SUMIF(#REF!,$A32,#REF!)</f>
        <v>#REF!</v>
      </c>
      <c r="G32" s="80" t="e">
        <f>SUMIF(#REF!,$A32,#REF!)</f>
        <v>#REF!</v>
      </c>
      <c r="H32" s="80" t="e">
        <f>SUMIF(#REF!,$A32,#REF!)</f>
        <v>#REF!</v>
      </c>
      <c r="I32" s="80" t="e">
        <f>SUMIF(#REF!,$A32,#REF!)</f>
        <v>#REF!</v>
      </c>
      <c r="J32" s="80" t="e">
        <f>SUMIF(#REF!,$A32,#REF!)</f>
        <v>#REF!</v>
      </c>
      <c r="K32" s="80" t="e">
        <f>SUMIF(#REF!,$A32,#REF!)</f>
        <v>#REF!</v>
      </c>
      <c r="L32" s="80" t="e">
        <f>SUMIF(#REF!,$A32,#REF!)</f>
        <v>#REF!</v>
      </c>
      <c r="M32" s="80" t="e">
        <f>SUMIF(#REF!,$A32,#REF!)</f>
        <v>#REF!</v>
      </c>
      <c r="N32" s="80" t="e">
        <f>SUMIF(#REF!,$A32,#REF!)</f>
        <v>#REF!</v>
      </c>
      <c r="O32" s="80" t="e">
        <f>SUMIF(#REF!,$A32,#REF!)</f>
        <v>#REF!</v>
      </c>
      <c r="P32" s="80" t="e">
        <f>SUMIF(#REF!,$A32,#REF!)</f>
        <v>#REF!</v>
      </c>
      <c r="Q32" s="80" t="e">
        <f>SUMIF(#REF!,$A32,#REF!)</f>
        <v>#REF!</v>
      </c>
      <c r="R32" s="80" t="e">
        <f>SUMIF(#REF!,$A32,#REF!)</f>
        <v>#REF!</v>
      </c>
      <c r="S32" s="80" t="e">
        <f>SUMIF(#REF!,$A32,#REF!)</f>
        <v>#REF!</v>
      </c>
      <c r="T32" s="80" t="e">
        <f>SUMIF(#REF!,$A32,#REF!)</f>
        <v>#REF!</v>
      </c>
      <c r="U32" s="80" t="e">
        <f>SUMIF(#REF!,$A32,#REF!)</f>
        <v>#REF!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</row>
    <row r="33" spans="1:87" ht="14" x14ac:dyDescent="0.15">
      <c r="A33" s="80" t="s">
        <v>158</v>
      </c>
      <c r="B33" s="80"/>
      <c r="C33" s="80"/>
      <c r="D33" s="80" t="e">
        <f>SUMIF(#REF!,$A33,#REF!)</f>
        <v>#REF!</v>
      </c>
      <c r="E33" s="80" t="e">
        <f>SUMIF(#REF!,$A33,#REF!)</f>
        <v>#REF!</v>
      </c>
      <c r="F33" s="80" t="e">
        <f>SUMIF(#REF!,$A33,#REF!)</f>
        <v>#REF!</v>
      </c>
      <c r="G33" s="80" t="e">
        <f>SUMIF(#REF!,$A33,#REF!)</f>
        <v>#REF!</v>
      </c>
      <c r="H33" s="80" t="e">
        <f>SUMIF(#REF!,$A33,#REF!)</f>
        <v>#REF!</v>
      </c>
      <c r="I33" s="80" t="e">
        <f>SUMIF(#REF!,$A33,#REF!)</f>
        <v>#REF!</v>
      </c>
      <c r="J33" s="80" t="e">
        <f>SUMIF(#REF!,$A33,#REF!)</f>
        <v>#REF!</v>
      </c>
      <c r="K33" s="80" t="e">
        <f>SUMIF(#REF!,$A33,#REF!)</f>
        <v>#REF!</v>
      </c>
      <c r="L33" s="80" t="e">
        <f>SUMIF(#REF!,$A33,#REF!)</f>
        <v>#REF!</v>
      </c>
      <c r="M33" s="80" t="e">
        <f>SUMIF(#REF!,$A33,#REF!)</f>
        <v>#REF!</v>
      </c>
      <c r="N33" s="80" t="e">
        <f>SUMIF(#REF!,$A33,#REF!)</f>
        <v>#REF!</v>
      </c>
      <c r="O33" s="80" t="e">
        <f>SUMIF(#REF!,$A33,#REF!)</f>
        <v>#REF!</v>
      </c>
      <c r="P33" s="80" t="e">
        <f>SUMIF(#REF!,$A33,#REF!)</f>
        <v>#REF!</v>
      </c>
      <c r="Q33" s="80" t="e">
        <f>SUMIF(#REF!,$A33,#REF!)</f>
        <v>#REF!</v>
      </c>
      <c r="R33" s="80" t="e">
        <f>SUMIF(#REF!,$A33,#REF!)</f>
        <v>#REF!</v>
      </c>
      <c r="S33" s="80" t="e">
        <f>SUMIF(#REF!,$A33,#REF!)</f>
        <v>#REF!</v>
      </c>
      <c r="T33" s="80" t="e">
        <f>SUMIF(#REF!,$A33,#REF!)</f>
        <v>#REF!</v>
      </c>
      <c r="U33" s="80" t="e">
        <f>SUMIF(#REF!,$A33,#REF!)</f>
        <v>#REF!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</row>
    <row r="34" spans="1:87" ht="14" x14ac:dyDescent="0.15">
      <c r="A34" s="80" t="s">
        <v>159</v>
      </c>
      <c r="B34" s="80"/>
      <c r="C34" s="80"/>
      <c r="D34" s="80" t="e">
        <f>SUMIF(#REF!,$A34,#REF!)</f>
        <v>#REF!</v>
      </c>
      <c r="E34" s="80" t="e">
        <f>SUMIF(#REF!,$A34,#REF!)</f>
        <v>#REF!</v>
      </c>
      <c r="F34" s="80" t="e">
        <f>SUMIF(#REF!,$A34,#REF!)</f>
        <v>#REF!</v>
      </c>
      <c r="G34" s="80" t="e">
        <f>SUMIF(#REF!,$A34,#REF!)</f>
        <v>#REF!</v>
      </c>
      <c r="H34" s="80" t="e">
        <f>SUMIF(#REF!,$A34,#REF!)</f>
        <v>#REF!</v>
      </c>
      <c r="I34" s="80" t="e">
        <f>SUMIF(#REF!,$A34,#REF!)</f>
        <v>#REF!</v>
      </c>
      <c r="J34" s="80" t="e">
        <f>SUMIF(#REF!,$A34,#REF!)</f>
        <v>#REF!</v>
      </c>
      <c r="K34" s="80" t="e">
        <f>SUMIF(#REF!,$A34,#REF!)</f>
        <v>#REF!</v>
      </c>
      <c r="L34" s="80" t="e">
        <f>SUMIF(#REF!,$A34,#REF!)</f>
        <v>#REF!</v>
      </c>
      <c r="M34" s="80" t="e">
        <f>SUMIF(#REF!,$A34,#REF!)</f>
        <v>#REF!</v>
      </c>
      <c r="N34" s="80" t="e">
        <f>SUMIF(#REF!,$A34,#REF!)</f>
        <v>#REF!</v>
      </c>
      <c r="O34" s="80" t="e">
        <f>SUMIF(#REF!,$A34,#REF!)</f>
        <v>#REF!</v>
      </c>
      <c r="P34" s="80" t="e">
        <f>SUMIF(#REF!,$A34,#REF!)</f>
        <v>#REF!</v>
      </c>
      <c r="Q34" s="80" t="e">
        <f>SUMIF(#REF!,$A34,#REF!)</f>
        <v>#REF!</v>
      </c>
      <c r="R34" s="80" t="e">
        <f>SUMIF(#REF!,$A34,#REF!)</f>
        <v>#REF!</v>
      </c>
      <c r="S34" s="80" t="e">
        <f>SUMIF(#REF!,$A34,#REF!)</f>
        <v>#REF!</v>
      </c>
      <c r="T34" s="80" t="e">
        <f>SUMIF(#REF!,$A34,#REF!)</f>
        <v>#REF!</v>
      </c>
      <c r="U34" s="80" t="e">
        <f>SUMIF(#REF!,$A34,#REF!)</f>
        <v>#REF!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</row>
    <row r="35" spans="1:87" ht="14" x14ac:dyDescent="0.1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</row>
    <row r="36" spans="1:87" ht="14" x14ac:dyDescent="0.1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</row>
    <row r="37" spans="1:87" ht="14" x14ac:dyDescent="0.15">
      <c r="A37" s="81" t="s">
        <v>160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</row>
    <row r="38" spans="1:87" ht="14" x14ac:dyDescent="0.15">
      <c r="A38" s="80" t="s">
        <v>157</v>
      </c>
      <c r="B38" s="80"/>
      <c r="C38" s="80"/>
      <c r="D38" s="80" t="e">
        <f t="shared" ref="D38:U38" si="0">D27+D32</f>
        <v>#REF!</v>
      </c>
      <c r="E38" s="80" t="e">
        <f t="shared" si="0"/>
        <v>#REF!</v>
      </c>
      <c r="F38" s="80" t="e">
        <f t="shared" si="0"/>
        <v>#REF!</v>
      </c>
      <c r="G38" s="80" t="e">
        <f t="shared" si="0"/>
        <v>#REF!</v>
      </c>
      <c r="H38" s="80" t="e">
        <f t="shared" si="0"/>
        <v>#REF!</v>
      </c>
      <c r="I38" s="80" t="e">
        <f t="shared" si="0"/>
        <v>#REF!</v>
      </c>
      <c r="J38" s="80" t="e">
        <f t="shared" si="0"/>
        <v>#REF!</v>
      </c>
      <c r="K38" s="80" t="e">
        <f t="shared" si="0"/>
        <v>#REF!</v>
      </c>
      <c r="L38" s="80" t="e">
        <f t="shared" si="0"/>
        <v>#REF!</v>
      </c>
      <c r="M38" s="80" t="e">
        <f t="shared" si="0"/>
        <v>#REF!</v>
      </c>
      <c r="N38" s="80" t="e">
        <f t="shared" si="0"/>
        <v>#REF!</v>
      </c>
      <c r="O38" s="80" t="e">
        <f t="shared" si="0"/>
        <v>#REF!</v>
      </c>
      <c r="P38" s="80" t="e">
        <f t="shared" si="0"/>
        <v>#REF!</v>
      </c>
      <c r="Q38" s="80" t="e">
        <f t="shared" si="0"/>
        <v>#REF!</v>
      </c>
      <c r="R38" s="80" t="e">
        <f t="shared" si="0"/>
        <v>#REF!</v>
      </c>
      <c r="S38" s="80" t="e">
        <f t="shared" si="0"/>
        <v>#REF!</v>
      </c>
      <c r="T38" s="80" t="e">
        <f t="shared" si="0"/>
        <v>#REF!</v>
      </c>
      <c r="U38" s="80" t="e">
        <f t="shared" si="0"/>
        <v>#REF!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</row>
    <row r="39" spans="1:87" ht="14" x14ac:dyDescent="0.15">
      <c r="A39" s="80" t="s">
        <v>158</v>
      </c>
      <c r="B39" s="80"/>
      <c r="C39" s="80"/>
      <c r="D39" s="80" t="e">
        <f t="shared" ref="D39:U39" si="1">D28+D33</f>
        <v>#REF!</v>
      </c>
      <c r="E39" s="80" t="e">
        <f t="shared" si="1"/>
        <v>#REF!</v>
      </c>
      <c r="F39" s="80" t="e">
        <f t="shared" si="1"/>
        <v>#REF!</v>
      </c>
      <c r="G39" s="80" t="e">
        <f t="shared" si="1"/>
        <v>#REF!</v>
      </c>
      <c r="H39" s="80" t="e">
        <f t="shared" si="1"/>
        <v>#REF!</v>
      </c>
      <c r="I39" s="80" t="e">
        <f t="shared" si="1"/>
        <v>#REF!</v>
      </c>
      <c r="J39" s="80" t="e">
        <f t="shared" si="1"/>
        <v>#REF!</v>
      </c>
      <c r="K39" s="80" t="e">
        <f t="shared" si="1"/>
        <v>#REF!</v>
      </c>
      <c r="L39" s="80" t="e">
        <f t="shared" si="1"/>
        <v>#REF!</v>
      </c>
      <c r="M39" s="80" t="e">
        <f t="shared" si="1"/>
        <v>#REF!</v>
      </c>
      <c r="N39" s="80" t="e">
        <f t="shared" si="1"/>
        <v>#REF!</v>
      </c>
      <c r="O39" s="80" t="e">
        <f t="shared" si="1"/>
        <v>#REF!</v>
      </c>
      <c r="P39" s="80" t="e">
        <f t="shared" si="1"/>
        <v>#REF!</v>
      </c>
      <c r="Q39" s="80" t="e">
        <f t="shared" si="1"/>
        <v>#REF!</v>
      </c>
      <c r="R39" s="80" t="e">
        <f t="shared" si="1"/>
        <v>#REF!</v>
      </c>
      <c r="S39" s="80" t="e">
        <f t="shared" si="1"/>
        <v>#REF!</v>
      </c>
      <c r="T39" s="80" t="e">
        <f t="shared" si="1"/>
        <v>#REF!</v>
      </c>
      <c r="U39" s="80" t="e">
        <f t="shared" si="1"/>
        <v>#REF!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</row>
    <row r="40" spans="1:87" ht="14" x14ac:dyDescent="0.15">
      <c r="A40" s="80" t="s">
        <v>159</v>
      </c>
      <c r="B40" s="80"/>
      <c r="C40" s="80"/>
      <c r="D40" s="80" t="e">
        <f t="shared" ref="D40:U40" si="2">D29+D34</f>
        <v>#REF!</v>
      </c>
      <c r="E40" s="80" t="e">
        <f t="shared" si="2"/>
        <v>#REF!</v>
      </c>
      <c r="F40" s="80" t="e">
        <f t="shared" si="2"/>
        <v>#REF!</v>
      </c>
      <c r="G40" s="80" t="e">
        <f t="shared" si="2"/>
        <v>#REF!</v>
      </c>
      <c r="H40" s="80" t="e">
        <f t="shared" si="2"/>
        <v>#REF!</v>
      </c>
      <c r="I40" s="80" t="e">
        <f t="shared" si="2"/>
        <v>#REF!</v>
      </c>
      <c r="J40" s="80" t="e">
        <f t="shared" si="2"/>
        <v>#REF!</v>
      </c>
      <c r="K40" s="80" t="e">
        <f t="shared" si="2"/>
        <v>#REF!</v>
      </c>
      <c r="L40" s="80" t="e">
        <f t="shared" si="2"/>
        <v>#REF!</v>
      </c>
      <c r="M40" s="80" t="e">
        <f t="shared" si="2"/>
        <v>#REF!</v>
      </c>
      <c r="N40" s="80" t="e">
        <f t="shared" si="2"/>
        <v>#REF!</v>
      </c>
      <c r="O40" s="80" t="e">
        <f t="shared" si="2"/>
        <v>#REF!</v>
      </c>
      <c r="P40" s="80" t="e">
        <f t="shared" si="2"/>
        <v>#REF!</v>
      </c>
      <c r="Q40" s="80" t="e">
        <f t="shared" si="2"/>
        <v>#REF!</v>
      </c>
      <c r="R40" s="80" t="e">
        <f t="shared" si="2"/>
        <v>#REF!</v>
      </c>
      <c r="S40" s="80" t="e">
        <f t="shared" si="2"/>
        <v>#REF!</v>
      </c>
      <c r="T40" s="80" t="e">
        <f t="shared" si="2"/>
        <v>#REF!</v>
      </c>
      <c r="U40" s="80" t="e">
        <f t="shared" si="2"/>
        <v>#REF!</v>
      </c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</row>
    <row r="41" spans="1:87" ht="14" x14ac:dyDescent="0.15">
      <c r="A41" s="80" t="s">
        <v>87</v>
      </c>
      <c r="B41" s="80"/>
      <c r="C41" s="80"/>
      <c r="D41" s="80" t="e">
        <f t="shared" ref="D41:U41" si="3">D42-D38-D39-D40</f>
        <v>#REF!</v>
      </c>
      <c r="E41" s="80" t="e">
        <f t="shared" si="3"/>
        <v>#REF!</v>
      </c>
      <c r="F41" s="80" t="e">
        <f t="shared" si="3"/>
        <v>#REF!</v>
      </c>
      <c r="G41" s="80" t="e">
        <f t="shared" si="3"/>
        <v>#REF!</v>
      </c>
      <c r="H41" s="80" t="e">
        <f t="shared" si="3"/>
        <v>#REF!</v>
      </c>
      <c r="I41" s="80" t="e">
        <f t="shared" si="3"/>
        <v>#REF!</v>
      </c>
      <c r="J41" s="80" t="e">
        <f t="shared" si="3"/>
        <v>#REF!</v>
      </c>
      <c r="K41" s="80" t="e">
        <f t="shared" si="3"/>
        <v>#REF!</v>
      </c>
      <c r="L41" s="80" t="e">
        <f t="shared" si="3"/>
        <v>#REF!</v>
      </c>
      <c r="M41" s="80" t="e">
        <f t="shared" si="3"/>
        <v>#REF!</v>
      </c>
      <c r="N41" s="80" t="e">
        <f t="shared" si="3"/>
        <v>#REF!</v>
      </c>
      <c r="O41" s="80" t="e">
        <f t="shared" si="3"/>
        <v>#REF!</v>
      </c>
      <c r="P41" s="80" t="e">
        <f t="shared" si="3"/>
        <v>#REF!</v>
      </c>
      <c r="Q41" s="80" t="e">
        <f t="shared" si="3"/>
        <v>#REF!</v>
      </c>
      <c r="R41" s="80" t="e">
        <f t="shared" si="3"/>
        <v>#REF!</v>
      </c>
      <c r="S41" s="80" t="e">
        <f t="shared" si="3"/>
        <v>#REF!</v>
      </c>
      <c r="T41" s="80" t="e">
        <f t="shared" si="3"/>
        <v>#REF!</v>
      </c>
      <c r="U41" s="80" t="e">
        <f t="shared" si="3"/>
        <v>#REF!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</row>
    <row r="42" spans="1:87" ht="14" x14ac:dyDescent="0.15">
      <c r="A42" s="80" t="s">
        <v>161</v>
      </c>
      <c r="B42" s="80"/>
      <c r="C42" s="80"/>
      <c r="D42" s="80" t="e">
        <f>'FS-Month'!C35+'FS-Month'!C29</f>
        <v>#REF!</v>
      </c>
      <c r="E42" s="80" t="e">
        <f>'FS-Month'!D35+'FS-Month'!D29</f>
        <v>#REF!</v>
      </c>
      <c r="F42" s="80" t="e">
        <f>'FS-Month'!E35+'FS-Month'!E29</f>
        <v>#REF!</v>
      </c>
      <c r="G42" s="80" t="e">
        <f>'FS-Month'!F35+'FS-Month'!F29</f>
        <v>#REF!</v>
      </c>
      <c r="H42" s="80" t="e">
        <f>'FS-Month'!G35+'FS-Month'!G29</f>
        <v>#REF!</v>
      </c>
      <c r="I42" s="80">
        <f>'FS-Month'!H35+'FS-Month'!H29</f>
        <v>-739.88670000000002</v>
      </c>
      <c r="J42" s="80">
        <f>'FS-Month'!I35+'FS-Month'!I29</f>
        <v>-739.88670000000002</v>
      </c>
      <c r="K42" s="80">
        <f>'FS-Month'!J35+'FS-Month'!J29</f>
        <v>-739.88670000000002</v>
      </c>
      <c r="L42" s="80">
        <f>'FS-Month'!K35+'FS-Month'!K29</f>
        <v>-739.88670000000002</v>
      </c>
      <c r="M42" s="80">
        <f>'FS-Month'!L35+'FS-Month'!L29</f>
        <v>-739.88670000000002</v>
      </c>
      <c r="N42" s="80">
        <f>'FS-Month'!M35+'FS-Month'!M29</f>
        <v>-739.88670000000002</v>
      </c>
      <c r="O42" s="80">
        <f>'FS-Month'!N35+'FS-Month'!N29</f>
        <v>-5964.8867</v>
      </c>
      <c r="P42" s="80">
        <f>'FS-Month'!O35+'FS-Month'!O29</f>
        <v>-5964.8867</v>
      </c>
      <c r="Q42" s="80">
        <f>'FS-Month'!P35+'FS-Month'!P29</f>
        <v>-5964.8867</v>
      </c>
      <c r="R42" s="80">
        <f>'FS-Month'!Q35+'FS-Month'!Q29</f>
        <v>-5964.8867</v>
      </c>
      <c r="S42" s="80">
        <f>'FS-Month'!R35+'FS-Month'!R29</f>
        <v>-5964.8867</v>
      </c>
      <c r="T42" s="80">
        <f>'FS-Month'!S35+'FS-Month'!S29</f>
        <v>-11664.886699999999</v>
      </c>
      <c r="U42" s="80">
        <f>'FS-Month'!T35+'FS-Month'!T29</f>
        <v>-12099.886699999999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</row>
    <row r="43" spans="1:87" ht="14" x14ac:dyDescent="0.1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</row>
    <row r="44" spans="1:87" ht="14" x14ac:dyDescent="0.1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</row>
    <row r="45" spans="1:87" ht="14" x14ac:dyDescent="0.15">
      <c r="A45" s="81" t="s">
        <v>162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</row>
    <row r="46" spans="1:87" ht="14" x14ac:dyDescent="0.15">
      <c r="A46" s="80" t="s">
        <v>157</v>
      </c>
      <c r="B46" s="79"/>
      <c r="C46" s="82" t="e">
        <f>D46/D$50</f>
        <v>#REF!</v>
      </c>
      <c r="D46" s="80" t="e">
        <f>SUM(38:38)</f>
        <v>#REF!</v>
      </c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</row>
    <row r="47" spans="1:87" ht="14" x14ac:dyDescent="0.15">
      <c r="A47" s="80" t="s">
        <v>158</v>
      </c>
      <c r="B47" s="79"/>
      <c r="C47" s="82" t="e">
        <f>D47/D$50</f>
        <v>#REF!</v>
      </c>
      <c r="D47" s="80" t="e">
        <f>SUM(39:39)</f>
        <v>#REF!</v>
      </c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</row>
    <row r="48" spans="1:87" ht="14" x14ac:dyDescent="0.15">
      <c r="A48" s="80" t="s">
        <v>159</v>
      </c>
      <c r="B48" s="79"/>
      <c r="C48" s="82" t="e">
        <f>D48/D$50</f>
        <v>#REF!</v>
      </c>
      <c r="D48" s="80" t="e">
        <f>SUM(40:40)</f>
        <v>#REF!</v>
      </c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</row>
    <row r="49" spans="1:87" ht="14" x14ac:dyDescent="0.15">
      <c r="A49" s="80" t="s">
        <v>87</v>
      </c>
      <c r="B49" s="79"/>
      <c r="C49" s="82" t="e">
        <f>D49/D$50</f>
        <v>#REF!</v>
      </c>
      <c r="D49" s="80" t="e">
        <f>SUM(41:41)</f>
        <v>#REF!</v>
      </c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</row>
    <row r="50" spans="1:87" ht="14" x14ac:dyDescent="0.15">
      <c r="A50" s="80" t="s">
        <v>161</v>
      </c>
      <c r="B50" s="79"/>
      <c r="C50" s="79"/>
      <c r="D50" s="80" t="e">
        <f>SUM(42:42)</f>
        <v>#REF!</v>
      </c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</row>
    <row r="51" spans="1:87" ht="14" x14ac:dyDescent="0.1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</row>
    <row r="52" spans="1:87" ht="14" x14ac:dyDescent="0.1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</row>
    <row r="53" spans="1:87" ht="14" x14ac:dyDescent="0.1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</row>
    <row r="54" spans="1:87" ht="14" x14ac:dyDescent="0.1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</row>
    <row r="55" spans="1:87" ht="14" x14ac:dyDescent="0.1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</row>
    <row r="56" spans="1:87" ht="14" x14ac:dyDescent="0.1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</row>
    <row r="57" spans="1:87" ht="14" x14ac:dyDescent="0.1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</row>
    <row r="58" spans="1:87" ht="14" x14ac:dyDescent="0.1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</row>
    <row r="59" spans="1:87" ht="14" x14ac:dyDescent="0.1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</row>
    <row r="60" spans="1:87" ht="14" x14ac:dyDescent="0.1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</row>
    <row r="61" spans="1:87" ht="14" x14ac:dyDescent="0.1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</row>
    <row r="62" spans="1:87" ht="14" x14ac:dyDescent="0.1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</row>
    <row r="63" spans="1:87" ht="14" x14ac:dyDescent="0.1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</row>
    <row r="64" spans="1:87" ht="14" x14ac:dyDescent="0.1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</row>
    <row r="65" spans="1:87" ht="14" x14ac:dyDescent="0.1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</row>
    <row r="66" spans="1:87" ht="14" x14ac:dyDescent="0.1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</row>
    <row r="67" spans="1:87" ht="14" x14ac:dyDescent="0.1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</row>
    <row r="68" spans="1:87" ht="14" x14ac:dyDescent="0.1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</row>
    <row r="69" spans="1:87" ht="14" x14ac:dyDescent="0.1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</row>
    <row r="70" spans="1:87" ht="14" x14ac:dyDescent="0.1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</row>
    <row r="71" spans="1:87" ht="14" x14ac:dyDescent="0.1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</row>
    <row r="72" spans="1:87" ht="14" x14ac:dyDescent="0.1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</row>
    <row r="73" spans="1:87" ht="14" x14ac:dyDescent="0.1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</row>
    <row r="74" spans="1:87" ht="14" x14ac:dyDescent="0.1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</row>
    <row r="75" spans="1:87" ht="14" x14ac:dyDescent="0.1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</row>
    <row r="76" spans="1:87" ht="14" x14ac:dyDescent="0.1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</row>
    <row r="77" spans="1:87" ht="14" x14ac:dyDescent="0.1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</row>
    <row r="78" spans="1:87" ht="14" x14ac:dyDescent="0.1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</row>
    <row r="79" spans="1:87" ht="14" x14ac:dyDescent="0.1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</row>
    <row r="80" spans="1:87" ht="14" x14ac:dyDescent="0.1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</row>
    <row r="81" spans="1:87" ht="14" x14ac:dyDescent="0.1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</row>
    <row r="82" spans="1:87" ht="14" x14ac:dyDescent="0.1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</row>
    <row r="83" spans="1:87" ht="14" x14ac:dyDescent="0.1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</row>
    <row r="84" spans="1:87" ht="14" x14ac:dyDescent="0.1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</row>
    <row r="85" spans="1:87" ht="14" x14ac:dyDescent="0.1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</row>
    <row r="86" spans="1:87" ht="14" x14ac:dyDescent="0.1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</row>
    <row r="87" spans="1:87" ht="14" x14ac:dyDescent="0.1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</row>
    <row r="88" spans="1:87" ht="14" x14ac:dyDescent="0.1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</row>
    <row r="89" spans="1:87" ht="14" x14ac:dyDescent="0.1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</row>
    <row r="90" spans="1:87" ht="14" x14ac:dyDescent="0.1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  <c r="CH90" s="79"/>
      <c r="CI90" s="79"/>
    </row>
    <row r="91" spans="1:87" ht="14" x14ac:dyDescent="0.1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</row>
    <row r="92" spans="1:87" ht="14" x14ac:dyDescent="0.1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</row>
    <row r="93" spans="1:87" ht="14" x14ac:dyDescent="0.1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</row>
    <row r="94" spans="1:87" ht="14" x14ac:dyDescent="0.1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  <c r="CH94" s="79"/>
      <c r="CI94" s="79"/>
    </row>
    <row r="95" spans="1:87" ht="14" x14ac:dyDescent="0.1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  <c r="CH95" s="79"/>
      <c r="CI95" s="79"/>
    </row>
    <row r="96" spans="1:87" ht="14" x14ac:dyDescent="0.1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</row>
    <row r="97" spans="1:87" ht="14" x14ac:dyDescent="0.1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  <c r="CH97" s="79"/>
      <c r="CI97" s="79"/>
    </row>
    <row r="98" spans="1:87" ht="14" x14ac:dyDescent="0.1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  <c r="CH98" s="79"/>
      <c r="CI98" s="79"/>
    </row>
    <row r="99" spans="1:87" ht="14" x14ac:dyDescent="0.1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  <c r="CH99" s="79"/>
      <c r="CI99" s="79"/>
    </row>
    <row r="100" spans="1:87" ht="14" x14ac:dyDescent="0.1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  <c r="CH100" s="79"/>
      <c r="CI100" s="79"/>
    </row>
    <row r="101" spans="1:87" ht="14" x14ac:dyDescent="0.1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  <c r="CH101" s="79"/>
      <c r="CI101" s="79"/>
    </row>
    <row r="102" spans="1:87" ht="14" x14ac:dyDescent="0.1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</row>
    <row r="103" spans="1:87" ht="14" x14ac:dyDescent="0.1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</row>
    <row r="104" spans="1:87" ht="14" x14ac:dyDescent="0.1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</row>
    <row r="105" spans="1:87" ht="14" x14ac:dyDescent="0.1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</row>
    <row r="106" spans="1:87" ht="14" x14ac:dyDescent="0.1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</row>
    <row r="107" spans="1:87" ht="14" x14ac:dyDescent="0.1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</row>
    <row r="108" spans="1:87" ht="14" x14ac:dyDescent="0.1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</row>
    <row r="109" spans="1:87" ht="14" x14ac:dyDescent="0.1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</row>
    <row r="110" spans="1:87" ht="14" x14ac:dyDescent="0.1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</row>
    <row r="111" spans="1:87" ht="14" x14ac:dyDescent="0.1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</row>
    <row r="112" spans="1:87" ht="14" x14ac:dyDescent="0.1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</row>
    <row r="113" spans="1:87" ht="14" x14ac:dyDescent="0.1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</row>
    <row r="114" spans="1:87" ht="14" x14ac:dyDescent="0.1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  <c r="CH114" s="79"/>
      <c r="CI114" s="79"/>
    </row>
    <row r="115" spans="1:87" ht="14" x14ac:dyDescent="0.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</row>
    <row r="116" spans="1:87" ht="14" x14ac:dyDescent="0.1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</row>
    <row r="117" spans="1:87" ht="14" x14ac:dyDescent="0.1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</row>
    <row r="118" spans="1:87" ht="14" x14ac:dyDescent="0.1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</row>
    <row r="119" spans="1:87" ht="14" x14ac:dyDescent="0.1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</row>
    <row r="120" spans="1:87" ht="14" x14ac:dyDescent="0.1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</row>
    <row r="121" spans="1:87" ht="14" x14ac:dyDescent="0.1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</row>
    <row r="122" spans="1:87" ht="14" x14ac:dyDescent="0.1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</row>
    <row r="123" spans="1:87" ht="14" x14ac:dyDescent="0.1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</row>
    <row r="124" spans="1:87" ht="14" x14ac:dyDescent="0.1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</row>
    <row r="125" spans="1:87" ht="14" x14ac:dyDescent="0.1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</row>
    <row r="126" spans="1:87" ht="14" x14ac:dyDescent="0.1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</row>
    <row r="127" spans="1:87" ht="14" x14ac:dyDescent="0.1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</row>
    <row r="128" spans="1:87" ht="14" x14ac:dyDescent="0.1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</row>
    <row r="129" spans="1:87" ht="14" x14ac:dyDescent="0.1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</row>
    <row r="130" spans="1:87" ht="14" x14ac:dyDescent="0.1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</row>
    <row r="131" spans="1:87" ht="14" x14ac:dyDescent="0.1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</row>
    <row r="132" spans="1:87" ht="14" x14ac:dyDescent="0.1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</row>
    <row r="133" spans="1:87" ht="14" x14ac:dyDescent="0.1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</row>
    <row r="134" spans="1:87" ht="14" x14ac:dyDescent="0.1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</row>
    <row r="135" spans="1:87" ht="14" x14ac:dyDescent="0.1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</row>
    <row r="136" spans="1:87" ht="14" x14ac:dyDescent="0.1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</row>
    <row r="137" spans="1:87" ht="14" x14ac:dyDescent="0.1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</row>
    <row r="138" spans="1:87" ht="14" x14ac:dyDescent="0.1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</row>
    <row r="139" spans="1:87" ht="14" x14ac:dyDescent="0.1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</row>
    <row r="140" spans="1:87" ht="14" x14ac:dyDescent="0.1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</row>
    <row r="141" spans="1:87" ht="14" x14ac:dyDescent="0.1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</row>
    <row r="142" spans="1:87" ht="14" x14ac:dyDescent="0.1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</row>
    <row r="143" spans="1:87" ht="14" x14ac:dyDescent="0.1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</row>
    <row r="144" spans="1:87" ht="14" x14ac:dyDescent="0.1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</row>
    <row r="145" spans="1:87" ht="14" x14ac:dyDescent="0.1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</row>
    <row r="146" spans="1:87" ht="14" x14ac:dyDescent="0.1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</row>
    <row r="147" spans="1:87" ht="14" x14ac:dyDescent="0.1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</row>
    <row r="148" spans="1:87" ht="14" x14ac:dyDescent="0.1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</row>
    <row r="149" spans="1:87" ht="14" x14ac:dyDescent="0.1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</row>
    <row r="150" spans="1:87" ht="14" x14ac:dyDescent="0.1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</row>
    <row r="151" spans="1:87" ht="14" x14ac:dyDescent="0.1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</row>
    <row r="152" spans="1:87" ht="14" x14ac:dyDescent="0.1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</row>
    <row r="153" spans="1:87" ht="14" x14ac:dyDescent="0.1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</row>
    <row r="154" spans="1:87" ht="14" x14ac:dyDescent="0.1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</row>
    <row r="155" spans="1:87" ht="14" x14ac:dyDescent="0.1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</row>
    <row r="156" spans="1:87" ht="14" x14ac:dyDescent="0.1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</row>
    <row r="157" spans="1:87" ht="14" x14ac:dyDescent="0.1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</row>
    <row r="158" spans="1:87" ht="14" x14ac:dyDescent="0.1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</row>
    <row r="159" spans="1:87" ht="14" x14ac:dyDescent="0.1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</row>
    <row r="160" spans="1:87" ht="14" x14ac:dyDescent="0.1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</row>
    <row r="161" spans="1:87" ht="14" x14ac:dyDescent="0.1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</row>
    <row r="162" spans="1:87" ht="14" x14ac:dyDescent="0.1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</row>
    <row r="163" spans="1:87" ht="14" x14ac:dyDescent="0.1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</row>
    <row r="164" spans="1:87" ht="14" x14ac:dyDescent="0.1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</row>
    <row r="165" spans="1:87" ht="14" x14ac:dyDescent="0.1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</row>
    <row r="166" spans="1:87" ht="14" x14ac:dyDescent="0.1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  <c r="CH166" s="79"/>
      <c r="CI166" s="79"/>
    </row>
    <row r="167" spans="1:87" ht="14" x14ac:dyDescent="0.1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  <c r="CH167" s="79"/>
      <c r="CI167" s="79"/>
    </row>
    <row r="168" spans="1:87" ht="14" x14ac:dyDescent="0.1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  <c r="CH168" s="79"/>
      <c r="CI168" s="79"/>
    </row>
    <row r="169" spans="1:87" ht="14" x14ac:dyDescent="0.1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  <c r="CH169" s="79"/>
      <c r="CI169" s="79"/>
    </row>
    <row r="170" spans="1:87" ht="14" x14ac:dyDescent="0.1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  <c r="CH170" s="79"/>
      <c r="CI170" s="79"/>
    </row>
    <row r="171" spans="1:87" ht="14" x14ac:dyDescent="0.1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  <c r="CH171" s="79"/>
      <c r="CI171" s="79"/>
    </row>
    <row r="172" spans="1:87" ht="14" x14ac:dyDescent="0.1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  <c r="CH172" s="79"/>
      <c r="CI172" s="79"/>
    </row>
    <row r="173" spans="1:87" ht="14" x14ac:dyDescent="0.1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  <c r="CH173" s="79"/>
      <c r="CI173" s="79"/>
    </row>
    <row r="174" spans="1:87" ht="14" x14ac:dyDescent="0.1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  <c r="CH174" s="79"/>
      <c r="CI174" s="79"/>
    </row>
    <row r="175" spans="1:87" ht="14" x14ac:dyDescent="0.1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</row>
    <row r="176" spans="1:87" ht="14" x14ac:dyDescent="0.1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  <c r="CH176" s="79"/>
      <c r="CI176" s="79"/>
    </row>
    <row r="177" spans="1:87" ht="14" x14ac:dyDescent="0.1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  <c r="CH177" s="79"/>
      <c r="CI177" s="79"/>
    </row>
    <row r="178" spans="1:87" ht="14" x14ac:dyDescent="0.1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  <c r="CH178" s="79"/>
      <c r="CI178" s="79"/>
    </row>
    <row r="179" spans="1:87" ht="14" x14ac:dyDescent="0.1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  <c r="CH179" s="79"/>
      <c r="CI179" s="79"/>
    </row>
    <row r="180" spans="1:87" ht="14" x14ac:dyDescent="0.1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</row>
    <row r="181" spans="1:87" ht="14" x14ac:dyDescent="0.1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  <c r="CH181" s="79"/>
      <c r="CI181" s="79"/>
    </row>
    <row r="182" spans="1:87" ht="14" x14ac:dyDescent="0.1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</row>
    <row r="183" spans="1:87" ht="14" x14ac:dyDescent="0.1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  <c r="CH183" s="79"/>
      <c r="CI183" s="79"/>
    </row>
    <row r="184" spans="1:87" ht="14" x14ac:dyDescent="0.1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  <c r="CH184" s="79"/>
      <c r="CI184" s="79"/>
    </row>
    <row r="185" spans="1:87" ht="14" x14ac:dyDescent="0.1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  <c r="CH185" s="79"/>
      <c r="CI185" s="79"/>
    </row>
    <row r="186" spans="1:87" ht="14" x14ac:dyDescent="0.1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  <c r="CH186" s="79"/>
      <c r="CI186" s="79"/>
    </row>
    <row r="187" spans="1:87" ht="14" x14ac:dyDescent="0.1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  <c r="BI187" s="79"/>
      <c r="BJ187" s="79"/>
      <c r="BK187" s="79"/>
      <c r="BL187" s="79"/>
      <c r="BM187" s="79"/>
      <c r="BN187" s="79"/>
      <c r="BO187" s="79"/>
      <c r="BP187" s="79"/>
      <c r="BQ187" s="79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  <c r="CH187" s="79"/>
      <c r="CI187" s="79"/>
    </row>
    <row r="188" spans="1:87" ht="14" x14ac:dyDescent="0.1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</row>
    <row r="189" spans="1:87" ht="14" x14ac:dyDescent="0.1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  <c r="CH189" s="79"/>
      <c r="CI189" s="79"/>
    </row>
    <row r="190" spans="1:87" ht="14" x14ac:dyDescent="0.1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  <c r="CH190" s="79"/>
      <c r="CI190" s="79"/>
    </row>
    <row r="191" spans="1:87" ht="14" x14ac:dyDescent="0.1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  <c r="BI191" s="79"/>
      <c r="BJ191" s="79"/>
      <c r="BK191" s="79"/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  <c r="CH191" s="79"/>
      <c r="CI191" s="79"/>
    </row>
    <row r="192" spans="1:87" ht="14" x14ac:dyDescent="0.1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  <c r="CH192" s="79"/>
      <c r="CI192" s="79"/>
    </row>
    <row r="193" spans="1:87" ht="14" x14ac:dyDescent="0.1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  <c r="CH193" s="79"/>
      <c r="CI193" s="79"/>
    </row>
    <row r="194" spans="1:87" ht="14" x14ac:dyDescent="0.1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  <c r="CH194" s="79"/>
      <c r="CI194" s="79"/>
    </row>
    <row r="195" spans="1:87" ht="14" x14ac:dyDescent="0.1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  <c r="CH195" s="79"/>
      <c r="CI195" s="79"/>
    </row>
    <row r="196" spans="1:87" ht="14" x14ac:dyDescent="0.1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  <c r="CH196" s="79"/>
      <c r="CI196" s="79"/>
    </row>
    <row r="197" spans="1:87" ht="14" x14ac:dyDescent="0.1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  <c r="CH197" s="79"/>
      <c r="CI197" s="79"/>
    </row>
    <row r="198" spans="1:87" ht="14" x14ac:dyDescent="0.1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  <c r="CH198" s="79"/>
      <c r="CI198" s="79"/>
    </row>
    <row r="199" spans="1:87" ht="14" x14ac:dyDescent="0.1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  <c r="CH199" s="79"/>
      <c r="CI199" s="79"/>
    </row>
    <row r="200" spans="1:87" ht="14" x14ac:dyDescent="0.1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  <c r="CH200" s="79"/>
      <c r="CI200" s="79"/>
    </row>
    <row r="201" spans="1:87" ht="14" x14ac:dyDescent="0.1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79"/>
      <c r="BG201" s="79"/>
      <c r="BH201" s="79"/>
      <c r="BI201" s="79"/>
      <c r="BJ201" s="79"/>
      <c r="BK201" s="79"/>
      <c r="BL201" s="79"/>
      <c r="BM201" s="79"/>
      <c r="BN201" s="79"/>
      <c r="BO201" s="79"/>
      <c r="BP201" s="79"/>
      <c r="BQ201" s="79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  <c r="CH201" s="79"/>
      <c r="CI201" s="79"/>
    </row>
    <row r="202" spans="1:87" ht="14" x14ac:dyDescent="0.1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  <c r="CH202" s="79"/>
      <c r="CI202" s="79"/>
    </row>
    <row r="203" spans="1:87" ht="14" x14ac:dyDescent="0.1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  <c r="CH203" s="79"/>
      <c r="CI203" s="79"/>
    </row>
    <row r="204" spans="1:87" ht="14" x14ac:dyDescent="0.1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  <c r="CH204" s="79"/>
      <c r="CI204" s="79"/>
    </row>
    <row r="205" spans="1:87" ht="14" x14ac:dyDescent="0.1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</row>
    <row r="206" spans="1:87" ht="14" x14ac:dyDescent="0.1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  <c r="CH206" s="79"/>
      <c r="CI206" s="79"/>
    </row>
    <row r="207" spans="1:87" ht="14" x14ac:dyDescent="0.1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</row>
    <row r="208" spans="1:87" ht="14" x14ac:dyDescent="0.1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</row>
    <row r="209" spans="1:87" ht="14" x14ac:dyDescent="0.1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79"/>
      <c r="BI209" s="79"/>
      <c r="BJ209" s="79"/>
      <c r="BK209" s="79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  <c r="CH209" s="79"/>
      <c r="CI209" s="79"/>
    </row>
    <row r="210" spans="1:87" ht="14" x14ac:dyDescent="0.1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</row>
    <row r="211" spans="1:87" ht="14" x14ac:dyDescent="0.1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</row>
    <row r="212" spans="1:87" ht="14" x14ac:dyDescent="0.1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</row>
    <row r="213" spans="1:87" ht="14" x14ac:dyDescent="0.1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</row>
    <row r="214" spans="1:87" ht="14" x14ac:dyDescent="0.1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</row>
    <row r="215" spans="1:87" ht="14" x14ac:dyDescent="0.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  <c r="CH215" s="79"/>
      <c r="CI215" s="79"/>
    </row>
    <row r="216" spans="1:87" ht="14" x14ac:dyDescent="0.1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</row>
    <row r="217" spans="1:87" ht="14" x14ac:dyDescent="0.1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</row>
    <row r="218" spans="1:87" ht="14" x14ac:dyDescent="0.1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</row>
    <row r="219" spans="1:87" ht="14" x14ac:dyDescent="0.1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</row>
    <row r="220" spans="1:87" ht="14" x14ac:dyDescent="0.1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  <c r="CH220" s="79"/>
      <c r="CI220" s="79"/>
    </row>
    <row r="221" spans="1:87" ht="14" x14ac:dyDescent="0.1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</row>
    <row r="222" spans="1:87" ht="14" x14ac:dyDescent="0.1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  <c r="CH222" s="79"/>
      <c r="CI222" s="79"/>
    </row>
    <row r="223" spans="1:87" ht="14" x14ac:dyDescent="0.1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</row>
    <row r="224" spans="1:87" ht="14" x14ac:dyDescent="0.1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</row>
    <row r="225" spans="1:87" ht="14" x14ac:dyDescent="0.1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  <c r="CH225" s="79"/>
      <c r="CI225" s="79"/>
    </row>
    <row r="226" spans="1:87" ht="14" x14ac:dyDescent="0.1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</row>
    <row r="227" spans="1:87" ht="14" x14ac:dyDescent="0.1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  <c r="CH227" s="79"/>
      <c r="CI227" s="79"/>
    </row>
    <row r="228" spans="1:87" ht="14" x14ac:dyDescent="0.1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</row>
    <row r="229" spans="1:87" ht="14" x14ac:dyDescent="0.1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  <c r="CH229" s="79"/>
      <c r="CI229" s="79"/>
    </row>
    <row r="230" spans="1:87" ht="14" x14ac:dyDescent="0.1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  <c r="CH230" s="79"/>
      <c r="CI230" s="79"/>
    </row>
    <row r="231" spans="1:87" ht="14" x14ac:dyDescent="0.1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  <c r="CH231" s="79"/>
      <c r="CI231" s="79"/>
    </row>
    <row r="232" spans="1:87" ht="14" x14ac:dyDescent="0.1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  <c r="CH232" s="79"/>
      <c r="CI232" s="79"/>
    </row>
    <row r="233" spans="1:87" ht="14" x14ac:dyDescent="0.1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  <c r="CH233" s="79"/>
      <c r="CI233" s="79"/>
    </row>
    <row r="234" spans="1:87" ht="14" x14ac:dyDescent="0.1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  <c r="CH234" s="79"/>
      <c r="CI234" s="79"/>
    </row>
    <row r="235" spans="1:87" ht="14" x14ac:dyDescent="0.1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  <c r="CH235" s="79"/>
      <c r="CI235" s="79"/>
    </row>
    <row r="236" spans="1:87" ht="14" x14ac:dyDescent="0.1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  <c r="CH236" s="79"/>
      <c r="CI236" s="79"/>
    </row>
    <row r="237" spans="1:87" ht="14" x14ac:dyDescent="0.1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  <c r="CH237" s="79"/>
      <c r="CI237" s="79"/>
    </row>
    <row r="238" spans="1:87" ht="14" x14ac:dyDescent="0.1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  <c r="CH238" s="79"/>
      <c r="CI238" s="79"/>
    </row>
    <row r="239" spans="1:87" ht="14" x14ac:dyDescent="0.1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  <c r="CH239" s="79"/>
      <c r="CI239" s="79"/>
    </row>
    <row r="240" spans="1:87" ht="14" x14ac:dyDescent="0.1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  <c r="CH240" s="79"/>
      <c r="CI240" s="79"/>
    </row>
    <row r="241" spans="1:87" ht="14" x14ac:dyDescent="0.1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  <c r="CH241" s="79"/>
      <c r="CI241" s="79"/>
    </row>
    <row r="242" spans="1:87" ht="14" x14ac:dyDescent="0.1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  <c r="CH242" s="79"/>
      <c r="CI242" s="79"/>
    </row>
    <row r="243" spans="1:87" ht="14" x14ac:dyDescent="0.1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  <c r="CH243" s="79"/>
      <c r="CI243" s="79"/>
    </row>
    <row r="244" spans="1:87" ht="14" x14ac:dyDescent="0.1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  <c r="CH244" s="79"/>
      <c r="CI244" s="79"/>
    </row>
    <row r="245" spans="1:87" ht="14" x14ac:dyDescent="0.1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  <c r="CH245" s="79"/>
      <c r="CI245" s="79"/>
    </row>
    <row r="246" spans="1:87" ht="14" x14ac:dyDescent="0.1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  <c r="CH246" s="79"/>
      <c r="CI246" s="79"/>
    </row>
    <row r="247" spans="1:87" ht="14" x14ac:dyDescent="0.1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  <c r="CH247" s="79"/>
      <c r="CI247" s="79"/>
    </row>
    <row r="248" spans="1:87" ht="14" x14ac:dyDescent="0.1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  <c r="CH248" s="79"/>
      <c r="CI248" s="79"/>
    </row>
    <row r="249" spans="1:87" ht="14" x14ac:dyDescent="0.1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  <c r="CH249" s="79"/>
      <c r="CI249" s="79"/>
    </row>
    <row r="250" spans="1:87" ht="14" x14ac:dyDescent="0.1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  <c r="CH250" s="79"/>
      <c r="CI250" s="79"/>
    </row>
    <row r="251" spans="1:87" ht="14" x14ac:dyDescent="0.1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  <c r="CH251" s="79"/>
      <c r="CI251" s="79"/>
    </row>
    <row r="252" spans="1:87" ht="14" x14ac:dyDescent="0.1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  <c r="CH252" s="79"/>
      <c r="CI252" s="79"/>
    </row>
    <row r="253" spans="1:87" ht="14" x14ac:dyDescent="0.1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  <c r="CH253" s="79"/>
      <c r="CI253" s="79"/>
    </row>
    <row r="254" spans="1:87" ht="14" x14ac:dyDescent="0.1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  <c r="CH254" s="79"/>
      <c r="CI254" s="79"/>
    </row>
    <row r="255" spans="1:87" ht="14" x14ac:dyDescent="0.1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  <c r="CH255" s="79"/>
      <c r="CI255" s="79"/>
    </row>
    <row r="256" spans="1:87" ht="14" x14ac:dyDescent="0.1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  <c r="CH256" s="79"/>
      <c r="CI256" s="79"/>
    </row>
    <row r="257" spans="1:87" ht="14" x14ac:dyDescent="0.1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  <c r="CH257" s="79"/>
      <c r="CI257" s="79"/>
    </row>
    <row r="258" spans="1:87" ht="14" x14ac:dyDescent="0.1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  <c r="CH258" s="79"/>
      <c r="CI258" s="79"/>
    </row>
    <row r="259" spans="1:87" ht="14" x14ac:dyDescent="0.1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  <c r="CH259" s="79"/>
      <c r="CI259" s="79"/>
    </row>
    <row r="260" spans="1:87" ht="14" x14ac:dyDescent="0.1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  <c r="CH260" s="79"/>
      <c r="CI260" s="79"/>
    </row>
    <row r="261" spans="1:87" ht="14" x14ac:dyDescent="0.1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  <c r="CH261" s="79"/>
      <c r="CI261" s="79"/>
    </row>
    <row r="262" spans="1:87" ht="14" x14ac:dyDescent="0.1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  <c r="CH262" s="79"/>
      <c r="CI262" s="79"/>
    </row>
    <row r="263" spans="1:87" ht="14" x14ac:dyDescent="0.1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  <c r="CH263" s="79"/>
      <c r="CI263" s="79"/>
    </row>
    <row r="264" spans="1:87" ht="14" x14ac:dyDescent="0.1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  <c r="CH264" s="79"/>
      <c r="CI264" s="79"/>
    </row>
    <row r="265" spans="1:87" ht="14" x14ac:dyDescent="0.1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  <c r="CH265" s="79"/>
      <c r="CI265" s="79"/>
    </row>
    <row r="266" spans="1:87" ht="14" x14ac:dyDescent="0.1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  <c r="CH266" s="79"/>
      <c r="CI266" s="79"/>
    </row>
    <row r="267" spans="1:87" ht="14" x14ac:dyDescent="0.1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/>
      <c r="BK267" s="79"/>
      <c r="BL267" s="79"/>
      <c r="BM267" s="79"/>
      <c r="BN267" s="79"/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  <c r="CH267" s="79"/>
      <c r="CI267" s="79"/>
    </row>
    <row r="268" spans="1:87" ht="14" x14ac:dyDescent="0.1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  <c r="CH268" s="79"/>
      <c r="CI268" s="79"/>
    </row>
    <row r="269" spans="1:87" ht="14" x14ac:dyDescent="0.1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  <c r="BM269" s="79"/>
      <c r="BN269" s="79"/>
      <c r="BO269" s="79"/>
      <c r="BP269" s="79"/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  <c r="CH269" s="79"/>
      <c r="CI269" s="79"/>
    </row>
    <row r="270" spans="1:87" ht="14" x14ac:dyDescent="0.1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  <c r="CH270" s="79"/>
      <c r="CI270" s="79"/>
    </row>
    <row r="271" spans="1:87" ht="14" x14ac:dyDescent="0.1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</row>
    <row r="272" spans="1:87" ht="14" x14ac:dyDescent="0.1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  <c r="CH272" s="79"/>
      <c r="CI272" s="79"/>
    </row>
    <row r="273" spans="1:87" ht="14" x14ac:dyDescent="0.1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  <c r="CH273" s="79"/>
      <c r="CI273" s="79"/>
    </row>
    <row r="274" spans="1:87" ht="14" x14ac:dyDescent="0.1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  <c r="CH274" s="79"/>
      <c r="CI274" s="79"/>
    </row>
    <row r="275" spans="1:87" ht="14" x14ac:dyDescent="0.1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  <c r="CH275" s="79"/>
      <c r="CI275" s="79"/>
    </row>
    <row r="276" spans="1:87" ht="14" x14ac:dyDescent="0.1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  <c r="CH276" s="79"/>
      <c r="CI276" s="79"/>
    </row>
    <row r="277" spans="1:87" ht="14" x14ac:dyDescent="0.1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  <c r="BM277" s="79"/>
      <c r="BN277" s="79"/>
      <c r="BO277" s="79"/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  <c r="CH277" s="79"/>
      <c r="CI277" s="79"/>
    </row>
    <row r="278" spans="1:87" ht="14" x14ac:dyDescent="0.1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  <c r="CH278" s="79"/>
      <c r="CI278" s="79"/>
    </row>
    <row r="279" spans="1:87" ht="14" x14ac:dyDescent="0.1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  <c r="CH279" s="79"/>
      <c r="CI279" s="79"/>
    </row>
    <row r="280" spans="1:87" ht="14" x14ac:dyDescent="0.1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  <c r="CH280" s="79"/>
      <c r="CI280" s="79"/>
    </row>
    <row r="281" spans="1:87" ht="14" x14ac:dyDescent="0.1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  <c r="CH281" s="79"/>
      <c r="CI281" s="79"/>
    </row>
    <row r="282" spans="1:87" ht="14" x14ac:dyDescent="0.1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  <c r="CH282" s="79"/>
      <c r="CI282" s="79"/>
    </row>
    <row r="283" spans="1:87" ht="14" x14ac:dyDescent="0.1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  <c r="CH283" s="79"/>
      <c r="CI283" s="79"/>
    </row>
    <row r="284" spans="1:87" ht="14" x14ac:dyDescent="0.1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</row>
    <row r="285" spans="1:87" ht="14" x14ac:dyDescent="0.1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  <c r="CH285" s="79"/>
      <c r="CI285" s="79"/>
    </row>
    <row r="286" spans="1:87" ht="14" x14ac:dyDescent="0.1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</row>
    <row r="287" spans="1:87" ht="14" x14ac:dyDescent="0.1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  <c r="CH287" s="79"/>
      <c r="CI287" s="79"/>
    </row>
    <row r="288" spans="1:87" ht="14" x14ac:dyDescent="0.1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  <c r="CH288" s="79"/>
      <c r="CI288" s="79"/>
    </row>
    <row r="289" spans="1:87" ht="14" x14ac:dyDescent="0.1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  <c r="CH289" s="79"/>
      <c r="CI289" s="79"/>
    </row>
    <row r="290" spans="1:87" ht="14" x14ac:dyDescent="0.1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</row>
    <row r="291" spans="1:87" ht="14" x14ac:dyDescent="0.1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</row>
    <row r="292" spans="1:87" ht="14" x14ac:dyDescent="0.1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</row>
    <row r="293" spans="1:87" ht="14" x14ac:dyDescent="0.1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</row>
    <row r="294" spans="1:87" ht="14" x14ac:dyDescent="0.1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</row>
    <row r="295" spans="1:87" ht="14" x14ac:dyDescent="0.1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</row>
    <row r="296" spans="1:87" ht="14" x14ac:dyDescent="0.1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</row>
    <row r="297" spans="1:87" ht="14" x14ac:dyDescent="0.1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</row>
    <row r="298" spans="1:87" ht="14" x14ac:dyDescent="0.1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</row>
    <row r="299" spans="1:87" ht="14" x14ac:dyDescent="0.1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  <c r="CH299" s="79"/>
      <c r="CI299" s="79"/>
    </row>
    <row r="300" spans="1:87" ht="14" x14ac:dyDescent="0.1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  <c r="CH300" s="79"/>
      <c r="CI300" s="79"/>
    </row>
    <row r="301" spans="1:87" ht="14" x14ac:dyDescent="0.1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</row>
    <row r="302" spans="1:87" ht="14" x14ac:dyDescent="0.1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  <c r="CH302" s="79"/>
      <c r="CI302" s="79"/>
    </row>
    <row r="303" spans="1:87" ht="14" x14ac:dyDescent="0.1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  <c r="CH303" s="79"/>
      <c r="CI303" s="79"/>
    </row>
    <row r="304" spans="1:87" ht="14" x14ac:dyDescent="0.1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</row>
    <row r="305" spans="1:87" ht="14" x14ac:dyDescent="0.1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</row>
    <row r="306" spans="1:87" ht="14" x14ac:dyDescent="0.1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</row>
    <row r="307" spans="1:87" ht="14" x14ac:dyDescent="0.1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</row>
    <row r="308" spans="1:87" ht="14" x14ac:dyDescent="0.1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</row>
    <row r="309" spans="1:87" ht="14" x14ac:dyDescent="0.1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</row>
    <row r="310" spans="1:87" ht="14" x14ac:dyDescent="0.1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  <c r="CH310" s="79"/>
      <c r="CI310" s="79"/>
    </row>
    <row r="311" spans="1:87" ht="14" x14ac:dyDescent="0.1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  <c r="CH311" s="79"/>
      <c r="CI311" s="79"/>
    </row>
    <row r="312" spans="1:87" ht="14" x14ac:dyDescent="0.1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  <c r="CH312" s="79"/>
      <c r="CI312" s="79"/>
    </row>
    <row r="313" spans="1:87" ht="14" x14ac:dyDescent="0.1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  <c r="CH313" s="79"/>
      <c r="CI313" s="79"/>
    </row>
    <row r="314" spans="1:87" ht="14" x14ac:dyDescent="0.1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  <c r="CH314" s="79"/>
      <c r="CI314" s="79"/>
    </row>
    <row r="315" spans="1:87" ht="14" x14ac:dyDescent="0.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  <c r="CH315" s="79"/>
      <c r="CI315" s="79"/>
    </row>
    <row r="316" spans="1:87" ht="14" x14ac:dyDescent="0.1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  <c r="CH316" s="79"/>
      <c r="CI316" s="79"/>
    </row>
    <row r="317" spans="1:87" ht="14" x14ac:dyDescent="0.1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  <c r="CH317" s="79"/>
      <c r="CI317" s="79"/>
    </row>
    <row r="318" spans="1:87" ht="14" x14ac:dyDescent="0.1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  <c r="CH318" s="79"/>
      <c r="CI318" s="79"/>
    </row>
    <row r="319" spans="1:87" ht="14" x14ac:dyDescent="0.1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  <c r="CH319" s="79"/>
      <c r="CI319" s="79"/>
    </row>
    <row r="320" spans="1:87" ht="14" x14ac:dyDescent="0.1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  <c r="CH320" s="79"/>
      <c r="CI320" s="79"/>
    </row>
    <row r="321" spans="1:87" ht="14" x14ac:dyDescent="0.1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</row>
    <row r="322" spans="1:87" ht="14" x14ac:dyDescent="0.1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  <c r="CH322" s="79"/>
      <c r="CI322" s="79"/>
    </row>
    <row r="323" spans="1:87" ht="14" x14ac:dyDescent="0.1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  <c r="CH323" s="79"/>
      <c r="CI323" s="79"/>
    </row>
    <row r="324" spans="1:87" ht="14" x14ac:dyDescent="0.1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  <c r="CH324" s="79"/>
      <c r="CI324" s="79"/>
    </row>
    <row r="325" spans="1:87" ht="14" x14ac:dyDescent="0.1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  <c r="CH325" s="79"/>
      <c r="CI325" s="79"/>
    </row>
    <row r="326" spans="1:87" ht="14" x14ac:dyDescent="0.1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  <c r="CH326" s="79"/>
      <c r="CI326" s="79"/>
    </row>
    <row r="327" spans="1:87" ht="14" x14ac:dyDescent="0.1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  <c r="CH327" s="79"/>
      <c r="CI327" s="79"/>
    </row>
    <row r="328" spans="1:87" ht="14" x14ac:dyDescent="0.1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  <c r="CH328" s="79"/>
      <c r="CI328" s="79"/>
    </row>
    <row r="329" spans="1:87" ht="14" x14ac:dyDescent="0.1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  <c r="CH329" s="79"/>
      <c r="CI329" s="79"/>
    </row>
    <row r="330" spans="1:87" ht="14" x14ac:dyDescent="0.1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  <c r="CH330" s="79"/>
      <c r="CI330" s="79"/>
    </row>
    <row r="331" spans="1:87" ht="14" x14ac:dyDescent="0.1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  <c r="CH331" s="79"/>
      <c r="CI331" s="79"/>
    </row>
    <row r="332" spans="1:87" ht="14" x14ac:dyDescent="0.1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  <c r="CH332" s="79"/>
      <c r="CI332" s="79"/>
    </row>
    <row r="333" spans="1:87" ht="14" x14ac:dyDescent="0.1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</row>
    <row r="334" spans="1:87" ht="14" x14ac:dyDescent="0.1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</row>
    <row r="335" spans="1:87" ht="14" x14ac:dyDescent="0.1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  <c r="CH335" s="79"/>
      <c r="CI335" s="79"/>
    </row>
    <row r="336" spans="1:87" ht="14" x14ac:dyDescent="0.1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79"/>
      <c r="AW336" s="79"/>
      <c r="AX336" s="79"/>
      <c r="AY336" s="79"/>
      <c r="AZ336" s="79"/>
      <c r="BA336" s="79"/>
      <c r="BB336" s="79"/>
      <c r="BC336" s="79"/>
      <c r="BD336" s="79"/>
      <c r="BE336" s="79"/>
      <c r="BF336" s="79"/>
      <c r="BG336" s="79"/>
      <c r="BH336" s="79"/>
      <c r="BI336" s="79"/>
      <c r="BJ336" s="79"/>
      <c r="BK336" s="79"/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  <c r="CH336" s="79"/>
      <c r="CI336" s="79"/>
    </row>
    <row r="337" spans="1:87" ht="14" x14ac:dyDescent="0.1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  <c r="CH337" s="79"/>
      <c r="CI337" s="79"/>
    </row>
    <row r="338" spans="1:87" ht="14" x14ac:dyDescent="0.1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  <c r="CH338" s="79"/>
      <c r="CI338" s="79"/>
    </row>
    <row r="339" spans="1:87" ht="14" x14ac:dyDescent="0.1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  <c r="CH339" s="79"/>
      <c r="CI339" s="79"/>
    </row>
    <row r="340" spans="1:87" ht="14" x14ac:dyDescent="0.1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  <c r="CH340" s="79"/>
      <c r="CI340" s="79"/>
    </row>
    <row r="341" spans="1:87" ht="14" x14ac:dyDescent="0.1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  <c r="CH341" s="79"/>
      <c r="CI341" s="79"/>
    </row>
    <row r="342" spans="1:87" ht="14" x14ac:dyDescent="0.1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  <c r="CH342" s="79"/>
      <c r="CI342" s="79"/>
    </row>
    <row r="343" spans="1:87" ht="14" x14ac:dyDescent="0.1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  <c r="CH343" s="79"/>
      <c r="CI343" s="79"/>
    </row>
    <row r="344" spans="1:87" ht="14" x14ac:dyDescent="0.1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  <c r="CH344" s="79"/>
      <c r="CI344" s="79"/>
    </row>
    <row r="345" spans="1:87" ht="14" x14ac:dyDescent="0.1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  <c r="CH345" s="79"/>
      <c r="CI345" s="79"/>
    </row>
    <row r="346" spans="1:87" ht="14" x14ac:dyDescent="0.1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  <c r="CH346" s="79"/>
      <c r="CI346" s="79"/>
    </row>
    <row r="347" spans="1:87" ht="14" x14ac:dyDescent="0.1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  <c r="CH347" s="79"/>
      <c r="CI347" s="79"/>
    </row>
    <row r="348" spans="1:87" ht="14" x14ac:dyDescent="0.1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79"/>
      <c r="AW348" s="79"/>
      <c r="AX348" s="79"/>
      <c r="AY348" s="79"/>
      <c r="AZ348" s="79"/>
      <c r="BA348" s="79"/>
      <c r="BB348" s="79"/>
      <c r="BC348" s="79"/>
      <c r="BD348" s="79"/>
      <c r="BE348" s="79"/>
      <c r="BF348" s="79"/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  <c r="BT348" s="79"/>
      <c r="BU348" s="79"/>
      <c r="BV348" s="79"/>
      <c r="BW348" s="79"/>
      <c r="BX348" s="79"/>
      <c r="BY348" s="79"/>
      <c r="BZ348" s="79"/>
      <c r="CA348" s="79"/>
      <c r="CB348" s="79"/>
      <c r="CC348" s="79"/>
      <c r="CD348" s="79"/>
      <c r="CE348" s="79"/>
      <c r="CF348" s="79"/>
      <c r="CG348" s="79"/>
      <c r="CH348" s="79"/>
      <c r="CI348" s="79"/>
    </row>
    <row r="349" spans="1:87" ht="14" x14ac:dyDescent="0.1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</row>
    <row r="350" spans="1:87" ht="14" x14ac:dyDescent="0.1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  <c r="CH350" s="79"/>
      <c r="CI350" s="79"/>
    </row>
    <row r="351" spans="1:87" ht="14" x14ac:dyDescent="0.1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  <c r="CH351" s="79"/>
      <c r="CI351" s="79"/>
    </row>
    <row r="352" spans="1:87" ht="14" x14ac:dyDescent="0.1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  <c r="CH352" s="79"/>
      <c r="CI352" s="79"/>
    </row>
    <row r="353" spans="1:87" ht="14" x14ac:dyDescent="0.1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  <c r="CH353" s="79"/>
      <c r="CI353" s="79"/>
    </row>
    <row r="354" spans="1:87" ht="14" x14ac:dyDescent="0.1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  <c r="CH354" s="79"/>
      <c r="CI354" s="79"/>
    </row>
    <row r="355" spans="1:87" ht="14" x14ac:dyDescent="0.1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  <c r="CH355" s="79"/>
      <c r="CI355" s="79"/>
    </row>
    <row r="356" spans="1:87" ht="14" x14ac:dyDescent="0.1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  <c r="CH356" s="79"/>
      <c r="CI356" s="79"/>
    </row>
    <row r="357" spans="1:87" ht="14" x14ac:dyDescent="0.1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  <c r="CH357" s="79"/>
      <c r="CI357" s="79"/>
    </row>
    <row r="358" spans="1:87" ht="14" x14ac:dyDescent="0.1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  <c r="CH358" s="79"/>
      <c r="CI358" s="79"/>
    </row>
    <row r="359" spans="1:87" ht="14" x14ac:dyDescent="0.1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/>
      <c r="BS359" s="79"/>
      <c r="BT359" s="79"/>
      <c r="BU359" s="79"/>
      <c r="BV359" s="79"/>
      <c r="BW359" s="79"/>
      <c r="BX359" s="79"/>
      <c r="BY359" s="79"/>
      <c r="BZ359" s="79"/>
      <c r="CA359" s="79"/>
      <c r="CB359" s="79"/>
      <c r="CC359" s="79"/>
      <c r="CD359" s="79"/>
      <c r="CE359" s="79"/>
      <c r="CF359" s="79"/>
      <c r="CG359" s="79"/>
      <c r="CH359" s="79"/>
      <c r="CI359" s="79"/>
    </row>
    <row r="360" spans="1:87" ht="14" x14ac:dyDescent="0.1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  <c r="CH360" s="79"/>
      <c r="CI360" s="79"/>
    </row>
    <row r="361" spans="1:87" ht="14" x14ac:dyDescent="0.1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  <c r="CH361" s="79"/>
      <c r="CI361" s="79"/>
    </row>
    <row r="362" spans="1:87" ht="14" x14ac:dyDescent="0.1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  <c r="CH362" s="79"/>
      <c r="CI362" s="79"/>
    </row>
    <row r="363" spans="1:87" ht="14" x14ac:dyDescent="0.1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  <c r="CH363" s="79"/>
      <c r="CI363" s="79"/>
    </row>
    <row r="364" spans="1:87" ht="14" x14ac:dyDescent="0.1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  <c r="CH364" s="79"/>
      <c r="CI364" s="79"/>
    </row>
    <row r="365" spans="1:87" ht="14" x14ac:dyDescent="0.1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  <c r="CH365" s="79"/>
      <c r="CI365" s="79"/>
    </row>
    <row r="366" spans="1:87" ht="14" x14ac:dyDescent="0.1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  <c r="CH366" s="79"/>
      <c r="CI366" s="79"/>
    </row>
    <row r="367" spans="1:87" ht="14" x14ac:dyDescent="0.1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  <c r="CH367" s="79"/>
      <c r="CI367" s="79"/>
    </row>
    <row r="368" spans="1:87" ht="14" x14ac:dyDescent="0.1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  <c r="CH368" s="79"/>
      <c r="CI368" s="79"/>
    </row>
    <row r="369" spans="1:87" ht="14" x14ac:dyDescent="0.1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  <c r="CH369" s="79"/>
      <c r="CI369" s="79"/>
    </row>
    <row r="370" spans="1:87" ht="14" x14ac:dyDescent="0.1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  <c r="CH370" s="79"/>
      <c r="CI370" s="79"/>
    </row>
    <row r="371" spans="1:87" ht="14" x14ac:dyDescent="0.1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  <c r="CH371" s="79"/>
      <c r="CI371" s="79"/>
    </row>
    <row r="372" spans="1:87" ht="14" x14ac:dyDescent="0.1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  <c r="CH372" s="79"/>
      <c r="CI372" s="79"/>
    </row>
    <row r="373" spans="1:87" ht="14" x14ac:dyDescent="0.1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  <c r="CH373" s="79"/>
      <c r="CI373" s="79"/>
    </row>
    <row r="374" spans="1:87" ht="14" x14ac:dyDescent="0.1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  <c r="CH374" s="79"/>
      <c r="CI374" s="79"/>
    </row>
    <row r="375" spans="1:87" ht="14" x14ac:dyDescent="0.1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  <c r="CH375" s="79"/>
      <c r="CI375" s="79"/>
    </row>
    <row r="376" spans="1:87" ht="14" x14ac:dyDescent="0.1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  <c r="CH376" s="79"/>
      <c r="CI376" s="79"/>
    </row>
    <row r="377" spans="1:87" ht="14" x14ac:dyDescent="0.1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  <c r="CH377" s="79"/>
      <c r="CI377" s="79"/>
    </row>
    <row r="378" spans="1:87" ht="14" x14ac:dyDescent="0.1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  <c r="CH378" s="79"/>
      <c r="CI378" s="79"/>
    </row>
    <row r="379" spans="1:87" ht="14" x14ac:dyDescent="0.1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  <c r="CH379" s="79"/>
      <c r="CI379" s="79"/>
    </row>
    <row r="380" spans="1:87" ht="14" x14ac:dyDescent="0.1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  <c r="CH380" s="79"/>
      <c r="CI380" s="79"/>
    </row>
    <row r="381" spans="1:87" ht="14" x14ac:dyDescent="0.1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  <c r="CH381" s="79"/>
      <c r="CI381" s="79"/>
    </row>
    <row r="382" spans="1:87" ht="14" x14ac:dyDescent="0.1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  <c r="CH382" s="79"/>
      <c r="CI382" s="79"/>
    </row>
    <row r="383" spans="1:87" ht="14" x14ac:dyDescent="0.1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  <c r="CH383" s="79"/>
      <c r="CI383" s="79"/>
    </row>
    <row r="384" spans="1:87" ht="14" x14ac:dyDescent="0.1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  <c r="CH384" s="79"/>
      <c r="CI384" s="79"/>
    </row>
    <row r="385" spans="1:87" ht="14" x14ac:dyDescent="0.1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  <c r="CH385" s="79"/>
      <c r="CI385" s="79"/>
    </row>
    <row r="386" spans="1:87" ht="14" x14ac:dyDescent="0.1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  <c r="CH386" s="79"/>
      <c r="CI386" s="79"/>
    </row>
    <row r="387" spans="1:87" ht="14" x14ac:dyDescent="0.1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  <c r="CH387" s="79"/>
      <c r="CI387" s="79"/>
    </row>
    <row r="388" spans="1:87" ht="14" x14ac:dyDescent="0.1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  <c r="CH388" s="79"/>
      <c r="CI388" s="79"/>
    </row>
    <row r="389" spans="1:87" ht="14" x14ac:dyDescent="0.1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  <c r="CH389" s="79"/>
      <c r="CI389" s="79"/>
    </row>
    <row r="390" spans="1:87" ht="14" x14ac:dyDescent="0.1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  <c r="CH390" s="79"/>
      <c r="CI390" s="79"/>
    </row>
    <row r="391" spans="1:87" ht="14" x14ac:dyDescent="0.1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  <c r="CH391" s="79"/>
      <c r="CI391" s="79"/>
    </row>
    <row r="392" spans="1:87" ht="14" x14ac:dyDescent="0.1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  <c r="CH392" s="79"/>
      <c r="CI392" s="79"/>
    </row>
    <row r="393" spans="1:87" ht="14" x14ac:dyDescent="0.1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  <c r="CH393" s="79"/>
      <c r="CI393" s="79"/>
    </row>
    <row r="394" spans="1:87" ht="14" x14ac:dyDescent="0.1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  <c r="CH394" s="79"/>
      <c r="CI394" s="79"/>
    </row>
    <row r="395" spans="1:87" ht="14" x14ac:dyDescent="0.1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  <c r="CH395" s="79"/>
      <c r="CI395" s="79"/>
    </row>
    <row r="396" spans="1:87" ht="14" x14ac:dyDescent="0.1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  <c r="CH396" s="79"/>
      <c r="CI396" s="79"/>
    </row>
    <row r="397" spans="1:87" ht="14" x14ac:dyDescent="0.1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  <c r="CH397" s="79"/>
      <c r="CI397" s="79"/>
    </row>
    <row r="398" spans="1:87" ht="14" x14ac:dyDescent="0.1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  <c r="CH398" s="79"/>
      <c r="CI398" s="79"/>
    </row>
    <row r="399" spans="1:87" ht="14" x14ac:dyDescent="0.1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  <c r="CH399" s="79"/>
      <c r="CI399" s="79"/>
    </row>
    <row r="400" spans="1:87" ht="14" x14ac:dyDescent="0.1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  <c r="CH400" s="79"/>
      <c r="CI400" s="79"/>
    </row>
    <row r="401" spans="1:87" ht="14" x14ac:dyDescent="0.1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  <c r="CH401" s="79"/>
      <c r="CI401" s="79"/>
    </row>
    <row r="402" spans="1:87" ht="14" x14ac:dyDescent="0.1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  <c r="CH402" s="79"/>
      <c r="CI402" s="79"/>
    </row>
    <row r="403" spans="1:87" ht="14" x14ac:dyDescent="0.1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  <c r="CH403" s="79"/>
      <c r="CI403" s="79"/>
    </row>
    <row r="404" spans="1:87" ht="14" x14ac:dyDescent="0.1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  <c r="CH404" s="79"/>
      <c r="CI404" s="79"/>
    </row>
    <row r="405" spans="1:87" ht="14" x14ac:dyDescent="0.1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  <c r="CH405" s="79"/>
      <c r="CI405" s="79"/>
    </row>
    <row r="406" spans="1:87" ht="14" x14ac:dyDescent="0.1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  <c r="CH406" s="79"/>
      <c r="CI406" s="79"/>
    </row>
    <row r="407" spans="1:87" ht="14" x14ac:dyDescent="0.1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  <c r="CH407" s="79"/>
      <c r="CI407" s="79"/>
    </row>
    <row r="408" spans="1:87" ht="14" x14ac:dyDescent="0.1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  <c r="CH408" s="79"/>
      <c r="CI408" s="79"/>
    </row>
    <row r="409" spans="1:87" ht="14" x14ac:dyDescent="0.1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  <c r="CH409" s="79"/>
      <c r="CI409" s="79"/>
    </row>
    <row r="410" spans="1:87" ht="14" x14ac:dyDescent="0.1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  <c r="CH410" s="79"/>
      <c r="CI410" s="79"/>
    </row>
    <row r="411" spans="1:87" ht="14" x14ac:dyDescent="0.1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  <c r="CH411" s="79"/>
      <c r="CI411" s="79"/>
    </row>
    <row r="412" spans="1:87" ht="14" x14ac:dyDescent="0.1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  <c r="CH412" s="79"/>
      <c r="CI412" s="79"/>
    </row>
    <row r="413" spans="1:87" ht="14" x14ac:dyDescent="0.1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  <c r="CH413" s="79"/>
      <c r="CI413" s="79"/>
    </row>
    <row r="414" spans="1:87" ht="14" x14ac:dyDescent="0.1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  <c r="CH414" s="79"/>
      <c r="CI414" s="79"/>
    </row>
    <row r="415" spans="1:87" ht="14" x14ac:dyDescent="0.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  <c r="CH415" s="79"/>
      <c r="CI415" s="79"/>
    </row>
    <row r="416" spans="1:87" ht="14" x14ac:dyDescent="0.1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  <c r="BK416" s="79"/>
      <c r="BL416" s="79"/>
      <c r="BM416" s="79"/>
      <c r="BN416" s="79"/>
      <c r="BO416" s="79"/>
      <c r="BP416" s="79"/>
      <c r="BQ416" s="79"/>
      <c r="BR416" s="79"/>
      <c r="BS416" s="79"/>
      <c r="BT416" s="79"/>
      <c r="BU416" s="79"/>
      <c r="BV416" s="79"/>
      <c r="BW416" s="79"/>
      <c r="BX416" s="79"/>
      <c r="BY416" s="79"/>
      <c r="BZ416" s="79"/>
      <c r="CA416" s="79"/>
      <c r="CB416" s="79"/>
      <c r="CC416" s="79"/>
      <c r="CD416" s="79"/>
      <c r="CE416" s="79"/>
      <c r="CF416" s="79"/>
      <c r="CG416" s="79"/>
      <c r="CH416" s="79"/>
      <c r="CI416" s="79"/>
    </row>
    <row r="417" spans="1:87" ht="14" x14ac:dyDescent="0.1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  <c r="CH417" s="79"/>
      <c r="CI417" s="79"/>
    </row>
    <row r="418" spans="1:87" ht="14" x14ac:dyDescent="0.1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/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  <c r="CH418" s="79"/>
      <c r="CI418" s="79"/>
    </row>
    <row r="419" spans="1:87" ht="14" x14ac:dyDescent="0.1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  <c r="CH419" s="79"/>
      <c r="CI419" s="79"/>
    </row>
    <row r="420" spans="1:87" ht="14" x14ac:dyDescent="0.1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  <c r="CH420" s="79"/>
      <c r="CI420" s="79"/>
    </row>
    <row r="421" spans="1:87" ht="14" x14ac:dyDescent="0.1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  <c r="CH421" s="79"/>
      <c r="CI421" s="79"/>
    </row>
    <row r="422" spans="1:87" ht="14" x14ac:dyDescent="0.1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  <c r="CH422" s="79"/>
      <c r="CI422" s="79"/>
    </row>
    <row r="423" spans="1:87" ht="14" x14ac:dyDescent="0.1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  <c r="CH423" s="79"/>
      <c r="CI423" s="79"/>
    </row>
    <row r="424" spans="1:87" ht="14" x14ac:dyDescent="0.1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  <c r="CH424" s="79"/>
      <c r="CI424" s="79"/>
    </row>
    <row r="425" spans="1:87" ht="14" x14ac:dyDescent="0.1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  <c r="CH425" s="79"/>
      <c r="CI425" s="79"/>
    </row>
    <row r="426" spans="1:87" ht="14" x14ac:dyDescent="0.1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  <c r="CH426" s="79"/>
      <c r="CI426" s="79"/>
    </row>
    <row r="427" spans="1:87" ht="14" x14ac:dyDescent="0.1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  <c r="CH427" s="79"/>
      <c r="CI427" s="79"/>
    </row>
    <row r="428" spans="1:87" ht="14" x14ac:dyDescent="0.1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  <c r="CH428" s="79"/>
      <c r="CI428" s="79"/>
    </row>
    <row r="429" spans="1:87" ht="14" x14ac:dyDescent="0.1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  <c r="CH429" s="79"/>
      <c r="CI429" s="79"/>
    </row>
    <row r="430" spans="1:87" ht="14" x14ac:dyDescent="0.1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  <c r="CH430" s="79"/>
      <c r="CI430" s="79"/>
    </row>
    <row r="431" spans="1:87" ht="14" x14ac:dyDescent="0.1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  <c r="CH431" s="79"/>
      <c r="CI431" s="79"/>
    </row>
    <row r="432" spans="1:87" ht="14" x14ac:dyDescent="0.1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  <c r="CH432" s="79"/>
      <c r="CI432" s="79"/>
    </row>
    <row r="433" spans="1:87" ht="14" x14ac:dyDescent="0.1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  <c r="CH433" s="79"/>
      <c r="CI433" s="79"/>
    </row>
    <row r="434" spans="1:87" ht="14" x14ac:dyDescent="0.1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  <c r="BT434" s="79"/>
      <c r="BU434" s="79"/>
      <c r="BV434" s="79"/>
      <c r="BW434" s="79"/>
      <c r="BX434" s="79"/>
      <c r="BY434" s="79"/>
      <c r="BZ434" s="79"/>
      <c r="CA434" s="79"/>
      <c r="CB434" s="79"/>
      <c r="CC434" s="79"/>
      <c r="CD434" s="79"/>
      <c r="CE434" s="79"/>
      <c r="CF434" s="79"/>
      <c r="CG434" s="79"/>
      <c r="CH434" s="79"/>
      <c r="CI434" s="79"/>
    </row>
    <row r="435" spans="1:87" ht="14" x14ac:dyDescent="0.1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  <c r="CH435" s="79"/>
      <c r="CI435" s="79"/>
    </row>
    <row r="436" spans="1:87" ht="14" x14ac:dyDescent="0.1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  <c r="CH436" s="79"/>
      <c r="CI436" s="79"/>
    </row>
    <row r="437" spans="1:87" ht="14" x14ac:dyDescent="0.1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  <c r="CH437" s="79"/>
      <c r="CI437" s="79"/>
    </row>
    <row r="438" spans="1:87" ht="14" x14ac:dyDescent="0.1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  <c r="CH438" s="79"/>
      <c r="CI438" s="79"/>
    </row>
    <row r="439" spans="1:87" ht="14" x14ac:dyDescent="0.1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  <c r="CH439" s="79"/>
      <c r="CI439" s="79"/>
    </row>
    <row r="440" spans="1:87" ht="14" x14ac:dyDescent="0.1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  <c r="CH440" s="79"/>
      <c r="CI440" s="79"/>
    </row>
    <row r="441" spans="1:87" ht="14" x14ac:dyDescent="0.1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  <c r="CH441" s="79"/>
      <c r="CI441" s="79"/>
    </row>
    <row r="442" spans="1:87" ht="14" x14ac:dyDescent="0.1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  <c r="CH442" s="79"/>
      <c r="CI442" s="79"/>
    </row>
    <row r="443" spans="1:87" ht="14" x14ac:dyDescent="0.1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  <c r="CH443" s="79"/>
      <c r="CI443" s="79"/>
    </row>
    <row r="444" spans="1:87" ht="14" x14ac:dyDescent="0.1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  <c r="CH444" s="79"/>
      <c r="CI444" s="79"/>
    </row>
    <row r="445" spans="1:87" ht="14" x14ac:dyDescent="0.1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  <c r="CH445" s="79"/>
      <c r="CI445" s="79"/>
    </row>
    <row r="446" spans="1:87" ht="14" x14ac:dyDescent="0.1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  <c r="CH446" s="79"/>
      <c r="CI446" s="79"/>
    </row>
    <row r="447" spans="1:87" ht="14" x14ac:dyDescent="0.1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  <c r="CH447" s="79"/>
      <c r="CI447" s="79"/>
    </row>
    <row r="448" spans="1:87" ht="14" x14ac:dyDescent="0.1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  <c r="CH448" s="79"/>
      <c r="CI448" s="79"/>
    </row>
    <row r="449" spans="1:87" ht="14" x14ac:dyDescent="0.1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  <c r="CH449" s="79"/>
      <c r="CI449" s="79"/>
    </row>
    <row r="450" spans="1:87" ht="14" x14ac:dyDescent="0.1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  <c r="CH450" s="79"/>
      <c r="CI450" s="79"/>
    </row>
    <row r="451" spans="1:87" ht="14" x14ac:dyDescent="0.1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  <c r="CH451" s="79"/>
      <c r="CI451" s="79"/>
    </row>
    <row r="452" spans="1:87" ht="14" x14ac:dyDescent="0.1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  <c r="CH452" s="79"/>
      <c r="CI452" s="79"/>
    </row>
    <row r="453" spans="1:87" ht="14" x14ac:dyDescent="0.1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  <c r="CH453" s="79"/>
      <c r="CI453" s="79"/>
    </row>
    <row r="454" spans="1:87" ht="14" x14ac:dyDescent="0.1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  <c r="CH454" s="79"/>
      <c r="CI454" s="79"/>
    </row>
    <row r="455" spans="1:87" ht="14" x14ac:dyDescent="0.1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  <c r="CH455" s="79"/>
      <c r="CI455" s="79"/>
    </row>
    <row r="456" spans="1:87" ht="14" x14ac:dyDescent="0.1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  <c r="CH456" s="79"/>
      <c r="CI456" s="79"/>
    </row>
    <row r="457" spans="1:87" ht="14" x14ac:dyDescent="0.1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  <c r="CH457" s="79"/>
      <c r="CI457" s="79"/>
    </row>
    <row r="458" spans="1:87" ht="14" x14ac:dyDescent="0.1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  <c r="CH458" s="79"/>
      <c r="CI458" s="79"/>
    </row>
    <row r="459" spans="1:87" ht="14" x14ac:dyDescent="0.1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  <c r="CH459" s="79"/>
      <c r="CI459" s="79"/>
    </row>
    <row r="460" spans="1:87" ht="14" x14ac:dyDescent="0.1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  <c r="CH460" s="79"/>
      <c r="CI460" s="79"/>
    </row>
    <row r="461" spans="1:87" ht="14" x14ac:dyDescent="0.1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  <c r="CH461" s="79"/>
      <c r="CI461" s="79"/>
    </row>
    <row r="462" spans="1:87" ht="14" x14ac:dyDescent="0.1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  <c r="CH462" s="79"/>
      <c r="CI462" s="79"/>
    </row>
    <row r="463" spans="1:87" ht="14" x14ac:dyDescent="0.1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  <c r="CH463" s="79"/>
      <c r="CI463" s="79"/>
    </row>
    <row r="464" spans="1:87" ht="14" x14ac:dyDescent="0.1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  <c r="CH464" s="79"/>
      <c r="CI464" s="79"/>
    </row>
    <row r="465" spans="1:87" ht="14" x14ac:dyDescent="0.1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  <c r="CH465" s="79"/>
      <c r="CI465" s="79"/>
    </row>
    <row r="466" spans="1:87" ht="14" x14ac:dyDescent="0.1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  <c r="CH466" s="79"/>
      <c r="CI466" s="79"/>
    </row>
    <row r="467" spans="1:87" ht="14" x14ac:dyDescent="0.1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  <c r="CH467" s="79"/>
      <c r="CI467" s="79"/>
    </row>
    <row r="468" spans="1:87" ht="14" x14ac:dyDescent="0.1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  <c r="CH468" s="79"/>
      <c r="CI468" s="79"/>
    </row>
    <row r="469" spans="1:87" ht="14" x14ac:dyDescent="0.1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  <c r="CH469" s="79"/>
      <c r="CI469" s="79"/>
    </row>
    <row r="470" spans="1:87" ht="14" x14ac:dyDescent="0.1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  <c r="CH470" s="79"/>
      <c r="CI470" s="79"/>
    </row>
    <row r="471" spans="1:87" ht="14" x14ac:dyDescent="0.1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  <c r="CH471" s="79"/>
      <c r="CI471" s="79"/>
    </row>
    <row r="472" spans="1:87" ht="14" x14ac:dyDescent="0.1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  <c r="CH472" s="79"/>
      <c r="CI472" s="79"/>
    </row>
    <row r="473" spans="1:87" ht="14" x14ac:dyDescent="0.1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  <c r="CH473" s="79"/>
      <c r="CI473" s="79"/>
    </row>
    <row r="474" spans="1:87" ht="14" x14ac:dyDescent="0.1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  <c r="CH474" s="79"/>
      <c r="CI474" s="79"/>
    </row>
    <row r="475" spans="1:87" ht="14" x14ac:dyDescent="0.1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  <c r="CH475" s="79"/>
      <c r="CI475" s="79"/>
    </row>
    <row r="476" spans="1:87" ht="14" x14ac:dyDescent="0.1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  <c r="CH476" s="79"/>
      <c r="CI476" s="79"/>
    </row>
    <row r="477" spans="1:87" ht="14" x14ac:dyDescent="0.1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  <c r="CH477" s="79"/>
      <c r="CI477" s="79"/>
    </row>
    <row r="478" spans="1:87" ht="14" x14ac:dyDescent="0.1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  <c r="CH478" s="79"/>
      <c r="CI478" s="79"/>
    </row>
    <row r="479" spans="1:87" ht="14" x14ac:dyDescent="0.1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  <c r="CH479" s="79"/>
      <c r="CI479" s="79"/>
    </row>
    <row r="480" spans="1:87" ht="14" x14ac:dyDescent="0.1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  <c r="CH480" s="79"/>
      <c r="CI480" s="79"/>
    </row>
    <row r="481" spans="1:87" ht="14" x14ac:dyDescent="0.1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  <c r="CH481" s="79"/>
      <c r="CI481" s="79"/>
    </row>
    <row r="482" spans="1:87" ht="14" x14ac:dyDescent="0.1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  <c r="CH482" s="79"/>
      <c r="CI482" s="79"/>
    </row>
    <row r="483" spans="1:87" ht="14" x14ac:dyDescent="0.1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  <c r="CH483" s="79"/>
      <c r="CI483" s="79"/>
    </row>
    <row r="484" spans="1:87" ht="14" x14ac:dyDescent="0.1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  <c r="CH484" s="79"/>
      <c r="CI484" s="79"/>
    </row>
    <row r="485" spans="1:87" ht="14" x14ac:dyDescent="0.1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  <c r="CH485" s="79"/>
      <c r="CI485" s="79"/>
    </row>
    <row r="486" spans="1:87" ht="14" x14ac:dyDescent="0.1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  <c r="CH486" s="79"/>
      <c r="CI486" s="79"/>
    </row>
    <row r="487" spans="1:87" ht="14" x14ac:dyDescent="0.1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  <c r="CH487" s="79"/>
      <c r="CI487" s="79"/>
    </row>
    <row r="488" spans="1:87" ht="14" x14ac:dyDescent="0.1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  <c r="CH488" s="79"/>
      <c r="CI488" s="79"/>
    </row>
    <row r="489" spans="1:87" ht="14" x14ac:dyDescent="0.1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  <c r="CH489" s="79"/>
      <c r="CI489" s="79"/>
    </row>
    <row r="490" spans="1:87" ht="14" x14ac:dyDescent="0.1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  <c r="CH490" s="79"/>
      <c r="CI490" s="79"/>
    </row>
    <row r="491" spans="1:87" ht="14" x14ac:dyDescent="0.1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  <c r="CH491" s="79"/>
      <c r="CI491" s="79"/>
    </row>
    <row r="492" spans="1:87" ht="14" x14ac:dyDescent="0.1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  <c r="CH492" s="79"/>
      <c r="CI492" s="79"/>
    </row>
    <row r="493" spans="1:87" ht="14" x14ac:dyDescent="0.1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  <c r="CH493" s="79"/>
      <c r="CI493" s="79"/>
    </row>
    <row r="494" spans="1:87" ht="14" x14ac:dyDescent="0.1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  <c r="CH494" s="79"/>
      <c r="CI494" s="79"/>
    </row>
    <row r="495" spans="1:87" ht="14" x14ac:dyDescent="0.1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  <c r="CH495" s="79"/>
      <c r="CI495" s="79"/>
    </row>
    <row r="496" spans="1:87" ht="14" x14ac:dyDescent="0.1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  <c r="CH496" s="79"/>
      <c r="CI496" s="79"/>
    </row>
    <row r="497" spans="1:87" ht="14" x14ac:dyDescent="0.1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  <c r="CH497" s="79"/>
      <c r="CI497" s="79"/>
    </row>
    <row r="498" spans="1:87" ht="14" x14ac:dyDescent="0.1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  <c r="CH498" s="79"/>
      <c r="CI498" s="79"/>
    </row>
    <row r="499" spans="1:87" ht="14" x14ac:dyDescent="0.1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  <c r="CH499" s="79"/>
      <c r="CI499" s="79"/>
    </row>
    <row r="500" spans="1:87" ht="14" x14ac:dyDescent="0.1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  <c r="CH500" s="79"/>
      <c r="CI500" s="79"/>
    </row>
    <row r="501" spans="1:87" ht="14" x14ac:dyDescent="0.1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  <c r="CH501" s="79"/>
      <c r="CI501" s="79"/>
    </row>
    <row r="502" spans="1:87" ht="14" x14ac:dyDescent="0.1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  <c r="CH502" s="79"/>
      <c r="CI502" s="79"/>
    </row>
    <row r="503" spans="1:87" ht="14" x14ac:dyDescent="0.1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  <c r="CH503" s="79"/>
      <c r="CI503" s="79"/>
    </row>
    <row r="504" spans="1:87" ht="14" x14ac:dyDescent="0.1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  <c r="CH504" s="79"/>
      <c r="CI504" s="79"/>
    </row>
    <row r="505" spans="1:87" ht="14" x14ac:dyDescent="0.1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  <c r="CH505" s="79"/>
      <c r="CI505" s="79"/>
    </row>
    <row r="506" spans="1:87" ht="14" x14ac:dyDescent="0.1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  <c r="CH506" s="79"/>
      <c r="CI506" s="79"/>
    </row>
    <row r="507" spans="1:87" ht="14" x14ac:dyDescent="0.1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  <c r="CH507" s="79"/>
      <c r="CI507" s="79"/>
    </row>
    <row r="508" spans="1:87" ht="14" x14ac:dyDescent="0.1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  <c r="CH508" s="79"/>
      <c r="CI508" s="79"/>
    </row>
    <row r="509" spans="1:87" ht="14" x14ac:dyDescent="0.1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  <c r="CH509" s="79"/>
      <c r="CI509" s="79"/>
    </row>
    <row r="510" spans="1:87" ht="14" x14ac:dyDescent="0.1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  <c r="CH510" s="79"/>
      <c r="CI510" s="79"/>
    </row>
    <row r="511" spans="1:87" ht="14" x14ac:dyDescent="0.1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  <c r="CH511" s="79"/>
      <c r="CI511" s="79"/>
    </row>
    <row r="512" spans="1:87" ht="14" x14ac:dyDescent="0.1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  <c r="CH512" s="79"/>
      <c r="CI512" s="79"/>
    </row>
    <row r="513" spans="1:87" ht="14" x14ac:dyDescent="0.1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  <c r="CH513" s="79"/>
      <c r="CI513" s="79"/>
    </row>
    <row r="514" spans="1:87" ht="14" x14ac:dyDescent="0.1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  <c r="CH514" s="79"/>
      <c r="CI514" s="79"/>
    </row>
    <row r="515" spans="1:87" ht="14" x14ac:dyDescent="0.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  <c r="CH515" s="79"/>
      <c r="CI515" s="79"/>
    </row>
    <row r="516" spans="1:87" ht="14" x14ac:dyDescent="0.1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  <c r="CH516" s="79"/>
      <c r="CI516" s="79"/>
    </row>
    <row r="517" spans="1:87" ht="14" x14ac:dyDescent="0.1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  <c r="CH517" s="79"/>
      <c r="CI517" s="79"/>
    </row>
    <row r="518" spans="1:87" ht="14" x14ac:dyDescent="0.1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  <c r="CH518" s="79"/>
      <c r="CI518" s="79"/>
    </row>
    <row r="519" spans="1:87" ht="14" x14ac:dyDescent="0.1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  <c r="CH519" s="79"/>
      <c r="CI519" s="79"/>
    </row>
    <row r="520" spans="1:87" ht="14" x14ac:dyDescent="0.1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/>
      <c r="BN520" s="79"/>
      <c r="BO520" s="79"/>
      <c r="BP520" s="79"/>
      <c r="BQ520" s="79"/>
      <c r="BR520" s="79"/>
      <c r="BS520" s="79"/>
      <c r="BT520" s="79"/>
      <c r="BU520" s="79"/>
      <c r="BV520" s="79"/>
      <c r="BW520" s="79"/>
      <c r="BX520" s="79"/>
      <c r="BY520" s="79"/>
      <c r="BZ520" s="79"/>
      <c r="CA520" s="79"/>
      <c r="CB520" s="79"/>
      <c r="CC520" s="79"/>
      <c r="CD520" s="79"/>
      <c r="CE520" s="79"/>
      <c r="CF520" s="79"/>
      <c r="CG520" s="79"/>
      <c r="CH520" s="79"/>
      <c r="CI520" s="79"/>
    </row>
    <row r="521" spans="1:87" ht="14" x14ac:dyDescent="0.1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  <c r="CH521" s="79"/>
      <c r="CI521" s="79"/>
    </row>
    <row r="522" spans="1:87" ht="14" x14ac:dyDescent="0.1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/>
      <c r="BN522" s="79"/>
      <c r="BO522" s="79"/>
      <c r="BP522" s="79"/>
      <c r="BQ522" s="79"/>
      <c r="BR522" s="79"/>
      <c r="BS522" s="79"/>
      <c r="BT522" s="79"/>
      <c r="BU522" s="79"/>
      <c r="BV522" s="79"/>
      <c r="BW522" s="79"/>
      <c r="BX522" s="79"/>
      <c r="BY522" s="79"/>
      <c r="BZ522" s="79"/>
      <c r="CA522" s="79"/>
      <c r="CB522" s="79"/>
      <c r="CC522" s="79"/>
      <c r="CD522" s="79"/>
      <c r="CE522" s="79"/>
      <c r="CF522" s="79"/>
      <c r="CG522" s="79"/>
      <c r="CH522" s="79"/>
      <c r="CI522" s="79"/>
    </row>
    <row r="523" spans="1:87" ht="14" x14ac:dyDescent="0.1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  <c r="CH523" s="79"/>
      <c r="CI523" s="79"/>
    </row>
    <row r="524" spans="1:87" ht="14" x14ac:dyDescent="0.1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  <c r="CH524" s="79"/>
      <c r="CI524" s="79"/>
    </row>
    <row r="525" spans="1:87" ht="14" x14ac:dyDescent="0.1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  <c r="CH525" s="79"/>
      <c r="CI525" s="79"/>
    </row>
    <row r="526" spans="1:87" ht="14" x14ac:dyDescent="0.1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  <c r="CH526" s="79"/>
      <c r="CI526" s="79"/>
    </row>
    <row r="527" spans="1:87" ht="14" x14ac:dyDescent="0.1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  <c r="CH527" s="79"/>
      <c r="CI527" s="79"/>
    </row>
    <row r="528" spans="1:87" ht="14" x14ac:dyDescent="0.1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  <c r="CH528" s="79"/>
      <c r="CI528" s="79"/>
    </row>
    <row r="529" spans="1:87" ht="14" x14ac:dyDescent="0.1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  <c r="CH529" s="79"/>
      <c r="CI529" s="79"/>
    </row>
    <row r="530" spans="1:87" ht="14" x14ac:dyDescent="0.1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  <c r="CH530" s="79"/>
      <c r="CI530" s="79"/>
    </row>
    <row r="531" spans="1:87" ht="14" x14ac:dyDescent="0.1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  <c r="CH531" s="79"/>
      <c r="CI531" s="79"/>
    </row>
    <row r="532" spans="1:87" ht="14" x14ac:dyDescent="0.1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  <c r="CH532" s="79"/>
      <c r="CI532" s="79"/>
    </row>
    <row r="533" spans="1:87" ht="14" x14ac:dyDescent="0.1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  <c r="CH533" s="79"/>
      <c r="CI533" s="79"/>
    </row>
    <row r="534" spans="1:87" ht="14" x14ac:dyDescent="0.1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  <c r="CH534" s="79"/>
      <c r="CI534" s="79"/>
    </row>
    <row r="535" spans="1:87" ht="14" x14ac:dyDescent="0.1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  <c r="CH535" s="79"/>
      <c r="CI535" s="79"/>
    </row>
    <row r="536" spans="1:87" ht="14" x14ac:dyDescent="0.1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  <c r="CH536" s="79"/>
      <c r="CI536" s="79"/>
    </row>
    <row r="537" spans="1:87" ht="14" x14ac:dyDescent="0.1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  <c r="CH537" s="79"/>
      <c r="CI537" s="79"/>
    </row>
    <row r="538" spans="1:87" ht="14" x14ac:dyDescent="0.1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79"/>
      <c r="BO538" s="79"/>
      <c r="BP538" s="79"/>
      <c r="BQ538" s="79"/>
      <c r="BR538" s="79"/>
      <c r="BS538" s="79"/>
      <c r="BT538" s="79"/>
      <c r="BU538" s="79"/>
      <c r="BV538" s="79"/>
      <c r="BW538" s="79"/>
      <c r="BX538" s="79"/>
      <c r="BY538" s="79"/>
      <c r="BZ538" s="79"/>
      <c r="CA538" s="79"/>
      <c r="CB538" s="79"/>
      <c r="CC538" s="79"/>
      <c r="CD538" s="79"/>
      <c r="CE538" s="79"/>
      <c r="CF538" s="79"/>
      <c r="CG538" s="79"/>
      <c r="CH538" s="79"/>
      <c r="CI538" s="79"/>
    </row>
    <row r="539" spans="1:87" ht="14" x14ac:dyDescent="0.1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  <c r="BL539" s="79"/>
      <c r="BM539" s="79"/>
      <c r="BN539" s="79"/>
      <c r="BO539" s="79"/>
      <c r="BP539" s="79"/>
      <c r="BQ539" s="79"/>
      <c r="BR539" s="79"/>
      <c r="BS539" s="79"/>
      <c r="BT539" s="79"/>
      <c r="BU539" s="79"/>
      <c r="BV539" s="79"/>
      <c r="BW539" s="79"/>
      <c r="BX539" s="79"/>
      <c r="BY539" s="79"/>
      <c r="BZ539" s="79"/>
      <c r="CA539" s="79"/>
      <c r="CB539" s="79"/>
      <c r="CC539" s="79"/>
      <c r="CD539" s="79"/>
      <c r="CE539" s="79"/>
      <c r="CF539" s="79"/>
      <c r="CG539" s="79"/>
      <c r="CH539" s="79"/>
      <c r="CI539" s="79"/>
    </row>
    <row r="540" spans="1:87" ht="14" x14ac:dyDescent="0.1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  <c r="CE540" s="79"/>
      <c r="CF540" s="79"/>
      <c r="CG540" s="79"/>
      <c r="CH540" s="79"/>
      <c r="CI540" s="79"/>
    </row>
    <row r="541" spans="1:87" ht="14" x14ac:dyDescent="0.1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  <c r="BL541" s="79"/>
      <c r="BM541" s="79"/>
      <c r="BN541" s="79"/>
      <c r="BO541" s="79"/>
      <c r="BP541" s="79"/>
      <c r="BQ541" s="79"/>
      <c r="BR541" s="79"/>
      <c r="BS541" s="79"/>
      <c r="BT541" s="79"/>
      <c r="BU541" s="79"/>
      <c r="BV541" s="79"/>
      <c r="BW541" s="79"/>
      <c r="BX541" s="79"/>
      <c r="BY541" s="79"/>
      <c r="BZ541" s="79"/>
      <c r="CA541" s="79"/>
      <c r="CB541" s="79"/>
      <c r="CC541" s="79"/>
      <c r="CD541" s="79"/>
      <c r="CE541" s="79"/>
      <c r="CF541" s="79"/>
      <c r="CG541" s="79"/>
      <c r="CH541" s="79"/>
      <c r="CI541" s="79"/>
    </row>
    <row r="542" spans="1:87" ht="14" x14ac:dyDescent="0.1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  <c r="BL542" s="79"/>
      <c r="BM542" s="79"/>
      <c r="BN542" s="79"/>
      <c r="BO542" s="79"/>
      <c r="BP542" s="79"/>
      <c r="BQ542" s="79"/>
      <c r="BR542" s="79"/>
      <c r="BS542" s="79"/>
      <c r="BT542" s="79"/>
      <c r="BU542" s="79"/>
      <c r="BV542" s="79"/>
      <c r="BW542" s="79"/>
      <c r="BX542" s="79"/>
      <c r="BY542" s="79"/>
      <c r="BZ542" s="79"/>
      <c r="CA542" s="79"/>
      <c r="CB542" s="79"/>
      <c r="CC542" s="79"/>
      <c r="CD542" s="79"/>
      <c r="CE542" s="79"/>
      <c r="CF542" s="79"/>
      <c r="CG542" s="79"/>
      <c r="CH542" s="79"/>
      <c r="CI542" s="79"/>
    </row>
    <row r="543" spans="1:87" ht="14" x14ac:dyDescent="0.1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79"/>
      <c r="BO543" s="79"/>
      <c r="BP543" s="79"/>
      <c r="BQ543" s="79"/>
      <c r="BR543" s="79"/>
      <c r="BS543" s="79"/>
      <c r="BT543" s="79"/>
      <c r="BU543" s="79"/>
      <c r="BV543" s="79"/>
      <c r="BW543" s="79"/>
      <c r="BX543" s="79"/>
      <c r="BY543" s="79"/>
      <c r="BZ543" s="79"/>
      <c r="CA543" s="79"/>
      <c r="CB543" s="79"/>
      <c r="CC543" s="79"/>
      <c r="CD543" s="79"/>
      <c r="CE543" s="79"/>
      <c r="CF543" s="79"/>
      <c r="CG543" s="79"/>
      <c r="CH543" s="79"/>
      <c r="CI543" s="79"/>
    </row>
    <row r="544" spans="1:87" ht="14" x14ac:dyDescent="0.1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79"/>
      <c r="BO544" s="79"/>
      <c r="BP544" s="79"/>
      <c r="BQ544" s="79"/>
      <c r="BR544" s="79"/>
      <c r="BS544" s="79"/>
      <c r="BT544" s="79"/>
      <c r="BU544" s="79"/>
      <c r="BV544" s="79"/>
      <c r="BW544" s="79"/>
      <c r="BX544" s="79"/>
      <c r="BY544" s="79"/>
      <c r="BZ544" s="79"/>
      <c r="CA544" s="79"/>
      <c r="CB544" s="79"/>
      <c r="CC544" s="79"/>
      <c r="CD544" s="79"/>
      <c r="CE544" s="79"/>
      <c r="CF544" s="79"/>
      <c r="CG544" s="79"/>
      <c r="CH544" s="79"/>
      <c r="CI544" s="79"/>
    </row>
    <row r="545" spans="1:87" ht="14" x14ac:dyDescent="0.1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79"/>
      <c r="BO545" s="79"/>
      <c r="BP545" s="79"/>
      <c r="BQ545" s="79"/>
      <c r="BR545" s="79"/>
      <c r="BS545" s="79"/>
      <c r="BT545" s="79"/>
      <c r="BU545" s="79"/>
      <c r="BV545" s="79"/>
      <c r="BW545" s="79"/>
      <c r="BX545" s="79"/>
      <c r="BY545" s="79"/>
      <c r="BZ545" s="79"/>
      <c r="CA545" s="79"/>
      <c r="CB545" s="79"/>
      <c r="CC545" s="79"/>
      <c r="CD545" s="79"/>
      <c r="CE545" s="79"/>
      <c r="CF545" s="79"/>
      <c r="CG545" s="79"/>
      <c r="CH545" s="79"/>
      <c r="CI545" s="79"/>
    </row>
    <row r="546" spans="1:87" ht="14" x14ac:dyDescent="0.1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79"/>
      <c r="BO546" s="79"/>
      <c r="BP546" s="79"/>
      <c r="BQ546" s="79"/>
      <c r="BR546" s="79"/>
      <c r="BS546" s="79"/>
      <c r="BT546" s="79"/>
      <c r="BU546" s="79"/>
      <c r="BV546" s="79"/>
      <c r="BW546" s="79"/>
      <c r="BX546" s="79"/>
      <c r="BY546" s="79"/>
      <c r="BZ546" s="79"/>
      <c r="CA546" s="79"/>
      <c r="CB546" s="79"/>
      <c r="CC546" s="79"/>
      <c r="CD546" s="79"/>
      <c r="CE546" s="79"/>
      <c r="CF546" s="79"/>
      <c r="CG546" s="79"/>
      <c r="CH546" s="79"/>
      <c r="CI546" s="79"/>
    </row>
    <row r="547" spans="1:87" ht="14" x14ac:dyDescent="0.1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79"/>
      <c r="BO547" s="79"/>
      <c r="BP547" s="79"/>
      <c r="BQ547" s="79"/>
      <c r="BR547" s="79"/>
      <c r="BS547" s="79"/>
      <c r="BT547" s="79"/>
      <c r="BU547" s="79"/>
      <c r="BV547" s="79"/>
      <c r="BW547" s="79"/>
      <c r="BX547" s="79"/>
      <c r="BY547" s="79"/>
      <c r="BZ547" s="79"/>
      <c r="CA547" s="79"/>
      <c r="CB547" s="79"/>
      <c r="CC547" s="79"/>
      <c r="CD547" s="79"/>
      <c r="CE547" s="79"/>
      <c r="CF547" s="79"/>
      <c r="CG547" s="79"/>
      <c r="CH547" s="79"/>
      <c r="CI547" s="79"/>
    </row>
    <row r="548" spans="1:87" ht="14" x14ac:dyDescent="0.1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  <c r="BL548" s="79"/>
      <c r="BM548" s="79"/>
      <c r="BN548" s="79"/>
      <c r="BO548" s="79"/>
      <c r="BP548" s="79"/>
      <c r="BQ548" s="79"/>
      <c r="BR548" s="79"/>
      <c r="BS548" s="79"/>
      <c r="BT548" s="79"/>
      <c r="BU548" s="79"/>
      <c r="BV548" s="79"/>
      <c r="BW548" s="79"/>
      <c r="BX548" s="79"/>
      <c r="BY548" s="79"/>
      <c r="BZ548" s="79"/>
      <c r="CA548" s="79"/>
      <c r="CB548" s="79"/>
      <c r="CC548" s="79"/>
      <c r="CD548" s="79"/>
      <c r="CE548" s="79"/>
      <c r="CF548" s="79"/>
      <c r="CG548" s="79"/>
      <c r="CH548" s="79"/>
      <c r="CI548" s="79"/>
    </row>
    <row r="549" spans="1:87" ht="14" x14ac:dyDescent="0.1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  <c r="BL549" s="79"/>
      <c r="BM549" s="79"/>
      <c r="BN549" s="79"/>
      <c r="BO549" s="79"/>
      <c r="BP549" s="79"/>
      <c r="BQ549" s="79"/>
      <c r="BR549" s="79"/>
      <c r="BS549" s="79"/>
      <c r="BT549" s="79"/>
      <c r="BU549" s="79"/>
      <c r="BV549" s="79"/>
      <c r="BW549" s="79"/>
      <c r="BX549" s="79"/>
      <c r="BY549" s="79"/>
      <c r="BZ549" s="79"/>
      <c r="CA549" s="79"/>
      <c r="CB549" s="79"/>
      <c r="CC549" s="79"/>
      <c r="CD549" s="79"/>
      <c r="CE549" s="79"/>
      <c r="CF549" s="79"/>
      <c r="CG549" s="79"/>
      <c r="CH549" s="79"/>
      <c r="CI549" s="79"/>
    </row>
    <row r="550" spans="1:87" ht="14" x14ac:dyDescent="0.1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  <c r="BL550" s="79"/>
      <c r="BM550" s="79"/>
      <c r="BN550" s="79"/>
      <c r="BO550" s="79"/>
      <c r="BP550" s="79"/>
      <c r="BQ550" s="79"/>
      <c r="BR550" s="79"/>
      <c r="BS550" s="79"/>
      <c r="BT550" s="79"/>
      <c r="BU550" s="79"/>
      <c r="BV550" s="79"/>
      <c r="BW550" s="79"/>
      <c r="BX550" s="79"/>
      <c r="BY550" s="79"/>
      <c r="BZ550" s="79"/>
      <c r="CA550" s="79"/>
      <c r="CB550" s="79"/>
      <c r="CC550" s="79"/>
      <c r="CD550" s="79"/>
      <c r="CE550" s="79"/>
      <c r="CF550" s="79"/>
      <c r="CG550" s="79"/>
      <c r="CH550" s="79"/>
      <c r="CI550" s="79"/>
    </row>
    <row r="551" spans="1:87" ht="14" x14ac:dyDescent="0.1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  <c r="BL551" s="79"/>
      <c r="BM551" s="79"/>
      <c r="BN551" s="79"/>
      <c r="BO551" s="79"/>
      <c r="BP551" s="79"/>
      <c r="BQ551" s="79"/>
      <c r="BR551" s="79"/>
      <c r="BS551" s="79"/>
      <c r="BT551" s="79"/>
      <c r="BU551" s="79"/>
      <c r="BV551" s="79"/>
      <c r="BW551" s="79"/>
      <c r="BX551" s="79"/>
      <c r="BY551" s="79"/>
      <c r="BZ551" s="79"/>
      <c r="CA551" s="79"/>
      <c r="CB551" s="79"/>
      <c r="CC551" s="79"/>
      <c r="CD551" s="79"/>
      <c r="CE551" s="79"/>
      <c r="CF551" s="79"/>
      <c r="CG551" s="79"/>
      <c r="CH551" s="79"/>
      <c r="CI551" s="79"/>
    </row>
    <row r="552" spans="1:87" ht="14" x14ac:dyDescent="0.1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  <c r="BL552" s="79"/>
      <c r="BM552" s="79"/>
      <c r="BN552" s="79"/>
      <c r="BO552" s="79"/>
      <c r="BP552" s="79"/>
      <c r="BQ552" s="79"/>
      <c r="BR552" s="79"/>
      <c r="BS552" s="79"/>
      <c r="BT552" s="79"/>
      <c r="BU552" s="79"/>
      <c r="BV552" s="79"/>
      <c r="BW552" s="79"/>
      <c r="BX552" s="79"/>
      <c r="BY552" s="79"/>
      <c r="BZ552" s="79"/>
      <c r="CA552" s="79"/>
      <c r="CB552" s="79"/>
      <c r="CC552" s="79"/>
      <c r="CD552" s="79"/>
      <c r="CE552" s="79"/>
      <c r="CF552" s="79"/>
      <c r="CG552" s="79"/>
      <c r="CH552" s="79"/>
      <c r="CI552" s="79"/>
    </row>
    <row r="553" spans="1:87" ht="14" x14ac:dyDescent="0.1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  <c r="BL553" s="79"/>
      <c r="BM553" s="79"/>
      <c r="BN553" s="79"/>
      <c r="BO553" s="79"/>
      <c r="BP553" s="79"/>
      <c r="BQ553" s="79"/>
      <c r="BR553" s="79"/>
      <c r="BS553" s="79"/>
      <c r="BT553" s="79"/>
      <c r="BU553" s="79"/>
      <c r="BV553" s="79"/>
      <c r="BW553" s="79"/>
      <c r="BX553" s="79"/>
      <c r="BY553" s="79"/>
      <c r="BZ553" s="79"/>
      <c r="CA553" s="79"/>
      <c r="CB553" s="79"/>
      <c r="CC553" s="79"/>
      <c r="CD553" s="79"/>
      <c r="CE553" s="79"/>
      <c r="CF553" s="79"/>
      <c r="CG553" s="79"/>
      <c r="CH553" s="79"/>
      <c r="CI553" s="79"/>
    </row>
    <row r="554" spans="1:87" ht="14" x14ac:dyDescent="0.1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79"/>
      <c r="CG554" s="79"/>
      <c r="CH554" s="79"/>
      <c r="CI554" s="79"/>
    </row>
    <row r="555" spans="1:87" ht="14" x14ac:dyDescent="0.1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  <c r="BL555" s="79"/>
      <c r="BM555" s="79"/>
      <c r="BN555" s="79"/>
      <c r="BO555" s="79"/>
      <c r="BP555" s="79"/>
      <c r="BQ555" s="79"/>
      <c r="BR555" s="79"/>
      <c r="BS555" s="79"/>
      <c r="BT555" s="79"/>
      <c r="BU555" s="79"/>
      <c r="BV555" s="79"/>
      <c r="BW555" s="79"/>
      <c r="BX555" s="79"/>
      <c r="BY555" s="79"/>
      <c r="BZ555" s="79"/>
      <c r="CA555" s="79"/>
      <c r="CB555" s="79"/>
      <c r="CC555" s="79"/>
      <c r="CD555" s="79"/>
      <c r="CE555" s="79"/>
      <c r="CF555" s="79"/>
      <c r="CG555" s="79"/>
      <c r="CH555" s="79"/>
      <c r="CI555" s="79"/>
    </row>
    <row r="556" spans="1:87" ht="14" x14ac:dyDescent="0.1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  <c r="BL556" s="79"/>
      <c r="BM556" s="79"/>
      <c r="BN556" s="79"/>
      <c r="BO556" s="79"/>
      <c r="BP556" s="79"/>
      <c r="BQ556" s="79"/>
      <c r="BR556" s="79"/>
      <c r="BS556" s="79"/>
      <c r="BT556" s="79"/>
      <c r="BU556" s="79"/>
      <c r="BV556" s="79"/>
      <c r="BW556" s="79"/>
      <c r="BX556" s="79"/>
      <c r="BY556" s="79"/>
      <c r="BZ556" s="79"/>
      <c r="CA556" s="79"/>
      <c r="CB556" s="79"/>
      <c r="CC556" s="79"/>
      <c r="CD556" s="79"/>
      <c r="CE556" s="79"/>
      <c r="CF556" s="79"/>
      <c r="CG556" s="79"/>
      <c r="CH556" s="79"/>
      <c r="CI556" s="79"/>
    </row>
    <row r="557" spans="1:87" ht="14" x14ac:dyDescent="0.1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  <c r="BL557" s="79"/>
      <c r="BM557" s="79"/>
      <c r="BN557" s="79"/>
      <c r="BO557" s="79"/>
      <c r="BP557" s="79"/>
      <c r="BQ557" s="79"/>
      <c r="BR557" s="79"/>
      <c r="BS557" s="79"/>
      <c r="BT557" s="79"/>
      <c r="BU557" s="79"/>
      <c r="BV557" s="79"/>
      <c r="BW557" s="79"/>
      <c r="BX557" s="79"/>
      <c r="BY557" s="79"/>
      <c r="BZ557" s="79"/>
      <c r="CA557" s="79"/>
      <c r="CB557" s="79"/>
      <c r="CC557" s="79"/>
      <c r="CD557" s="79"/>
      <c r="CE557" s="79"/>
      <c r="CF557" s="79"/>
      <c r="CG557" s="79"/>
      <c r="CH557" s="79"/>
      <c r="CI557" s="79"/>
    </row>
    <row r="558" spans="1:87" ht="14" x14ac:dyDescent="0.1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  <c r="BL558" s="79"/>
      <c r="BM558" s="79"/>
      <c r="BN558" s="79"/>
      <c r="BO558" s="79"/>
      <c r="BP558" s="79"/>
      <c r="BQ558" s="79"/>
      <c r="BR558" s="79"/>
      <c r="BS558" s="79"/>
      <c r="BT558" s="79"/>
      <c r="BU558" s="79"/>
      <c r="BV558" s="79"/>
      <c r="BW558" s="79"/>
      <c r="BX558" s="79"/>
      <c r="BY558" s="79"/>
      <c r="BZ558" s="79"/>
      <c r="CA558" s="79"/>
      <c r="CB558" s="79"/>
      <c r="CC558" s="79"/>
      <c r="CD558" s="79"/>
      <c r="CE558" s="79"/>
      <c r="CF558" s="79"/>
      <c r="CG558" s="79"/>
      <c r="CH558" s="79"/>
      <c r="CI558" s="79"/>
    </row>
    <row r="559" spans="1:87" ht="14" x14ac:dyDescent="0.1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  <c r="BL559" s="79"/>
      <c r="BM559" s="79"/>
      <c r="BN559" s="79"/>
      <c r="BO559" s="79"/>
      <c r="BP559" s="79"/>
      <c r="BQ559" s="79"/>
      <c r="BR559" s="79"/>
      <c r="BS559" s="79"/>
      <c r="BT559" s="79"/>
      <c r="BU559" s="79"/>
      <c r="BV559" s="79"/>
      <c r="BW559" s="79"/>
      <c r="BX559" s="79"/>
      <c r="BY559" s="79"/>
      <c r="BZ559" s="79"/>
      <c r="CA559" s="79"/>
      <c r="CB559" s="79"/>
      <c r="CC559" s="79"/>
      <c r="CD559" s="79"/>
      <c r="CE559" s="79"/>
      <c r="CF559" s="79"/>
      <c r="CG559" s="79"/>
      <c r="CH559" s="79"/>
      <c r="CI559" s="79"/>
    </row>
    <row r="560" spans="1:87" ht="14" x14ac:dyDescent="0.1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  <c r="BL560" s="79"/>
      <c r="BM560" s="79"/>
      <c r="BN560" s="79"/>
      <c r="BO560" s="79"/>
      <c r="BP560" s="79"/>
      <c r="BQ560" s="79"/>
      <c r="BR560" s="79"/>
      <c r="BS560" s="79"/>
      <c r="BT560" s="79"/>
      <c r="BU560" s="79"/>
      <c r="BV560" s="79"/>
      <c r="BW560" s="79"/>
      <c r="BX560" s="79"/>
      <c r="BY560" s="79"/>
      <c r="BZ560" s="79"/>
      <c r="CA560" s="79"/>
      <c r="CB560" s="79"/>
      <c r="CC560" s="79"/>
      <c r="CD560" s="79"/>
      <c r="CE560" s="79"/>
      <c r="CF560" s="79"/>
      <c r="CG560" s="79"/>
      <c r="CH560" s="79"/>
      <c r="CI560" s="79"/>
    </row>
    <row r="561" spans="1:87" ht="14" x14ac:dyDescent="0.1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  <c r="BL561" s="79"/>
      <c r="BM561" s="79"/>
      <c r="BN561" s="79"/>
      <c r="BO561" s="79"/>
      <c r="BP561" s="79"/>
      <c r="BQ561" s="79"/>
      <c r="BR561" s="79"/>
      <c r="BS561" s="79"/>
      <c r="BT561" s="79"/>
      <c r="BU561" s="79"/>
      <c r="BV561" s="79"/>
      <c r="BW561" s="79"/>
      <c r="BX561" s="79"/>
      <c r="BY561" s="79"/>
      <c r="BZ561" s="79"/>
      <c r="CA561" s="79"/>
      <c r="CB561" s="79"/>
      <c r="CC561" s="79"/>
      <c r="CD561" s="79"/>
      <c r="CE561" s="79"/>
      <c r="CF561" s="79"/>
      <c r="CG561" s="79"/>
      <c r="CH561" s="79"/>
      <c r="CI561" s="79"/>
    </row>
    <row r="562" spans="1:87" ht="14" x14ac:dyDescent="0.1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  <c r="BL562" s="79"/>
      <c r="BM562" s="79"/>
      <c r="BN562" s="79"/>
      <c r="BO562" s="79"/>
      <c r="BP562" s="79"/>
      <c r="BQ562" s="79"/>
      <c r="BR562" s="79"/>
      <c r="BS562" s="79"/>
      <c r="BT562" s="79"/>
      <c r="BU562" s="79"/>
      <c r="BV562" s="79"/>
      <c r="BW562" s="79"/>
      <c r="BX562" s="79"/>
      <c r="BY562" s="79"/>
      <c r="BZ562" s="79"/>
      <c r="CA562" s="79"/>
      <c r="CB562" s="79"/>
      <c r="CC562" s="79"/>
      <c r="CD562" s="79"/>
      <c r="CE562" s="79"/>
      <c r="CF562" s="79"/>
      <c r="CG562" s="79"/>
      <c r="CH562" s="79"/>
      <c r="CI562" s="79"/>
    </row>
    <row r="563" spans="1:87" ht="14" x14ac:dyDescent="0.1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  <c r="BL563" s="79"/>
      <c r="BM563" s="79"/>
      <c r="BN563" s="79"/>
      <c r="BO563" s="79"/>
      <c r="BP563" s="79"/>
      <c r="BQ563" s="79"/>
      <c r="BR563" s="79"/>
      <c r="BS563" s="79"/>
      <c r="BT563" s="79"/>
      <c r="BU563" s="79"/>
      <c r="BV563" s="79"/>
      <c r="BW563" s="79"/>
      <c r="BX563" s="79"/>
      <c r="BY563" s="79"/>
      <c r="BZ563" s="79"/>
      <c r="CA563" s="79"/>
      <c r="CB563" s="79"/>
      <c r="CC563" s="79"/>
      <c r="CD563" s="79"/>
      <c r="CE563" s="79"/>
      <c r="CF563" s="79"/>
      <c r="CG563" s="79"/>
      <c r="CH563" s="79"/>
      <c r="CI563" s="79"/>
    </row>
    <row r="564" spans="1:87" ht="14" x14ac:dyDescent="0.1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  <c r="BL564" s="79"/>
      <c r="BM564" s="79"/>
      <c r="BN564" s="79"/>
      <c r="BO564" s="79"/>
      <c r="BP564" s="79"/>
      <c r="BQ564" s="79"/>
      <c r="BR564" s="79"/>
      <c r="BS564" s="79"/>
      <c r="BT564" s="79"/>
      <c r="BU564" s="79"/>
      <c r="BV564" s="79"/>
      <c r="BW564" s="79"/>
      <c r="BX564" s="79"/>
      <c r="BY564" s="79"/>
      <c r="BZ564" s="79"/>
      <c r="CA564" s="79"/>
      <c r="CB564" s="79"/>
      <c r="CC564" s="79"/>
      <c r="CD564" s="79"/>
      <c r="CE564" s="79"/>
      <c r="CF564" s="79"/>
      <c r="CG564" s="79"/>
      <c r="CH564" s="79"/>
      <c r="CI564" s="79"/>
    </row>
    <row r="565" spans="1:87" ht="14" x14ac:dyDescent="0.1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  <c r="BL565" s="79"/>
      <c r="BM565" s="79"/>
      <c r="BN565" s="79"/>
      <c r="BO565" s="79"/>
      <c r="BP565" s="79"/>
      <c r="BQ565" s="79"/>
      <c r="BR565" s="79"/>
      <c r="BS565" s="79"/>
      <c r="BT565" s="79"/>
      <c r="BU565" s="79"/>
      <c r="BV565" s="79"/>
      <c r="BW565" s="79"/>
      <c r="BX565" s="79"/>
      <c r="BY565" s="79"/>
      <c r="BZ565" s="79"/>
      <c r="CA565" s="79"/>
      <c r="CB565" s="79"/>
      <c r="CC565" s="79"/>
      <c r="CD565" s="79"/>
      <c r="CE565" s="79"/>
      <c r="CF565" s="79"/>
      <c r="CG565" s="79"/>
      <c r="CH565" s="79"/>
      <c r="CI565" s="79"/>
    </row>
    <row r="566" spans="1:87" ht="14" x14ac:dyDescent="0.1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  <c r="BL566" s="79"/>
      <c r="BM566" s="79"/>
      <c r="BN566" s="79"/>
      <c r="BO566" s="79"/>
      <c r="BP566" s="79"/>
      <c r="BQ566" s="79"/>
      <c r="BR566" s="79"/>
      <c r="BS566" s="79"/>
      <c r="BT566" s="79"/>
      <c r="BU566" s="79"/>
      <c r="BV566" s="79"/>
      <c r="BW566" s="79"/>
      <c r="BX566" s="79"/>
      <c r="BY566" s="79"/>
      <c r="BZ566" s="79"/>
      <c r="CA566" s="79"/>
      <c r="CB566" s="79"/>
      <c r="CC566" s="79"/>
      <c r="CD566" s="79"/>
      <c r="CE566" s="79"/>
      <c r="CF566" s="79"/>
      <c r="CG566" s="79"/>
      <c r="CH566" s="79"/>
      <c r="CI566" s="79"/>
    </row>
    <row r="567" spans="1:87" ht="14" x14ac:dyDescent="0.1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  <c r="BL567" s="79"/>
      <c r="BM567" s="79"/>
      <c r="BN567" s="79"/>
      <c r="BO567" s="79"/>
      <c r="BP567" s="79"/>
      <c r="BQ567" s="79"/>
      <c r="BR567" s="79"/>
      <c r="BS567" s="79"/>
      <c r="BT567" s="79"/>
      <c r="BU567" s="79"/>
      <c r="BV567" s="79"/>
      <c r="BW567" s="79"/>
      <c r="BX567" s="79"/>
      <c r="BY567" s="79"/>
      <c r="BZ567" s="79"/>
      <c r="CA567" s="79"/>
      <c r="CB567" s="79"/>
      <c r="CC567" s="79"/>
      <c r="CD567" s="79"/>
      <c r="CE567" s="79"/>
      <c r="CF567" s="79"/>
      <c r="CG567" s="79"/>
      <c r="CH567" s="79"/>
      <c r="CI567" s="79"/>
    </row>
    <row r="568" spans="1:87" ht="14" x14ac:dyDescent="0.1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  <c r="BL568" s="79"/>
      <c r="BM568" s="79"/>
      <c r="BN568" s="79"/>
      <c r="BO568" s="79"/>
      <c r="BP568" s="79"/>
      <c r="BQ568" s="79"/>
      <c r="BR568" s="79"/>
      <c r="BS568" s="79"/>
      <c r="BT568" s="79"/>
      <c r="BU568" s="79"/>
      <c r="BV568" s="79"/>
      <c r="BW568" s="79"/>
      <c r="BX568" s="79"/>
      <c r="BY568" s="79"/>
      <c r="BZ568" s="79"/>
      <c r="CA568" s="79"/>
      <c r="CB568" s="79"/>
      <c r="CC568" s="79"/>
      <c r="CD568" s="79"/>
      <c r="CE568" s="79"/>
      <c r="CF568" s="79"/>
      <c r="CG568" s="79"/>
      <c r="CH568" s="79"/>
      <c r="CI568" s="79"/>
    </row>
    <row r="569" spans="1:87" ht="14" x14ac:dyDescent="0.1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  <c r="BL569" s="79"/>
      <c r="BM569" s="79"/>
      <c r="BN569" s="79"/>
      <c r="BO569" s="79"/>
      <c r="BP569" s="79"/>
      <c r="BQ569" s="79"/>
      <c r="BR569" s="79"/>
      <c r="BS569" s="79"/>
      <c r="BT569" s="79"/>
      <c r="BU569" s="79"/>
      <c r="BV569" s="79"/>
      <c r="BW569" s="79"/>
      <c r="BX569" s="79"/>
      <c r="BY569" s="79"/>
      <c r="BZ569" s="79"/>
      <c r="CA569" s="79"/>
      <c r="CB569" s="79"/>
      <c r="CC569" s="79"/>
      <c r="CD569" s="79"/>
      <c r="CE569" s="79"/>
      <c r="CF569" s="79"/>
      <c r="CG569" s="79"/>
      <c r="CH569" s="79"/>
      <c r="CI569" s="79"/>
    </row>
    <row r="570" spans="1:87" ht="14" x14ac:dyDescent="0.1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  <c r="BL570" s="79"/>
      <c r="BM570" s="79"/>
      <c r="BN570" s="79"/>
      <c r="BO570" s="79"/>
      <c r="BP570" s="79"/>
      <c r="BQ570" s="79"/>
      <c r="BR570" s="79"/>
      <c r="BS570" s="79"/>
      <c r="BT570" s="79"/>
      <c r="BU570" s="79"/>
      <c r="BV570" s="79"/>
      <c r="BW570" s="79"/>
      <c r="BX570" s="79"/>
      <c r="BY570" s="79"/>
      <c r="BZ570" s="79"/>
      <c r="CA570" s="79"/>
      <c r="CB570" s="79"/>
      <c r="CC570" s="79"/>
      <c r="CD570" s="79"/>
      <c r="CE570" s="79"/>
      <c r="CF570" s="79"/>
      <c r="CG570" s="79"/>
      <c r="CH570" s="79"/>
      <c r="CI570" s="79"/>
    </row>
    <row r="571" spans="1:87" ht="14" x14ac:dyDescent="0.1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  <c r="BL571" s="79"/>
      <c r="BM571" s="79"/>
      <c r="BN571" s="79"/>
      <c r="BO571" s="79"/>
      <c r="BP571" s="79"/>
      <c r="BQ571" s="79"/>
      <c r="BR571" s="79"/>
      <c r="BS571" s="79"/>
      <c r="BT571" s="79"/>
      <c r="BU571" s="79"/>
      <c r="BV571" s="79"/>
      <c r="BW571" s="79"/>
      <c r="BX571" s="79"/>
      <c r="BY571" s="79"/>
      <c r="BZ571" s="79"/>
      <c r="CA571" s="79"/>
      <c r="CB571" s="79"/>
      <c r="CC571" s="79"/>
      <c r="CD571" s="79"/>
      <c r="CE571" s="79"/>
      <c r="CF571" s="79"/>
      <c r="CG571" s="79"/>
      <c r="CH571" s="79"/>
      <c r="CI571" s="79"/>
    </row>
    <row r="572" spans="1:87" ht="14" x14ac:dyDescent="0.1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79"/>
      <c r="BU572" s="79"/>
      <c r="BV572" s="79"/>
      <c r="BW572" s="79"/>
      <c r="BX572" s="79"/>
      <c r="BY572" s="79"/>
      <c r="BZ572" s="79"/>
      <c r="CA572" s="79"/>
      <c r="CB572" s="79"/>
      <c r="CC572" s="79"/>
      <c r="CD572" s="79"/>
      <c r="CE572" s="79"/>
      <c r="CF572" s="79"/>
      <c r="CG572" s="79"/>
      <c r="CH572" s="79"/>
      <c r="CI572" s="79"/>
    </row>
    <row r="573" spans="1:87" ht="14" x14ac:dyDescent="0.1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  <c r="BL573" s="79"/>
      <c r="BM573" s="79"/>
      <c r="BN573" s="79"/>
      <c r="BO573" s="79"/>
      <c r="BP573" s="79"/>
      <c r="BQ573" s="79"/>
      <c r="BR573" s="79"/>
      <c r="BS573" s="79"/>
      <c r="BT573" s="79"/>
      <c r="BU573" s="79"/>
      <c r="BV573" s="79"/>
      <c r="BW573" s="79"/>
      <c r="BX573" s="79"/>
      <c r="BY573" s="79"/>
      <c r="BZ573" s="79"/>
      <c r="CA573" s="79"/>
      <c r="CB573" s="79"/>
      <c r="CC573" s="79"/>
      <c r="CD573" s="79"/>
      <c r="CE573" s="79"/>
      <c r="CF573" s="79"/>
      <c r="CG573" s="79"/>
      <c r="CH573" s="79"/>
      <c r="CI573" s="79"/>
    </row>
    <row r="574" spans="1:87" ht="14" x14ac:dyDescent="0.1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  <c r="BL574" s="79"/>
      <c r="BM574" s="79"/>
      <c r="BN574" s="79"/>
      <c r="BO574" s="79"/>
      <c r="BP574" s="79"/>
      <c r="BQ574" s="79"/>
      <c r="BR574" s="79"/>
      <c r="BS574" s="79"/>
      <c r="BT574" s="79"/>
      <c r="BU574" s="79"/>
      <c r="BV574" s="79"/>
      <c r="BW574" s="79"/>
      <c r="BX574" s="79"/>
      <c r="BY574" s="79"/>
      <c r="BZ574" s="79"/>
      <c r="CA574" s="79"/>
      <c r="CB574" s="79"/>
      <c r="CC574" s="79"/>
      <c r="CD574" s="79"/>
      <c r="CE574" s="79"/>
      <c r="CF574" s="79"/>
      <c r="CG574" s="79"/>
      <c r="CH574" s="79"/>
      <c r="CI574" s="79"/>
    </row>
    <row r="575" spans="1:87" ht="14" x14ac:dyDescent="0.1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  <c r="BL575" s="79"/>
      <c r="BM575" s="79"/>
      <c r="BN575" s="79"/>
      <c r="BO575" s="79"/>
      <c r="BP575" s="79"/>
      <c r="BQ575" s="79"/>
      <c r="BR575" s="79"/>
      <c r="BS575" s="79"/>
      <c r="BT575" s="79"/>
      <c r="BU575" s="79"/>
      <c r="BV575" s="79"/>
      <c r="BW575" s="79"/>
      <c r="BX575" s="79"/>
      <c r="BY575" s="79"/>
      <c r="BZ575" s="79"/>
      <c r="CA575" s="79"/>
      <c r="CB575" s="79"/>
      <c r="CC575" s="79"/>
      <c r="CD575" s="79"/>
      <c r="CE575" s="79"/>
      <c r="CF575" s="79"/>
      <c r="CG575" s="79"/>
      <c r="CH575" s="79"/>
      <c r="CI575" s="79"/>
    </row>
    <row r="576" spans="1:87" ht="14" x14ac:dyDescent="0.1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  <c r="BL576" s="79"/>
      <c r="BM576" s="79"/>
      <c r="BN576" s="79"/>
      <c r="BO576" s="79"/>
      <c r="BP576" s="79"/>
      <c r="BQ576" s="79"/>
      <c r="BR576" s="79"/>
      <c r="BS576" s="79"/>
      <c r="BT576" s="79"/>
      <c r="BU576" s="79"/>
      <c r="BV576" s="79"/>
      <c r="BW576" s="79"/>
      <c r="BX576" s="79"/>
      <c r="BY576" s="79"/>
      <c r="BZ576" s="79"/>
      <c r="CA576" s="79"/>
      <c r="CB576" s="79"/>
      <c r="CC576" s="79"/>
      <c r="CD576" s="79"/>
      <c r="CE576" s="79"/>
      <c r="CF576" s="79"/>
      <c r="CG576" s="79"/>
      <c r="CH576" s="79"/>
      <c r="CI576" s="79"/>
    </row>
    <row r="577" spans="1:87" ht="14" x14ac:dyDescent="0.1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  <c r="BL577" s="79"/>
      <c r="BM577" s="79"/>
      <c r="BN577" s="79"/>
      <c r="BO577" s="79"/>
      <c r="BP577" s="79"/>
      <c r="BQ577" s="79"/>
      <c r="BR577" s="79"/>
      <c r="BS577" s="79"/>
      <c r="BT577" s="79"/>
      <c r="BU577" s="79"/>
      <c r="BV577" s="79"/>
      <c r="BW577" s="79"/>
      <c r="BX577" s="79"/>
      <c r="BY577" s="79"/>
      <c r="BZ577" s="79"/>
      <c r="CA577" s="79"/>
      <c r="CB577" s="79"/>
      <c r="CC577" s="79"/>
      <c r="CD577" s="79"/>
      <c r="CE577" s="79"/>
      <c r="CF577" s="79"/>
      <c r="CG577" s="79"/>
      <c r="CH577" s="79"/>
      <c r="CI577" s="79"/>
    </row>
    <row r="578" spans="1:87" ht="14" x14ac:dyDescent="0.1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  <c r="BL578" s="79"/>
      <c r="BM578" s="79"/>
      <c r="BN578" s="79"/>
      <c r="BO578" s="79"/>
      <c r="BP578" s="79"/>
      <c r="BQ578" s="79"/>
      <c r="BR578" s="79"/>
      <c r="BS578" s="79"/>
      <c r="BT578" s="79"/>
      <c r="BU578" s="79"/>
      <c r="BV578" s="79"/>
      <c r="BW578" s="79"/>
      <c r="BX578" s="79"/>
      <c r="BY578" s="79"/>
      <c r="BZ578" s="79"/>
      <c r="CA578" s="79"/>
      <c r="CB578" s="79"/>
      <c r="CC578" s="79"/>
      <c r="CD578" s="79"/>
      <c r="CE578" s="79"/>
      <c r="CF578" s="79"/>
      <c r="CG578" s="79"/>
      <c r="CH578" s="79"/>
      <c r="CI578" s="79"/>
    </row>
    <row r="579" spans="1:87" ht="14" x14ac:dyDescent="0.1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  <c r="BL579" s="79"/>
      <c r="BM579" s="79"/>
      <c r="BN579" s="79"/>
      <c r="BO579" s="79"/>
      <c r="BP579" s="79"/>
      <c r="BQ579" s="79"/>
      <c r="BR579" s="79"/>
      <c r="BS579" s="79"/>
      <c r="BT579" s="79"/>
      <c r="BU579" s="79"/>
      <c r="BV579" s="79"/>
      <c r="BW579" s="79"/>
      <c r="BX579" s="79"/>
      <c r="BY579" s="79"/>
      <c r="BZ579" s="79"/>
      <c r="CA579" s="79"/>
      <c r="CB579" s="79"/>
      <c r="CC579" s="79"/>
      <c r="CD579" s="79"/>
      <c r="CE579" s="79"/>
      <c r="CF579" s="79"/>
      <c r="CG579" s="79"/>
      <c r="CH579" s="79"/>
      <c r="CI579" s="79"/>
    </row>
    <row r="580" spans="1:87" ht="14" x14ac:dyDescent="0.1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  <c r="BL580" s="79"/>
      <c r="BM580" s="79"/>
      <c r="BN580" s="79"/>
      <c r="BO580" s="79"/>
      <c r="BP580" s="79"/>
      <c r="BQ580" s="79"/>
      <c r="BR580" s="79"/>
      <c r="BS580" s="79"/>
      <c r="BT580" s="79"/>
      <c r="BU580" s="79"/>
      <c r="BV580" s="79"/>
      <c r="BW580" s="79"/>
      <c r="BX580" s="79"/>
      <c r="BY580" s="79"/>
      <c r="BZ580" s="79"/>
      <c r="CA580" s="79"/>
      <c r="CB580" s="79"/>
      <c r="CC580" s="79"/>
      <c r="CD580" s="79"/>
      <c r="CE580" s="79"/>
      <c r="CF580" s="79"/>
      <c r="CG580" s="79"/>
      <c r="CH580" s="79"/>
      <c r="CI580" s="79"/>
    </row>
    <row r="581" spans="1:87" ht="14" x14ac:dyDescent="0.1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  <c r="BL581" s="79"/>
      <c r="BM581" s="79"/>
      <c r="BN581" s="79"/>
      <c r="BO581" s="79"/>
      <c r="BP581" s="79"/>
      <c r="BQ581" s="79"/>
      <c r="BR581" s="79"/>
      <c r="BS581" s="79"/>
      <c r="BT581" s="79"/>
      <c r="BU581" s="79"/>
      <c r="BV581" s="79"/>
      <c r="BW581" s="79"/>
      <c r="BX581" s="79"/>
      <c r="BY581" s="79"/>
      <c r="BZ581" s="79"/>
      <c r="CA581" s="79"/>
      <c r="CB581" s="79"/>
      <c r="CC581" s="79"/>
      <c r="CD581" s="79"/>
      <c r="CE581" s="79"/>
      <c r="CF581" s="79"/>
      <c r="CG581" s="79"/>
      <c r="CH581" s="79"/>
      <c r="CI581" s="79"/>
    </row>
    <row r="582" spans="1:87" ht="14" x14ac:dyDescent="0.1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  <c r="BL582" s="79"/>
      <c r="BM582" s="79"/>
      <c r="BN582" s="79"/>
      <c r="BO582" s="79"/>
      <c r="BP582" s="79"/>
      <c r="BQ582" s="79"/>
      <c r="BR582" s="79"/>
      <c r="BS582" s="79"/>
      <c r="BT582" s="79"/>
      <c r="BU582" s="79"/>
      <c r="BV582" s="79"/>
      <c r="BW582" s="79"/>
      <c r="BX582" s="79"/>
      <c r="BY582" s="79"/>
      <c r="BZ582" s="79"/>
      <c r="CA582" s="79"/>
      <c r="CB582" s="79"/>
      <c r="CC582" s="79"/>
      <c r="CD582" s="79"/>
      <c r="CE582" s="79"/>
      <c r="CF582" s="79"/>
      <c r="CG582" s="79"/>
      <c r="CH582" s="79"/>
      <c r="CI582" s="79"/>
    </row>
    <row r="583" spans="1:87" ht="14" x14ac:dyDescent="0.1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  <c r="BL583" s="79"/>
      <c r="BM583" s="79"/>
      <c r="BN583" s="79"/>
      <c r="BO583" s="79"/>
      <c r="BP583" s="79"/>
      <c r="BQ583" s="79"/>
      <c r="BR583" s="79"/>
      <c r="BS583" s="79"/>
      <c r="BT583" s="79"/>
      <c r="BU583" s="79"/>
      <c r="BV583" s="79"/>
      <c r="BW583" s="79"/>
      <c r="BX583" s="79"/>
      <c r="BY583" s="79"/>
      <c r="BZ583" s="79"/>
      <c r="CA583" s="79"/>
      <c r="CB583" s="79"/>
      <c r="CC583" s="79"/>
      <c r="CD583" s="79"/>
      <c r="CE583" s="79"/>
      <c r="CF583" s="79"/>
      <c r="CG583" s="79"/>
      <c r="CH583" s="79"/>
      <c r="CI583" s="79"/>
    </row>
    <row r="584" spans="1:87" ht="14" x14ac:dyDescent="0.1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  <c r="BL584" s="79"/>
      <c r="BM584" s="79"/>
      <c r="BN584" s="79"/>
      <c r="BO584" s="79"/>
      <c r="BP584" s="79"/>
      <c r="BQ584" s="79"/>
      <c r="BR584" s="79"/>
      <c r="BS584" s="79"/>
      <c r="BT584" s="79"/>
      <c r="BU584" s="79"/>
      <c r="BV584" s="79"/>
      <c r="BW584" s="79"/>
      <c r="BX584" s="79"/>
      <c r="BY584" s="79"/>
      <c r="BZ584" s="79"/>
      <c r="CA584" s="79"/>
      <c r="CB584" s="79"/>
      <c r="CC584" s="79"/>
      <c r="CD584" s="79"/>
      <c r="CE584" s="79"/>
      <c r="CF584" s="79"/>
      <c r="CG584" s="79"/>
      <c r="CH584" s="79"/>
      <c r="CI584" s="79"/>
    </row>
    <row r="585" spans="1:87" ht="14" x14ac:dyDescent="0.1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  <c r="BL585" s="79"/>
      <c r="BM585" s="79"/>
      <c r="BN585" s="79"/>
      <c r="BO585" s="79"/>
      <c r="BP585" s="79"/>
      <c r="BQ585" s="79"/>
      <c r="BR585" s="79"/>
      <c r="BS585" s="79"/>
      <c r="BT585" s="79"/>
      <c r="BU585" s="79"/>
      <c r="BV585" s="79"/>
      <c r="BW585" s="79"/>
      <c r="BX585" s="79"/>
      <c r="BY585" s="79"/>
      <c r="BZ585" s="79"/>
      <c r="CA585" s="79"/>
      <c r="CB585" s="79"/>
      <c r="CC585" s="79"/>
      <c r="CD585" s="79"/>
      <c r="CE585" s="79"/>
      <c r="CF585" s="79"/>
      <c r="CG585" s="79"/>
      <c r="CH585" s="79"/>
      <c r="CI585" s="79"/>
    </row>
    <row r="586" spans="1:87" ht="14" x14ac:dyDescent="0.1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  <c r="BL586" s="79"/>
      <c r="BM586" s="79"/>
      <c r="BN586" s="79"/>
      <c r="BO586" s="79"/>
      <c r="BP586" s="79"/>
      <c r="BQ586" s="79"/>
      <c r="BR586" s="79"/>
      <c r="BS586" s="79"/>
      <c r="BT586" s="79"/>
      <c r="BU586" s="79"/>
      <c r="BV586" s="79"/>
      <c r="BW586" s="79"/>
      <c r="BX586" s="79"/>
      <c r="BY586" s="79"/>
      <c r="BZ586" s="79"/>
      <c r="CA586" s="79"/>
      <c r="CB586" s="79"/>
      <c r="CC586" s="79"/>
      <c r="CD586" s="79"/>
      <c r="CE586" s="79"/>
      <c r="CF586" s="79"/>
      <c r="CG586" s="79"/>
      <c r="CH586" s="79"/>
      <c r="CI586" s="79"/>
    </row>
    <row r="587" spans="1:87" ht="14" x14ac:dyDescent="0.1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  <c r="BL587" s="79"/>
      <c r="BM587" s="79"/>
      <c r="BN587" s="79"/>
      <c r="BO587" s="79"/>
      <c r="BP587" s="79"/>
      <c r="BQ587" s="79"/>
      <c r="BR587" s="79"/>
      <c r="BS587" s="79"/>
      <c r="BT587" s="79"/>
      <c r="BU587" s="79"/>
      <c r="BV587" s="79"/>
      <c r="BW587" s="79"/>
      <c r="BX587" s="79"/>
      <c r="BY587" s="79"/>
      <c r="BZ587" s="79"/>
      <c r="CA587" s="79"/>
      <c r="CB587" s="79"/>
      <c r="CC587" s="79"/>
      <c r="CD587" s="79"/>
      <c r="CE587" s="79"/>
      <c r="CF587" s="79"/>
      <c r="CG587" s="79"/>
      <c r="CH587" s="79"/>
      <c r="CI587" s="79"/>
    </row>
    <row r="588" spans="1:87" ht="14" x14ac:dyDescent="0.1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  <c r="BO588" s="79"/>
      <c r="BP588" s="79"/>
      <c r="BQ588" s="79"/>
      <c r="BR588" s="79"/>
      <c r="BS588" s="79"/>
      <c r="BT588" s="79"/>
      <c r="BU588" s="79"/>
      <c r="BV588" s="79"/>
      <c r="BW588" s="79"/>
      <c r="BX588" s="79"/>
      <c r="BY588" s="79"/>
      <c r="BZ588" s="79"/>
      <c r="CA588" s="79"/>
      <c r="CB588" s="79"/>
      <c r="CC588" s="79"/>
      <c r="CD588" s="79"/>
      <c r="CE588" s="79"/>
      <c r="CF588" s="79"/>
      <c r="CG588" s="79"/>
      <c r="CH588" s="79"/>
      <c r="CI588" s="79"/>
    </row>
    <row r="589" spans="1:87" ht="14" x14ac:dyDescent="0.1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  <c r="BL589" s="79"/>
      <c r="BM589" s="79"/>
      <c r="BN589" s="79"/>
      <c r="BO589" s="79"/>
      <c r="BP589" s="79"/>
      <c r="BQ589" s="79"/>
      <c r="BR589" s="79"/>
      <c r="BS589" s="79"/>
      <c r="BT589" s="79"/>
      <c r="BU589" s="79"/>
      <c r="BV589" s="79"/>
      <c r="BW589" s="79"/>
      <c r="BX589" s="79"/>
      <c r="BY589" s="79"/>
      <c r="BZ589" s="79"/>
      <c r="CA589" s="79"/>
      <c r="CB589" s="79"/>
      <c r="CC589" s="79"/>
      <c r="CD589" s="79"/>
      <c r="CE589" s="79"/>
      <c r="CF589" s="79"/>
      <c r="CG589" s="79"/>
      <c r="CH589" s="79"/>
      <c r="CI589" s="79"/>
    </row>
    <row r="590" spans="1:87" ht="14" x14ac:dyDescent="0.1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  <c r="BL590" s="79"/>
      <c r="BM590" s="79"/>
      <c r="BN590" s="79"/>
      <c r="BO590" s="79"/>
      <c r="BP590" s="79"/>
      <c r="BQ590" s="79"/>
      <c r="BR590" s="79"/>
      <c r="BS590" s="79"/>
      <c r="BT590" s="79"/>
      <c r="BU590" s="79"/>
      <c r="BV590" s="79"/>
      <c r="BW590" s="79"/>
      <c r="BX590" s="79"/>
      <c r="BY590" s="79"/>
      <c r="BZ590" s="79"/>
      <c r="CA590" s="79"/>
      <c r="CB590" s="79"/>
      <c r="CC590" s="79"/>
      <c r="CD590" s="79"/>
      <c r="CE590" s="79"/>
      <c r="CF590" s="79"/>
      <c r="CG590" s="79"/>
      <c r="CH590" s="79"/>
      <c r="CI590" s="79"/>
    </row>
    <row r="591" spans="1:87" ht="14" x14ac:dyDescent="0.1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  <c r="BL591" s="79"/>
      <c r="BM591" s="79"/>
      <c r="BN591" s="79"/>
      <c r="BO591" s="79"/>
      <c r="BP591" s="79"/>
      <c r="BQ591" s="79"/>
      <c r="BR591" s="79"/>
      <c r="BS591" s="79"/>
      <c r="BT591" s="79"/>
      <c r="BU591" s="79"/>
      <c r="BV591" s="79"/>
      <c r="BW591" s="79"/>
      <c r="BX591" s="79"/>
      <c r="BY591" s="79"/>
      <c r="BZ591" s="79"/>
      <c r="CA591" s="79"/>
      <c r="CB591" s="79"/>
      <c r="CC591" s="79"/>
      <c r="CD591" s="79"/>
      <c r="CE591" s="79"/>
      <c r="CF591" s="79"/>
      <c r="CG591" s="79"/>
      <c r="CH591" s="79"/>
      <c r="CI591" s="79"/>
    </row>
    <row r="592" spans="1:87" ht="14" x14ac:dyDescent="0.1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  <c r="BL592" s="79"/>
      <c r="BM592" s="79"/>
      <c r="BN592" s="79"/>
      <c r="BO592" s="79"/>
      <c r="BP592" s="79"/>
      <c r="BQ592" s="79"/>
      <c r="BR592" s="79"/>
      <c r="BS592" s="79"/>
      <c r="BT592" s="79"/>
      <c r="BU592" s="79"/>
      <c r="BV592" s="79"/>
      <c r="BW592" s="79"/>
      <c r="BX592" s="79"/>
      <c r="BY592" s="79"/>
      <c r="BZ592" s="79"/>
      <c r="CA592" s="79"/>
      <c r="CB592" s="79"/>
      <c r="CC592" s="79"/>
      <c r="CD592" s="79"/>
      <c r="CE592" s="79"/>
      <c r="CF592" s="79"/>
      <c r="CG592" s="79"/>
      <c r="CH592" s="79"/>
      <c r="CI592" s="79"/>
    </row>
    <row r="593" spans="1:87" ht="14" x14ac:dyDescent="0.1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  <c r="BL593" s="79"/>
      <c r="BM593" s="79"/>
      <c r="BN593" s="79"/>
      <c r="BO593" s="79"/>
      <c r="BP593" s="79"/>
      <c r="BQ593" s="79"/>
      <c r="BR593" s="79"/>
      <c r="BS593" s="79"/>
      <c r="BT593" s="79"/>
      <c r="BU593" s="79"/>
      <c r="BV593" s="79"/>
      <c r="BW593" s="79"/>
      <c r="BX593" s="79"/>
      <c r="BY593" s="79"/>
      <c r="BZ593" s="79"/>
      <c r="CA593" s="79"/>
      <c r="CB593" s="79"/>
      <c r="CC593" s="79"/>
      <c r="CD593" s="79"/>
      <c r="CE593" s="79"/>
      <c r="CF593" s="79"/>
      <c r="CG593" s="79"/>
      <c r="CH593" s="79"/>
      <c r="CI593" s="79"/>
    </row>
    <row r="594" spans="1:87" ht="14" x14ac:dyDescent="0.1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  <c r="CH594" s="79"/>
      <c r="CI594" s="79"/>
    </row>
    <row r="595" spans="1:87" ht="14" x14ac:dyDescent="0.1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  <c r="BL595" s="79"/>
      <c r="BM595" s="79"/>
      <c r="BN595" s="79"/>
      <c r="BO595" s="79"/>
      <c r="BP595" s="79"/>
      <c r="BQ595" s="79"/>
      <c r="BR595" s="79"/>
      <c r="BS595" s="79"/>
      <c r="BT595" s="79"/>
      <c r="BU595" s="79"/>
      <c r="BV595" s="79"/>
      <c r="BW595" s="79"/>
      <c r="BX595" s="79"/>
      <c r="BY595" s="79"/>
      <c r="BZ595" s="79"/>
      <c r="CA595" s="79"/>
      <c r="CB595" s="79"/>
      <c r="CC595" s="79"/>
      <c r="CD595" s="79"/>
      <c r="CE595" s="79"/>
      <c r="CF595" s="79"/>
      <c r="CG595" s="79"/>
      <c r="CH595" s="79"/>
      <c r="CI595" s="79"/>
    </row>
    <row r="596" spans="1:87" ht="14" x14ac:dyDescent="0.1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  <c r="BL596" s="79"/>
      <c r="BM596" s="79"/>
      <c r="BN596" s="79"/>
      <c r="BO596" s="79"/>
      <c r="BP596" s="79"/>
      <c r="BQ596" s="79"/>
      <c r="BR596" s="79"/>
      <c r="BS596" s="79"/>
      <c r="BT596" s="79"/>
      <c r="BU596" s="79"/>
      <c r="BV596" s="79"/>
      <c r="BW596" s="79"/>
      <c r="BX596" s="79"/>
      <c r="BY596" s="79"/>
      <c r="BZ596" s="79"/>
      <c r="CA596" s="79"/>
      <c r="CB596" s="79"/>
      <c r="CC596" s="79"/>
      <c r="CD596" s="79"/>
      <c r="CE596" s="79"/>
      <c r="CF596" s="79"/>
      <c r="CG596" s="79"/>
      <c r="CH596" s="79"/>
      <c r="CI596" s="79"/>
    </row>
    <row r="597" spans="1:87" ht="14" x14ac:dyDescent="0.1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  <c r="BL597" s="79"/>
      <c r="BM597" s="79"/>
      <c r="BN597" s="79"/>
      <c r="BO597" s="79"/>
      <c r="BP597" s="79"/>
      <c r="BQ597" s="79"/>
      <c r="BR597" s="79"/>
      <c r="BS597" s="79"/>
      <c r="BT597" s="79"/>
      <c r="BU597" s="79"/>
      <c r="BV597" s="79"/>
      <c r="BW597" s="79"/>
      <c r="BX597" s="79"/>
      <c r="BY597" s="79"/>
      <c r="BZ597" s="79"/>
      <c r="CA597" s="79"/>
      <c r="CB597" s="79"/>
      <c r="CC597" s="79"/>
      <c r="CD597" s="79"/>
      <c r="CE597" s="79"/>
      <c r="CF597" s="79"/>
      <c r="CG597" s="79"/>
      <c r="CH597" s="79"/>
      <c r="CI597" s="79"/>
    </row>
    <row r="598" spans="1:87" ht="14" x14ac:dyDescent="0.1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  <c r="BL598" s="79"/>
      <c r="BM598" s="79"/>
      <c r="BN598" s="79"/>
      <c r="BO598" s="79"/>
      <c r="BP598" s="79"/>
      <c r="BQ598" s="79"/>
      <c r="BR598" s="79"/>
      <c r="BS598" s="79"/>
      <c r="BT598" s="79"/>
      <c r="BU598" s="79"/>
      <c r="BV598" s="79"/>
      <c r="BW598" s="79"/>
      <c r="BX598" s="79"/>
      <c r="BY598" s="79"/>
      <c r="BZ598" s="79"/>
      <c r="CA598" s="79"/>
      <c r="CB598" s="79"/>
      <c r="CC598" s="79"/>
      <c r="CD598" s="79"/>
      <c r="CE598" s="79"/>
      <c r="CF598" s="79"/>
      <c r="CG598" s="79"/>
      <c r="CH598" s="79"/>
      <c r="CI598" s="79"/>
    </row>
    <row r="599" spans="1:87" ht="14" x14ac:dyDescent="0.1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  <c r="BL599" s="79"/>
      <c r="BM599" s="79"/>
      <c r="BN599" s="79"/>
      <c r="BO599" s="79"/>
      <c r="BP599" s="79"/>
      <c r="BQ599" s="79"/>
      <c r="BR599" s="79"/>
      <c r="BS599" s="79"/>
      <c r="BT599" s="79"/>
      <c r="BU599" s="79"/>
      <c r="BV599" s="79"/>
      <c r="BW599" s="79"/>
      <c r="BX599" s="79"/>
      <c r="BY599" s="79"/>
      <c r="BZ599" s="79"/>
      <c r="CA599" s="79"/>
      <c r="CB599" s="79"/>
      <c r="CC599" s="79"/>
      <c r="CD599" s="79"/>
      <c r="CE599" s="79"/>
      <c r="CF599" s="79"/>
      <c r="CG599" s="79"/>
      <c r="CH599" s="79"/>
      <c r="CI599" s="79"/>
    </row>
    <row r="600" spans="1:87" ht="14" x14ac:dyDescent="0.1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  <c r="BL600" s="79"/>
      <c r="BM600" s="79"/>
      <c r="BN600" s="79"/>
      <c r="BO600" s="79"/>
      <c r="BP600" s="79"/>
      <c r="BQ600" s="79"/>
      <c r="BR600" s="79"/>
      <c r="BS600" s="79"/>
      <c r="BT600" s="79"/>
      <c r="BU600" s="79"/>
      <c r="BV600" s="79"/>
      <c r="BW600" s="79"/>
      <c r="BX600" s="79"/>
      <c r="BY600" s="79"/>
      <c r="BZ600" s="79"/>
      <c r="CA600" s="79"/>
      <c r="CB600" s="79"/>
      <c r="CC600" s="79"/>
      <c r="CD600" s="79"/>
      <c r="CE600" s="79"/>
      <c r="CF600" s="79"/>
      <c r="CG600" s="79"/>
      <c r="CH600" s="79"/>
      <c r="CI600" s="79"/>
    </row>
    <row r="601" spans="1:87" ht="14" x14ac:dyDescent="0.1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  <c r="BL601" s="79"/>
      <c r="BM601" s="79"/>
      <c r="BN601" s="79"/>
      <c r="BO601" s="79"/>
      <c r="BP601" s="79"/>
      <c r="BQ601" s="79"/>
      <c r="BR601" s="79"/>
      <c r="BS601" s="79"/>
      <c r="BT601" s="79"/>
      <c r="BU601" s="79"/>
      <c r="BV601" s="79"/>
      <c r="BW601" s="79"/>
      <c r="BX601" s="79"/>
      <c r="BY601" s="79"/>
      <c r="BZ601" s="79"/>
      <c r="CA601" s="79"/>
      <c r="CB601" s="79"/>
      <c r="CC601" s="79"/>
      <c r="CD601" s="79"/>
      <c r="CE601" s="79"/>
      <c r="CF601" s="79"/>
      <c r="CG601" s="79"/>
      <c r="CH601" s="79"/>
      <c r="CI601" s="79"/>
    </row>
    <row r="602" spans="1:87" ht="14" x14ac:dyDescent="0.1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  <c r="BL602" s="79"/>
      <c r="BM602" s="79"/>
      <c r="BN602" s="79"/>
      <c r="BO602" s="79"/>
      <c r="BP602" s="79"/>
      <c r="BQ602" s="79"/>
      <c r="BR602" s="79"/>
      <c r="BS602" s="79"/>
      <c r="BT602" s="79"/>
      <c r="BU602" s="79"/>
      <c r="BV602" s="79"/>
      <c r="BW602" s="79"/>
      <c r="BX602" s="79"/>
      <c r="BY602" s="79"/>
      <c r="BZ602" s="79"/>
      <c r="CA602" s="79"/>
      <c r="CB602" s="79"/>
      <c r="CC602" s="79"/>
      <c r="CD602" s="79"/>
      <c r="CE602" s="79"/>
      <c r="CF602" s="79"/>
      <c r="CG602" s="79"/>
      <c r="CH602" s="79"/>
      <c r="CI602" s="79"/>
    </row>
    <row r="603" spans="1:87" ht="14" x14ac:dyDescent="0.1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  <c r="BL603" s="79"/>
      <c r="BM603" s="79"/>
      <c r="BN603" s="79"/>
      <c r="BO603" s="79"/>
      <c r="BP603" s="79"/>
      <c r="BQ603" s="79"/>
      <c r="BR603" s="79"/>
      <c r="BS603" s="79"/>
      <c r="BT603" s="79"/>
      <c r="BU603" s="79"/>
      <c r="BV603" s="79"/>
      <c r="BW603" s="79"/>
      <c r="BX603" s="79"/>
      <c r="BY603" s="79"/>
      <c r="BZ603" s="79"/>
      <c r="CA603" s="79"/>
      <c r="CB603" s="79"/>
      <c r="CC603" s="79"/>
      <c r="CD603" s="79"/>
      <c r="CE603" s="79"/>
      <c r="CF603" s="79"/>
      <c r="CG603" s="79"/>
      <c r="CH603" s="79"/>
      <c r="CI603" s="79"/>
    </row>
    <row r="604" spans="1:87" ht="14" x14ac:dyDescent="0.1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  <c r="BL604" s="79"/>
      <c r="BM604" s="79"/>
      <c r="BN604" s="79"/>
      <c r="BO604" s="79"/>
      <c r="BP604" s="79"/>
      <c r="BQ604" s="79"/>
      <c r="BR604" s="79"/>
      <c r="BS604" s="79"/>
      <c r="BT604" s="79"/>
      <c r="BU604" s="79"/>
      <c r="BV604" s="79"/>
      <c r="BW604" s="79"/>
      <c r="BX604" s="79"/>
      <c r="BY604" s="79"/>
      <c r="BZ604" s="79"/>
      <c r="CA604" s="79"/>
      <c r="CB604" s="79"/>
      <c r="CC604" s="79"/>
      <c r="CD604" s="79"/>
      <c r="CE604" s="79"/>
      <c r="CF604" s="79"/>
      <c r="CG604" s="79"/>
      <c r="CH604" s="79"/>
      <c r="CI604" s="79"/>
    </row>
    <row r="605" spans="1:87" ht="14" x14ac:dyDescent="0.1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  <c r="BL605" s="79"/>
      <c r="BM605" s="79"/>
      <c r="BN605" s="79"/>
      <c r="BO605" s="79"/>
      <c r="BP605" s="79"/>
      <c r="BQ605" s="79"/>
      <c r="BR605" s="79"/>
      <c r="BS605" s="79"/>
      <c r="BT605" s="79"/>
      <c r="BU605" s="79"/>
      <c r="BV605" s="79"/>
      <c r="BW605" s="79"/>
      <c r="BX605" s="79"/>
      <c r="BY605" s="79"/>
      <c r="BZ605" s="79"/>
      <c r="CA605" s="79"/>
      <c r="CB605" s="79"/>
      <c r="CC605" s="79"/>
      <c r="CD605" s="79"/>
      <c r="CE605" s="79"/>
      <c r="CF605" s="79"/>
      <c r="CG605" s="79"/>
      <c r="CH605" s="79"/>
      <c r="CI605" s="79"/>
    </row>
    <row r="606" spans="1:87" ht="14" x14ac:dyDescent="0.1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  <c r="BL606" s="79"/>
      <c r="BM606" s="79"/>
      <c r="BN606" s="79"/>
      <c r="BO606" s="79"/>
      <c r="BP606" s="79"/>
      <c r="BQ606" s="79"/>
      <c r="BR606" s="79"/>
      <c r="BS606" s="79"/>
      <c r="BT606" s="79"/>
      <c r="BU606" s="79"/>
      <c r="BV606" s="79"/>
      <c r="BW606" s="79"/>
      <c r="BX606" s="79"/>
      <c r="BY606" s="79"/>
      <c r="BZ606" s="79"/>
      <c r="CA606" s="79"/>
      <c r="CB606" s="79"/>
      <c r="CC606" s="79"/>
      <c r="CD606" s="79"/>
      <c r="CE606" s="79"/>
      <c r="CF606" s="79"/>
      <c r="CG606" s="79"/>
      <c r="CH606" s="79"/>
      <c r="CI606" s="79"/>
    </row>
    <row r="607" spans="1:87" ht="14" x14ac:dyDescent="0.1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  <c r="BL607" s="79"/>
      <c r="BM607" s="79"/>
      <c r="BN607" s="79"/>
      <c r="BO607" s="79"/>
      <c r="BP607" s="79"/>
      <c r="BQ607" s="79"/>
      <c r="BR607" s="79"/>
      <c r="BS607" s="79"/>
      <c r="BT607" s="79"/>
      <c r="BU607" s="79"/>
      <c r="BV607" s="79"/>
      <c r="BW607" s="79"/>
      <c r="BX607" s="79"/>
      <c r="BY607" s="79"/>
      <c r="BZ607" s="79"/>
      <c r="CA607" s="79"/>
      <c r="CB607" s="79"/>
      <c r="CC607" s="79"/>
      <c r="CD607" s="79"/>
      <c r="CE607" s="79"/>
      <c r="CF607" s="79"/>
      <c r="CG607" s="79"/>
      <c r="CH607" s="79"/>
      <c r="CI607" s="79"/>
    </row>
    <row r="608" spans="1:87" ht="14" x14ac:dyDescent="0.1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  <c r="BL608" s="79"/>
      <c r="BM608" s="79"/>
      <c r="BN608" s="79"/>
      <c r="BO608" s="79"/>
      <c r="BP608" s="79"/>
      <c r="BQ608" s="79"/>
      <c r="BR608" s="79"/>
      <c r="BS608" s="79"/>
      <c r="BT608" s="79"/>
      <c r="BU608" s="79"/>
      <c r="BV608" s="79"/>
      <c r="BW608" s="79"/>
      <c r="BX608" s="79"/>
      <c r="BY608" s="79"/>
      <c r="BZ608" s="79"/>
      <c r="CA608" s="79"/>
      <c r="CB608" s="79"/>
      <c r="CC608" s="79"/>
      <c r="CD608" s="79"/>
      <c r="CE608" s="79"/>
      <c r="CF608" s="79"/>
      <c r="CG608" s="79"/>
      <c r="CH608" s="79"/>
      <c r="CI608" s="79"/>
    </row>
    <row r="609" spans="1:87" ht="14" x14ac:dyDescent="0.1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  <c r="BL609" s="79"/>
      <c r="BM609" s="79"/>
      <c r="BN609" s="79"/>
      <c r="BO609" s="79"/>
      <c r="BP609" s="79"/>
      <c r="BQ609" s="79"/>
      <c r="BR609" s="79"/>
      <c r="BS609" s="79"/>
      <c r="BT609" s="79"/>
      <c r="BU609" s="79"/>
      <c r="BV609" s="79"/>
      <c r="BW609" s="79"/>
      <c r="BX609" s="79"/>
      <c r="BY609" s="79"/>
      <c r="BZ609" s="79"/>
      <c r="CA609" s="79"/>
      <c r="CB609" s="79"/>
      <c r="CC609" s="79"/>
      <c r="CD609" s="79"/>
      <c r="CE609" s="79"/>
      <c r="CF609" s="79"/>
      <c r="CG609" s="79"/>
      <c r="CH609" s="79"/>
      <c r="CI609" s="79"/>
    </row>
    <row r="610" spans="1:87" ht="14" x14ac:dyDescent="0.1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  <c r="BL610" s="79"/>
      <c r="BM610" s="79"/>
      <c r="BN610" s="79"/>
      <c r="BO610" s="79"/>
      <c r="BP610" s="79"/>
      <c r="BQ610" s="79"/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  <c r="CH610" s="79"/>
      <c r="CI610" s="79"/>
    </row>
    <row r="611" spans="1:87" ht="14" x14ac:dyDescent="0.1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  <c r="BL611" s="79"/>
      <c r="BM611" s="79"/>
      <c r="BN611" s="79"/>
      <c r="BO611" s="79"/>
      <c r="BP611" s="79"/>
      <c r="BQ611" s="79"/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  <c r="CH611" s="79"/>
      <c r="CI611" s="79"/>
    </row>
    <row r="612" spans="1:87" ht="14" x14ac:dyDescent="0.1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  <c r="BL612" s="79"/>
      <c r="BM612" s="79"/>
      <c r="BN612" s="79"/>
      <c r="BO612" s="79"/>
      <c r="BP612" s="79"/>
      <c r="BQ612" s="79"/>
      <c r="BR612" s="79"/>
      <c r="BS612" s="79"/>
      <c r="BT612" s="79"/>
      <c r="BU612" s="79"/>
      <c r="BV612" s="79"/>
      <c r="BW612" s="79"/>
      <c r="BX612" s="79"/>
      <c r="BY612" s="79"/>
      <c r="BZ612" s="79"/>
      <c r="CA612" s="79"/>
      <c r="CB612" s="79"/>
      <c r="CC612" s="79"/>
      <c r="CD612" s="79"/>
      <c r="CE612" s="79"/>
      <c r="CF612" s="79"/>
      <c r="CG612" s="79"/>
      <c r="CH612" s="79"/>
      <c r="CI612" s="79"/>
    </row>
    <row r="613" spans="1:87" ht="14" x14ac:dyDescent="0.1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  <c r="BL613" s="79"/>
      <c r="BM613" s="79"/>
      <c r="BN613" s="79"/>
      <c r="BO613" s="79"/>
      <c r="BP613" s="79"/>
      <c r="BQ613" s="79"/>
      <c r="BR613" s="79"/>
      <c r="BS613" s="79"/>
      <c r="BT613" s="79"/>
      <c r="BU613" s="79"/>
      <c r="BV613" s="79"/>
      <c r="BW613" s="79"/>
      <c r="BX613" s="79"/>
      <c r="BY613" s="79"/>
      <c r="BZ613" s="79"/>
      <c r="CA613" s="79"/>
      <c r="CB613" s="79"/>
      <c r="CC613" s="79"/>
      <c r="CD613" s="79"/>
      <c r="CE613" s="79"/>
      <c r="CF613" s="79"/>
      <c r="CG613" s="79"/>
      <c r="CH613" s="79"/>
      <c r="CI613" s="79"/>
    </row>
    <row r="614" spans="1:87" ht="14" x14ac:dyDescent="0.1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  <c r="BL614" s="79"/>
      <c r="BM614" s="79"/>
      <c r="BN614" s="79"/>
      <c r="BO614" s="79"/>
      <c r="BP614" s="79"/>
      <c r="BQ614" s="79"/>
      <c r="BR614" s="79"/>
      <c r="BS614" s="79"/>
      <c r="BT614" s="79"/>
      <c r="BU614" s="79"/>
      <c r="BV614" s="79"/>
      <c r="BW614" s="79"/>
      <c r="BX614" s="79"/>
      <c r="BY614" s="79"/>
      <c r="BZ614" s="79"/>
      <c r="CA614" s="79"/>
      <c r="CB614" s="79"/>
      <c r="CC614" s="79"/>
      <c r="CD614" s="79"/>
      <c r="CE614" s="79"/>
      <c r="CF614" s="79"/>
      <c r="CG614" s="79"/>
      <c r="CH614" s="79"/>
      <c r="CI614" s="79"/>
    </row>
    <row r="615" spans="1:87" ht="14" x14ac:dyDescent="0.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  <c r="BL615" s="79"/>
      <c r="BM615" s="79"/>
      <c r="BN615" s="79"/>
      <c r="BO615" s="79"/>
      <c r="BP615" s="79"/>
      <c r="BQ615" s="79"/>
      <c r="BR615" s="79"/>
      <c r="BS615" s="79"/>
      <c r="BT615" s="79"/>
      <c r="BU615" s="79"/>
      <c r="BV615" s="79"/>
      <c r="BW615" s="79"/>
      <c r="BX615" s="79"/>
      <c r="BY615" s="79"/>
      <c r="BZ615" s="79"/>
      <c r="CA615" s="79"/>
      <c r="CB615" s="79"/>
      <c r="CC615" s="79"/>
      <c r="CD615" s="79"/>
      <c r="CE615" s="79"/>
      <c r="CF615" s="79"/>
      <c r="CG615" s="79"/>
      <c r="CH615" s="79"/>
      <c r="CI615" s="79"/>
    </row>
    <row r="616" spans="1:87" ht="14" x14ac:dyDescent="0.1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  <c r="BL616" s="79"/>
      <c r="BM616" s="79"/>
      <c r="BN616" s="79"/>
      <c r="BO616" s="79"/>
      <c r="BP616" s="79"/>
      <c r="BQ616" s="79"/>
      <c r="BR616" s="79"/>
      <c r="BS616" s="79"/>
      <c r="BT616" s="79"/>
      <c r="BU616" s="79"/>
      <c r="BV616" s="79"/>
      <c r="BW616" s="79"/>
      <c r="BX616" s="79"/>
      <c r="BY616" s="79"/>
      <c r="BZ616" s="79"/>
      <c r="CA616" s="79"/>
      <c r="CB616" s="79"/>
      <c r="CC616" s="79"/>
      <c r="CD616" s="79"/>
      <c r="CE616" s="79"/>
      <c r="CF616" s="79"/>
      <c r="CG616" s="79"/>
      <c r="CH616" s="79"/>
      <c r="CI616" s="79"/>
    </row>
    <row r="617" spans="1:87" ht="14" x14ac:dyDescent="0.1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  <c r="BL617" s="79"/>
      <c r="BM617" s="79"/>
      <c r="BN617" s="79"/>
      <c r="BO617" s="79"/>
      <c r="BP617" s="79"/>
      <c r="BQ617" s="79"/>
      <c r="BR617" s="79"/>
      <c r="BS617" s="79"/>
      <c r="BT617" s="79"/>
      <c r="BU617" s="79"/>
      <c r="BV617" s="79"/>
      <c r="BW617" s="79"/>
      <c r="BX617" s="79"/>
      <c r="BY617" s="79"/>
      <c r="BZ617" s="79"/>
      <c r="CA617" s="79"/>
      <c r="CB617" s="79"/>
      <c r="CC617" s="79"/>
      <c r="CD617" s="79"/>
      <c r="CE617" s="79"/>
      <c r="CF617" s="79"/>
      <c r="CG617" s="79"/>
      <c r="CH617" s="79"/>
      <c r="CI617" s="79"/>
    </row>
    <row r="618" spans="1:87" ht="14" x14ac:dyDescent="0.1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  <c r="BL618" s="79"/>
      <c r="BM618" s="79"/>
      <c r="BN618" s="79"/>
      <c r="BO618" s="79"/>
      <c r="BP618" s="79"/>
      <c r="BQ618" s="79"/>
      <c r="BR618" s="79"/>
      <c r="BS618" s="79"/>
      <c r="BT618" s="79"/>
      <c r="BU618" s="79"/>
      <c r="BV618" s="79"/>
      <c r="BW618" s="79"/>
      <c r="BX618" s="79"/>
      <c r="BY618" s="79"/>
      <c r="BZ618" s="79"/>
      <c r="CA618" s="79"/>
      <c r="CB618" s="79"/>
      <c r="CC618" s="79"/>
      <c r="CD618" s="79"/>
      <c r="CE618" s="79"/>
      <c r="CF618" s="79"/>
      <c r="CG618" s="79"/>
      <c r="CH618" s="79"/>
      <c r="CI618" s="79"/>
    </row>
    <row r="619" spans="1:87" ht="14" x14ac:dyDescent="0.1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  <c r="BL619" s="79"/>
      <c r="BM619" s="79"/>
      <c r="BN619" s="79"/>
      <c r="BO619" s="79"/>
      <c r="BP619" s="79"/>
      <c r="BQ619" s="79"/>
      <c r="BR619" s="79"/>
      <c r="BS619" s="79"/>
      <c r="BT619" s="79"/>
      <c r="BU619" s="79"/>
      <c r="BV619" s="79"/>
      <c r="BW619" s="79"/>
      <c r="BX619" s="79"/>
      <c r="BY619" s="79"/>
      <c r="BZ619" s="79"/>
      <c r="CA619" s="79"/>
      <c r="CB619" s="79"/>
      <c r="CC619" s="79"/>
      <c r="CD619" s="79"/>
      <c r="CE619" s="79"/>
      <c r="CF619" s="79"/>
      <c r="CG619" s="79"/>
      <c r="CH619" s="79"/>
      <c r="CI619" s="79"/>
    </row>
    <row r="620" spans="1:87" ht="14" x14ac:dyDescent="0.1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  <c r="BL620" s="79"/>
      <c r="BM620" s="79"/>
      <c r="BN620" s="79"/>
      <c r="BO620" s="79"/>
      <c r="BP620" s="79"/>
      <c r="BQ620" s="79"/>
      <c r="BR620" s="79"/>
      <c r="BS620" s="79"/>
      <c r="BT620" s="79"/>
      <c r="BU620" s="79"/>
      <c r="BV620" s="79"/>
      <c r="BW620" s="79"/>
      <c r="BX620" s="79"/>
      <c r="BY620" s="79"/>
      <c r="BZ620" s="79"/>
      <c r="CA620" s="79"/>
      <c r="CB620" s="79"/>
      <c r="CC620" s="79"/>
      <c r="CD620" s="79"/>
      <c r="CE620" s="79"/>
      <c r="CF620" s="79"/>
      <c r="CG620" s="79"/>
      <c r="CH620" s="79"/>
      <c r="CI620" s="79"/>
    </row>
    <row r="621" spans="1:87" ht="14" x14ac:dyDescent="0.1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  <c r="BT621" s="79"/>
      <c r="BU621" s="79"/>
      <c r="BV621" s="79"/>
      <c r="BW621" s="79"/>
      <c r="BX621" s="79"/>
      <c r="BY621" s="79"/>
      <c r="BZ621" s="79"/>
      <c r="CA621" s="79"/>
      <c r="CB621" s="79"/>
      <c r="CC621" s="79"/>
      <c r="CD621" s="79"/>
      <c r="CE621" s="79"/>
      <c r="CF621" s="79"/>
      <c r="CG621" s="79"/>
      <c r="CH621" s="79"/>
      <c r="CI621" s="79"/>
    </row>
    <row r="622" spans="1:87" ht="14" x14ac:dyDescent="0.1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  <c r="BL622" s="79"/>
      <c r="BM622" s="79"/>
      <c r="BN622" s="79"/>
      <c r="BO622" s="79"/>
      <c r="BP622" s="79"/>
      <c r="BQ622" s="79"/>
      <c r="BR622" s="79"/>
      <c r="BS622" s="79"/>
      <c r="BT622" s="79"/>
      <c r="BU622" s="79"/>
      <c r="BV622" s="79"/>
      <c r="BW622" s="79"/>
      <c r="BX622" s="79"/>
      <c r="BY622" s="79"/>
      <c r="BZ622" s="79"/>
      <c r="CA622" s="79"/>
      <c r="CB622" s="79"/>
      <c r="CC622" s="79"/>
      <c r="CD622" s="79"/>
      <c r="CE622" s="79"/>
      <c r="CF622" s="79"/>
      <c r="CG622" s="79"/>
      <c r="CH622" s="79"/>
      <c r="CI622" s="79"/>
    </row>
    <row r="623" spans="1:87" ht="14" x14ac:dyDescent="0.1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  <c r="BT623" s="79"/>
      <c r="BU623" s="79"/>
      <c r="BV623" s="79"/>
      <c r="BW623" s="79"/>
      <c r="BX623" s="79"/>
      <c r="BY623" s="79"/>
      <c r="BZ623" s="79"/>
      <c r="CA623" s="79"/>
      <c r="CB623" s="79"/>
      <c r="CC623" s="79"/>
      <c r="CD623" s="79"/>
      <c r="CE623" s="79"/>
      <c r="CF623" s="79"/>
      <c r="CG623" s="79"/>
      <c r="CH623" s="79"/>
      <c r="CI623" s="79"/>
    </row>
    <row r="624" spans="1:87" ht="14" x14ac:dyDescent="0.1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  <c r="BL624" s="79"/>
      <c r="BM624" s="79"/>
      <c r="BN624" s="79"/>
      <c r="BO624" s="79"/>
      <c r="BP624" s="79"/>
      <c r="BQ624" s="79"/>
      <c r="BR624" s="79"/>
      <c r="BS624" s="79"/>
      <c r="BT624" s="79"/>
      <c r="BU624" s="79"/>
      <c r="BV624" s="79"/>
      <c r="BW624" s="79"/>
      <c r="BX624" s="79"/>
      <c r="BY624" s="79"/>
      <c r="BZ624" s="79"/>
      <c r="CA624" s="79"/>
      <c r="CB624" s="79"/>
      <c r="CC624" s="79"/>
      <c r="CD624" s="79"/>
      <c r="CE624" s="79"/>
      <c r="CF624" s="79"/>
      <c r="CG624" s="79"/>
      <c r="CH624" s="79"/>
      <c r="CI624" s="79"/>
    </row>
    <row r="625" spans="1:87" ht="14" x14ac:dyDescent="0.1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  <c r="BL625" s="79"/>
      <c r="BM625" s="79"/>
      <c r="BN625" s="79"/>
      <c r="BO625" s="79"/>
      <c r="BP625" s="79"/>
      <c r="BQ625" s="79"/>
      <c r="BR625" s="79"/>
      <c r="BS625" s="79"/>
      <c r="BT625" s="79"/>
      <c r="BU625" s="79"/>
      <c r="BV625" s="79"/>
      <c r="BW625" s="79"/>
      <c r="BX625" s="79"/>
      <c r="BY625" s="79"/>
      <c r="BZ625" s="79"/>
      <c r="CA625" s="79"/>
      <c r="CB625" s="79"/>
      <c r="CC625" s="79"/>
      <c r="CD625" s="79"/>
      <c r="CE625" s="79"/>
      <c r="CF625" s="79"/>
      <c r="CG625" s="79"/>
      <c r="CH625" s="79"/>
      <c r="CI625" s="79"/>
    </row>
    <row r="626" spans="1:87" ht="14" x14ac:dyDescent="0.1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  <c r="BT626" s="79"/>
      <c r="BU626" s="79"/>
      <c r="BV626" s="79"/>
      <c r="BW626" s="79"/>
      <c r="BX626" s="79"/>
      <c r="BY626" s="79"/>
      <c r="BZ626" s="79"/>
      <c r="CA626" s="79"/>
      <c r="CB626" s="79"/>
      <c r="CC626" s="79"/>
      <c r="CD626" s="79"/>
      <c r="CE626" s="79"/>
      <c r="CF626" s="79"/>
      <c r="CG626" s="79"/>
      <c r="CH626" s="79"/>
      <c r="CI626" s="79"/>
    </row>
    <row r="627" spans="1:87" ht="14" x14ac:dyDescent="0.1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  <c r="BT627" s="79"/>
      <c r="BU627" s="79"/>
      <c r="BV627" s="79"/>
      <c r="BW627" s="79"/>
      <c r="BX627" s="79"/>
      <c r="BY627" s="79"/>
      <c r="BZ627" s="79"/>
      <c r="CA627" s="79"/>
      <c r="CB627" s="79"/>
      <c r="CC627" s="79"/>
      <c r="CD627" s="79"/>
      <c r="CE627" s="79"/>
      <c r="CF627" s="79"/>
      <c r="CG627" s="79"/>
      <c r="CH627" s="79"/>
      <c r="CI627" s="79"/>
    </row>
    <row r="628" spans="1:87" ht="14" x14ac:dyDescent="0.1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  <c r="BL628" s="79"/>
      <c r="BM628" s="79"/>
      <c r="BN628" s="79"/>
      <c r="BO628" s="79"/>
      <c r="BP628" s="79"/>
      <c r="BQ628" s="79"/>
      <c r="BR628" s="79"/>
      <c r="BS628" s="79"/>
      <c r="BT628" s="79"/>
      <c r="BU628" s="79"/>
      <c r="BV628" s="79"/>
      <c r="BW628" s="79"/>
      <c r="BX628" s="79"/>
      <c r="BY628" s="79"/>
      <c r="BZ628" s="79"/>
      <c r="CA628" s="79"/>
      <c r="CB628" s="79"/>
      <c r="CC628" s="79"/>
      <c r="CD628" s="79"/>
      <c r="CE628" s="79"/>
      <c r="CF628" s="79"/>
      <c r="CG628" s="79"/>
      <c r="CH628" s="79"/>
      <c r="CI628" s="79"/>
    </row>
    <row r="629" spans="1:87" ht="14" x14ac:dyDescent="0.1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  <c r="BL629" s="79"/>
      <c r="BM629" s="79"/>
      <c r="BN629" s="79"/>
      <c r="BO629" s="79"/>
      <c r="BP629" s="79"/>
      <c r="BQ629" s="79"/>
      <c r="BR629" s="79"/>
      <c r="BS629" s="79"/>
      <c r="BT629" s="79"/>
      <c r="BU629" s="79"/>
      <c r="BV629" s="79"/>
      <c r="BW629" s="79"/>
      <c r="BX629" s="79"/>
      <c r="BY629" s="79"/>
      <c r="BZ629" s="79"/>
      <c r="CA629" s="79"/>
      <c r="CB629" s="79"/>
      <c r="CC629" s="79"/>
      <c r="CD629" s="79"/>
      <c r="CE629" s="79"/>
      <c r="CF629" s="79"/>
      <c r="CG629" s="79"/>
      <c r="CH629" s="79"/>
      <c r="CI629" s="79"/>
    </row>
    <row r="630" spans="1:87" ht="14" x14ac:dyDescent="0.1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  <c r="BL630" s="79"/>
      <c r="BM630" s="79"/>
      <c r="BN630" s="79"/>
      <c r="BO630" s="79"/>
      <c r="BP630" s="79"/>
      <c r="BQ630" s="79"/>
      <c r="BR630" s="79"/>
      <c r="BS630" s="79"/>
      <c r="BT630" s="79"/>
      <c r="BU630" s="79"/>
      <c r="BV630" s="79"/>
      <c r="BW630" s="79"/>
      <c r="BX630" s="79"/>
      <c r="BY630" s="79"/>
      <c r="BZ630" s="79"/>
      <c r="CA630" s="79"/>
      <c r="CB630" s="79"/>
      <c r="CC630" s="79"/>
      <c r="CD630" s="79"/>
      <c r="CE630" s="79"/>
      <c r="CF630" s="79"/>
      <c r="CG630" s="79"/>
      <c r="CH630" s="79"/>
      <c r="CI630" s="79"/>
    </row>
    <row r="631" spans="1:87" ht="14" x14ac:dyDescent="0.1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  <c r="BL631" s="79"/>
      <c r="BM631" s="79"/>
      <c r="BN631" s="79"/>
      <c r="BO631" s="79"/>
      <c r="BP631" s="79"/>
      <c r="BQ631" s="79"/>
      <c r="BR631" s="79"/>
      <c r="BS631" s="79"/>
      <c r="BT631" s="79"/>
      <c r="BU631" s="79"/>
      <c r="BV631" s="79"/>
      <c r="BW631" s="79"/>
      <c r="BX631" s="79"/>
      <c r="BY631" s="79"/>
      <c r="BZ631" s="79"/>
      <c r="CA631" s="79"/>
      <c r="CB631" s="79"/>
      <c r="CC631" s="79"/>
      <c r="CD631" s="79"/>
      <c r="CE631" s="79"/>
      <c r="CF631" s="79"/>
      <c r="CG631" s="79"/>
      <c r="CH631" s="79"/>
      <c r="CI631" s="79"/>
    </row>
    <row r="632" spans="1:87" ht="14" x14ac:dyDescent="0.1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  <c r="BT632" s="79"/>
      <c r="BU632" s="79"/>
      <c r="BV632" s="79"/>
      <c r="BW632" s="79"/>
      <c r="BX632" s="79"/>
      <c r="BY632" s="79"/>
      <c r="BZ632" s="79"/>
      <c r="CA632" s="79"/>
      <c r="CB632" s="79"/>
      <c r="CC632" s="79"/>
      <c r="CD632" s="79"/>
      <c r="CE632" s="79"/>
      <c r="CF632" s="79"/>
      <c r="CG632" s="79"/>
      <c r="CH632" s="79"/>
      <c r="CI632" s="79"/>
    </row>
    <row r="633" spans="1:87" ht="14" x14ac:dyDescent="0.1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  <c r="BT633" s="79"/>
      <c r="BU633" s="79"/>
      <c r="BV633" s="79"/>
      <c r="BW633" s="79"/>
      <c r="BX633" s="79"/>
      <c r="BY633" s="79"/>
      <c r="BZ633" s="79"/>
      <c r="CA633" s="79"/>
      <c r="CB633" s="79"/>
      <c r="CC633" s="79"/>
      <c r="CD633" s="79"/>
      <c r="CE633" s="79"/>
      <c r="CF633" s="79"/>
      <c r="CG633" s="79"/>
      <c r="CH633" s="79"/>
      <c r="CI633" s="79"/>
    </row>
    <row r="634" spans="1:87" ht="14" x14ac:dyDescent="0.1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  <c r="BT634" s="79"/>
      <c r="BU634" s="79"/>
      <c r="BV634" s="79"/>
      <c r="BW634" s="79"/>
      <c r="BX634" s="79"/>
      <c r="BY634" s="79"/>
      <c r="BZ634" s="79"/>
      <c r="CA634" s="79"/>
      <c r="CB634" s="79"/>
      <c r="CC634" s="79"/>
      <c r="CD634" s="79"/>
      <c r="CE634" s="79"/>
      <c r="CF634" s="79"/>
      <c r="CG634" s="79"/>
      <c r="CH634" s="79"/>
      <c r="CI634" s="79"/>
    </row>
    <row r="635" spans="1:87" ht="14" x14ac:dyDescent="0.1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  <c r="BU635" s="79"/>
      <c r="BV635" s="79"/>
      <c r="BW635" s="79"/>
      <c r="BX635" s="79"/>
      <c r="BY635" s="79"/>
      <c r="BZ635" s="79"/>
      <c r="CA635" s="79"/>
      <c r="CB635" s="79"/>
      <c r="CC635" s="79"/>
      <c r="CD635" s="79"/>
      <c r="CE635" s="79"/>
      <c r="CF635" s="79"/>
      <c r="CG635" s="79"/>
      <c r="CH635" s="79"/>
      <c r="CI635" s="79"/>
    </row>
    <row r="636" spans="1:87" ht="14" x14ac:dyDescent="0.1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  <c r="BP636" s="79"/>
      <c r="BQ636" s="79"/>
      <c r="BR636" s="79"/>
      <c r="BS636" s="79"/>
      <c r="BT636" s="79"/>
      <c r="BU636" s="79"/>
      <c r="BV636" s="79"/>
      <c r="BW636" s="79"/>
      <c r="BX636" s="79"/>
      <c r="BY636" s="79"/>
      <c r="BZ636" s="79"/>
      <c r="CA636" s="79"/>
      <c r="CB636" s="79"/>
      <c r="CC636" s="79"/>
      <c r="CD636" s="79"/>
      <c r="CE636" s="79"/>
      <c r="CF636" s="79"/>
      <c r="CG636" s="79"/>
      <c r="CH636" s="79"/>
      <c r="CI636" s="79"/>
    </row>
    <row r="637" spans="1:87" ht="14" x14ac:dyDescent="0.1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  <c r="BP637" s="79"/>
      <c r="BQ637" s="79"/>
      <c r="BR637" s="79"/>
      <c r="BS637" s="79"/>
      <c r="BT637" s="79"/>
      <c r="BU637" s="79"/>
      <c r="BV637" s="79"/>
      <c r="BW637" s="79"/>
      <c r="BX637" s="79"/>
      <c r="BY637" s="79"/>
      <c r="BZ637" s="79"/>
      <c r="CA637" s="79"/>
      <c r="CB637" s="79"/>
      <c r="CC637" s="79"/>
      <c r="CD637" s="79"/>
      <c r="CE637" s="79"/>
      <c r="CF637" s="79"/>
      <c r="CG637" s="79"/>
      <c r="CH637" s="79"/>
      <c r="CI637" s="79"/>
    </row>
    <row r="638" spans="1:87" ht="14" x14ac:dyDescent="0.1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  <c r="BT638" s="79"/>
      <c r="BU638" s="79"/>
      <c r="BV638" s="79"/>
      <c r="BW638" s="79"/>
      <c r="BX638" s="79"/>
      <c r="BY638" s="79"/>
      <c r="BZ638" s="79"/>
      <c r="CA638" s="79"/>
      <c r="CB638" s="79"/>
      <c r="CC638" s="79"/>
      <c r="CD638" s="79"/>
      <c r="CE638" s="79"/>
      <c r="CF638" s="79"/>
      <c r="CG638" s="79"/>
      <c r="CH638" s="79"/>
      <c r="CI638" s="79"/>
    </row>
    <row r="639" spans="1:87" ht="14" x14ac:dyDescent="0.1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  <c r="BP639" s="79"/>
      <c r="BQ639" s="79"/>
      <c r="BR639" s="79"/>
      <c r="BS639" s="79"/>
      <c r="BT639" s="79"/>
      <c r="BU639" s="79"/>
      <c r="BV639" s="79"/>
      <c r="BW639" s="79"/>
      <c r="BX639" s="79"/>
      <c r="BY639" s="79"/>
      <c r="BZ639" s="79"/>
      <c r="CA639" s="79"/>
      <c r="CB639" s="79"/>
      <c r="CC639" s="79"/>
      <c r="CD639" s="79"/>
      <c r="CE639" s="79"/>
      <c r="CF639" s="79"/>
      <c r="CG639" s="79"/>
      <c r="CH639" s="79"/>
      <c r="CI639" s="79"/>
    </row>
    <row r="640" spans="1:87" ht="14" x14ac:dyDescent="0.1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  <c r="BP640" s="79"/>
      <c r="BQ640" s="79"/>
      <c r="BR640" s="79"/>
      <c r="BS640" s="79"/>
      <c r="BT640" s="79"/>
      <c r="BU640" s="79"/>
      <c r="BV640" s="79"/>
      <c r="BW640" s="79"/>
      <c r="BX640" s="79"/>
      <c r="BY640" s="79"/>
      <c r="BZ640" s="79"/>
      <c r="CA640" s="79"/>
      <c r="CB640" s="79"/>
      <c r="CC640" s="79"/>
      <c r="CD640" s="79"/>
      <c r="CE640" s="79"/>
      <c r="CF640" s="79"/>
      <c r="CG640" s="79"/>
      <c r="CH640" s="79"/>
      <c r="CI640" s="79"/>
    </row>
    <row r="641" spans="1:87" ht="14" x14ac:dyDescent="0.1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  <c r="BP641" s="79"/>
      <c r="BQ641" s="79"/>
      <c r="BR641" s="79"/>
      <c r="BS641" s="79"/>
      <c r="BT641" s="79"/>
      <c r="BU641" s="79"/>
      <c r="BV641" s="79"/>
      <c r="BW641" s="79"/>
      <c r="BX641" s="79"/>
      <c r="BY641" s="79"/>
      <c r="BZ641" s="79"/>
      <c r="CA641" s="79"/>
      <c r="CB641" s="79"/>
      <c r="CC641" s="79"/>
      <c r="CD641" s="79"/>
      <c r="CE641" s="79"/>
      <c r="CF641" s="79"/>
      <c r="CG641" s="79"/>
      <c r="CH641" s="79"/>
      <c r="CI641" s="79"/>
    </row>
    <row r="642" spans="1:87" ht="14" x14ac:dyDescent="0.1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  <c r="BP642" s="79"/>
      <c r="BQ642" s="79"/>
      <c r="BR642" s="79"/>
      <c r="BS642" s="79"/>
      <c r="BT642" s="79"/>
      <c r="BU642" s="79"/>
      <c r="BV642" s="79"/>
      <c r="BW642" s="79"/>
      <c r="BX642" s="79"/>
      <c r="BY642" s="79"/>
      <c r="BZ642" s="79"/>
      <c r="CA642" s="79"/>
      <c r="CB642" s="79"/>
      <c r="CC642" s="79"/>
      <c r="CD642" s="79"/>
      <c r="CE642" s="79"/>
      <c r="CF642" s="79"/>
      <c r="CG642" s="79"/>
      <c r="CH642" s="79"/>
      <c r="CI642" s="79"/>
    </row>
    <row r="643" spans="1:87" ht="14" x14ac:dyDescent="0.1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  <c r="BP643" s="79"/>
      <c r="BQ643" s="79"/>
      <c r="BR643" s="79"/>
      <c r="BS643" s="79"/>
      <c r="BT643" s="79"/>
      <c r="BU643" s="79"/>
      <c r="BV643" s="79"/>
      <c r="BW643" s="79"/>
      <c r="BX643" s="79"/>
      <c r="BY643" s="79"/>
      <c r="BZ643" s="79"/>
      <c r="CA643" s="79"/>
      <c r="CB643" s="79"/>
      <c r="CC643" s="79"/>
      <c r="CD643" s="79"/>
      <c r="CE643" s="79"/>
      <c r="CF643" s="79"/>
      <c r="CG643" s="79"/>
      <c r="CH643" s="79"/>
      <c r="CI643" s="79"/>
    </row>
    <row r="644" spans="1:87" ht="14" x14ac:dyDescent="0.1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  <c r="BP644" s="79"/>
      <c r="BQ644" s="79"/>
      <c r="BR644" s="79"/>
      <c r="BS644" s="79"/>
      <c r="BT644" s="79"/>
      <c r="BU644" s="79"/>
      <c r="BV644" s="79"/>
      <c r="BW644" s="79"/>
      <c r="BX644" s="79"/>
      <c r="BY644" s="79"/>
      <c r="BZ644" s="79"/>
      <c r="CA644" s="79"/>
      <c r="CB644" s="79"/>
      <c r="CC644" s="79"/>
      <c r="CD644" s="79"/>
      <c r="CE644" s="79"/>
      <c r="CF644" s="79"/>
      <c r="CG644" s="79"/>
      <c r="CH644" s="79"/>
      <c r="CI644" s="79"/>
    </row>
    <row r="645" spans="1:87" ht="14" x14ac:dyDescent="0.1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  <c r="BP645" s="79"/>
      <c r="BQ645" s="79"/>
      <c r="BR645" s="79"/>
      <c r="BS645" s="79"/>
      <c r="BT645" s="79"/>
      <c r="BU645" s="79"/>
      <c r="BV645" s="79"/>
      <c r="BW645" s="79"/>
      <c r="BX645" s="79"/>
      <c r="BY645" s="79"/>
      <c r="BZ645" s="79"/>
      <c r="CA645" s="79"/>
      <c r="CB645" s="79"/>
      <c r="CC645" s="79"/>
      <c r="CD645" s="79"/>
      <c r="CE645" s="79"/>
      <c r="CF645" s="79"/>
      <c r="CG645" s="79"/>
      <c r="CH645" s="79"/>
      <c r="CI645" s="79"/>
    </row>
    <row r="646" spans="1:87" ht="14" x14ac:dyDescent="0.1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/>
      <c r="BR646" s="79"/>
      <c r="BS646" s="79"/>
      <c r="BT646" s="79"/>
      <c r="BU646" s="79"/>
      <c r="BV646" s="79"/>
      <c r="BW646" s="79"/>
      <c r="BX646" s="79"/>
      <c r="BY646" s="79"/>
      <c r="BZ646" s="79"/>
      <c r="CA646" s="79"/>
      <c r="CB646" s="79"/>
      <c r="CC646" s="79"/>
      <c r="CD646" s="79"/>
      <c r="CE646" s="79"/>
      <c r="CF646" s="79"/>
      <c r="CG646" s="79"/>
      <c r="CH646" s="79"/>
      <c r="CI646" s="79"/>
    </row>
    <row r="647" spans="1:87" ht="14" x14ac:dyDescent="0.1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  <c r="BP647" s="79"/>
      <c r="BQ647" s="79"/>
      <c r="BR647" s="79"/>
      <c r="BS647" s="79"/>
      <c r="BT647" s="79"/>
      <c r="BU647" s="79"/>
      <c r="BV647" s="79"/>
      <c r="BW647" s="79"/>
      <c r="BX647" s="79"/>
      <c r="BY647" s="79"/>
      <c r="BZ647" s="79"/>
      <c r="CA647" s="79"/>
      <c r="CB647" s="79"/>
      <c r="CC647" s="79"/>
      <c r="CD647" s="79"/>
      <c r="CE647" s="79"/>
      <c r="CF647" s="79"/>
      <c r="CG647" s="79"/>
      <c r="CH647" s="79"/>
      <c r="CI647" s="79"/>
    </row>
    <row r="648" spans="1:87" ht="14" x14ac:dyDescent="0.1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  <c r="BP648" s="79"/>
      <c r="BQ648" s="79"/>
      <c r="BR648" s="79"/>
      <c r="BS648" s="79"/>
      <c r="BT648" s="79"/>
      <c r="BU648" s="79"/>
      <c r="BV648" s="79"/>
      <c r="BW648" s="79"/>
      <c r="BX648" s="79"/>
      <c r="BY648" s="79"/>
      <c r="BZ648" s="79"/>
      <c r="CA648" s="79"/>
      <c r="CB648" s="79"/>
      <c r="CC648" s="79"/>
      <c r="CD648" s="79"/>
      <c r="CE648" s="79"/>
      <c r="CF648" s="79"/>
      <c r="CG648" s="79"/>
      <c r="CH648" s="79"/>
      <c r="CI648" s="79"/>
    </row>
    <row r="649" spans="1:87" ht="14" x14ac:dyDescent="0.1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  <c r="BP649" s="79"/>
      <c r="BQ649" s="79"/>
      <c r="BR649" s="79"/>
      <c r="BS649" s="79"/>
      <c r="BT649" s="79"/>
      <c r="BU649" s="79"/>
      <c r="BV649" s="79"/>
      <c r="BW649" s="79"/>
      <c r="BX649" s="79"/>
      <c r="BY649" s="79"/>
      <c r="BZ649" s="79"/>
      <c r="CA649" s="79"/>
      <c r="CB649" s="79"/>
      <c r="CC649" s="79"/>
      <c r="CD649" s="79"/>
      <c r="CE649" s="79"/>
      <c r="CF649" s="79"/>
      <c r="CG649" s="79"/>
      <c r="CH649" s="79"/>
      <c r="CI649" s="79"/>
    </row>
    <row r="650" spans="1:87" ht="14" x14ac:dyDescent="0.1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  <c r="BL650" s="79"/>
      <c r="BM650" s="79"/>
      <c r="BN650" s="79"/>
      <c r="BO650" s="79"/>
      <c r="BP650" s="79"/>
      <c r="BQ650" s="79"/>
      <c r="BR650" s="79"/>
      <c r="BS650" s="79"/>
      <c r="BT650" s="79"/>
      <c r="BU650" s="79"/>
      <c r="BV650" s="79"/>
      <c r="BW650" s="79"/>
      <c r="BX650" s="79"/>
      <c r="BY650" s="79"/>
      <c r="BZ650" s="79"/>
      <c r="CA650" s="79"/>
      <c r="CB650" s="79"/>
      <c r="CC650" s="79"/>
      <c r="CD650" s="79"/>
      <c r="CE650" s="79"/>
      <c r="CF650" s="79"/>
      <c r="CG650" s="79"/>
      <c r="CH650" s="79"/>
      <c r="CI650" s="79"/>
    </row>
    <row r="651" spans="1:87" ht="14" x14ac:dyDescent="0.1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  <c r="BL651" s="79"/>
      <c r="BM651" s="79"/>
      <c r="BN651" s="79"/>
      <c r="BO651" s="79"/>
      <c r="BP651" s="79"/>
      <c r="BQ651" s="79"/>
      <c r="BR651" s="79"/>
      <c r="BS651" s="79"/>
      <c r="BT651" s="79"/>
      <c r="BU651" s="79"/>
      <c r="BV651" s="79"/>
      <c r="BW651" s="79"/>
      <c r="BX651" s="79"/>
      <c r="BY651" s="79"/>
      <c r="BZ651" s="79"/>
      <c r="CA651" s="79"/>
      <c r="CB651" s="79"/>
      <c r="CC651" s="79"/>
      <c r="CD651" s="79"/>
      <c r="CE651" s="79"/>
      <c r="CF651" s="79"/>
      <c r="CG651" s="79"/>
      <c r="CH651" s="79"/>
      <c r="CI651" s="79"/>
    </row>
    <row r="652" spans="1:87" ht="14" x14ac:dyDescent="0.1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  <c r="BL652" s="79"/>
      <c r="BM652" s="79"/>
      <c r="BN652" s="79"/>
      <c r="BO652" s="79"/>
      <c r="BP652" s="79"/>
      <c r="BQ652" s="79"/>
      <c r="BR652" s="79"/>
      <c r="BS652" s="79"/>
      <c r="BT652" s="79"/>
      <c r="BU652" s="79"/>
      <c r="BV652" s="79"/>
      <c r="BW652" s="79"/>
      <c r="BX652" s="79"/>
      <c r="BY652" s="79"/>
      <c r="BZ652" s="79"/>
      <c r="CA652" s="79"/>
      <c r="CB652" s="79"/>
      <c r="CC652" s="79"/>
      <c r="CD652" s="79"/>
      <c r="CE652" s="79"/>
      <c r="CF652" s="79"/>
      <c r="CG652" s="79"/>
      <c r="CH652" s="79"/>
      <c r="CI652" s="79"/>
    </row>
    <row r="653" spans="1:87" ht="14" x14ac:dyDescent="0.1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  <c r="BL653" s="79"/>
      <c r="BM653" s="79"/>
      <c r="BN653" s="79"/>
      <c r="BO653" s="79"/>
      <c r="BP653" s="79"/>
      <c r="BQ653" s="79"/>
      <c r="BR653" s="79"/>
      <c r="BS653" s="79"/>
      <c r="BT653" s="79"/>
      <c r="BU653" s="79"/>
      <c r="BV653" s="79"/>
      <c r="BW653" s="79"/>
      <c r="BX653" s="79"/>
      <c r="BY653" s="79"/>
      <c r="BZ653" s="79"/>
      <c r="CA653" s="79"/>
      <c r="CB653" s="79"/>
      <c r="CC653" s="79"/>
      <c r="CD653" s="79"/>
      <c r="CE653" s="79"/>
      <c r="CF653" s="79"/>
      <c r="CG653" s="79"/>
      <c r="CH653" s="79"/>
      <c r="CI653" s="79"/>
    </row>
    <row r="654" spans="1:87" ht="14" x14ac:dyDescent="0.1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  <c r="BL654" s="79"/>
      <c r="BM654" s="79"/>
      <c r="BN654" s="79"/>
      <c r="BO654" s="79"/>
      <c r="BP654" s="79"/>
      <c r="BQ654" s="79"/>
      <c r="BR654" s="79"/>
      <c r="BS654" s="79"/>
      <c r="BT654" s="79"/>
      <c r="BU654" s="79"/>
      <c r="BV654" s="79"/>
      <c r="BW654" s="79"/>
      <c r="BX654" s="79"/>
      <c r="BY654" s="79"/>
      <c r="BZ654" s="79"/>
      <c r="CA654" s="79"/>
      <c r="CB654" s="79"/>
      <c r="CC654" s="79"/>
      <c r="CD654" s="79"/>
      <c r="CE654" s="79"/>
      <c r="CF654" s="79"/>
      <c r="CG654" s="79"/>
      <c r="CH654" s="79"/>
      <c r="CI654" s="79"/>
    </row>
    <row r="655" spans="1:87" ht="14" x14ac:dyDescent="0.1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  <c r="BL655" s="79"/>
      <c r="BM655" s="79"/>
      <c r="BN655" s="79"/>
      <c r="BO655" s="79"/>
      <c r="BP655" s="79"/>
      <c r="BQ655" s="79"/>
      <c r="BR655" s="79"/>
      <c r="BS655" s="79"/>
      <c r="BT655" s="79"/>
      <c r="BU655" s="79"/>
      <c r="BV655" s="79"/>
      <c r="BW655" s="79"/>
      <c r="BX655" s="79"/>
      <c r="BY655" s="79"/>
      <c r="BZ655" s="79"/>
      <c r="CA655" s="79"/>
      <c r="CB655" s="79"/>
      <c r="CC655" s="79"/>
      <c r="CD655" s="79"/>
      <c r="CE655" s="79"/>
      <c r="CF655" s="79"/>
      <c r="CG655" s="79"/>
      <c r="CH655" s="79"/>
      <c r="CI655" s="79"/>
    </row>
    <row r="656" spans="1:87" ht="14" x14ac:dyDescent="0.1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  <c r="BL656" s="79"/>
      <c r="BM656" s="79"/>
      <c r="BN656" s="79"/>
      <c r="BO656" s="79"/>
      <c r="BP656" s="79"/>
      <c r="BQ656" s="79"/>
      <c r="BR656" s="79"/>
      <c r="BS656" s="79"/>
      <c r="BT656" s="79"/>
      <c r="BU656" s="79"/>
      <c r="BV656" s="79"/>
      <c r="BW656" s="79"/>
      <c r="BX656" s="79"/>
      <c r="BY656" s="79"/>
      <c r="BZ656" s="79"/>
      <c r="CA656" s="79"/>
      <c r="CB656" s="79"/>
      <c r="CC656" s="79"/>
      <c r="CD656" s="79"/>
      <c r="CE656" s="79"/>
      <c r="CF656" s="79"/>
      <c r="CG656" s="79"/>
      <c r="CH656" s="79"/>
      <c r="CI656" s="79"/>
    </row>
    <row r="657" spans="1:87" ht="14" x14ac:dyDescent="0.1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  <c r="BT657" s="79"/>
      <c r="BU657" s="79"/>
      <c r="BV657" s="79"/>
      <c r="BW657" s="79"/>
      <c r="BX657" s="79"/>
      <c r="BY657" s="79"/>
      <c r="BZ657" s="79"/>
      <c r="CA657" s="79"/>
      <c r="CB657" s="79"/>
      <c r="CC657" s="79"/>
      <c r="CD657" s="79"/>
      <c r="CE657" s="79"/>
      <c r="CF657" s="79"/>
      <c r="CG657" s="79"/>
      <c r="CH657" s="79"/>
      <c r="CI657" s="79"/>
    </row>
    <row r="658" spans="1:87" ht="14" x14ac:dyDescent="0.1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  <c r="BT658" s="79"/>
      <c r="BU658" s="79"/>
      <c r="BV658" s="79"/>
      <c r="BW658" s="79"/>
      <c r="BX658" s="79"/>
      <c r="BY658" s="79"/>
      <c r="BZ658" s="79"/>
      <c r="CA658" s="79"/>
      <c r="CB658" s="79"/>
      <c r="CC658" s="79"/>
      <c r="CD658" s="79"/>
      <c r="CE658" s="79"/>
      <c r="CF658" s="79"/>
      <c r="CG658" s="79"/>
      <c r="CH658" s="79"/>
      <c r="CI658" s="79"/>
    </row>
    <row r="659" spans="1:87" ht="14" x14ac:dyDescent="0.1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  <c r="BT659" s="79"/>
      <c r="BU659" s="79"/>
      <c r="BV659" s="79"/>
      <c r="BW659" s="79"/>
      <c r="BX659" s="79"/>
      <c r="BY659" s="79"/>
      <c r="BZ659" s="79"/>
      <c r="CA659" s="79"/>
      <c r="CB659" s="79"/>
      <c r="CC659" s="79"/>
      <c r="CD659" s="79"/>
      <c r="CE659" s="79"/>
      <c r="CF659" s="79"/>
      <c r="CG659" s="79"/>
      <c r="CH659" s="79"/>
      <c r="CI659" s="79"/>
    </row>
    <row r="660" spans="1:87" ht="14" x14ac:dyDescent="0.1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  <c r="BT660" s="79"/>
      <c r="BU660" s="79"/>
      <c r="BV660" s="79"/>
      <c r="BW660" s="79"/>
      <c r="BX660" s="79"/>
      <c r="BY660" s="79"/>
      <c r="BZ660" s="79"/>
      <c r="CA660" s="79"/>
      <c r="CB660" s="79"/>
      <c r="CC660" s="79"/>
      <c r="CD660" s="79"/>
      <c r="CE660" s="79"/>
      <c r="CF660" s="79"/>
      <c r="CG660" s="79"/>
      <c r="CH660" s="79"/>
      <c r="CI660" s="79"/>
    </row>
    <row r="661" spans="1:87" ht="14" x14ac:dyDescent="0.1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  <c r="BL661" s="79"/>
      <c r="BM661" s="79"/>
      <c r="BN661" s="79"/>
      <c r="BO661" s="79"/>
      <c r="BP661" s="79"/>
      <c r="BQ661" s="79"/>
      <c r="BR661" s="79"/>
      <c r="BS661" s="79"/>
      <c r="BT661" s="79"/>
      <c r="BU661" s="79"/>
      <c r="BV661" s="79"/>
      <c r="BW661" s="79"/>
      <c r="BX661" s="79"/>
      <c r="BY661" s="79"/>
      <c r="BZ661" s="79"/>
      <c r="CA661" s="79"/>
      <c r="CB661" s="79"/>
      <c r="CC661" s="79"/>
      <c r="CD661" s="79"/>
      <c r="CE661" s="79"/>
      <c r="CF661" s="79"/>
      <c r="CG661" s="79"/>
      <c r="CH661" s="79"/>
      <c r="CI661" s="79"/>
    </row>
    <row r="662" spans="1:87" ht="14" x14ac:dyDescent="0.1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  <c r="BL662" s="79"/>
      <c r="BM662" s="79"/>
      <c r="BN662" s="79"/>
      <c r="BO662" s="79"/>
      <c r="BP662" s="79"/>
      <c r="BQ662" s="79"/>
      <c r="BR662" s="79"/>
      <c r="BS662" s="79"/>
      <c r="BT662" s="79"/>
      <c r="BU662" s="79"/>
      <c r="BV662" s="79"/>
      <c r="BW662" s="79"/>
      <c r="BX662" s="79"/>
      <c r="BY662" s="79"/>
      <c r="BZ662" s="79"/>
      <c r="CA662" s="79"/>
      <c r="CB662" s="79"/>
      <c r="CC662" s="79"/>
      <c r="CD662" s="79"/>
      <c r="CE662" s="79"/>
      <c r="CF662" s="79"/>
      <c r="CG662" s="79"/>
      <c r="CH662" s="79"/>
      <c r="CI662" s="79"/>
    </row>
    <row r="663" spans="1:87" ht="14" x14ac:dyDescent="0.1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  <c r="BL663" s="79"/>
      <c r="BM663" s="79"/>
      <c r="BN663" s="79"/>
      <c r="BO663" s="79"/>
      <c r="BP663" s="79"/>
      <c r="BQ663" s="79"/>
      <c r="BR663" s="79"/>
      <c r="BS663" s="79"/>
      <c r="BT663" s="79"/>
      <c r="BU663" s="79"/>
      <c r="BV663" s="79"/>
      <c r="BW663" s="79"/>
      <c r="BX663" s="79"/>
      <c r="BY663" s="79"/>
      <c r="BZ663" s="79"/>
      <c r="CA663" s="79"/>
      <c r="CB663" s="79"/>
      <c r="CC663" s="79"/>
      <c r="CD663" s="79"/>
      <c r="CE663" s="79"/>
      <c r="CF663" s="79"/>
      <c r="CG663" s="79"/>
      <c r="CH663" s="79"/>
      <c r="CI663" s="79"/>
    </row>
    <row r="664" spans="1:87" ht="14" x14ac:dyDescent="0.1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  <c r="BL664" s="79"/>
      <c r="BM664" s="79"/>
      <c r="BN664" s="79"/>
      <c r="BO664" s="79"/>
      <c r="BP664" s="79"/>
      <c r="BQ664" s="79"/>
      <c r="BR664" s="79"/>
      <c r="BS664" s="79"/>
      <c r="BT664" s="79"/>
      <c r="BU664" s="79"/>
      <c r="BV664" s="79"/>
      <c r="BW664" s="79"/>
      <c r="BX664" s="79"/>
      <c r="BY664" s="79"/>
      <c r="BZ664" s="79"/>
      <c r="CA664" s="79"/>
      <c r="CB664" s="79"/>
      <c r="CC664" s="79"/>
      <c r="CD664" s="79"/>
      <c r="CE664" s="79"/>
      <c r="CF664" s="79"/>
      <c r="CG664" s="79"/>
      <c r="CH664" s="79"/>
      <c r="CI664" s="79"/>
    </row>
    <row r="665" spans="1:87" ht="14" x14ac:dyDescent="0.1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  <c r="BU665" s="79"/>
      <c r="BV665" s="79"/>
      <c r="BW665" s="79"/>
      <c r="BX665" s="79"/>
      <c r="BY665" s="79"/>
      <c r="BZ665" s="79"/>
      <c r="CA665" s="79"/>
      <c r="CB665" s="79"/>
      <c r="CC665" s="79"/>
      <c r="CD665" s="79"/>
      <c r="CE665" s="79"/>
      <c r="CF665" s="79"/>
      <c r="CG665" s="79"/>
      <c r="CH665" s="79"/>
      <c r="CI665" s="79"/>
    </row>
    <row r="666" spans="1:87" ht="14" x14ac:dyDescent="0.1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  <c r="BL666" s="79"/>
      <c r="BM666" s="79"/>
      <c r="BN666" s="79"/>
      <c r="BO666" s="79"/>
      <c r="BP666" s="79"/>
      <c r="BQ666" s="79"/>
      <c r="BR666" s="79"/>
      <c r="BS666" s="79"/>
      <c r="BT666" s="79"/>
      <c r="BU666" s="79"/>
      <c r="BV666" s="79"/>
      <c r="BW666" s="79"/>
      <c r="BX666" s="79"/>
      <c r="BY666" s="79"/>
      <c r="BZ666" s="79"/>
      <c r="CA666" s="79"/>
      <c r="CB666" s="79"/>
      <c r="CC666" s="79"/>
      <c r="CD666" s="79"/>
      <c r="CE666" s="79"/>
      <c r="CF666" s="79"/>
      <c r="CG666" s="79"/>
      <c r="CH666" s="79"/>
      <c r="CI666" s="79"/>
    </row>
    <row r="667" spans="1:87" ht="14" x14ac:dyDescent="0.1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  <c r="BT667" s="79"/>
      <c r="BU667" s="79"/>
      <c r="BV667" s="79"/>
      <c r="BW667" s="79"/>
      <c r="BX667" s="79"/>
      <c r="BY667" s="79"/>
      <c r="BZ667" s="79"/>
      <c r="CA667" s="79"/>
      <c r="CB667" s="79"/>
      <c r="CC667" s="79"/>
      <c r="CD667" s="79"/>
      <c r="CE667" s="79"/>
      <c r="CF667" s="79"/>
      <c r="CG667" s="79"/>
      <c r="CH667" s="79"/>
      <c r="CI667" s="79"/>
    </row>
    <row r="668" spans="1:87" ht="14" x14ac:dyDescent="0.1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  <c r="BL668" s="79"/>
      <c r="BM668" s="79"/>
      <c r="BN668" s="79"/>
      <c r="BO668" s="79"/>
      <c r="BP668" s="79"/>
      <c r="BQ668" s="79"/>
      <c r="BR668" s="79"/>
      <c r="BS668" s="79"/>
      <c r="BT668" s="79"/>
      <c r="BU668" s="79"/>
      <c r="BV668" s="79"/>
      <c r="BW668" s="79"/>
      <c r="BX668" s="79"/>
      <c r="BY668" s="79"/>
      <c r="BZ668" s="79"/>
      <c r="CA668" s="79"/>
      <c r="CB668" s="79"/>
      <c r="CC668" s="79"/>
      <c r="CD668" s="79"/>
      <c r="CE668" s="79"/>
      <c r="CF668" s="79"/>
      <c r="CG668" s="79"/>
      <c r="CH668" s="79"/>
      <c r="CI668" s="79"/>
    </row>
    <row r="669" spans="1:87" ht="14" x14ac:dyDescent="0.1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  <c r="BL669" s="79"/>
      <c r="BM669" s="79"/>
      <c r="BN669" s="79"/>
      <c r="BO669" s="79"/>
      <c r="BP669" s="79"/>
      <c r="BQ669" s="79"/>
      <c r="BR669" s="79"/>
      <c r="BS669" s="79"/>
      <c r="BT669" s="79"/>
      <c r="BU669" s="79"/>
      <c r="BV669" s="79"/>
      <c r="BW669" s="79"/>
      <c r="BX669" s="79"/>
      <c r="BY669" s="79"/>
      <c r="BZ669" s="79"/>
      <c r="CA669" s="79"/>
      <c r="CB669" s="79"/>
      <c r="CC669" s="79"/>
      <c r="CD669" s="79"/>
      <c r="CE669" s="79"/>
      <c r="CF669" s="79"/>
      <c r="CG669" s="79"/>
      <c r="CH669" s="79"/>
      <c r="CI669" s="79"/>
    </row>
    <row r="670" spans="1:87" ht="14" x14ac:dyDescent="0.1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  <c r="BL670" s="79"/>
      <c r="BM670" s="79"/>
      <c r="BN670" s="79"/>
      <c r="BO670" s="79"/>
      <c r="BP670" s="79"/>
      <c r="BQ670" s="79"/>
      <c r="BR670" s="79"/>
      <c r="BS670" s="79"/>
      <c r="BT670" s="79"/>
      <c r="BU670" s="79"/>
      <c r="BV670" s="79"/>
      <c r="BW670" s="79"/>
      <c r="BX670" s="79"/>
      <c r="BY670" s="79"/>
      <c r="BZ670" s="79"/>
      <c r="CA670" s="79"/>
      <c r="CB670" s="79"/>
      <c r="CC670" s="79"/>
      <c r="CD670" s="79"/>
      <c r="CE670" s="79"/>
      <c r="CF670" s="79"/>
      <c r="CG670" s="79"/>
      <c r="CH670" s="79"/>
      <c r="CI670" s="79"/>
    </row>
    <row r="671" spans="1:87" ht="14" x14ac:dyDescent="0.1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  <c r="BU671" s="79"/>
      <c r="BV671" s="79"/>
      <c r="BW671" s="79"/>
      <c r="BX671" s="79"/>
      <c r="BY671" s="79"/>
      <c r="BZ671" s="79"/>
      <c r="CA671" s="79"/>
      <c r="CB671" s="79"/>
      <c r="CC671" s="79"/>
      <c r="CD671" s="79"/>
      <c r="CE671" s="79"/>
      <c r="CF671" s="79"/>
      <c r="CG671" s="79"/>
      <c r="CH671" s="79"/>
      <c r="CI671" s="79"/>
    </row>
    <row r="672" spans="1:87" ht="14" x14ac:dyDescent="0.1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  <c r="BL672" s="79"/>
      <c r="BM672" s="79"/>
      <c r="BN672" s="79"/>
      <c r="BO672" s="79"/>
      <c r="BP672" s="79"/>
      <c r="BQ672" s="79"/>
      <c r="BR672" s="79"/>
      <c r="BS672" s="79"/>
      <c r="BT672" s="79"/>
      <c r="BU672" s="79"/>
      <c r="BV672" s="79"/>
      <c r="BW672" s="79"/>
      <c r="BX672" s="79"/>
      <c r="BY672" s="79"/>
      <c r="BZ672" s="79"/>
      <c r="CA672" s="79"/>
      <c r="CB672" s="79"/>
      <c r="CC672" s="79"/>
      <c r="CD672" s="79"/>
      <c r="CE672" s="79"/>
      <c r="CF672" s="79"/>
      <c r="CG672" s="79"/>
      <c r="CH672" s="79"/>
      <c r="CI672" s="79"/>
    </row>
    <row r="673" spans="1:87" ht="14" x14ac:dyDescent="0.1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  <c r="BL673" s="79"/>
      <c r="BM673" s="79"/>
      <c r="BN673" s="79"/>
      <c r="BO673" s="79"/>
      <c r="BP673" s="79"/>
      <c r="BQ673" s="79"/>
      <c r="BR673" s="79"/>
      <c r="BS673" s="79"/>
      <c r="BT673" s="79"/>
      <c r="BU673" s="79"/>
      <c r="BV673" s="79"/>
      <c r="BW673" s="79"/>
      <c r="BX673" s="79"/>
      <c r="BY673" s="79"/>
      <c r="BZ673" s="79"/>
      <c r="CA673" s="79"/>
      <c r="CB673" s="79"/>
      <c r="CC673" s="79"/>
      <c r="CD673" s="79"/>
      <c r="CE673" s="79"/>
      <c r="CF673" s="79"/>
      <c r="CG673" s="79"/>
      <c r="CH673" s="79"/>
      <c r="CI673" s="79"/>
    </row>
    <row r="674" spans="1:87" ht="14" x14ac:dyDescent="0.1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  <c r="BL674" s="79"/>
      <c r="BM674" s="79"/>
      <c r="BN674" s="79"/>
      <c r="BO674" s="79"/>
      <c r="BP674" s="79"/>
      <c r="BQ674" s="79"/>
      <c r="BR674" s="79"/>
      <c r="BS674" s="79"/>
      <c r="BT674" s="79"/>
      <c r="BU674" s="79"/>
      <c r="BV674" s="79"/>
      <c r="BW674" s="79"/>
      <c r="BX674" s="79"/>
      <c r="BY674" s="79"/>
      <c r="BZ674" s="79"/>
      <c r="CA674" s="79"/>
      <c r="CB674" s="79"/>
      <c r="CC674" s="79"/>
      <c r="CD674" s="79"/>
      <c r="CE674" s="79"/>
      <c r="CF674" s="79"/>
      <c r="CG674" s="79"/>
      <c r="CH674" s="79"/>
      <c r="CI674" s="79"/>
    </row>
    <row r="675" spans="1:87" ht="14" x14ac:dyDescent="0.1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  <c r="BL675" s="79"/>
      <c r="BM675" s="79"/>
      <c r="BN675" s="79"/>
      <c r="BO675" s="79"/>
      <c r="BP675" s="79"/>
      <c r="BQ675" s="79"/>
      <c r="BR675" s="79"/>
      <c r="BS675" s="79"/>
      <c r="BT675" s="79"/>
      <c r="BU675" s="79"/>
      <c r="BV675" s="79"/>
      <c r="BW675" s="79"/>
      <c r="BX675" s="79"/>
      <c r="BY675" s="79"/>
      <c r="BZ675" s="79"/>
      <c r="CA675" s="79"/>
      <c r="CB675" s="79"/>
      <c r="CC675" s="79"/>
      <c r="CD675" s="79"/>
      <c r="CE675" s="79"/>
      <c r="CF675" s="79"/>
      <c r="CG675" s="79"/>
      <c r="CH675" s="79"/>
      <c r="CI675" s="79"/>
    </row>
    <row r="676" spans="1:87" ht="14" x14ac:dyDescent="0.1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  <c r="BL676" s="79"/>
      <c r="BM676" s="79"/>
      <c r="BN676" s="79"/>
      <c r="BO676" s="79"/>
      <c r="BP676" s="79"/>
      <c r="BQ676" s="79"/>
      <c r="BR676" s="79"/>
      <c r="BS676" s="79"/>
      <c r="BT676" s="79"/>
      <c r="BU676" s="79"/>
      <c r="BV676" s="79"/>
      <c r="BW676" s="79"/>
      <c r="BX676" s="79"/>
      <c r="BY676" s="79"/>
      <c r="BZ676" s="79"/>
      <c r="CA676" s="79"/>
      <c r="CB676" s="79"/>
      <c r="CC676" s="79"/>
      <c r="CD676" s="79"/>
      <c r="CE676" s="79"/>
      <c r="CF676" s="79"/>
      <c r="CG676" s="79"/>
      <c r="CH676" s="79"/>
      <c r="CI676" s="79"/>
    </row>
    <row r="677" spans="1:87" ht="14" x14ac:dyDescent="0.1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  <c r="BL677" s="79"/>
      <c r="BM677" s="79"/>
      <c r="BN677" s="79"/>
      <c r="BO677" s="79"/>
      <c r="BP677" s="79"/>
      <c r="BQ677" s="79"/>
      <c r="BR677" s="79"/>
      <c r="BS677" s="79"/>
      <c r="BT677" s="79"/>
      <c r="BU677" s="79"/>
      <c r="BV677" s="79"/>
      <c r="BW677" s="79"/>
      <c r="BX677" s="79"/>
      <c r="BY677" s="79"/>
      <c r="BZ677" s="79"/>
      <c r="CA677" s="79"/>
      <c r="CB677" s="79"/>
      <c r="CC677" s="79"/>
      <c r="CD677" s="79"/>
      <c r="CE677" s="79"/>
      <c r="CF677" s="79"/>
      <c r="CG677" s="79"/>
      <c r="CH677" s="79"/>
      <c r="CI677" s="79"/>
    </row>
    <row r="678" spans="1:87" ht="14" x14ac:dyDescent="0.1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  <c r="CH678" s="79"/>
      <c r="CI678" s="79"/>
    </row>
    <row r="679" spans="1:87" ht="14" x14ac:dyDescent="0.1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  <c r="BL679" s="79"/>
      <c r="BM679" s="79"/>
      <c r="BN679" s="79"/>
      <c r="BO679" s="79"/>
      <c r="BP679" s="79"/>
      <c r="BQ679" s="79"/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  <c r="CH679" s="79"/>
      <c r="CI679" s="79"/>
    </row>
    <row r="680" spans="1:87" ht="14" x14ac:dyDescent="0.1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  <c r="BP680" s="79"/>
      <c r="BQ680" s="79"/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  <c r="CH680" s="79"/>
      <c r="CI680" s="79"/>
    </row>
    <row r="681" spans="1:87" ht="14" x14ac:dyDescent="0.1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  <c r="BP681" s="79"/>
      <c r="BQ681" s="79"/>
      <c r="BR681" s="79"/>
      <c r="BS681" s="79"/>
      <c r="BT681" s="79"/>
      <c r="BU681" s="79"/>
      <c r="BV681" s="79"/>
      <c r="BW681" s="79"/>
      <c r="BX681" s="79"/>
      <c r="BY681" s="79"/>
      <c r="BZ681" s="79"/>
      <c r="CA681" s="79"/>
      <c r="CB681" s="79"/>
      <c r="CC681" s="79"/>
      <c r="CD681" s="79"/>
      <c r="CE681" s="79"/>
      <c r="CF681" s="79"/>
      <c r="CG681" s="79"/>
      <c r="CH681" s="79"/>
      <c r="CI681" s="79"/>
    </row>
    <row r="682" spans="1:87" ht="14" x14ac:dyDescent="0.1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  <c r="CH682" s="79"/>
      <c r="CI682" s="79"/>
    </row>
    <row r="683" spans="1:87" ht="14" x14ac:dyDescent="0.1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  <c r="CH683" s="79"/>
      <c r="CI683" s="79"/>
    </row>
    <row r="684" spans="1:87" ht="14" x14ac:dyDescent="0.1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  <c r="BP684" s="79"/>
      <c r="BQ684" s="79"/>
      <c r="BR684" s="79"/>
      <c r="BS684" s="79"/>
      <c r="BT684" s="79"/>
      <c r="BU684" s="79"/>
      <c r="BV684" s="79"/>
      <c r="BW684" s="79"/>
      <c r="BX684" s="79"/>
      <c r="BY684" s="79"/>
      <c r="BZ684" s="79"/>
      <c r="CA684" s="79"/>
      <c r="CB684" s="79"/>
      <c r="CC684" s="79"/>
      <c r="CD684" s="79"/>
      <c r="CE684" s="79"/>
      <c r="CF684" s="79"/>
      <c r="CG684" s="79"/>
      <c r="CH684" s="79"/>
      <c r="CI684" s="79"/>
    </row>
    <row r="685" spans="1:87" ht="14" x14ac:dyDescent="0.1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  <c r="BL685" s="79"/>
      <c r="BM685" s="79"/>
      <c r="BN685" s="79"/>
      <c r="BO685" s="79"/>
      <c r="BP685" s="79"/>
      <c r="BQ685" s="79"/>
      <c r="BR685" s="79"/>
      <c r="BS685" s="79"/>
      <c r="BT685" s="79"/>
      <c r="BU685" s="79"/>
      <c r="BV685" s="79"/>
      <c r="BW685" s="79"/>
      <c r="BX685" s="79"/>
      <c r="BY685" s="79"/>
      <c r="BZ685" s="79"/>
      <c r="CA685" s="79"/>
      <c r="CB685" s="79"/>
      <c r="CC685" s="79"/>
      <c r="CD685" s="79"/>
      <c r="CE685" s="79"/>
      <c r="CF685" s="79"/>
      <c r="CG685" s="79"/>
      <c r="CH685" s="79"/>
      <c r="CI685" s="79"/>
    </row>
    <row r="686" spans="1:87" ht="14" x14ac:dyDescent="0.1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  <c r="BP686" s="79"/>
      <c r="BQ686" s="79"/>
      <c r="BR686" s="79"/>
      <c r="BS686" s="79"/>
      <c r="BT686" s="79"/>
      <c r="BU686" s="79"/>
      <c r="BV686" s="79"/>
      <c r="BW686" s="79"/>
      <c r="BX686" s="79"/>
      <c r="BY686" s="79"/>
      <c r="BZ686" s="79"/>
      <c r="CA686" s="79"/>
      <c r="CB686" s="79"/>
      <c r="CC686" s="79"/>
      <c r="CD686" s="79"/>
      <c r="CE686" s="79"/>
      <c r="CF686" s="79"/>
      <c r="CG686" s="79"/>
      <c r="CH686" s="79"/>
      <c r="CI686" s="79"/>
    </row>
    <row r="687" spans="1:87" ht="14" x14ac:dyDescent="0.1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  <c r="BP687" s="79"/>
      <c r="BQ687" s="79"/>
      <c r="BR687" s="79"/>
      <c r="BS687" s="79"/>
      <c r="BT687" s="79"/>
      <c r="BU687" s="79"/>
      <c r="BV687" s="79"/>
      <c r="BW687" s="79"/>
      <c r="BX687" s="79"/>
      <c r="BY687" s="79"/>
      <c r="BZ687" s="79"/>
      <c r="CA687" s="79"/>
      <c r="CB687" s="79"/>
      <c r="CC687" s="79"/>
      <c r="CD687" s="79"/>
      <c r="CE687" s="79"/>
      <c r="CF687" s="79"/>
      <c r="CG687" s="79"/>
      <c r="CH687" s="79"/>
      <c r="CI687" s="79"/>
    </row>
    <row r="688" spans="1:87" ht="14" x14ac:dyDescent="0.1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79"/>
      <c r="BU688" s="79"/>
      <c r="BV688" s="79"/>
      <c r="BW688" s="79"/>
      <c r="BX688" s="79"/>
      <c r="BY688" s="79"/>
      <c r="BZ688" s="79"/>
      <c r="CA688" s="79"/>
      <c r="CB688" s="79"/>
      <c r="CC688" s="79"/>
      <c r="CD688" s="79"/>
      <c r="CE688" s="79"/>
      <c r="CF688" s="79"/>
      <c r="CG688" s="79"/>
      <c r="CH688" s="79"/>
      <c r="CI688" s="79"/>
    </row>
    <row r="689" spans="1:87" ht="14" x14ac:dyDescent="0.1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  <c r="BP689" s="79"/>
      <c r="BQ689" s="79"/>
      <c r="BR689" s="79"/>
      <c r="BS689" s="79"/>
      <c r="BT689" s="79"/>
      <c r="BU689" s="79"/>
      <c r="BV689" s="79"/>
      <c r="BW689" s="79"/>
      <c r="BX689" s="79"/>
      <c r="BY689" s="79"/>
      <c r="BZ689" s="79"/>
      <c r="CA689" s="79"/>
      <c r="CB689" s="79"/>
      <c r="CC689" s="79"/>
      <c r="CD689" s="79"/>
      <c r="CE689" s="79"/>
      <c r="CF689" s="79"/>
      <c r="CG689" s="79"/>
      <c r="CH689" s="79"/>
      <c r="CI689" s="79"/>
    </row>
    <row r="690" spans="1:87" ht="14" x14ac:dyDescent="0.1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  <c r="BP690" s="79"/>
      <c r="BQ690" s="79"/>
      <c r="BR690" s="79"/>
      <c r="BS690" s="79"/>
      <c r="BT690" s="79"/>
      <c r="BU690" s="79"/>
      <c r="BV690" s="79"/>
      <c r="BW690" s="79"/>
      <c r="BX690" s="79"/>
      <c r="BY690" s="79"/>
      <c r="BZ690" s="79"/>
      <c r="CA690" s="79"/>
      <c r="CB690" s="79"/>
      <c r="CC690" s="79"/>
      <c r="CD690" s="79"/>
      <c r="CE690" s="79"/>
      <c r="CF690" s="79"/>
      <c r="CG690" s="79"/>
      <c r="CH690" s="79"/>
      <c r="CI690" s="79"/>
    </row>
    <row r="691" spans="1:87" ht="14" x14ac:dyDescent="0.1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  <c r="BP691" s="79"/>
      <c r="BQ691" s="79"/>
      <c r="BR691" s="79"/>
      <c r="BS691" s="79"/>
      <c r="BT691" s="79"/>
      <c r="BU691" s="79"/>
      <c r="BV691" s="79"/>
      <c r="BW691" s="79"/>
      <c r="BX691" s="79"/>
      <c r="BY691" s="79"/>
      <c r="BZ691" s="79"/>
      <c r="CA691" s="79"/>
      <c r="CB691" s="79"/>
      <c r="CC691" s="79"/>
      <c r="CD691" s="79"/>
      <c r="CE691" s="79"/>
      <c r="CF691" s="79"/>
      <c r="CG691" s="79"/>
      <c r="CH691" s="79"/>
      <c r="CI691" s="79"/>
    </row>
    <row r="692" spans="1:87" ht="14" x14ac:dyDescent="0.1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  <c r="BP692" s="79"/>
      <c r="BQ692" s="79"/>
      <c r="BR692" s="79"/>
      <c r="BS692" s="79"/>
      <c r="BT692" s="79"/>
      <c r="BU692" s="79"/>
      <c r="BV692" s="79"/>
      <c r="BW692" s="79"/>
      <c r="BX692" s="79"/>
      <c r="BY692" s="79"/>
      <c r="BZ692" s="79"/>
      <c r="CA692" s="79"/>
      <c r="CB692" s="79"/>
      <c r="CC692" s="79"/>
      <c r="CD692" s="79"/>
      <c r="CE692" s="79"/>
      <c r="CF692" s="79"/>
      <c r="CG692" s="79"/>
      <c r="CH692" s="79"/>
      <c r="CI692" s="79"/>
    </row>
    <row r="693" spans="1:87" ht="14" x14ac:dyDescent="0.1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  <c r="BP693" s="79"/>
      <c r="BQ693" s="79"/>
      <c r="BR693" s="79"/>
      <c r="BS693" s="79"/>
      <c r="BT693" s="79"/>
      <c r="BU693" s="79"/>
      <c r="BV693" s="79"/>
      <c r="BW693" s="79"/>
      <c r="BX693" s="79"/>
      <c r="BY693" s="79"/>
      <c r="BZ693" s="79"/>
      <c r="CA693" s="79"/>
      <c r="CB693" s="79"/>
      <c r="CC693" s="79"/>
      <c r="CD693" s="79"/>
      <c r="CE693" s="79"/>
      <c r="CF693" s="79"/>
      <c r="CG693" s="79"/>
      <c r="CH693" s="79"/>
      <c r="CI693" s="79"/>
    </row>
    <row r="694" spans="1:87" ht="14" x14ac:dyDescent="0.1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  <c r="BP694" s="79"/>
      <c r="BQ694" s="79"/>
      <c r="BR694" s="79"/>
      <c r="BS694" s="79"/>
      <c r="BT694" s="79"/>
      <c r="BU694" s="79"/>
      <c r="BV694" s="79"/>
      <c r="BW694" s="79"/>
      <c r="BX694" s="79"/>
      <c r="BY694" s="79"/>
      <c r="BZ694" s="79"/>
      <c r="CA694" s="79"/>
      <c r="CB694" s="79"/>
      <c r="CC694" s="79"/>
      <c r="CD694" s="79"/>
      <c r="CE694" s="79"/>
      <c r="CF694" s="79"/>
      <c r="CG694" s="79"/>
      <c r="CH694" s="79"/>
      <c r="CI694" s="79"/>
    </row>
    <row r="695" spans="1:87" ht="14" x14ac:dyDescent="0.1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  <c r="BP695" s="79"/>
      <c r="BQ695" s="79"/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  <c r="CH695" s="79"/>
      <c r="CI695" s="79"/>
    </row>
    <row r="696" spans="1:87" ht="14" x14ac:dyDescent="0.1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  <c r="BP696" s="79"/>
      <c r="BQ696" s="79"/>
      <c r="BR696" s="79"/>
      <c r="BS696" s="79"/>
      <c r="BT696" s="79"/>
      <c r="BU696" s="79"/>
      <c r="BV696" s="79"/>
      <c r="BW696" s="79"/>
      <c r="BX696" s="79"/>
      <c r="BY696" s="79"/>
      <c r="BZ696" s="79"/>
      <c r="CA696" s="79"/>
      <c r="CB696" s="79"/>
      <c r="CC696" s="79"/>
      <c r="CD696" s="79"/>
      <c r="CE696" s="79"/>
      <c r="CF696" s="79"/>
      <c r="CG696" s="79"/>
      <c r="CH696" s="79"/>
      <c r="CI696" s="79"/>
    </row>
    <row r="697" spans="1:87" ht="14" x14ac:dyDescent="0.1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  <c r="BL697" s="79"/>
      <c r="BM697" s="79"/>
      <c r="BN697" s="79"/>
      <c r="BO697" s="79"/>
      <c r="BP697" s="79"/>
      <c r="BQ697" s="79"/>
      <c r="BR697" s="79"/>
      <c r="BS697" s="79"/>
      <c r="BT697" s="79"/>
      <c r="BU697" s="79"/>
      <c r="BV697" s="79"/>
      <c r="BW697" s="79"/>
      <c r="BX697" s="79"/>
      <c r="BY697" s="79"/>
      <c r="BZ697" s="79"/>
      <c r="CA697" s="79"/>
      <c r="CB697" s="79"/>
      <c r="CC697" s="79"/>
      <c r="CD697" s="79"/>
      <c r="CE697" s="79"/>
      <c r="CF697" s="79"/>
      <c r="CG697" s="79"/>
      <c r="CH697" s="79"/>
      <c r="CI697" s="79"/>
    </row>
    <row r="698" spans="1:87" ht="14" x14ac:dyDescent="0.1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  <c r="BK698" s="79"/>
      <c r="BL698" s="79"/>
      <c r="BM698" s="79"/>
      <c r="BN698" s="79"/>
      <c r="BO698" s="79"/>
      <c r="BP698" s="79"/>
      <c r="BQ698" s="79"/>
      <c r="BR698" s="79"/>
      <c r="BS698" s="79"/>
      <c r="BT698" s="79"/>
      <c r="BU698" s="79"/>
      <c r="BV698" s="79"/>
      <c r="BW698" s="79"/>
      <c r="BX698" s="79"/>
      <c r="BY698" s="79"/>
      <c r="BZ698" s="79"/>
      <c r="CA698" s="79"/>
      <c r="CB698" s="79"/>
      <c r="CC698" s="79"/>
      <c r="CD698" s="79"/>
      <c r="CE698" s="79"/>
      <c r="CF698" s="79"/>
      <c r="CG698" s="79"/>
      <c r="CH698" s="79"/>
      <c r="CI698" s="79"/>
    </row>
    <row r="699" spans="1:87" ht="14" x14ac:dyDescent="0.1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  <c r="BK699" s="79"/>
      <c r="BL699" s="79"/>
      <c r="BM699" s="79"/>
      <c r="BN699" s="79"/>
      <c r="BO699" s="79"/>
      <c r="BP699" s="79"/>
      <c r="BQ699" s="79"/>
      <c r="BR699" s="79"/>
      <c r="BS699" s="79"/>
      <c r="BT699" s="79"/>
      <c r="BU699" s="79"/>
      <c r="BV699" s="79"/>
      <c r="BW699" s="79"/>
      <c r="BX699" s="79"/>
      <c r="BY699" s="79"/>
      <c r="BZ699" s="79"/>
      <c r="CA699" s="79"/>
      <c r="CB699" s="79"/>
      <c r="CC699" s="79"/>
      <c r="CD699" s="79"/>
      <c r="CE699" s="79"/>
      <c r="CF699" s="79"/>
      <c r="CG699" s="79"/>
      <c r="CH699" s="79"/>
      <c r="CI699" s="79"/>
    </row>
    <row r="700" spans="1:87" ht="14" x14ac:dyDescent="0.1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  <c r="BK700" s="79"/>
      <c r="BL700" s="79"/>
      <c r="BM700" s="79"/>
      <c r="BN700" s="79"/>
      <c r="BO700" s="79"/>
      <c r="BP700" s="79"/>
      <c r="BQ700" s="79"/>
      <c r="BR700" s="79"/>
      <c r="BS700" s="79"/>
      <c r="BT700" s="79"/>
      <c r="BU700" s="79"/>
      <c r="BV700" s="79"/>
      <c r="BW700" s="79"/>
      <c r="BX700" s="79"/>
      <c r="BY700" s="79"/>
      <c r="BZ700" s="79"/>
      <c r="CA700" s="79"/>
      <c r="CB700" s="79"/>
      <c r="CC700" s="79"/>
      <c r="CD700" s="79"/>
      <c r="CE700" s="79"/>
      <c r="CF700" s="79"/>
      <c r="CG700" s="79"/>
      <c r="CH700" s="79"/>
      <c r="CI700" s="79"/>
    </row>
    <row r="701" spans="1:87" ht="14" x14ac:dyDescent="0.1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  <c r="BK701" s="79"/>
      <c r="BL701" s="79"/>
      <c r="BM701" s="79"/>
      <c r="BN701" s="79"/>
      <c r="BO701" s="79"/>
      <c r="BP701" s="79"/>
      <c r="BQ701" s="79"/>
      <c r="BR701" s="79"/>
      <c r="BS701" s="79"/>
      <c r="BT701" s="79"/>
      <c r="BU701" s="79"/>
      <c r="BV701" s="79"/>
      <c r="BW701" s="79"/>
      <c r="BX701" s="79"/>
      <c r="BY701" s="79"/>
      <c r="BZ701" s="79"/>
      <c r="CA701" s="79"/>
      <c r="CB701" s="79"/>
      <c r="CC701" s="79"/>
      <c r="CD701" s="79"/>
      <c r="CE701" s="79"/>
      <c r="CF701" s="79"/>
      <c r="CG701" s="79"/>
      <c r="CH701" s="79"/>
      <c r="CI701" s="79"/>
    </row>
    <row r="702" spans="1:87" ht="14" x14ac:dyDescent="0.1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  <c r="BK702" s="79"/>
      <c r="BL702" s="79"/>
      <c r="BM702" s="79"/>
      <c r="BN702" s="79"/>
      <c r="BO702" s="79"/>
      <c r="BP702" s="79"/>
      <c r="BQ702" s="79"/>
      <c r="BR702" s="79"/>
      <c r="BS702" s="79"/>
      <c r="BT702" s="79"/>
      <c r="BU702" s="79"/>
      <c r="BV702" s="79"/>
      <c r="BW702" s="79"/>
      <c r="BX702" s="79"/>
      <c r="BY702" s="79"/>
      <c r="BZ702" s="79"/>
      <c r="CA702" s="79"/>
      <c r="CB702" s="79"/>
      <c r="CC702" s="79"/>
      <c r="CD702" s="79"/>
      <c r="CE702" s="79"/>
      <c r="CF702" s="79"/>
      <c r="CG702" s="79"/>
      <c r="CH702" s="79"/>
      <c r="CI702" s="79"/>
    </row>
    <row r="703" spans="1:87" ht="14" x14ac:dyDescent="0.1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  <c r="BK703" s="79"/>
      <c r="BL703" s="79"/>
      <c r="BM703" s="79"/>
      <c r="BN703" s="79"/>
      <c r="BO703" s="79"/>
      <c r="BP703" s="79"/>
      <c r="BQ703" s="79"/>
      <c r="BR703" s="79"/>
      <c r="BS703" s="79"/>
      <c r="BT703" s="79"/>
      <c r="BU703" s="79"/>
      <c r="BV703" s="79"/>
      <c r="BW703" s="79"/>
      <c r="BX703" s="79"/>
      <c r="BY703" s="79"/>
      <c r="BZ703" s="79"/>
      <c r="CA703" s="79"/>
      <c r="CB703" s="79"/>
      <c r="CC703" s="79"/>
      <c r="CD703" s="79"/>
      <c r="CE703" s="79"/>
      <c r="CF703" s="79"/>
      <c r="CG703" s="79"/>
      <c r="CH703" s="79"/>
      <c r="CI703" s="79"/>
    </row>
    <row r="704" spans="1:87" ht="14" x14ac:dyDescent="0.1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  <c r="BK704" s="79"/>
      <c r="BL704" s="79"/>
      <c r="BM704" s="79"/>
      <c r="BN704" s="79"/>
      <c r="BO704" s="79"/>
      <c r="BP704" s="79"/>
      <c r="BQ704" s="79"/>
      <c r="BR704" s="79"/>
      <c r="BS704" s="79"/>
      <c r="BT704" s="79"/>
      <c r="BU704" s="79"/>
      <c r="BV704" s="79"/>
      <c r="BW704" s="79"/>
      <c r="BX704" s="79"/>
      <c r="BY704" s="79"/>
      <c r="BZ704" s="79"/>
      <c r="CA704" s="79"/>
      <c r="CB704" s="79"/>
      <c r="CC704" s="79"/>
      <c r="CD704" s="79"/>
      <c r="CE704" s="79"/>
      <c r="CF704" s="79"/>
      <c r="CG704" s="79"/>
      <c r="CH704" s="79"/>
      <c r="CI704" s="79"/>
    </row>
    <row r="705" spans="1:87" ht="14" x14ac:dyDescent="0.1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  <c r="BK705" s="79"/>
      <c r="BL705" s="79"/>
      <c r="BM705" s="79"/>
      <c r="BN705" s="79"/>
      <c r="BO705" s="79"/>
      <c r="BP705" s="79"/>
      <c r="BQ705" s="79"/>
      <c r="BR705" s="79"/>
      <c r="BS705" s="79"/>
      <c r="BT705" s="79"/>
      <c r="BU705" s="79"/>
      <c r="BV705" s="79"/>
      <c r="BW705" s="79"/>
      <c r="BX705" s="79"/>
      <c r="BY705" s="79"/>
      <c r="BZ705" s="79"/>
      <c r="CA705" s="79"/>
      <c r="CB705" s="79"/>
      <c r="CC705" s="79"/>
      <c r="CD705" s="79"/>
      <c r="CE705" s="79"/>
      <c r="CF705" s="79"/>
      <c r="CG705" s="79"/>
      <c r="CH705" s="79"/>
      <c r="CI705" s="79"/>
    </row>
    <row r="706" spans="1:87" ht="14" x14ac:dyDescent="0.1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79"/>
      <c r="AW706" s="79"/>
      <c r="AX706" s="79"/>
      <c r="AY706" s="79"/>
      <c r="AZ706" s="79"/>
      <c r="BA706" s="79"/>
      <c r="BB706" s="79"/>
      <c r="BC706" s="79"/>
      <c r="BD706" s="79"/>
      <c r="BE706" s="79"/>
      <c r="BF706" s="79"/>
      <c r="BG706" s="79"/>
      <c r="BH706" s="79"/>
      <c r="BI706" s="79"/>
      <c r="BJ706" s="79"/>
      <c r="BK706" s="79"/>
      <c r="BL706" s="79"/>
      <c r="BM706" s="79"/>
      <c r="BN706" s="79"/>
      <c r="BO706" s="79"/>
      <c r="BP706" s="79"/>
      <c r="BQ706" s="79"/>
      <c r="BR706" s="79"/>
      <c r="BS706" s="79"/>
      <c r="BT706" s="79"/>
      <c r="BU706" s="79"/>
      <c r="BV706" s="79"/>
      <c r="BW706" s="79"/>
      <c r="BX706" s="79"/>
      <c r="BY706" s="79"/>
      <c r="BZ706" s="79"/>
      <c r="CA706" s="79"/>
      <c r="CB706" s="79"/>
      <c r="CC706" s="79"/>
      <c r="CD706" s="79"/>
      <c r="CE706" s="79"/>
      <c r="CF706" s="79"/>
      <c r="CG706" s="79"/>
      <c r="CH706" s="79"/>
      <c r="CI706" s="79"/>
    </row>
    <row r="707" spans="1:87" ht="14" x14ac:dyDescent="0.1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79"/>
      <c r="AW707" s="79"/>
      <c r="AX707" s="79"/>
      <c r="AY707" s="79"/>
      <c r="AZ707" s="79"/>
      <c r="BA707" s="79"/>
      <c r="BB707" s="79"/>
      <c r="BC707" s="79"/>
      <c r="BD707" s="79"/>
      <c r="BE707" s="79"/>
      <c r="BF707" s="79"/>
      <c r="BG707" s="79"/>
      <c r="BH707" s="79"/>
      <c r="BI707" s="79"/>
      <c r="BJ707" s="79"/>
      <c r="BK707" s="79"/>
      <c r="BL707" s="79"/>
      <c r="BM707" s="79"/>
      <c r="BN707" s="79"/>
      <c r="BO707" s="79"/>
      <c r="BP707" s="79"/>
      <c r="BQ707" s="79"/>
      <c r="BR707" s="79"/>
      <c r="BS707" s="79"/>
      <c r="BT707" s="79"/>
      <c r="BU707" s="79"/>
      <c r="BV707" s="79"/>
      <c r="BW707" s="79"/>
      <c r="BX707" s="79"/>
      <c r="BY707" s="79"/>
      <c r="BZ707" s="79"/>
      <c r="CA707" s="79"/>
      <c r="CB707" s="79"/>
      <c r="CC707" s="79"/>
      <c r="CD707" s="79"/>
      <c r="CE707" s="79"/>
      <c r="CF707" s="79"/>
      <c r="CG707" s="79"/>
      <c r="CH707" s="79"/>
      <c r="CI707" s="79"/>
    </row>
    <row r="708" spans="1:87" ht="14" x14ac:dyDescent="0.1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79"/>
      <c r="AW708" s="79"/>
      <c r="AX708" s="79"/>
      <c r="AY708" s="79"/>
      <c r="AZ708" s="79"/>
      <c r="BA708" s="79"/>
      <c r="BB708" s="79"/>
      <c r="BC708" s="79"/>
      <c r="BD708" s="79"/>
      <c r="BE708" s="79"/>
      <c r="BF708" s="79"/>
      <c r="BG708" s="79"/>
      <c r="BH708" s="79"/>
      <c r="BI708" s="79"/>
      <c r="BJ708" s="79"/>
      <c r="BK708" s="79"/>
      <c r="BL708" s="79"/>
      <c r="BM708" s="79"/>
      <c r="BN708" s="79"/>
      <c r="BO708" s="79"/>
      <c r="BP708" s="79"/>
      <c r="BQ708" s="79"/>
      <c r="BR708" s="79"/>
      <c r="BS708" s="79"/>
      <c r="BT708" s="79"/>
      <c r="BU708" s="79"/>
      <c r="BV708" s="79"/>
      <c r="BW708" s="79"/>
      <c r="BX708" s="79"/>
      <c r="BY708" s="79"/>
      <c r="BZ708" s="79"/>
      <c r="CA708" s="79"/>
      <c r="CB708" s="79"/>
      <c r="CC708" s="79"/>
      <c r="CD708" s="79"/>
      <c r="CE708" s="79"/>
      <c r="CF708" s="79"/>
      <c r="CG708" s="79"/>
      <c r="CH708" s="79"/>
      <c r="CI708" s="79"/>
    </row>
    <row r="709" spans="1:87" ht="14" x14ac:dyDescent="0.1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  <c r="BK709" s="79"/>
      <c r="BL709" s="79"/>
      <c r="BM709" s="79"/>
      <c r="BN709" s="79"/>
      <c r="BO709" s="79"/>
      <c r="BP709" s="79"/>
      <c r="BQ709" s="79"/>
      <c r="BR709" s="79"/>
      <c r="BS709" s="79"/>
      <c r="BT709" s="79"/>
      <c r="BU709" s="79"/>
      <c r="BV709" s="79"/>
      <c r="BW709" s="79"/>
      <c r="BX709" s="79"/>
      <c r="BY709" s="79"/>
      <c r="BZ709" s="79"/>
      <c r="CA709" s="79"/>
      <c r="CB709" s="79"/>
      <c r="CC709" s="79"/>
      <c r="CD709" s="79"/>
      <c r="CE709" s="79"/>
      <c r="CF709" s="79"/>
      <c r="CG709" s="79"/>
      <c r="CH709" s="79"/>
      <c r="CI709" s="79"/>
    </row>
    <row r="710" spans="1:87" ht="14" x14ac:dyDescent="0.1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  <c r="BK710" s="79"/>
      <c r="BL710" s="79"/>
      <c r="BM710" s="79"/>
      <c r="BN710" s="79"/>
      <c r="BO710" s="79"/>
      <c r="BP710" s="79"/>
      <c r="BQ710" s="79"/>
      <c r="BR710" s="79"/>
      <c r="BS710" s="79"/>
      <c r="BT710" s="79"/>
      <c r="BU710" s="79"/>
      <c r="BV710" s="79"/>
      <c r="BW710" s="79"/>
      <c r="BX710" s="79"/>
      <c r="BY710" s="79"/>
      <c r="BZ710" s="79"/>
      <c r="CA710" s="79"/>
      <c r="CB710" s="79"/>
      <c r="CC710" s="79"/>
      <c r="CD710" s="79"/>
      <c r="CE710" s="79"/>
      <c r="CF710" s="79"/>
      <c r="CG710" s="79"/>
      <c r="CH710" s="79"/>
      <c r="CI710" s="79"/>
    </row>
    <row r="711" spans="1:87" ht="14" x14ac:dyDescent="0.1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79"/>
      <c r="AW711" s="79"/>
      <c r="AX711" s="79"/>
      <c r="AY711" s="79"/>
      <c r="AZ711" s="79"/>
      <c r="BA711" s="79"/>
      <c r="BB711" s="79"/>
      <c r="BC711" s="79"/>
      <c r="BD711" s="79"/>
      <c r="BE711" s="79"/>
      <c r="BF711" s="79"/>
      <c r="BG711" s="79"/>
      <c r="BH711" s="79"/>
      <c r="BI711" s="79"/>
      <c r="BJ711" s="79"/>
      <c r="BK711" s="79"/>
      <c r="BL711" s="79"/>
      <c r="BM711" s="79"/>
      <c r="BN711" s="79"/>
      <c r="BO711" s="79"/>
      <c r="BP711" s="79"/>
      <c r="BQ711" s="79"/>
      <c r="BR711" s="79"/>
      <c r="BS711" s="79"/>
      <c r="BT711" s="79"/>
      <c r="BU711" s="79"/>
      <c r="BV711" s="79"/>
      <c r="BW711" s="79"/>
      <c r="BX711" s="79"/>
      <c r="BY711" s="79"/>
      <c r="BZ711" s="79"/>
      <c r="CA711" s="79"/>
      <c r="CB711" s="79"/>
      <c r="CC711" s="79"/>
      <c r="CD711" s="79"/>
      <c r="CE711" s="79"/>
      <c r="CF711" s="79"/>
      <c r="CG711" s="79"/>
      <c r="CH711" s="79"/>
      <c r="CI711" s="79"/>
    </row>
    <row r="712" spans="1:87" ht="14" x14ac:dyDescent="0.1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79"/>
      <c r="AW712" s="79"/>
      <c r="AX712" s="79"/>
      <c r="AY712" s="79"/>
      <c r="AZ712" s="79"/>
      <c r="BA712" s="79"/>
      <c r="BB712" s="79"/>
      <c r="BC712" s="79"/>
      <c r="BD712" s="79"/>
      <c r="BE712" s="79"/>
      <c r="BF712" s="79"/>
      <c r="BG712" s="79"/>
      <c r="BH712" s="79"/>
      <c r="BI712" s="79"/>
      <c r="BJ712" s="79"/>
      <c r="BK712" s="79"/>
      <c r="BL712" s="79"/>
      <c r="BM712" s="79"/>
      <c r="BN712" s="79"/>
      <c r="BO712" s="79"/>
      <c r="BP712" s="79"/>
      <c r="BQ712" s="79"/>
      <c r="BR712" s="79"/>
      <c r="BS712" s="79"/>
      <c r="BT712" s="79"/>
      <c r="BU712" s="79"/>
      <c r="BV712" s="79"/>
      <c r="BW712" s="79"/>
      <c r="BX712" s="79"/>
      <c r="BY712" s="79"/>
      <c r="BZ712" s="79"/>
      <c r="CA712" s="79"/>
      <c r="CB712" s="79"/>
      <c r="CC712" s="79"/>
      <c r="CD712" s="79"/>
      <c r="CE712" s="79"/>
      <c r="CF712" s="79"/>
      <c r="CG712" s="79"/>
      <c r="CH712" s="79"/>
      <c r="CI712" s="79"/>
    </row>
    <row r="713" spans="1:87" ht="14" x14ac:dyDescent="0.1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79"/>
      <c r="AW713" s="79"/>
      <c r="AX713" s="79"/>
      <c r="AY713" s="79"/>
      <c r="AZ713" s="79"/>
      <c r="BA713" s="79"/>
      <c r="BB713" s="79"/>
      <c r="BC713" s="79"/>
      <c r="BD713" s="79"/>
      <c r="BE713" s="79"/>
      <c r="BF713" s="79"/>
      <c r="BG713" s="79"/>
      <c r="BH713" s="79"/>
      <c r="BI713" s="79"/>
      <c r="BJ713" s="79"/>
      <c r="BK713" s="79"/>
      <c r="BL713" s="79"/>
      <c r="BM713" s="79"/>
      <c r="BN713" s="79"/>
      <c r="BO713" s="79"/>
      <c r="BP713" s="79"/>
      <c r="BQ713" s="79"/>
      <c r="BR713" s="79"/>
      <c r="BS713" s="79"/>
      <c r="BT713" s="79"/>
      <c r="BU713" s="79"/>
      <c r="BV713" s="79"/>
      <c r="BW713" s="79"/>
      <c r="BX713" s="79"/>
      <c r="BY713" s="79"/>
      <c r="BZ713" s="79"/>
      <c r="CA713" s="79"/>
      <c r="CB713" s="79"/>
      <c r="CC713" s="79"/>
      <c r="CD713" s="79"/>
      <c r="CE713" s="79"/>
      <c r="CF713" s="79"/>
      <c r="CG713" s="79"/>
      <c r="CH713" s="79"/>
      <c r="CI713" s="79"/>
    </row>
    <row r="714" spans="1:87" ht="14" x14ac:dyDescent="0.1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79"/>
      <c r="AW714" s="79"/>
      <c r="AX714" s="79"/>
      <c r="AY714" s="79"/>
      <c r="AZ714" s="79"/>
      <c r="BA714" s="79"/>
      <c r="BB714" s="79"/>
      <c r="BC714" s="79"/>
      <c r="BD714" s="79"/>
      <c r="BE714" s="79"/>
      <c r="BF714" s="79"/>
      <c r="BG714" s="79"/>
      <c r="BH714" s="79"/>
      <c r="BI714" s="79"/>
      <c r="BJ714" s="79"/>
      <c r="BK714" s="79"/>
      <c r="BL714" s="79"/>
      <c r="BM714" s="79"/>
      <c r="BN714" s="79"/>
      <c r="BO714" s="79"/>
      <c r="BP714" s="79"/>
      <c r="BQ714" s="79"/>
      <c r="BR714" s="79"/>
      <c r="BS714" s="79"/>
      <c r="BT714" s="79"/>
      <c r="BU714" s="79"/>
      <c r="BV714" s="79"/>
      <c r="BW714" s="79"/>
      <c r="BX714" s="79"/>
      <c r="BY714" s="79"/>
      <c r="BZ714" s="79"/>
      <c r="CA714" s="79"/>
      <c r="CB714" s="79"/>
      <c r="CC714" s="79"/>
      <c r="CD714" s="79"/>
      <c r="CE714" s="79"/>
      <c r="CF714" s="79"/>
      <c r="CG714" s="79"/>
      <c r="CH714" s="79"/>
      <c r="CI714" s="79"/>
    </row>
    <row r="715" spans="1:87" ht="14" x14ac:dyDescent="0.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  <c r="CH715" s="79"/>
      <c r="CI715" s="79"/>
    </row>
    <row r="716" spans="1:87" ht="14" x14ac:dyDescent="0.1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79"/>
      <c r="AW716" s="79"/>
      <c r="AX716" s="79"/>
      <c r="AY716" s="79"/>
      <c r="AZ716" s="79"/>
      <c r="BA716" s="79"/>
      <c r="BB716" s="79"/>
      <c r="BC716" s="79"/>
      <c r="BD716" s="79"/>
      <c r="BE716" s="79"/>
      <c r="BF716" s="79"/>
      <c r="BG716" s="79"/>
      <c r="BH716" s="79"/>
      <c r="BI716" s="79"/>
      <c r="BJ716" s="79"/>
      <c r="BK716" s="79"/>
      <c r="BL716" s="79"/>
      <c r="BM716" s="79"/>
      <c r="BN716" s="79"/>
      <c r="BO716" s="79"/>
      <c r="BP716" s="79"/>
      <c r="BQ716" s="79"/>
      <c r="BR716" s="79"/>
      <c r="BS716" s="79"/>
      <c r="BT716" s="79"/>
      <c r="BU716" s="79"/>
      <c r="BV716" s="79"/>
      <c r="BW716" s="79"/>
      <c r="BX716" s="79"/>
      <c r="BY716" s="79"/>
      <c r="BZ716" s="79"/>
      <c r="CA716" s="79"/>
      <c r="CB716" s="79"/>
      <c r="CC716" s="79"/>
      <c r="CD716" s="79"/>
      <c r="CE716" s="79"/>
      <c r="CF716" s="79"/>
      <c r="CG716" s="79"/>
      <c r="CH716" s="79"/>
      <c r="CI716" s="79"/>
    </row>
    <row r="717" spans="1:87" ht="14" x14ac:dyDescent="0.1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79"/>
      <c r="AW717" s="79"/>
      <c r="AX717" s="79"/>
      <c r="AY717" s="79"/>
      <c r="AZ717" s="79"/>
      <c r="BA717" s="79"/>
      <c r="BB717" s="79"/>
      <c r="BC717" s="79"/>
      <c r="BD717" s="79"/>
      <c r="BE717" s="79"/>
      <c r="BF717" s="79"/>
      <c r="BG717" s="79"/>
      <c r="BH717" s="79"/>
      <c r="BI717" s="79"/>
      <c r="BJ717" s="79"/>
      <c r="BK717" s="79"/>
      <c r="BL717" s="79"/>
      <c r="BM717" s="79"/>
      <c r="BN717" s="79"/>
      <c r="BO717" s="79"/>
      <c r="BP717" s="79"/>
      <c r="BQ717" s="79"/>
      <c r="BR717" s="79"/>
      <c r="BS717" s="79"/>
      <c r="BT717" s="79"/>
      <c r="BU717" s="79"/>
      <c r="BV717" s="79"/>
      <c r="BW717" s="79"/>
      <c r="BX717" s="79"/>
      <c r="BY717" s="79"/>
      <c r="BZ717" s="79"/>
      <c r="CA717" s="79"/>
      <c r="CB717" s="79"/>
      <c r="CC717" s="79"/>
      <c r="CD717" s="79"/>
      <c r="CE717" s="79"/>
      <c r="CF717" s="79"/>
      <c r="CG717" s="79"/>
      <c r="CH717" s="79"/>
      <c r="CI717" s="79"/>
    </row>
    <row r="718" spans="1:87" ht="14" x14ac:dyDescent="0.1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79"/>
      <c r="AW718" s="79"/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79"/>
      <c r="BL718" s="79"/>
      <c r="BM718" s="79"/>
      <c r="BN718" s="79"/>
      <c r="BO718" s="79"/>
      <c r="BP718" s="79"/>
      <c r="BQ718" s="79"/>
      <c r="BR718" s="79"/>
      <c r="BS718" s="79"/>
      <c r="BT718" s="79"/>
      <c r="BU718" s="79"/>
      <c r="BV718" s="79"/>
      <c r="BW718" s="79"/>
      <c r="BX718" s="79"/>
      <c r="BY718" s="79"/>
      <c r="BZ718" s="79"/>
      <c r="CA718" s="79"/>
      <c r="CB718" s="79"/>
      <c r="CC718" s="79"/>
      <c r="CD718" s="79"/>
      <c r="CE718" s="79"/>
      <c r="CF718" s="79"/>
      <c r="CG718" s="79"/>
      <c r="CH718" s="79"/>
      <c r="CI718" s="79"/>
    </row>
    <row r="719" spans="1:87" ht="14" x14ac:dyDescent="0.1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79"/>
      <c r="AW719" s="79"/>
      <c r="AX719" s="79"/>
      <c r="AY719" s="79"/>
      <c r="AZ719" s="79"/>
      <c r="BA719" s="79"/>
      <c r="BB719" s="79"/>
      <c r="BC719" s="79"/>
      <c r="BD719" s="79"/>
      <c r="BE719" s="79"/>
      <c r="BF719" s="79"/>
      <c r="BG719" s="79"/>
      <c r="BH719" s="79"/>
      <c r="BI719" s="79"/>
      <c r="BJ719" s="79"/>
      <c r="BK719" s="79"/>
      <c r="BL719" s="79"/>
      <c r="BM719" s="79"/>
      <c r="BN719" s="79"/>
      <c r="BO719" s="79"/>
      <c r="BP719" s="79"/>
      <c r="BQ719" s="79"/>
      <c r="BR719" s="79"/>
      <c r="BS719" s="79"/>
      <c r="BT719" s="79"/>
      <c r="BU719" s="79"/>
      <c r="BV719" s="79"/>
      <c r="BW719" s="79"/>
      <c r="BX719" s="79"/>
      <c r="BY719" s="79"/>
      <c r="BZ719" s="79"/>
      <c r="CA719" s="79"/>
      <c r="CB719" s="79"/>
      <c r="CC719" s="79"/>
      <c r="CD719" s="79"/>
      <c r="CE719" s="79"/>
      <c r="CF719" s="79"/>
      <c r="CG719" s="79"/>
      <c r="CH719" s="79"/>
      <c r="CI719" s="79"/>
    </row>
    <row r="720" spans="1:87" ht="14" x14ac:dyDescent="0.1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79"/>
      <c r="AW720" s="79"/>
      <c r="AX720" s="79"/>
      <c r="AY720" s="79"/>
      <c r="AZ720" s="79"/>
      <c r="BA720" s="79"/>
      <c r="BB720" s="79"/>
      <c r="BC720" s="79"/>
      <c r="BD720" s="79"/>
      <c r="BE720" s="79"/>
      <c r="BF720" s="79"/>
      <c r="BG720" s="79"/>
      <c r="BH720" s="79"/>
      <c r="BI720" s="79"/>
      <c r="BJ720" s="79"/>
      <c r="BK720" s="79"/>
      <c r="BL720" s="79"/>
      <c r="BM720" s="79"/>
      <c r="BN720" s="79"/>
      <c r="BO720" s="79"/>
      <c r="BP720" s="79"/>
      <c r="BQ720" s="79"/>
      <c r="BR720" s="79"/>
      <c r="BS720" s="79"/>
      <c r="BT720" s="79"/>
      <c r="BU720" s="79"/>
      <c r="BV720" s="79"/>
      <c r="BW720" s="79"/>
      <c r="BX720" s="79"/>
      <c r="BY720" s="79"/>
      <c r="BZ720" s="79"/>
      <c r="CA720" s="79"/>
      <c r="CB720" s="79"/>
      <c r="CC720" s="79"/>
      <c r="CD720" s="79"/>
      <c r="CE720" s="79"/>
      <c r="CF720" s="79"/>
      <c r="CG720" s="79"/>
      <c r="CH720" s="79"/>
      <c r="CI720" s="79"/>
    </row>
    <row r="721" spans="1:87" ht="14" x14ac:dyDescent="0.1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79"/>
      <c r="AW721" s="79"/>
      <c r="AX721" s="79"/>
      <c r="AY721" s="79"/>
      <c r="AZ721" s="79"/>
      <c r="BA721" s="79"/>
      <c r="BB721" s="79"/>
      <c r="BC721" s="79"/>
      <c r="BD721" s="79"/>
      <c r="BE721" s="79"/>
      <c r="BF721" s="79"/>
      <c r="BG721" s="79"/>
      <c r="BH721" s="79"/>
      <c r="BI721" s="79"/>
      <c r="BJ721" s="79"/>
      <c r="BK721" s="79"/>
      <c r="BL721" s="79"/>
      <c r="BM721" s="79"/>
      <c r="BN721" s="79"/>
      <c r="BO721" s="79"/>
      <c r="BP721" s="79"/>
      <c r="BQ721" s="79"/>
      <c r="BR721" s="79"/>
      <c r="BS721" s="79"/>
      <c r="BT721" s="79"/>
      <c r="BU721" s="79"/>
      <c r="BV721" s="79"/>
      <c r="BW721" s="79"/>
      <c r="BX721" s="79"/>
      <c r="BY721" s="79"/>
      <c r="BZ721" s="79"/>
      <c r="CA721" s="79"/>
      <c r="CB721" s="79"/>
      <c r="CC721" s="79"/>
      <c r="CD721" s="79"/>
      <c r="CE721" s="79"/>
      <c r="CF721" s="79"/>
      <c r="CG721" s="79"/>
      <c r="CH721" s="79"/>
      <c r="CI721" s="79"/>
    </row>
    <row r="722" spans="1:87" ht="14" x14ac:dyDescent="0.1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79"/>
      <c r="AW722" s="79"/>
      <c r="AX722" s="79"/>
      <c r="AY722" s="79"/>
      <c r="AZ722" s="79"/>
      <c r="BA722" s="79"/>
      <c r="BB722" s="79"/>
      <c r="BC722" s="79"/>
      <c r="BD722" s="79"/>
      <c r="BE722" s="79"/>
      <c r="BF722" s="79"/>
      <c r="BG722" s="79"/>
      <c r="BH722" s="79"/>
      <c r="BI722" s="79"/>
      <c r="BJ722" s="79"/>
      <c r="BK722" s="79"/>
      <c r="BL722" s="79"/>
      <c r="BM722" s="79"/>
      <c r="BN722" s="79"/>
      <c r="BO722" s="79"/>
      <c r="BP722" s="79"/>
      <c r="BQ722" s="79"/>
      <c r="BR722" s="79"/>
      <c r="BS722" s="79"/>
      <c r="BT722" s="79"/>
      <c r="BU722" s="79"/>
      <c r="BV722" s="79"/>
      <c r="BW722" s="79"/>
      <c r="BX722" s="79"/>
      <c r="BY722" s="79"/>
      <c r="BZ722" s="79"/>
      <c r="CA722" s="79"/>
      <c r="CB722" s="79"/>
      <c r="CC722" s="79"/>
      <c r="CD722" s="79"/>
      <c r="CE722" s="79"/>
      <c r="CF722" s="79"/>
      <c r="CG722" s="79"/>
      <c r="CH722" s="79"/>
      <c r="CI722" s="79"/>
    </row>
    <row r="723" spans="1:87" ht="14" x14ac:dyDescent="0.1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  <c r="CH723" s="79"/>
      <c r="CI723" s="79"/>
    </row>
    <row r="724" spans="1:87" ht="14" x14ac:dyDescent="0.1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  <c r="BK724" s="79"/>
      <c r="BL724" s="79"/>
      <c r="BM724" s="79"/>
      <c r="BN724" s="79"/>
      <c r="BO724" s="79"/>
      <c r="BP724" s="79"/>
      <c r="BQ724" s="79"/>
      <c r="BR724" s="79"/>
      <c r="BS724" s="79"/>
      <c r="BT724" s="79"/>
      <c r="BU724" s="79"/>
      <c r="BV724" s="79"/>
      <c r="BW724" s="79"/>
      <c r="BX724" s="79"/>
      <c r="BY724" s="79"/>
      <c r="BZ724" s="79"/>
      <c r="CA724" s="79"/>
      <c r="CB724" s="79"/>
      <c r="CC724" s="79"/>
      <c r="CD724" s="79"/>
      <c r="CE724" s="79"/>
      <c r="CF724" s="79"/>
      <c r="CG724" s="79"/>
      <c r="CH724" s="79"/>
      <c r="CI724" s="79"/>
    </row>
    <row r="725" spans="1:87" ht="14" x14ac:dyDescent="0.1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79"/>
      <c r="AW725" s="79"/>
      <c r="AX725" s="79"/>
      <c r="AY725" s="79"/>
      <c r="AZ725" s="79"/>
      <c r="BA725" s="79"/>
      <c r="BB725" s="79"/>
      <c r="BC725" s="79"/>
      <c r="BD725" s="79"/>
      <c r="BE725" s="79"/>
      <c r="BF725" s="79"/>
      <c r="BG725" s="79"/>
      <c r="BH725" s="79"/>
      <c r="BI725" s="79"/>
      <c r="BJ725" s="79"/>
      <c r="BK725" s="79"/>
      <c r="BL725" s="79"/>
      <c r="BM725" s="79"/>
      <c r="BN725" s="79"/>
      <c r="BO725" s="79"/>
      <c r="BP725" s="79"/>
      <c r="BQ725" s="79"/>
      <c r="BR725" s="79"/>
      <c r="BS725" s="79"/>
      <c r="BT725" s="79"/>
      <c r="BU725" s="79"/>
      <c r="BV725" s="79"/>
      <c r="BW725" s="79"/>
      <c r="BX725" s="79"/>
      <c r="BY725" s="79"/>
      <c r="BZ725" s="79"/>
      <c r="CA725" s="79"/>
      <c r="CB725" s="79"/>
      <c r="CC725" s="79"/>
      <c r="CD725" s="79"/>
      <c r="CE725" s="79"/>
      <c r="CF725" s="79"/>
      <c r="CG725" s="79"/>
      <c r="CH725" s="79"/>
      <c r="CI725" s="79"/>
    </row>
    <row r="726" spans="1:87" ht="14" x14ac:dyDescent="0.1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  <c r="BK726" s="79"/>
      <c r="BL726" s="79"/>
      <c r="BM726" s="79"/>
      <c r="BN726" s="79"/>
      <c r="BO726" s="79"/>
      <c r="BP726" s="79"/>
      <c r="BQ726" s="79"/>
      <c r="BR726" s="79"/>
      <c r="BS726" s="79"/>
      <c r="BT726" s="79"/>
      <c r="BU726" s="79"/>
      <c r="BV726" s="79"/>
      <c r="BW726" s="79"/>
      <c r="BX726" s="79"/>
      <c r="BY726" s="79"/>
      <c r="BZ726" s="79"/>
      <c r="CA726" s="79"/>
      <c r="CB726" s="79"/>
      <c r="CC726" s="79"/>
      <c r="CD726" s="79"/>
      <c r="CE726" s="79"/>
      <c r="CF726" s="79"/>
      <c r="CG726" s="79"/>
      <c r="CH726" s="79"/>
      <c r="CI726" s="79"/>
    </row>
    <row r="727" spans="1:87" ht="14" x14ac:dyDescent="0.1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79"/>
      <c r="AW727" s="79"/>
      <c r="AX727" s="79"/>
      <c r="AY727" s="79"/>
      <c r="AZ727" s="79"/>
      <c r="BA727" s="79"/>
      <c r="BB727" s="79"/>
      <c r="BC727" s="79"/>
      <c r="BD727" s="79"/>
      <c r="BE727" s="79"/>
      <c r="BF727" s="79"/>
      <c r="BG727" s="79"/>
      <c r="BH727" s="79"/>
      <c r="BI727" s="79"/>
      <c r="BJ727" s="79"/>
      <c r="BK727" s="79"/>
      <c r="BL727" s="79"/>
      <c r="BM727" s="79"/>
      <c r="BN727" s="79"/>
      <c r="BO727" s="79"/>
      <c r="BP727" s="79"/>
      <c r="BQ727" s="79"/>
      <c r="BR727" s="79"/>
      <c r="BS727" s="79"/>
      <c r="BT727" s="79"/>
      <c r="BU727" s="79"/>
      <c r="BV727" s="79"/>
      <c r="BW727" s="79"/>
      <c r="BX727" s="79"/>
      <c r="BY727" s="79"/>
      <c r="BZ727" s="79"/>
      <c r="CA727" s="79"/>
      <c r="CB727" s="79"/>
      <c r="CC727" s="79"/>
      <c r="CD727" s="79"/>
      <c r="CE727" s="79"/>
      <c r="CF727" s="79"/>
      <c r="CG727" s="79"/>
      <c r="CH727" s="79"/>
      <c r="CI727" s="79"/>
    </row>
    <row r="728" spans="1:87" ht="14" x14ac:dyDescent="0.1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79"/>
      <c r="AW728" s="79"/>
      <c r="AX728" s="79"/>
      <c r="AY728" s="79"/>
      <c r="AZ728" s="79"/>
      <c r="BA728" s="79"/>
      <c r="BB728" s="79"/>
      <c r="BC728" s="79"/>
      <c r="BD728" s="79"/>
      <c r="BE728" s="79"/>
      <c r="BF728" s="79"/>
      <c r="BG728" s="79"/>
      <c r="BH728" s="79"/>
      <c r="BI728" s="79"/>
      <c r="BJ728" s="79"/>
      <c r="BK728" s="79"/>
      <c r="BL728" s="79"/>
      <c r="BM728" s="79"/>
      <c r="BN728" s="79"/>
      <c r="BO728" s="79"/>
      <c r="BP728" s="79"/>
      <c r="BQ728" s="79"/>
      <c r="BR728" s="79"/>
      <c r="BS728" s="79"/>
      <c r="BT728" s="79"/>
      <c r="BU728" s="79"/>
      <c r="BV728" s="79"/>
      <c r="BW728" s="79"/>
      <c r="BX728" s="79"/>
      <c r="BY728" s="79"/>
      <c r="BZ728" s="79"/>
      <c r="CA728" s="79"/>
      <c r="CB728" s="79"/>
      <c r="CC728" s="79"/>
      <c r="CD728" s="79"/>
      <c r="CE728" s="79"/>
      <c r="CF728" s="79"/>
      <c r="CG728" s="79"/>
      <c r="CH728" s="79"/>
      <c r="CI728" s="79"/>
    </row>
    <row r="729" spans="1:87" ht="14" x14ac:dyDescent="0.1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79"/>
      <c r="AW729" s="79"/>
      <c r="AX729" s="79"/>
      <c r="AY729" s="79"/>
      <c r="AZ729" s="79"/>
      <c r="BA729" s="79"/>
      <c r="BB729" s="79"/>
      <c r="BC729" s="79"/>
      <c r="BD729" s="79"/>
      <c r="BE729" s="79"/>
      <c r="BF729" s="79"/>
      <c r="BG729" s="79"/>
      <c r="BH729" s="79"/>
      <c r="BI729" s="79"/>
      <c r="BJ729" s="79"/>
      <c r="BK729" s="79"/>
      <c r="BL729" s="79"/>
      <c r="BM729" s="79"/>
      <c r="BN729" s="79"/>
      <c r="BO729" s="79"/>
      <c r="BP729" s="79"/>
      <c r="BQ729" s="79"/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  <c r="CH729" s="79"/>
      <c r="CI729" s="79"/>
    </row>
    <row r="730" spans="1:87" ht="14" x14ac:dyDescent="0.1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79"/>
      <c r="AW730" s="79"/>
      <c r="AX730" s="79"/>
      <c r="AY730" s="79"/>
      <c r="AZ730" s="79"/>
      <c r="BA730" s="79"/>
      <c r="BB730" s="79"/>
      <c r="BC730" s="79"/>
      <c r="BD730" s="79"/>
      <c r="BE730" s="79"/>
      <c r="BF730" s="79"/>
      <c r="BG730" s="79"/>
      <c r="BH730" s="79"/>
      <c r="BI730" s="79"/>
      <c r="BJ730" s="79"/>
      <c r="BK730" s="79"/>
      <c r="BL730" s="79"/>
      <c r="BM730" s="79"/>
      <c r="BN730" s="79"/>
      <c r="BO730" s="79"/>
      <c r="BP730" s="79"/>
      <c r="BQ730" s="79"/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  <c r="CH730" s="79"/>
      <c r="CI730" s="79"/>
    </row>
    <row r="731" spans="1:87" ht="14" x14ac:dyDescent="0.1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79"/>
      <c r="AW731" s="79"/>
      <c r="AX731" s="79"/>
      <c r="AY731" s="79"/>
      <c r="AZ731" s="79"/>
      <c r="BA731" s="79"/>
      <c r="BB731" s="79"/>
      <c r="BC731" s="79"/>
      <c r="BD731" s="79"/>
      <c r="BE731" s="79"/>
      <c r="BF731" s="79"/>
      <c r="BG731" s="79"/>
      <c r="BH731" s="79"/>
      <c r="BI731" s="79"/>
      <c r="BJ731" s="79"/>
      <c r="BK731" s="79"/>
      <c r="BL731" s="79"/>
      <c r="BM731" s="79"/>
      <c r="BN731" s="79"/>
      <c r="BO731" s="79"/>
      <c r="BP731" s="79"/>
      <c r="BQ731" s="79"/>
      <c r="BR731" s="79"/>
      <c r="BS731" s="79"/>
      <c r="BT731" s="79"/>
      <c r="BU731" s="79"/>
      <c r="BV731" s="79"/>
      <c r="BW731" s="79"/>
      <c r="BX731" s="79"/>
      <c r="BY731" s="79"/>
      <c r="BZ731" s="79"/>
      <c r="CA731" s="79"/>
      <c r="CB731" s="79"/>
      <c r="CC731" s="79"/>
      <c r="CD731" s="79"/>
      <c r="CE731" s="79"/>
      <c r="CF731" s="79"/>
      <c r="CG731" s="79"/>
      <c r="CH731" s="79"/>
      <c r="CI731" s="79"/>
    </row>
    <row r="732" spans="1:87" ht="14" x14ac:dyDescent="0.1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79"/>
      <c r="AW732" s="79"/>
      <c r="AX732" s="79"/>
      <c r="AY732" s="79"/>
      <c r="AZ732" s="79"/>
      <c r="BA732" s="79"/>
      <c r="BB732" s="79"/>
      <c r="BC732" s="79"/>
      <c r="BD732" s="79"/>
      <c r="BE732" s="79"/>
      <c r="BF732" s="79"/>
      <c r="BG732" s="79"/>
      <c r="BH732" s="79"/>
      <c r="BI732" s="79"/>
      <c r="BJ732" s="79"/>
      <c r="BK732" s="79"/>
      <c r="BL732" s="79"/>
      <c r="BM732" s="79"/>
      <c r="BN732" s="79"/>
      <c r="BO732" s="79"/>
      <c r="BP732" s="79"/>
      <c r="BQ732" s="79"/>
      <c r="BR732" s="79"/>
      <c r="BS732" s="79"/>
      <c r="BT732" s="79"/>
      <c r="BU732" s="79"/>
      <c r="BV732" s="79"/>
      <c r="BW732" s="79"/>
      <c r="BX732" s="79"/>
      <c r="BY732" s="79"/>
      <c r="BZ732" s="79"/>
      <c r="CA732" s="79"/>
      <c r="CB732" s="79"/>
      <c r="CC732" s="79"/>
      <c r="CD732" s="79"/>
      <c r="CE732" s="79"/>
      <c r="CF732" s="79"/>
      <c r="CG732" s="79"/>
      <c r="CH732" s="79"/>
      <c r="CI732" s="79"/>
    </row>
    <row r="733" spans="1:87" ht="14" x14ac:dyDescent="0.1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79"/>
      <c r="AW733" s="79"/>
      <c r="AX733" s="79"/>
      <c r="AY733" s="79"/>
      <c r="AZ733" s="79"/>
      <c r="BA733" s="79"/>
      <c r="BB733" s="79"/>
      <c r="BC733" s="79"/>
      <c r="BD733" s="79"/>
      <c r="BE733" s="79"/>
      <c r="BF733" s="79"/>
      <c r="BG733" s="79"/>
      <c r="BH733" s="79"/>
      <c r="BI733" s="79"/>
      <c r="BJ733" s="79"/>
      <c r="BK733" s="79"/>
      <c r="BL733" s="79"/>
      <c r="BM733" s="79"/>
      <c r="BN733" s="79"/>
      <c r="BO733" s="79"/>
      <c r="BP733" s="79"/>
      <c r="BQ733" s="79"/>
      <c r="BR733" s="79"/>
      <c r="BS733" s="79"/>
      <c r="BT733" s="79"/>
      <c r="BU733" s="79"/>
      <c r="BV733" s="79"/>
      <c r="BW733" s="79"/>
      <c r="BX733" s="79"/>
      <c r="BY733" s="79"/>
      <c r="BZ733" s="79"/>
      <c r="CA733" s="79"/>
      <c r="CB733" s="79"/>
      <c r="CC733" s="79"/>
      <c r="CD733" s="79"/>
      <c r="CE733" s="79"/>
      <c r="CF733" s="79"/>
      <c r="CG733" s="79"/>
      <c r="CH733" s="79"/>
      <c r="CI733" s="79"/>
    </row>
    <row r="734" spans="1:87" ht="14" x14ac:dyDescent="0.1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79"/>
      <c r="AW734" s="79"/>
      <c r="AX734" s="79"/>
      <c r="AY734" s="79"/>
      <c r="AZ734" s="79"/>
      <c r="BA734" s="79"/>
      <c r="BB734" s="79"/>
      <c r="BC734" s="79"/>
      <c r="BD734" s="79"/>
      <c r="BE734" s="79"/>
      <c r="BF734" s="79"/>
      <c r="BG734" s="79"/>
      <c r="BH734" s="79"/>
      <c r="BI734" s="79"/>
      <c r="BJ734" s="79"/>
      <c r="BK734" s="79"/>
      <c r="BL734" s="79"/>
      <c r="BM734" s="79"/>
      <c r="BN734" s="79"/>
      <c r="BO734" s="79"/>
      <c r="BP734" s="79"/>
      <c r="BQ734" s="79"/>
      <c r="BR734" s="79"/>
      <c r="BS734" s="79"/>
      <c r="BT734" s="79"/>
      <c r="BU734" s="79"/>
      <c r="BV734" s="79"/>
      <c r="BW734" s="79"/>
      <c r="BX734" s="79"/>
      <c r="BY734" s="79"/>
      <c r="BZ734" s="79"/>
      <c r="CA734" s="79"/>
      <c r="CB734" s="79"/>
      <c r="CC734" s="79"/>
      <c r="CD734" s="79"/>
      <c r="CE734" s="79"/>
      <c r="CF734" s="79"/>
      <c r="CG734" s="79"/>
      <c r="CH734" s="79"/>
      <c r="CI734" s="79"/>
    </row>
    <row r="735" spans="1:87" ht="14" x14ac:dyDescent="0.1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79"/>
      <c r="AW735" s="79"/>
      <c r="AX735" s="79"/>
      <c r="AY735" s="79"/>
      <c r="AZ735" s="79"/>
      <c r="BA735" s="79"/>
      <c r="BB735" s="79"/>
      <c r="BC735" s="79"/>
      <c r="BD735" s="79"/>
      <c r="BE735" s="79"/>
      <c r="BF735" s="79"/>
      <c r="BG735" s="79"/>
      <c r="BH735" s="79"/>
      <c r="BI735" s="79"/>
      <c r="BJ735" s="79"/>
      <c r="BK735" s="79"/>
      <c r="BL735" s="79"/>
      <c r="BM735" s="79"/>
      <c r="BN735" s="79"/>
      <c r="BO735" s="79"/>
      <c r="BP735" s="79"/>
      <c r="BQ735" s="79"/>
      <c r="BR735" s="79"/>
      <c r="BS735" s="79"/>
      <c r="BT735" s="79"/>
      <c r="BU735" s="79"/>
      <c r="BV735" s="79"/>
      <c r="BW735" s="79"/>
      <c r="BX735" s="79"/>
      <c r="BY735" s="79"/>
      <c r="BZ735" s="79"/>
      <c r="CA735" s="79"/>
      <c r="CB735" s="79"/>
      <c r="CC735" s="79"/>
      <c r="CD735" s="79"/>
      <c r="CE735" s="79"/>
      <c r="CF735" s="79"/>
      <c r="CG735" s="79"/>
      <c r="CH735" s="79"/>
      <c r="CI735" s="79"/>
    </row>
    <row r="736" spans="1:87" ht="14" x14ac:dyDescent="0.1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79"/>
      <c r="AW736" s="79"/>
      <c r="AX736" s="79"/>
      <c r="AY736" s="79"/>
      <c r="AZ736" s="79"/>
      <c r="BA736" s="79"/>
      <c r="BB736" s="79"/>
      <c r="BC736" s="79"/>
      <c r="BD736" s="79"/>
      <c r="BE736" s="79"/>
      <c r="BF736" s="79"/>
      <c r="BG736" s="79"/>
      <c r="BH736" s="79"/>
      <c r="BI736" s="79"/>
      <c r="BJ736" s="79"/>
      <c r="BK736" s="79"/>
      <c r="BL736" s="79"/>
      <c r="BM736" s="79"/>
      <c r="BN736" s="79"/>
      <c r="BO736" s="79"/>
      <c r="BP736" s="79"/>
      <c r="BQ736" s="79"/>
      <c r="BR736" s="79"/>
      <c r="BS736" s="79"/>
      <c r="BT736" s="79"/>
      <c r="BU736" s="79"/>
      <c r="BV736" s="79"/>
      <c r="BW736" s="79"/>
      <c r="BX736" s="79"/>
      <c r="BY736" s="79"/>
      <c r="BZ736" s="79"/>
      <c r="CA736" s="79"/>
      <c r="CB736" s="79"/>
      <c r="CC736" s="79"/>
      <c r="CD736" s="79"/>
      <c r="CE736" s="79"/>
      <c r="CF736" s="79"/>
      <c r="CG736" s="79"/>
      <c r="CH736" s="79"/>
      <c r="CI736" s="79"/>
    </row>
    <row r="737" spans="1:87" ht="14" x14ac:dyDescent="0.1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79"/>
      <c r="AW737" s="79"/>
      <c r="AX737" s="79"/>
      <c r="AY737" s="79"/>
      <c r="AZ737" s="79"/>
      <c r="BA737" s="79"/>
      <c r="BB737" s="79"/>
      <c r="BC737" s="79"/>
      <c r="BD737" s="79"/>
      <c r="BE737" s="79"/>
      <c r="BF737" s="79"/>
      <c r="BG737" s="79"/>
      <c r="BH737" s="79"/>
      <c r="BI737" s="79"/>
      <c r="BJ737" s="79"/>
      <c r="BK737" s="79"/>
      <c r="BL737" s="79"/>
      <c r="BM737" s="79"/>
      <c r="BN737" s="79"/>
      <c r="BO737" s="79"/>
      <c r="BP737" s="79"/>
      <c r="BQ737" s="79"/>
      <c r="BR737" s="79"/>
      <c r="BS737" s="79"/>
      <c r="BT737" s="79"/>
      <c r="BU737" s="79"/>
      <c r="BV737" s="79"/>
      <c r="BW737" s="79"/>
      <c r="BX737" s="79"/>
      <c r="BY737" s="79"/>
      <c r="BZ737" s="79"/>
      <c r="CA737" s="79"/>
      <c r="CB737" s="79"/>
      <c r="CC737" s="79"/>
      <c r="CD737" s="79"/>
      <c r="CE737" s="79"/>
      <c r="CF737" s="79"/>
      <c r="CG737" s="79"/>
      <c r="CH737" s="79"/>
      <c r="CI737" s="79"/>
    </row>
    <row r="738" spans="1:87" ht="14" x14ac:dyDescent="0.1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79"/>
      <c r="AW738" s="79"/>
      <c r="AX738" s="79"/>
      <c r="AY738" s="79"/>
      <c r="AZ738" s="79"/>
      <c r="BA738" s="79"/>
      <c r="BB738" s="79"/>
      <c r="BC738" s="79"/>
      <c r="BD738" s="79"/>
      <c r="BE738" s="79"/>
      <c r="BF738" s="79"/>
      <c r="BG738" s="79"/>
      <c r="BH738" s="79"/>
      <c r="BI738" s="79"/>
      <c r="BJ738" s="79"/>
      <c r="BK738" s="79"/>
      <c r="BL738" s="79"/>
      <c r="BM738" s="79"/>
      <c r="BN738" s="79"/>
      <c r="BO738" s="79"/>
      <c r="BP738" s="79"/>
      <c r="BQ738" s="79"/>
      <c r="BR738" s="79"/>
      <c r="BS738" s="79"/>
      <c r="BT738" s="79"/>
      <c r="BU738" s="79"/>
      <c r="BV738" s="79"/>
      <c r="BW738" s="79"/>
      <c r="BX738" s="79"/>
      <c r="BY738" s="79"/>
      <c r="BZ738" s="79"/>
      <c r="CA738" s="79"/>
      <c r="CB738" s="79"/>
      <c r="CC738" s="79"/>
      <c r="CD738" s="79"/>
      <c r="CE738" s="79"/>
      <c r="CF738" s="79"/>
      <c r="CG738" s="79"/>
      <c r="CH738" s="79"/>
      <c r="CI738" s="79"/>
    </row>
    <row r="739" spans="1:87" ht="14" x14ac:dyDescent="0.1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79"/>
      <c r="AW739" s="79"/>
      <c r="AX739" s="79"/>
      <c r="AY739" s="79"/>
      <c r="AZ739" s="79"/>
      <c r="BA739" s="79"/>
      <c r="BB739" s="79"/>
      <c r="BC739" s="79"/>
      <c r="BD739" s="79"/>
      <c r="BE739" s="79"/>
      <c r="BF739" s="79"/>
      <c r="BG739" s="79"/>
      <c r="BH739" s="79"/>
      <c r="BI739" s="79"/>
      <c r="BJ739" s="79"/>
      <c r="BK739" s="79"/>
      <c r="BL739" s="79"/>
      <c r="BM739" s="79"/>
      <c r="BN739" s="79"/>
      <c r="BO739" s="79"/>
      <c r="BP739" s="79"/>
      <c r="BQ739" s="79"/>
      <c r="BR739" s="79"/>
      <c r="BS739" s="79"/>
      <c r="BT739" s="79"/>
      <c r="BU739" s="79"/>
      <c r="BV739" s="79"/>
      <c r="BW739" s="79"/>
      <c r="BX739" s="79"/>
      <c r="BY739" s="79"/>
      <c r="BZ739" s="79"/>
      <c r="CA739" s="79"/>
      <c r="CB739" s="79"/>
      <c r="CC739" s="79"/>
      <c r="CD739" s="79"/>
      <c r="CE739" s="79"/>
      <c r="CF739" s="79"/>
      <c r="CG739" s="79"/>
      <c r="CH739" s="79"/>
      <c r="CI739" s="79"/>
    </row>
    <row r="740" spans="1:87" ht="14" x14ac:dyDescent="0.1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79"/>
      <c r="AW740" s="79"/>
      <c r="AX740" s="79"/>
      <c r="AY740" s="79"/>
      <c r="AZ740" s="79"/>
      <c r="BA740" s="79"/>
      <c r="BB740" s="79"/>
      <c r="BC740" s="79"/>
      <c r="BD740" s="79"/>
      <c r="BE740" s="79"/>
      <c r="BF740" s="79"/>
      <c r="BG740" s="79"/>
      <c r="BH740" s="79"/>
      <c r="BI740" s="79"/>
      <c r="BJ740" s="79"/>
      <c r="BK740" s="79"/>
      <c r="BL740" s="79"/>
      <c r="BM740" s="79"/>
      <c r="BN740" s="79"/>
      <c r="BO740" s="79"/>
      <c r="BP740" s="79"/>
      <c r="BQ740" s="79"/>
      <c r="BR740" s="79"/>
      <c r="BS740" s="79"/>
      <c r="BT740" s="79"/>
      <c r="BU740" s="79"/>
      <c r="BV740" s="79"/>
      <c r="BW740" s="79"/>
      <c r="BX740" s="79"/>
      <c r="BY740" s="79"/>
      <c r="BZ740" s="79"/>
      <c r="CA740" s="79"/>
      <c r="CB740" s="79"/>
      <c r="CC740" s="79"/>
      <c r="CD740" s="79"/>
      <c r="CE740" s="79"/>
      <c r="CF740" s="79"/>
      <c r="CG740" s="79"/>
      <c r="CH740" s="79"/>
      <c r="CI740" s="79"/>
    </row>
    <row r="741" spans="1:87" ht="14" x14ac:dyDescent="0.1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79"/>
      <c r="AW741" s="79"/>
      <c r="AX741" s="79"/>
      <c r="AY741" s="79"/>
      <c r="AZ741" s="79"/>
      <c r="BA741" s="79"/>
      <c r="BB741" s="79"/>
      <c r="BC741" s="79"/>
      <c r="BD741" s="79"/>
      <c r="BE741" s="79"/>
      <c r="BF741" s="79"/>
      <c r="BG741" s="79"/>
      <c r="BH741" s="79"/>
      <c r="BI741" s="79"/>
      <c r="BJ741" s="79"/>
      <c r="BK741" s="79"/>
      <c r="BL741" s="79"/>
      <c r="BM741" s="79"/>
      <c r="BN741" s="79"/>
      <c r="BO741" s="79"/>
      <c r="BP741" s="79"/>
      <c r="BQ741" s="79"/>
      <c r="BR741" s="79"/>
      <c r="BS741" s="79"/>
      <c r="BT741" s="79"/>
      <c r="BU741" s="79"/>
      <c r="BV741" s="79"/>
      <c r="BW741" s="79"/>
      <c r="BX741" s="79"/>
      <c r="BY741" s="79"/>
      <c r="BZ741" s="79"/>
      <c r="CA741" s="79"/>
      <c r="CB741" s="79"/>
      <c r="CC741" s="79"/>
      <c r="CD741" s="79"/>
      <c r="CE741" s="79"/>
      <c r="CF741" s="79"/>
      <c r="CG741" s="79"/>
      <c r="CH741" s="79"/>
      <c r="CI741" s="79"/>
    </row>
    <row r="742" spans="1:87" ht="14" x14ac:dyDescent="0.1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79"/>
      <c r="AW742" s="79"/>
      <c r="AX742" s="79"/>
      <c r="AY742" s="79"/>
      <c r="AZ742" s="79"/>
      <c r="BA742" s="79"/>
      <c r="BB742" s="79"/>
      <c r="BC742" s="79"/>
      <c r="BD742" s="79"/>
      <c r="BE742" s="79"/>
      <c r="BF742" s="79"/>
      <c r="BG742" s="79"/>
      <c r="BH742" s="79"/>
      <c r="BI742" s="79"/>
      <c r="BJ742" s="79"/>
      <c r="BK742" s="79"/>
      <c r="BL742" s="79"/>
      <c r="BM742" s="79"/>
      <c r="BN742" s="79"/>
      <c r="BO742" s="79"/>
      <c r="BP742" s="79"/>
      <c r="BQ742" s="79"/>
      <c r="BR742" s="79"/>
      <c r="BS742" s="79"/>
      <c r="BT742" s="79"/>
      <c r="BU742" s="79"/>
      <c r="BV742" s="79"/>
      <c r="BW742" s="79"/>
      <c r="BX742" s="79"/>
      <c r="BY742" s="79"/>
      <c r="BZ742" s="79"/>
      <c r="CA742" s="79"/>
      <c r="CB742" s="79"/>
      <c r="CC742" s="79"/>
      <c r="CD742" s="79"/>
      <c r="CE742" s="79"/>
      <c r="CF742" s="79"/>
      <c r="CG742" s="79"/>
      <c r="CH742" s="79"/>
      <c r="CI742" s="79"/>
    </row>
    <row r="743" spans="1:87" ht="14" x14ac:dyDescent="0.1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79"/>
      <c r="AW743" s="79"/>
      <c r="AX743" s="79"/>
      <c r="AY743" s="79"/>
      <c r="AZ743" s="79"/>
      <c r="BA743" s="79"/>
      <c r="BB743" s="79"/>
      <c r="BC743" s="79"/>
      <c r="BD743" s="79"/>
      <c r="BE743" s="79"/>
      <c r="BF743" s="79"/>
      <c r="BG743" s="79"/>
      <c r="BH743" s="79"/>
      <c r="BI743" s="79"/>
      <c r="BJ743" s="79"/>
      <c r="BK743" s="79"/>
      <c r="BL743" s="79"/>
      <c r="BM743" s="79"/>
      <c r="BN743" s="79"/>
      <c r="BO743" s="79"/>
      <c r="BP743" s="79"/>
      <c r="BQ743" s="79"/>
      <c r="BR743" s="79"/>
      <c r="BS743" s="79"/>
      <c r="BT743" s="79"/>
      <c r="BU743" s="79"/>
      <c r="BV743" s="79"/>
      <c r="BW743" s="79"/>
      <c r="BX743" s="79"/>
      <c r="BY743" s="79"/>
      <c r="BZ743" s="79"/>
      <c r="CA743" s="79"/>
      <c r="CB743" s="79"/>
      <c r="CC743" s="79"/>
      <c r="CD743" s="79"/>
      <c r="CE743" s="79"/>
      <c r="CF743" s="79"/>
      <c r="CG743" s="79"/>
      <c r="CH743" s="79"/>
      <c r="CI743" s="79"/>
    </row>
    <row r="744" spans="1:87" ht="14" x14ac:dyDescent="0.1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79"/>
      <c r="AW744" s="79"/>
      <c r="AX744" s="79"/>
      <c r="AY744" s="79"/>
      <c r="AZ744" s="79"/>
      <c r="BA744" s="79"/>
      <c r="BB744" s="79"/>
      <c r="BC744" s="79"/>
      <c r="BD744" s="79"/>
      <c r="BE744" s="79"/>
      <c r="BF744" s="79"/>
      <c r="BG744" s="79"/>
      <c r="BH744" s="79"/>
      <c r="BI744" s="79"/>
      <c r="BJ744" s="79"/>
      <c r="BK744" s="79"/>
      <c r="BL744" s="79"/>
      <c r="BM744" s="79"/>
      <c r="BN744" s="79"/>
      <c r="BO744" s="79"/>
      <c r="BP744" s="79"/>
      <c r="BQ744" s="79"/>
      <c r="BR744" s="79"/>
      <c r="BS744" s="79"/>
      <c r="BT744" s="79"/>
      <c r="BU744" s="79"/>
      <c r="BV744" s="79"/>
      <c r="BW744" s="79"/>
      <c r="BX744" s="79"/>
      <c r="BY744" s="79"/>
      <c r="BZ744" s="79"/>
      <c r="CA744" s="79"/>
      <c r="CB744" s="79"/>
      <c r="CC744" s="79"/>
      <c r="CD744" s="79"/>
      <c r="CE744" s="79"/>
      <c r="CF744" s="79"/>
      <c r="CG744" s="79"/>
      <c r="CH744" s="79"/>
      <c r="CI744" s="79"/>
    </row>
    <row r="745" spans="1:87" ht="14" x14ac:dyDescent="0.1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79"/>
      <c r="AW745" s="79"/>
      <c r="AX745" s="79"/>
      <c r="AY745" s="79"/>
      <c r="AZ745" s="79"/>
      <c r="BA745" s="79"/>
      <c r="BB745" s="79"/>
      <c r="BC745" s="79"/>
      <c r="BD745" s="79"/>
      <c r="BE745" s="79"/>
      <c r="BF745" s="79"/>
      <c r="BG745" s="79"/>
      <c r="BH745" s="79"/>
      <c r="BI745" s="79"/>
      <c r="BJ745" s="79"/>
      <c r="BK745" s="79"/>
      <c r="BL745" s="79"/>
      <c r="BM745" s="79"/>
      <c r="BN745" s="79"/>
      <c r="BO745" s="79"/>
      <c r="BP745" s="79"/>
      <c r="BQ745" s="79"/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  <c r="CH745" s="79"/>
      <c r="CI745" s="79"/>
    </row>
    <row r="746" spans="1:87" ht="14" x14ac:dyDescent="0.1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79"/>
      <c r="AW746" s="79"/>
      <c r="AX746" s="79"/>
      <c r="AY746" s="79"/>
      <c r="AZ746" s="79"/>
      <c r="BA746" s="79"/>
      <c r="BB746" s="79"/>
      <c r="BC746" s="79"/>
      <c r="BD746" s="79"/>
      <c r="BE746" s="79"/>
      <c r="BF746" s="79"/>
      <c r="BG746" s="79"/>
      <c r="BH746" s="79"/>
      <c r="BI746" s="79"/>
      <c r="BJ746" s="79"/>
      <c r="BK746" s="79"/>
      <c r="BL746" s="79"/>
      <c r="BM746" s="79"/>
      <c r="BN746" s="79"/>
      <c r="BO746" s="79"/>
      <c r="BP746" s="79"/>
      <c r="BQ746" s="79"/>
      <c r="BR746" s="79"/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  <c r="CH746" s="79"/>
      <c r="CI746" s="79"/>
    </row>
    <row r="747" spans="1:87" ht="14" x14ac:dyDescent="0.1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79"/>
      <c r="AW747" s="79"/>
      <c r="AX747" s="79"/>
      <c r="AY747" s="79"/>
      <c r="AZ747" s="79"/>
      <c r="BA747" s="79"/>
      <c r="BB747" s="79"/>
      <c r="BC747" s="79"/>
      <c r="BD747" s="79"/>
      <c r="BE747" s="79"/>
      <c r="BF747" s="79"/>
      <c r="BG747" s="79"/>
      <c r="BH747" s="79"/>
      <c r="BI747" s="79"/>
      <c r="BJ747" s="79"/>
      <c r="BK747" s="79"/>
      <c r="BL747" s="79"/>
      <c r="BM747" s="79"/>
      <c r="BN747" s="79"/>
      <c r="BO747" s="79"/>
      <c r="BP747" s="79"/>
      <c r="BQ747" s="79"/>
      <c r="BR747" s="79"/>
      <c r="BS747" s="79"/>
      <c r="BT747" s="79"/>
      <c r="BU747" s="79"/>
      <c r="BV747" s="79"/>
      <c r="BW747" s="79"/>
      <c r="BX747" s="79"/>
      <c r="BY747" s="79"/>
      <c r="BZ747" s="79"/>
      <c r="CA747" s="79"/>
      <c r="CB747" s="79"/>
      <c r="CC747" s="79"/>
      <c r="CD747" s="79"/>
      <c r="CE747" s="79"/>
      <c r="CF747" s="79"/>
      <c r="CG747" s="79"/>
      <c r="CH747" s="79"/>
      <c r="CI747" s="79"/>
    </row>
    <row r="748" spans="1:87" ht="14" x14ac:dyDescent="0.1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79"/>
      <c r="AW748" s="79"/>
      <c r="AX748" s="79"/>
      <c r="AY748" s="79"/>
      <c r="AZ748" s="79"/>
      <c r="BA748" s="79"/>
      <c r="BB748" s="79"/>
      <c r="BC748" s="79"/>
      <c r="BD748" s="79"/>
      <c r="BE748" s="79"/>
      <c r="BF748" s="79"/>
      <c r="BG748" s="79"/>
      <c r="BH748" s="79"/>
      <c r="BI748" s="79"/>
      <c r="BJ748" s="79"/>
      <c r="BK748" s="79"/>
      <c r="BL748" s="79"/>
      <c r="BM748" s="79"/>
      <c r="BN748" s="79"/>
      <c r="BO748" s="79"/>
      <c r="BP748" s="79"/>
      <c r="BQ748" s="79"/>
      <c r="BR748" s="79"/>
      <c r="BS748" s="79"/>
      <c r="BT748" s="79"/>
      <c r="BU748" s="79"/>
      <c r="BV748" s="79"/>
      <c r="BW748" s="79"/>
      <c r="BX748" s="79"/>
      <c r="BY748" s="79"/>
      <c r="BZ748" s="79"/>
      <c r="CA748" s="79"/>
      <c r="CB748" s="79"/>
      <c r="CC748" s="79"/>
      <c r="CD748" s="79"/>
      <c r="CE748" s="79"/>
      <c r="CF748" s="79"/>
      <c r="CG748" s="79"/>
      <c r="CH748" s="79"/>
      <c r="CI748" s="79"/>
    </row>
    <row r="749" spans="1:87" ht="14" x14ac:dyDescent="0.1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79"/>
      <c r="AW749" s="79"/>
      <c r="AX749" s="79"/>
      <c r="AY749" s="79"/>
      <c r="AZ749" s="79"/>
      <c r="BA749" s="79"/>
      <c r="BB749" s="79"/>
      <c r="BC749" s="79"/>
      <c r="BD749" s="79"/>
      <c r="BE749" s="79"/>
      <c r="BF749" s="79"/>
      <c r="BG749" s="79"/>
      <c r="BH749" s="79"/>
      <c r="BI749" s="79"/>
      <c r="BJ749" s="79"/>
      <c r="BK749" s="79"/>
      <c r="BL749" s="79"/>
      <c r="BM749" s="79"/>
      <c r="BN749" s="79"/>
      <c r="BO749" s="79"/>
      <c r="BP749" s="79"/>
      <c r="BQ749" s="79"/>
      <c r="BR749" s="79"/>
      <c r="BS749" s="79"/>
      <c r="BT749" s="79"/>
      <c r="BU749" s="79"/>
      <c r="BV749" s="79"/>
      <c r="BW749" s="79"/>
      <c r="BX749" s="79"/>
      <c r="BY749" s="79"/>
      <c r="BZ749" s="79"/>
      <c r="CA749" s="79"/>
      <c r="CB749" s="79"/>
      <c r="CC749" s="79"/>
      <c r="CD749" s="79"/>
      <c r="CE749" s="79"/>
      <c r="CF749" s="79"/>
      <c r="CG749" s="79"/>
      <c r="CH749" s="79"/>
      <c r="CI749" s="79"/>
    </row>
    <row r="750" spans="1:87" ht="14" x14ac:dyDescent="0.1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79"/>
      <c r="AW750" s="79"/>
      <c r="AX750" s="79"/>
      <c r="AY750" s="79"/>
      <c r="AZ750" s="79"/>
      <c r="BA750" s="79"/>
      <c r="BB750" s="79"/>
      <c r="BC750" s="79"/>
      <c r="BD750" s="79"/>
      <c r="BE750" s="79"/>
      <c r="BF750" s="79"/>
      <c r="BG750" s="79"/>
      <c r="BH750" s="79"/>
      <c r="BI750" s="79"/>
      <c r="BJ750" s="79"/>
      <c r="BK750" s="79"/>
      <c r="BL750" s="79"/>
      <c r="BM750" s="79"/>
      <c r="BN750" s="79"/>
      <c r="BO750" s="79"/>
      <c r="BP750" s="79"/>
      <c r="BQ750" s="79"/>
      <c r="BR750" s="79"/>
      <c r="BS750" s="79"/>
      <c r="BT750" s="79"/>
      <c r="BU750" s="79"/>
      <c r="BV750" s="79"/>
      <c r="BW750" s="79"/>
      <c r="BX750" s="79"/>
      <c r="BY750" s="79"/>
      <c r="BZ750" s="79"/>
      <c r="CA750" s="79"/>
      <c r="CB750" s="79"/>
      <c r="CC750" s="79"/>
      <c r="CD750" s="79"/>
      <c r="CE750" s="79"/>
      <c r="CF750" s="79"/>
      <c r="CG750" s="79"/>
      <c r="CH750" s="79"/>
      <c r="CI750" s="79"/>
    </row>
    <row r="751" spans="1:87" ht="14" x14ac:dyDescent="0.1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79"/>
      <c r="AW751" s="79"/>
      <c r="AX751" s="79"/>
      <c r="AY751" s="79"/>
      <c r="AZ751" s="79"/>
      <c r="BA751" s="79"/>
      <c r="BB751" s="79"/>
      <c r="BC751" s="79"/>
      <c r="BD751" s="79"/>
      <c r="BE751" s="79"/>
      <c r="BF751" s="79"/>
      <c r="BG751" s="79"/>
      <c r="BH751" s="79"/>
      <c r="BI751" s="79"/>
      <c r="BJ751" s="79"/>
      <c r="BK751" s="79"/>
      <c r="BL751" s="79"/>
      <c r="BM751" s="79"/>
      <c r="BN751" s="79"/>
      <c r="BO751" s="79"/>
      <c r="BP751" s="79"/>
      <c r="BQ751" s="79"/>
      <c r="BR751" s="79"/>
      <c r="BS751" s="79"/>
      <c r="BT751" s="79"/>
      <c r="BU751" s="79"/>
      <c r="BV751" s="79"/>
      <c r="BW751" s="79"/>
      <c r="BX751" s="79"/>
      <c r="BY751" s="79"/>
      <c r="BZ751" s="79"/>
      <c r="CA751" s="79"/>
      <c r="CB751" s="79"/>
      <c r="CC751" s="79"/>
      <c r="CD751" s="79"/>
      <c r="CE751" s="79"/>
      <c r="CF751" s="79"/>
      <c r="CG751" s="79"/>
      <c r="CH751" s="79"/>
      <c r="CI751" s="79"/>
    </row>
    <row r="752" spans="1:87" ht="14" x14ac:dyDescent="0.1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79"/>
      <c r="AW752" s="79"/>
      <c r="AX752" s="79"/>
      <c r="AY752" s="79"/>
      <c r="AZ752" s="79"/>
      <c r="BA752" s="79"/>
      <c r="BB752" s="79"/>
      <c r="BC752" s="79"/>
      <c r="BD752" s="79"/>
      <c r="BE752" s="79"/>
      <c r="BF752" s="79"/>
      <c r="BG752" s="79"/>
      <c r="BH752" s="79"/>
      <c r="BI752" s="79"/>
      <c r="BJ752" s="79"/>
      <c r="BK752" s="79"/>
      <c r="BL752" s="79"/>
      <c r="BM752" s="79"/>
      <c r="BN752" s="79"/>
      <c r="BO752" s="79"/>
      <c r="BP752" s="79"/>
      <c r="BQ752" s="79"/>
      <c r="BR752" s="79"/>
      <c r="BS752" s="79"/>
      <c r="BT752" s="79"/>
      <c r="BU752" s="79"/>
      <c r="BV752" s="79"/>
      <c r="BW752" s="79"/>
      <c r="BX752" s="79"/>
      <c r="BY752" s="79"/>
      <c r="BZ752" s="79"/>
      <c r="CA752" s="79"/>
      <c r="CB752" s="79"/>
      <c r="CC752" s="79"/>
      <c r="CD752" s="79"/>
      <c r="CE752" s="79"/>
      <c r="CF752" s="79"/>
      <c r="CG752" s="79"/>
      <c r="CH752" s="79"/>
      <c r="CI752" s="79"/>
    </row>
    <row r="753" spans="1:87" ht="14" x14ac:dyDescent="0.1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79"/>
      <c r="AW753" s="79"/>
      <c r="AX753" s="79"/>
      <c r="AY753" s="79"/>
      <c r="AZ753" s="79"/>
      <c r="BA753" s="79"/>
      <c r="BB753" s="79"/>
      <c r="BC753" s="79"/>
      <c r="BD753" s="79"/>
      <c r="BE753" s="79"/>
      <c r="BF753" s="79"/>
      <c r="BG753" s="79"/>
      <c r="BH753" s="79"/>
      <c r="BI753" s="79"/>
      <c r="BJ753" s="79"/>
      <c r="BK753" s="79"/>
      <c r="BL753" s="79"/>
      <c r="BM753" s="79"/>
      <c r="BN753" s="79"/>
      <c r="BO753" s="79"/>
      <c r="BP753" s="79"/>
      <c r="BQ753" s="79"/>
      <c r="BR753" s="79"/>
      <c r="BS753" s="79"/>
      <c r="BT753" s="79"/>
      <c r="BU753" s="79"/>
      <c r="BV753" s="79"/>
      <c r="BW753" s="79"/>
      <c r="BX753" s="79"/>
      <c r="BY753" s="79"/>
      <c r="BZ753" s="79"/>
      <c r="CA753" s="79"/>
      <c r="CB753" s="79"/>
      <c r="CC753" s="79"/>
      <c r="CD753" s="79"/>
      <c r="CE753" s="79"/>
      <c r="CF753" s="79"/>
      <c r="CG753" s="79"/>
      <c r="CH753" s="79"/>
      <c r="CI753" s="79"/>
    </row>
    <row r="754" spans="1:87" ht="14" x14ac:dyDescent="0.1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79"/>
      <c r="AW754" s="79"/>
      <c r="AX754" s="79"/>
      <c r="AY754" s="79"/>
      <c r="AZ754" s="79"/>
      <c r="BA754" s="79"/>
      <c r="BB754" s="79"/>
      <c r="BC754" s="79"/>
      <c r="BD754" s="79"/>
      <c r="BE754" s="79"/>
      <c r="BF754" s="79"/>
      <c r="BG754" s="79"/>
      <c r="BH754" s="79"/>
      <c r="BI754" s="79"/>
      <c r="BJ754" s="79"/>
      <c r="BK754" s="79"/>
      <c r="BL754" s="79"/>
      <c r="BM754" s="79"/>
      <c r="BN754" s="79"/>
      <c r="BO754" s="79"/>
      <c r="BP754" s="79"/>
      <c r="BQ754" s="79"/>
      <c r="BR754" s="79"/>
      <c r="BS754" s="79"/>
      <c r="BT754" s="79"/>
      <c r="BU754" s="79"/>
      <c r="BV754" s="79"/>
      <c r="BW754" s="79"/>
      <c r="BX754" s="79"/>
      <c r="BY754" s="79"/>
      <c r="BZ754" s="79"/>
      <c r="CA754" s="79"/>
      <c r="CB754" s="79"/>
      <c r="CC754" s="79"/>
      <c r="CD754" s="79"/>
      <c r="CE754" s="79"/>
      <c r="CF754" s="79"/>
      <c r="CG754" s="79"/>
      <c r="CH754" s="79"/>
      <c r="CI754" s="79"/>
    </row>
    <row r="755" spans="1:87" ht="14" x14ac:dyDescent="0.1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79"/>
      <c r="AW755" s="79"/>
      <c r="AX755" s="79"/>
      <c r="AY755" s="79"/>
      <c r="AZ755" s="79"/>
      <c r="BA755" s="79"/>
      <c r="BB755" s="79"/>
      <c r="BC755" s="79"/>
      <c r="BD755" s="79"/>
      <c r="BE755" s="79"/>
      <c r="BF755" s="79"/>
      <c r="BG755" s="79"/>
      <c r="BH755" s="79"/>
      <c r="BI755" s="79"/>
      <c r="BJ755" s="79"/>
      <c r="BK755" s="79"/>
      <c r="BL755" s="79"/>
      <c r="BM755" s="79"/>
      <c r="BN755" s="79"/>
      <c r="BO755" s="79"/>
      <c r="BP755" s="79"/>
      <c r="BQ755" s="79"/>
      <c r="BR755" s="79"/>
      <c r="BS755" s="79"/>
      <c r="BT755" s="79"/>
      <c r="BU755" s="79"/>
      <c r="BV755" s="79"/>
      <c r="BW755" s="79"/>
      <c r="BX755" s="79"/>
      <c r="BY755" s="79"/>
      <c r="BZ755" s="79"/>
      <c r="CA755" s="79"/>
      <c r="CB755" s="79"/>
      <c r="CC755" s="79"/>
      <c r="CD755" s="79"/>
      <c r="CE755" s="79"/>
      <c r="CF755" s="79"/>
      <c r="CG755" s="79"/>
      <c r="CH755" s="79"/>
      <c r="CI755" s="79"/>
    </row>
    <row r="756" spans="1:87" ht="14" x14ac:dyDescent="0.1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79"/>
      <c r="AW756" s="79"/>
      <c r="AX756" s="79"/>
      <c r="AY756" s="79"/>
      <c r="AZ756" s="79"/>
      <c r="BA756" s="79"/>
      <c r="BB756" s="79"/>
      <c r="BC756" s="79"/>
      <c r="BD756" s="79"/>
      <c r="BE756" s="79"/>
      <c r="BF756" s="79"/>
      <c r="BG756" s="79"/>
      <c r="BH756" s="79"/>
      <c r="BI756" s="79"/>
      <c r="BJ756" s="79"/>
      <c r="BK756" s="79"/>
      <c r="BL756" s="79"/>
      <c r="BM756" s="79"/>
      <c r="BN756" s="79"/>
      <c r="BO756" s="79"/>
      <c r="BP756" s="79"/>
      <c r="BQ756" s="79"/>
      <c r="BR756" s="79"/>
      <c r="BS756" s="79"/>
      <c r="BT756" s="79"/>
      <c r="BU756" s="79"/>
      <c r="BV756" s="79"/>
      <c r="BW756" s="79"/>
      <c r="BX756" s="79"/>
      <c r="BY756" s="79"/>
      <c r="BZ756" s="79"/>
      <c r="CA756" s="79"/>
      <c r="CB756" s="79"/>
      <c r="CC756" s="79"/>
      <c r="CD756" s="79"/>
      <c r="CE756" s="79"/>
      <c r="CF756" s="79"/>
      <c r="CG756" s="79"/>
      <c r="CH756" s="79"/>
      <c r="CI756" s="79"/>
    </row>
    <row r="757" spans="1:87" ht="14" x14ac:dyDescent="0.1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  <c r="BF757" s="79"/>
      <c r="BG757" s="79"/>
      <c r="BH757" s="79"/>
      <c r="BI757" s="79"/>
      <c r="BJ757" s="79"/>
      <c r="BK757" s="79"/>
      <c r="BL757" s="79"/>
      <c r="BM757" s="79"/>
      <c r="BN757" s="79"/>
      <c r="BO757" s="79"/>
      <c r="BP757" s="79"/>
      <c r="BQ757" s="79"/>
      <c r="BR757" s="79"/>
      <c r="BS757" s="79"/>
      <c r="BT757" s="79"/>
      <c r="BU757" s="79"/>
      <c r="BV757" s="79"/>
      <c r="BW757" s="79"/>
      <c r="BX757" s="79"/>
      <c r="BY757" s="79"/>
      <c r="BZ757" s="79"/>
      <c r="CA757" s="79"/>
      <c r="CB757" s="79"/>
      <c r="CC757" s="79"/>
      <c r="CD757" s="79"/>
      <c r="CE757" s="79"/>
      <c r="CF757" s="79"/>
      <c r="CG757" s="79"/>
      <c r="CH757" s="79"/>
      <c r="CI757" s="79"/>
    </row>
    <row r="758" spans="1:87" ht="14" x14ac:dyDescent="0.1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  <c r="BF758" s="79"/>
      <c r="BG758" s="79"/>
      <c r="BH758" s="79"/>
      <c r="BI758" s="79"/>
      <c r="BJ758" s="79"/>
      <c r="BK758" s="79"/>
      <c r="BL758" s="79"/>
      <c r="BM758" s="79"/>
      <c r="BN758" s="79"/>
      <c r="BO758" s="79"/>
      <c r="BP758" s="79"/>
      <c r="BQ758" s="79"/>
      <c r="BR758" s="79"/>
      <c r="BS758" s="79"/>
      <c r="BT758" s="79"/>
      <c r="BU758" s="79"/>
      <c r="BV758" s="79"/>
      <c r="BW758" s="79"/>
      <c r="BX758" s="79"/>
      <c r="BY758" s="79"/>
      <c r="BZ758" s="79"/>
      <c r="CA758" s="79"/>
      <c r="CB758" s="79"/>
      <c r="CC758" s="79"/>
      <c r="CD758" s="79"/>
      <c r="CE758" s="79"/>
      <c r="CF758" s="79"/>
      <c r="CG758" s="79"/>
      <c r="CH758" s="79"/>
      <c r="CI758" s="79"/>
    </row>
    <row r="759" spans="1:87" ht="14" x14ac:dyDescent="0.1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  <c r="CH759" s="79"/>
      <c r="CI759" s="79"/>
    </row>
    <row r="760" spans="1:87" ht="14" x14ac:dyDescent="0.1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  <c r="BF760" s="79"/>
      <c r="BG760" s="79"/>
      <c r="BH760" s="79"/>
      <c r="BI760" s="79"/>
      <c r="BJ760" s="79"/>
      <c r="BK760" s="79"/>
      <c r="BL760" s="79"/>
      <c r="BM760" s="79"/>
      <c r="BN760" s="79"/>
      <c r="BO760" s="79"/>
      <c r="BP760" s="79"/>
      <c r="BQ760" s="79"/>
      <c r="BR760" s="79"/>
      <c r="BS760" s="79"/>
      <c r="BT760" s="79"/>
      <c r="BU760" s="79"/>
      <c r="BV760" s="79"/>
      <c r="BW760" s="79"/>
      <c r="BX760" s="79"/>
      <c r="BY760" s="79"/>
      <c r="BZ760" s="79"/>
      <c r="CA760" s="79"/>
      <c r="CB760" s="79"/>
      <c r="CC760" s="79"/>
      <c r="CD760" s="79"/>
      <c r="CE760" s="79"/>
      <c r="CF760" s="79"/>
      <c r="CG760" s="79"/>
      <c r="CH760" s="79"/>
      <c r="CI760" s="79"/>
    </row>
    <row r="761" spans="1:87" ht="14" x14ac:dyDescent="0.1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79"/>
      <c r="AW761" s="79"/>
      <c r="AX761" s="79"/>
      <c r="AY761" s="79"/>
      <c r="AZ761" s="79"/>
      <c r="BA761" s="79"/>
      <c r="BB761" s="79"/>
      <c r="BC761" s="79"/>
      <c r="BD761" s="79"/>
      <c r="BE761" s="79"/>
      <c r="BF761" s="79"/>
      <c r="BG761" s="79"/>
      <c r="BH761" s="79"/>
      <c r="BI761" s="79"/>
      <c r="BJ761" s="79"/>
      <c r="BK761" s="79"/>
      <c r="BL761" s="79"/>
      <c r="BM761" s="79"/>
      <c r="BN761" s="79"/>
      <c r="BO761" s="79"/>
      <c r="BP761" s="79"/>
      <c r="BQ761" s="79"/>
      <c r="BR761" s="79"/>
      <c r="BS761" s="79"/>
      <c r="BT761" s="79"/>
      <c r="BU761" s="79"/>
      <c r="BV761" s="79"/>
      <c r="BW761" s="79"/>
      <c r="BX761" s="79"/>
      <c r="BY761" s="79"/>
      <c r="BZ761" s="79"/>
      <c r="CA761" s="79"/>
      <c r="CB761" s="79"/>
      <c r="CC761" s="79"/>
      <c r="CD761" s="79"/>
      <c r="CE761" s="79"/>
      <c r="CF761" s="79"/>
      <c r="CG761" s="79"/>
      <c r="CH761" s="79"/>
      <c r="CI761" s="79"/>
    </row>
    <row r="762" spans="1:87" ht="14" x14ac:dyDescent="0.1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79"/>
      <c r="AW762" s="79"/>
      <c r="AX762" s="79"/>
      <c r="AY762" s="79"/>
      <c r="AZ762" s="79"/>
      <c r="BA762" s="79"/>
      <c r="BB762" s="79"/>
      <c r="BC762" s="79"/>
      <c r="BD762" s="79"/>
      <c r="BE762" s="79"/>
      <c r="BF762" s="79"/>
      <c r="BG762" s="79"/>
      <c r="BH762" s="79"/>
      <c r="BI762" s="79"/>
      <c r="BJ762" s="79"/>
      <c r="BK762" s="79"/>
      <c r="BL762" s="79"/>
      <c r="BM762" s="79"/>
      <c r="BN762" s="79"/>
      <c r="BO762" s="79"/>
      <c r="BP762" s="79"/>
      <c r="BQ762" s="79"/>
      <c r="BR762" s="79"/>
      <c r="BS762" s="79"/>
      <c r="BT762" s="79"/>
      <c r="BU762" s="79"/>
      <c r="BV762" s="79"/>
      <c r="BW762" s="79"/>
      <c r="BX762" s="79"/>
      <c r="BY762" s="79"/>
      <c r="BZ762" s="79"/>
      <c r="CA762" s="79"/>
      <c r="CB762" s="79"/>
      <c r="CC762" s="79"/>
      <c r="CD762" s="79"/>
      <c r="CE762" s="79"/>
      <c r="CF762" s="79"/>
      <c r="CG762" s="79"/>
      <c r="CH762" s="79"/>
      <c r="CI762" s="79"/>
    </row>
    <row r="763" spans="1:87" ht="14" x14ac:dyDescent="0.1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79"/>
      <c r="AW763" s="79"/>
      <c r="AX763" s="79"/>
      <c r="AY763" s="79"/>
      <c r="AZ763" s="79"/>
      <c r="BA763" s="79"/>
      <c r="BB763" s="79"/>
      <c r="BC763" s="79"/>
      <c r="BD763" s="79"/>
      <c r="BE763" s="79"/>
      <c r="BF763" s="79"/>
      <c r="BG763" s="79"/>
      <c r="BH763" s="79"/>
      <c r="BI763" s="79"/>
      <c r="BJ763" s="79"/>
      <c r="BK763" s="79"/>
      <c r="BL763" s="79"/>
      <c r="BM763" s="79"/>
      <c r="BN763" s="79"/>
      <c r="BO763" s="79"/>
      <c r="BP763" s="79"/>
      <c r="BQ763" s="79"/>
      <c r="BR763" s="79"/>
      <c r="BS763" s="79"/>
      <c r="BT763" s="79"/>
      <c r="BU763" s="79"/>
      <c r="BV763" s="79"/>
      <c r="BW763" s="79"/>
      <c r="BX763" s="79"/>
      <c r="BY763" s="79"/>
      <c r="BZ763" s="79"/>
      <c r="CA763" s="79"/>
      <c r="CB763" s="79"/>
      <c r="CC763" s="79"/>
      <c r="CD763" s="79"/>
      <c r="CE763" s="79"/>
      <c r="CF763" s="79"/>
      <c r="CG763" s="79"/>
      <c r="CH763" s="79"/>
      <c r="CI763" s="79"/>
    </row>
    <row r="764" spans="1:87" ht="14" x14ac:dyDescent="0.1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79"/>
      <c r="AW764" s="79"/>
      <c r="AX764" s="79"/>
      <c r="AY764" s="79"/>
      <c r="AZ764" s="79"/>
      <c r="BA764" s="79"/>
      <c r="BB764" s="79"/>
      <c r="BC764" s="79"/>
      <c r="BD764" s="79"/>
      <c r="BE764" s="79"/>
      <c r="BF764" s="79"/>
      <c r="BG764" s="79"/>
      <c r="BH764" s="79"/>
      <c r="BI764" s="79"/>
      <c r="BJ764" s="79"/>
      <c r="BK764" s="79"/>
      <c r="BL764" s="79"/>
      <c r="BM764" s="79"/>
      <c r="BN764" s="79"/>
      <c r="BO764" s="79"/>
      <c r="BP764" s="79"/>
      <c r="BQ764" s="79"/>
      <c r="BR764" s="79"/>
      <c r="BS764" s="79"/>
      <c r="BT764" s="79"/>
      <c r="BU764" s="79"/>
      <c r="BV764" s="79"/>
      <c r="BW764" s="79"/>
      <c r="BX764" s="79"/>
      <c r="BY764" s="79"/>
      <c r="BZ764" s="79"/>
      <c r="CA764" s="79"/>
      <c r="CB764" s="79"/>
      <c r="CC764" s="79"/>
      <c r="CD764" s="79"/>
      <c r="CE764" s="79"/>
      <c r="CF764" s="79"/>
      <c r="CG764" s="79"/>
      <c r="CH764" s="79"/>
      <c r="CI764" s="79"/>
    </row>
    <row r="765" spans="1:87" ht="14" x14ac:dyDescent="0.1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79"/>
      <c r="AW765" s="79"/>
      <c r="AX765" s="79"/>
      <c r="AY765" s="79"/>
      <c r="AZ765" s="79"/>
      <c r="BA765" s="79"/>
      <c r="BB765" s="79"/>
      <c r="BC765" s="79"/>
      <c r="BD765" s="79"/>
      <c r="BE765" s="79"/>
      <c r="BF765" s="79"/>
      <c r="BG765" s="79"/>
      <c r="BH765" s="79"/>
      <c r="BI765" s="79"/>
      <c r="BJ765" s="79"/>
      <c r="BK765" s="79"/>
      <c r="BL765" s="79"/>
      <c r="BM765" s="79"/>
      <c r="BN765" s="79"/>
      <c r="BO765" s="79"/>
      <c r="BP765" s="79"/>
      <c r="BQ765" s="79"/>
      <c r="BR765" s="79"/>
      <c r="BS765" s="79"/>
      <c r="BT765" s="79"/>
      <c r="BU765" s="79"/>
      <c r="BV765" s="79"/>
      <c r="BW765" s="79"/>
      <c r="BX765" s="79"/>
      <c r="BY765" s="79"/>
      <c r="BZ765" s="79"/>
      <c r="CA765" s="79"/>
      <c r="CB765" s="79"/>
      <c r="CC765" s="79"/>
      <c r="CD765" s="79"/>
      <c r="CE765" s="79"/>
      <c r="CF765" s="79"/>
      <c r="CG765" s="79"/>
      <c r="CH765" s="79"/>
      <c r="CI765" s="79"/>
    </row>
    <row r="766" spans="1:87" ht="14" x14ac:dyDescent="0.1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79"/>
      <c r="AW766" s="79"/>
      <c r="AX766" s="79"/>
      <c r="AY766" s="79"/>
      <c r="AZ766" s="79"/>
      <c r="BA766" s="79"/>
      <c r="BB766" s="79"/>
      <c r="BC766" s="79"/>
      <c r="BD766" s="79"/>
      <c r="BE766" s="79"/>
      <c r="BF766" s="79"/>
      <c r="BG766" s="79"/>
      <c r="BH766" s="79"/>
      <c r="BI766" s="79"/>
      <c r="BJ766" s="79"/>
      <c r="BK766" s="79"/>
      <c r="BL766" s="79"/>
      <c r="BM766" s="79"/>
      <c r="BN766" s="79"/>
      <c r="BO766" s="79"/>
      <c r="BP766" s="79"/>
      <c r="BQ766" s="79"/>
      <c r="BR766" s="79"/>
      <c r="BS766" s="79"/>
      <c r="BT766" s="79"/>
      <c r="BU766" s="79"/>
      <c r="BV766" s="79"/>
      <c r="BW766" s="79"/>
      <c r="BX766" s="79"/>
      <c r="BY766" s="79"/>
      <c r="BZ766" s="79"/>
      <c r="CA766" s="79"/>
      <c r="CB766" s="79"/>
      <c r="CC766" s="79"/>
      <c r="CD766" s="79"/>
      <c r="CE766" s="79"/>
      <c r="CF766" s="79"/>
      <c r="CG766" s="79"/>
      <c r="CH766" s="79"/>
      <c r="CI766" s="79"/>
    </row>
    <row r="767" spans="1:87" ht="14" x14ac:dyDescent="0.1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79"/>
      <c r="AW767" s="79"/>
      <c r="AX767" s="79"/>
      <c r="AY767" s="79"/>
      <c r="AZ767" s="79"/>
      <c r="BA767" s="79"/>
      <c r="BB767" s="79"/>
      <c r="BC767" s="79"/>
      <c r="BD767" s="79"/>
      <c r="BE767" s="79"/>
      <c r="BF767" s="79"/>
      <c r="BG767" s="79"/>
      <c r="BH767" s="79"/>
      <c r="BI767" s="79"/>
      <c r="BJ767" s="79"/>
      <c r="BK767" s="79"/>
      <c r="BL767" s="79"/>
      <c r="BM767" s="79"/>
      <c r="BN767" s="79"/>
      <c r="BO767" s="79"/>
      <c r="BP767" s="79"/>
      <c r="BQ767" s="79"/>
      <c r="BR767" s="79"/>
      <c r="BS767" s="79"/>
      <c r="BT767" s="79"/>
      <c r="BU767" s="79"/>
      <c r="BV767" s="79"/>
      <c r="BW767" s="79"/>
      <c r="BX767" s="79"/>
      <c r="BY767" s="79"/>
      <c r="BZ767" s="79"/>
      <c r="CA767" s="79"/>
      <c r="CB767" s="79"/>
      <c r="CC767" s="79"/>
      <c r="CD767" s="79"/>
      <c r="CE767" s="79"/>
      <c r="CF767" s="79"/>
      <c r="CG767" s="79"/>
      <c r="CH767" s="79"/>
      <c r="CI767" s="79"/>
    </row>
    <row r="768" spans="1:87" ht="14" x14ac:dyDescent="0.1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79"/>
      <c r="AW768" s="79"/>
      <c r="AX768" s="79"/>
      <c r="AY768" s="79"/>
      <c r="AZ768" s="79"/>
      <c r="BA768" s="79"/>
      <c r="BB768" s="79"/>
      <c r="BC768" s="79"/>
      <c r="BD768" s="79"/>
      <c r="BE768" s="79"/>
      <c r="BF768" s="79"/>
      <c r="BG768" s="79"/>
      <c r="BH768" s="79"/>
      <c r="BI768" s="79"/>
      <c r="BJ768" s="79"/>
      <c r="BK768" s="79"/>
      <c r="BL768" s="79"/>
      <c r="BM768" s="79"/>
      <c r="BN768" s="79"/>
      <c r="BO768" s="79"/>
      <c r="BP768" s="79"/>
      <c r="BQ768" s="79"/>
      <c r="BR768" s="79"/>
      <c r="BS768" s="79"/>
      <c r="BT768" s="79"/>
      <c r="BU768" s="79"/>
      <c r="BV768" s="79"/>
      <c r="BW768" s="79"/>
      <c r="BX768" s="79"/>
      <c r="BY768" s="79"/>
      <c r="BZ768" s="79"/>
      <c r="CA768" s="79"/>
      <c r="CB768" s="79"/>
      <c r="CC768" s="79"/>
      <c r="CD768" s="79"/>
      <c r="CE768" s="79"/>
      <c r="CF768" s="79"/>
      <c r="CG768" s="79"/>
      <c r="CH768" s="79"/>
      <c r="CI768" s="79"/>
    </row>
    <row r="769" spans="1:87" ht="14" x14ac:dyDescent="0.1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79"/>
      <c r="AW769" s="79"/>
      <c r="AX769" s="79"/>
      <c r="AY769" s="79"/>
      <c r="AZ769" s="79"/>
      <c r="BA769" s="79"/>
      <c r="BB769" s="79"/>
      <c r="BC769" s="79"/>
      <c r="BD769" s="79"/>
      <c r="BE769" s="79"/>
      <c r="BF769" s="79"/>
      <c r="BG769" s="79"/>
      <c r="BH769" s="79"/>
      <c r="BI769" s="79"/>
      <c r="BJ769" s="79"/>
      <c r="BK769" s="79"/>
      <c r="BL769" s="79"/>
      <c r="BM769" s="79"/>
      <c r="BN769" s="79"/>
      <c r="BO769" s="79"/>
      <c r="BP769" s="79"/>
      <c r="BQ769" s="79"/>
      <c r="BR769" s="79"/>
      <c r="BS769" s="79"/>
      <c r="BT769" s="79"/>
      <c r="BU769" s="79"/>
      <c r="BV769" s="79"/>
      <c r="BW769" s="79"/>
      <c r="BX769" s="79"/>
      <c r="BY769" s="79"/>
      <c r="BZ769" s="79"/>
      <c r="CA769" s="79"/>
      <c r="CB769" s="79"/>
      <c r="CC769" s="79"/>
      <c r="CD769" s="79"/>
      <c r="CE769" s="79"/>
      <c r="CF769" s="79"/>
      <c r="CG769" s="79"/>
      <c r="CH769" s="79"/>
      <c r="CI769" s="79"/>
    </row>
    <row r="770" spans="1:87" ht="14" x14ac:dyDescent="0.1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79"/>
      <c r="AW770" s="79"/>
      <c r="AX770" s="79"/>
      <c r="AY770" s="79"/>
      <c r="AZ770" s="79"/>
      <c r="BA770" s="79"/>
      <c r="BB770" s="79"/>
      <c r="BC770" s="79"/>
      <c r="BD770" s="79"/>
      <c r="BE770" s="79"/>
      <c r="BF770" s="79"/>
      <c r="BG770" s="79"/>
      <c r="BH770" s="79"/>
      <c r="BI770" s="79"/>
      <c r="BJ770" s="79"/>
      <c r="BK770" s="79"/>
      <c r="BL770" s="79"/>
      <c r="BM770" s="79"/>
      <c r="BN770" s="79"/>
      <c r="BO770" s="79"/>
      <c r="BP770" s="79"/>
      <c r="BQ770" s="79"/>
      <c r="BR770" s="79"/>
      <c r="BS770" s="79"/>
      <c r="BT770" s="79"/>
      <c r="BU770" s="79"/>
      <c r="BV770" s="79"/>
      <c r="BW770" s="79"/>
      <c r="BX770" s="79"/>
      <c r="BY770" s="79"/>
      <c r="BZ770" s="79"/>
      <c r="CA770" s="79"/>
      <c r="CB770" s="79"/>
      <c r="CC770" s="79"/>
      <c r="CD770" s="79"/>
      <c r="CE770" s="79"/>
      <c r="CF770" s="79"/>
      <c r="CG770" s="79"/>
      <c r="CH770" s="79"/>
      <c r="CI770" s="79"/>
    </row>
    <row r="771" spans="1:87" ht="14" x14ac:dyDescent="0.1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79"/>
      <c r="AW771" s="79"/>
      <c r="AX771" s="79"/>
      <c r="AY771" s="79"/>
      <c r="AZ771" s="79"/>
      <c r="BA771" s="79"/>
      <c r="BB771" s="79"/>
      <c r="BC771" s="79"/>
      <c r="BD771" s="79"/>
      <c r="BE771" s="79"/>
      <c r="BF771" s="79"/>
      <c r="BG771" s="79"/>
      <c r="BH771" s="79"/>
      <c r="BI771" s="79"/>
      <c r="BJ771" s="79"/>
      <c r="BK771" s="79"/>
      <c r="BL771" s="79"/>
      <c r="BM771" s="79"/>
      <c r="BN771" s="79"/>
      <c r="BO771" s="79"/>
      <c r="BP771" s="79"/>
      <c r="BQ771" s="79"/>
      <c r="BR771" s="79"/>
      <c r="BS771" s="79"/>
      <c r="BT771" s="79"/>
      <c r="BU771" s="79"/>
      <c r="BV771" s="79"/>
      <c r="BW771" s="79"/>
      <c r="BX771" s="79"/>
      <c r="BY771" s="79"/>
      <c r="BZ771" s="79"/>
      <c r="CA771" s="79"/>
      <c r="CB771" s="79"/>
      <c r="CC771" s="79"/>
      <c r="CD771" s="79"/>
      <c r="CE771" s="79"/>
      <c r="CF771" s="79"/>
      <c r="CG771" s="79"/>
      <c r="CH771" s="79"/>
      <c r="CI771" s="79"/>
    </row>
    <row r="772" spans="1:87" ht="14" x14ac:dyDescent="0.1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79"/>
      <c r="AW772" s="79"/>
      <c r="AX772" s="79"/>
      <c r="AY772" s="79"/>
      <c r="AZ772" s="79"/>
      <c r="BA772" s="79"/>
      <c r="BB772" s="79"/>
      <c r="BC772" s="79"/>
      <c r="BD772" s="79"/>
      <c r="BE772" s="79"/>
      <c r="BF772" s="79"/>
      <c r="BG772" s="79"/>
      <c r="BH772" s="79"/>
      <c r="BI772" s="79"/>
      <c r="BJ772" s="79"/>
      <c r="BK772" s="79"/>
      <c r="BL772" s="79"/>
      <c r="BM772" s="79"/>
      <c r="BN772" s="79"/>
      <c r="BO772" s="79"/>
      <c r="BP772" s="79"/>
      <c r="BQ772" s="79"/>
      <c r="BR772" s="79"/>
      <c r="BS772" s="79"/>
      <c r="BT772" s="79"/>
      <c r="BU772" s="79"/>
      <c r="BV772" s="79"/>
      <c r="BW772" s="79"/>
      <c r="BX772" s="79"/>
      <c r="BY772" s="79"/>
      <c r="BZ772" s="79"/>
      <c r="CA772" s="79"/>
      <c r="CB772" s="79"/>
      <c r="CC772" s="79"/>
      <c r="CD772" s="79"/>
      <c r="CE772" s="79"/>
      <c r="CF772" s="79"/>
      <c r="CG772" s="79"/>
      <c r="CH772" s="79"/>
      <c r="CI772" s="79"/>
    </row>
    <row r="773" spans="1:87" ht="14" x14ac:dyDescent="0.1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79"/>
      <c r="AW773" s="79"/>
      <c r="AX773" s="79"/>
      <c r="AY773" s="79"/>
      <c r="AZ773" s="79"/>
      <c r="BA773" s="79"/>
      <c r="BB773" s="79"/>
      <c r="BC773" s="79"/>
      <c r="BD773" s="79"/>
      <c r="BE773" s="79"/>
      <c r="BF773" s="79"/>
      <c r="BG773" s="79"/>
      <c r="BH773" s="79"/>
      <c r="BI773" s="79"/>
      <c r="BJ773" s="79"/>
      <c r="BK773" s="79"/>
      <c r="BL773" s="79"/>
      <c r="BM773" s="79"/>
      <c r="BN773" s="79"/>
      <c r="BO773" s="79"/>
      <c r="BP773" s="79"/>
      <c r="BQ773" s="79"/>
      <c r="BR773" s="79"/>
      <c r="BS773" s="79"/>
      <c r="BT773" s="79"/>
      <c r="BU773" s="79"/>
      <c r="BV773" s="79"/>
      <c r="BW773" s="79"/>
      <c r="BX773" s="79"/>
      <c r="BY773" s="79"/>
      <c r="BZ773" s="79"/>
      <c r="CA773" s="79"/>
      <c r="CB773" s="79"/>
      <c r="CC773" s="79"/>
      <c r="CD773" s="79"/>
      <c r="CE773" s="79"/>
      <c r="CF773" s="79"/>
      <c r="CG773" s="79"/>
      <c r="CH773" s="79"/>
      <c r="CI773" s="79"/>
    </row>
    <row r="774" spans="1:87" ht="14" x14ac:dyDescent="0.1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  <c r="CH774" s="79"/>
      <c r="CI774" s="79"/>
    </row>
    <row r="775" spans="1:87" ht="14" x14ac:dyDescent="0.1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79"/>
      <c r="AW775" s="79"/>
      <c r="AX775" s="79"/>
      <c r="AY775" s="79"/>
      <c r="AZ775" s="79"/>
      <c r="BA775" s="79"/>
      <c r="BB775" s="79"/>
      <c r="BC775" s="79"/>
      <c r="BD775" s="79"/>
      <c r="BE775" s="79"/>
      <c r="BF775" s="79"/>
      <c r="BG775" s="79"/>
      <c r="BH775" s="79"/>
      <c r="BI775" s="79"/>
      <c r="BJ775" s="79"/>
      <c r="BK775" s="79"/>
      <c r="BL775" s="79"/>
      <c r="BM775" s="79"/>
      <c r="BN775" s="79"/>
      <c r="BO775" s="79"/>
      <c r="BP775" s="79"/>
      <c r="BQ775" s="79"/>
      <c r="BR775" s="79"/>
      <c r="BS775" s="79"/>
      <c r="BT775" s="79"/>
      <c r="BU775" s="79"/>
      <c r="BV775" s="79"/>
      <c r="BW775" s="79"/>
      <c r="BX775" s="79"/>
      <c r="BY775" s="79"/>
      <c r="BZ775" s="79"/>
      <c r="CA775" s="79"/>
      <c r="CB775" s="79"/>
      <c r="CC775" s="79"/>
      <c r="CD775" s="79"/>
      <c r="CE775" s="79"/>
      <c r="CF775" s="79"/>
      <c r="CG775" s="79"/>
      <c r="CH775" s="79"/>
      <c r="CI775" s="79"/>
    </row>
    <row r="776" spans="1:87" ht="14" x14ac:dyDescent="0.1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79"/>
      <c r="AW776" s="79"/>
      <c r="AX776" s="79"/>
      <c r="AY776" s="79"/>
      <c r="AZ776" s="79"/>
      <c r="BA776" s="79"/>
      <c r="BB776" s="79"/>
      <c r="BC776" s="79"/>
      <c r="BD776" s="79"/>
      <c r="BE776" s="79"/>
      <c r="BF776" s="79"/>
      <c r="BG776" s="79"/>
      <c r="BH776" s="79"/>
      <c r="BI776" s="79"/>
      <c r="BJ776" s="79"/>
      <c r="BK776" s="79"/>
      <c r="BL776" s="79"/>
      <c r="BM776" s="79"/>
      <c r="BN776" s="79"/>
      <c r="BO776" s="79"/>
      <c r="BP776" s="79"/>
      <c r="BQ776" s="79"/>
      <c r="BR776" s="79"/>
      <c r="BS776" s="79"/>
      <c r="BT776" s="79"/>
      <c r="BU776" s="79"/>
      <c r="BV776" s="79"/>
      <c r="BW776" s="79"/>
      <c r="BX776" s="79"/>
      <c r="BY776" s="79"/>
      <c r="BZ776" s="79"/>
      <c r="CA776" s="79"/>
      <c r="CB776" s="79"/>
      <c r="CC776" s="79"/>
      <c r="CD776" s="79"/>
      <c r="CE776" s="79"/>
      <c r="CF776" s="79"/>
      <c r="CG776" s="79"/>
      <c r="CH776" s="79"/>
      <c r="CI776" s="79"/>
    </row>
    <row r="777" spans="1:87" ht="14" x14ac:dyDescent="0.1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79"/>
      <c r="AW777" s="79"/>
      <c r="AX777" s="79"/>
      <c r="AY777" s="79"/>
      <c r="AZ777" s="79"/>
      <c r="BA777" s="79"/>
      <c r="BB777" s="79"/>
      <c r="BC777" s="79"/>
      <c r="BD777" s="79"/>
      <c r="BE777" s="79"/>
      <c r="BF777" s="79"/>
      <c r="BG777" s="79"/>
      <c r="BH777" s="79"/>
      <c r="BI777" s="79"/>
      <c r="BJ777" s="79"/>
      <c r="BK777" s="79"/>
      <c r="BL777" s="79"/>
      <c r="BM777" s="79"/>
      <c r="BN777" s="79"/>
      <c r="BO777" s="79"/>
      <c r="BP777" s="79"/>
      <c r="BQ777" s="79"/>
      <c r="BR777" s="79"/>
      <c r="BS777" s="79"/>
      <c r="BT777" s="79"/>
      <c r="BU777" s="79"/>
      <c r="BV777" s="79"/>
      <c r="BW777" s="79"/>
      <c r="BX777" s="79"/>
      <c r="BY777" s="79"/>
      <c r="BZ777" s="79"/>
      <c r="CA777" s="79"/>
      <c r="CB777" s="79"/>
      <c r="CC777" s="79"/>
      <c r="CD777" s="79"/>
      <c r="CE777" s="79"/>
      <c r="CF777" s="79"/>
      <c r="CG777" s="79"/>
      <c r="CH777" s="79"/>
      <c r="CI777" s="79"/>
    </row>
    <row r="778" spans="1:87" ht="14" x14ac:dyDescent="0.1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79"/>
      <c r="AW778" s="79"/>
      <c r="AX778" s="79"/>
      <c r="AY778" s="79"/>
      <c r="AZ778" s="79"/>
      <c r="BA778" s="79"/>
      <c r="BB778" s="79"/>
      <c r="BC778" s="79"/>
      <c r="BD778" s="79"/>
      <c r="BE778" s="79"/>
      <c r="BF778" s="79"/>
      <c r="BG778" s="79"/>
      <c r="BH778" s="79"/>
      <c r="BI778" s="79"/>
      <c r="BJ778" s="79"/>
      <c r="BK778" s="79"/>
      <c r="BL778" s="79"/>
      <c r="BM778" s="79"/>
      <c r="BN778" s="79"/>
      <c r="BO778" s="79"/>
      <c r="BP778" s="79"/>
      <c r="BQ778" s="79"/>
      <c r="BR778" s="79"/>
      <c r="BS778" s="79"/>
      <c r="BT778" s="79"/>
      <c r="BU778" s="79"/>
      <c r="BV778" s="79"/>
      <c r="BW778" s="79"/>
      <c r="BX778" s="79"/>
      <c r="BY778" s="79"/>
      <c r="BZ778" s="79"/>
      <c r="CA778" s="79"/>
      <c r="CB778" s="79"/>
      <c r="CC778" s="79"/>
      <c r="CD778" s="79"/>
      <c r="CE778" s="79"/>
      <c r="CF778" s="79"/>
      <c r="CG778" s="79"/>
      <c r="CH778" s="79"/>
      <c r="CI778" s="79"/>
    </row>
    <row r="779" spans="1:87" ht="14" x14ac:dyDescent="0.1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79"/>
      <c r="AW779" s="79"/>
      <c r="AX779" s="79"/>
      <c r="AY779" s="79"/>
      <c r="AZ779" s="79"/>
      <c r="BA779" s="79"/>
      <c r="BB779" s="79"/>
      <c r="BC779" s="79"/>
      <c r="BD779" s="79"/>
      <c r="BE779" s="79"/>
      <c r="BF779" s="79"/>
      <c r="BG779" s="79"/>
      <c r="BH779" s="79"/>
      <c r="BI779" s="79"/>
      <c r="BJ779" s="79"/>
      <c r="BK779" s="79"/>
      <c r="BL779" s="79"/>
      <c r="BM779" s="79"/>
      <c r="BN779" s="79"/>
      <c r="BO779" s="79"/>
      <c r="BP779" s="79"/>
      <c r="BQ779" s="79"/>
      <c r="BR779" s="79"/>
      <c r="BS779" s="79"/>
      <c r="BT779" s="79"/>
      <c r="BU779" s="79"/>
      <c r="BV779" s="79"/>
      <c r="BW779" s="79"/>
      <c r="BX779" s="79"/>
      <c r="BY779" s="79"/>
      <c r="BZ779" s="79"/>
      <c r="CA779" s="79"/>
      <c r="CB779" s="79"/>
      <c r="CC779" s="79"/>
      <c r="CD779" s="79"/>
      <c r="CE779" s="79"/>
      <c r="CF779" s="79"/>
      <c r="CG779" s="79"/>
      <c r="CH779" s="79"/>
      <c r="CI779" s="79"/>
    </row>
    <row r="780" spans="1:87" ht="14" x14ac:dyDescent="0.1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79"/>
      <c r="AW780" s="79"/>
      <c r="AX780" s="79"/>
      <c r="AY780" s="79"/>
      <c r="AZ780" s="79"/>
      <c r="BA780" s="79"/>
      <c r="BB780" s="79"/>
      <c r="BC780" s="79"/>
      <c r="BD780" s="79"/>
      <c r="BE780" s="79"/>
      <c r="BF780" s="79"/>
      <c r="BG780" s="79"/>
      <c r="BH780" s="79"/>
      <c r="BI780" s="79"/>
      <c r="BJ780" s="79"/>
      <c r="BK780" s="79"/>
      <c r="BL780" s="79"/>
      <c r="BM780" s="79"/>
      <c r="BN780" s="79"/>
      <c r="BO780" s="79"/>
      <c r="BP780" s="79"/>
      <c r="BQ780" s="79"/>
      <c r="BR780" s="79"/>
      <c r="BS780" s="79"/>
      <c r="BT780" s="79"/>
      <c r="BU780" s="79"/>
      <c r="BV780" s="79"/>
      <c r="BW780" s="79"/>
      <c r="BX780" s="79"/>
      <c r="BY780" s="79"/>
      <c r="BZ780" s="79"/>
      <c r="CA780" s="79"/>
      <c r="CB780" s="79"/>
      <c r="CC780" s="79"/>
      <c r="CD780" s="79"/>
      <c r="CE780" s="79"/>
      <c r="CF780" s="79"/>
      <c r="CG780" s="79"/>
      <c r="CH780" s="79"/>
      <c r="CI780" s="79"/>
    </row>
    <row r="781" spans="1:87" ht="14" x14ac:dyDescent="0.1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79"/>
      <c r="AW781" s="79"/>
      <c r="AX781" s="79"/>
      <c r="AY781" s="79"/>
      <c r="AZ781" s="79"/>
      <c r="BA781" s="79"/>
      <c r="BB781" s="79"/>
      <c r="BC781" s="79"/>
      <c r="BD781" s="79"/>
      <c r="BE781" s="79"/>
      <c r="BF781" s="79"/>
      <c r="BG781" s="79"/>
      <c r="BH781" s="79"/>
      <c r="BI781" s="79"/>
      <c r="BJ781" s="79"/>
      <c r="BK781" s="79"/>
      <c r="BL781" s="79"/>
      <c r="BM781" s="79"/>
      <c r="BN781" s="79"/>
      <c r="BO781" s="79"/>
      <c r="BP781" s="79"/>
      <c r="BQ781" s="79"/>
      <c r="BR781" s="79"/>
      <c r="BS781" s="79"/>
      <c r="BT781" s="79"/>
      <c r="BU781" s="79"/>
      <c r="BV781" s="79"/>
      <c r="BW781" s="79"/>
      <c r="BX781" s="79"/>
      <c r="BY781" s="79"/>
      <c r="BZ781" s="79"/>
      <c r="CA781" s="79"/>
      <c r="CB781" s="79"/>
      <c r="CC781" s="79"/>
      <c r="CD781" s="79"/>
      <c r="CE781" s="79"/>
      <c r="CF781" s="79"/>
      <c r="CG781" s="79"/>
      <c r="CH781" s="79"/>
      <c r="CI781" s="79"/>
    </row>
    <row r="782" spans="1:87" ht="14" x14ac:dyDescent="0.1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79"/>
      <c r="AW782" s="79"/>
      <c r="AX782" s="79"/>
      <c r="AY782" s="79"/>
      <c r="AZ782" s="79"/>
      <c r="BA782" s="79"/>
      <c r="BB782" s="79"/>
      <c r="BC782" s="79"/>
      <c r="BD782" s="79"/>
      <c r="BE782" s="79"/>
      <c r="BF782" s="79"/>
      <c r="BG782" s="79"/>
      <c r="BH782" s="79"/>
      <c r="BI782" s="79"/>
      <c r="BJ782" s="79"/>
      <c r="BK782" s="79"/>
      <c r="BL782" s="79"/>
      <c r="BM782" s="79"/>
      <c r="BN782" s="79"/>
      <c r="BO782" s="79"/>
      <c r="BP782" s="79"/>
      <c r="BQ782" s="79"/>
      <c r="BR782" s="79"/>
      <c r="BS782" s="79"/>
      <c r="BT782" s="79"/>
      <c r="BU782" s="79"/>
      <c r="BV782" s="79"/>
      <c r="BW782" s="79"/>
      <c r="BX782" s="79"/>
      <c r="BY782" s="79"/>
      <c r="BZ782" s="79"/>
      <c r="CA782" s="79"/>
      <c r="CB782" s="79"/>
      <c r="CC782" s="79"/>
      <c r="CD782" s="79"/>
      <c r="CE782" s="79"/>
      <c r="CF782" s="79"/>
      <c r="CG782" s="79"/>
      <c r="CH782" s="79"/>
      <c r="CI782" s="79"/>
    </row>
    <row r="783" spans="1:87" ht="14" x14ac:dyDescent="0.1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79"/>
      <c r="AW783" s="79"/>
      <c r="AX783" s="79"/>
      <c r="AY783" s="79"/>
      <c r="AZ783" s="79"/>
      <c r="BA783" s="79"/>
      <c r="BB783" s="79"/>
      <c r="BC783" s="79"/>
      <c r="BD783" s="79"/>
      <c r="BE783" s="79"/>
      <c r="BF783" s="79"/>
      <c r="BG783" s="79"/>
      <c r="BH783" s="79"/>
      <c r="BI783" s="79"/>
      <c r="BJ783" s="79"/>
      <c r="BK783" s="79"/>
      <c r="BL783" s="79"/>
      <c r="BM783" s="79"/>
      <c r="BN783" s="79"/>
      <c r="BO783" s="79"/>
      <c r="BP783" s="79"/>
      <c r="BQ783" s="79"/>
      <c r="BR783" s="79"/>
      <c r="BS783" s="79"/>
      <c r="BT783" s="79"/>
      <c r="BU783" s="79"/>
      <c r="BV783" s="79"/>
      <c r="BW783" s="79"/>
      <c r="BX783" s="79"/>
      <c r="BY783" s="79"/>
      <c r="BZ783" s="79"/>
      <c r="CA783" s="79"/>
      <c r="CB783" s="79"/>
      <c r="CC783" s="79"/>
      <c r="CD783" s="79"/>
      <c r="CE783" s="79"/>
      <c r="CF783" s="79"/>
      <c r="CG783" s="79"/>
      <c r="CH783" s="79"/>
      <c r="CI783" s="79"/>
    </row>
    <row r="784" spans="1:87" ht="14" x14ac:dyDescent="0.1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79"/>
      <c r="AW784" s="79"/>
      <c r="AX784" s="79"/>
      <c r="AY784" s="79"/>
      <c r="AZ784" s="79"/>
      <c r="BA784" s="79"/>
      <c r="BB784" s="79"/>
      <c r="BC784" s="79"/>
      <c r="BD784" s="79"/>
      <c r="BE784" s="79"/>
      <c r="BF784" s="79"/>
      <c r="BG784" s="79"/>
      <c r="BH784" s="79"/>
      <c r="BI784" s="79"/>
      <c r="BJ784" s="79"/>
      <c r="BK784" s="79"/>
      <c r="BL784" s="79"/>
      <c r="BM784" s="79"/>
      <c r="BN784" s="79"/>
      <c r="BO784" s="79"/>
      <c r="BP784" s="79"/>
      <c r="BQ784" s="79"/>
      <c r="BR784" s="79"/>
      <c r="BS784" s="79"/>
      <c r="BT784" s="79"/>
      <c r="BU784" s="79"/>
      <c r="BV784" s="79"/>
      <c r="BW784" s="79"/>
      <c r="BX784" s="79"/>
      <c r="BY784" s="79"/>
      <c r="BZ784" s="79"/>
      <c r="CA784" s="79"/>
      <c r="CB784" s="79"/>
      <c r="CC784" s="79"/>
      <c r="CD784" s="79"/>
      <c r="CE784" s="79"/>
      <c r="CF784" s="79"/>
      <c r="CG784" s="79"/>
      <c r="CH784" s="79"/>
      <c r="CI784" s="79"/>
    </row>
    <row r="785" spans="1:87" ht="14" x14ac:dyDescent="0.1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79"/>
      <c r="AW785" s="79"/>
      <c r="AX785" s="79"/>
      <c r="AY785" s="79"/>
      <c r="AZ785" s="79"/>
      <c r="BA785" s="79"/>
      <c r="BB785" s="79"/>
      <c r="BC785" s="79"/>
      <c r="BD785" s="79"/>
      <c r="BE785" s="79"/>
      <c r="BF785" s="79"/>
      <c r="BG785" s="79"/>
      <c r="BH785" s="79"/>
      <c r="BI785" s="79"/>
      <c r="BJ785" s="79"/>
      <c r="BK785" s="79"/>
      <c r="BL785" s="79"/>
      <c r="BM785" s="79"/>
      <c r="BN785" s="79"/>
      <c r="BO785" s="79"/>
      <c r="BP785" s="79"/>
      <c r="BQ785" s="79"/>
      <c r="BR785" s="79"/>
      <c r="BS785" s="79"/>
      <c r="BT785" s="79"/>
      <c r="BU785" s="79"/>
      <c r="BV785" s="79"/>
      <c r="BW785" s="79"/>
      <c r="BX785" s="79"/>
      <c r="BY785" s="79"/>
      <c r="BZ785" s="79"/>
      <c r="CA785" s="79"/>
      <c r="CB785" s="79"/>
      <c r="CC785" s="79"/>
      <c r="CD785" s="79"/>
      <c r="CE785" s="79"/>
      <c r="CF785" s="79"/>
      <c r="CG785" s="79"/>
      <c r="CH785" s="79"/>
      <c r="CI785" s="79"/>
    </row>
    <row r="786" spans="1:87" ht="14" x14ac:dyDescent="0.1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79"/>
      <c r="AW786" s="79"/>
      <c r="AX786" s="79"/>
      <c r="AY786" s="79"/>
      <c r="AZ786" s="79"/>
      <c r="BA786" s="79"/>
      <c r="BB786" s="79"/>
      <c r="BC786" s="79"/>
      <c r="BD786" s="79"/>
      <c r="BE786" s="79"/>
      <c r="BF786" s="79"/>
      <c r="BG786" s="79"/>
      <c r="BH786" s="79"/>
      <c r="BI786" s="79"/>
      <c r="BJ786" s="79"/>
      <c r="BK786" s="79"/>
      <c r="BL786" s="79"/>
      <c r="BM786" s="79"/>
      <c r="BN786" s="79"/>
      <c r="BO786" s="79"/>
      <c r="BP786" s="79"/>
      <c r="BQ786" s="79"/>
      <c r="BR786" s="79"/>
      <c r="BS786" s="79"/>
      <c r="BT786" s="79"/>
      <c r="BU786" s="79"/>
      <c r="BV786" s="79"/>
      <c r="BW786" s="79"/>
      <c r="BX786" s="79"/>
      <c r="BY786" s="79"/>
      <c r="BZ786" s="79"/>
      <c r="CA786" s="79"/>
      <c r="CB786" s="79"/>
      <c r="CC786" s="79"/>
      <c r="CD786" s="79"/>
      <c r="CE786" s="79"/>
      <c r="CF786" s="79"/>
      <c r="CG786" s="79"/>
      <c r="CH786" s="79"/>
      <c r="CI786" s="79"/>
    </row>
    <row r="787" spans="1:87" ht="14" x14ac:dyDescent="0.1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79"/>
      <c r="AW787" s="79"/>
      <c r="AX787" s="79"/>
      <c r="AY787" s="79"/>
      <c r="AZ787" s="79"/>
      <c r="BA787" s="79"/>
      <c r="BB787" s="79"/>
      <c r="BC787" s="79"/>
      <c r="BD787" s="79"/>
      <c r="BE787" s="79"/>
      <c r="BF787" s="79"/>
      <c r="BG787" s="79"/>
      <c r="BH787" s="79"/>
      <c r="BI787" s="79"/>
      <c r="BJ787" s="79"/>
      <c r="BK787" s="79"/>
      <c r="BL787" s="79"/>
      <c r="BM787" s="79"/>
      <c r="BN787" s="79"/>
      <c r="BO787" s="79"/>
      <c r="BP787" s="79"/>
      <c r="BQ787" s="79"/>
      <c r="BR787" s="79"/>
      <c r="BS787" s="79"/>
      <c r="BT787" s="79"/>
      <c r="BU787" s="79"/>
      <c r="BV787" s="79"/>
      <c r="BW787" s="79"/>
      <c r="BX787" s="79"/>
      <c r="BY787" s="79"/>
      <c r="BZ787" s="79"/>
      <c r="CA787" s="79"/>
      <c r="CB787" s="79"/>
      <c r="CC787" s="79"/>
      <c r="CD787" s="79"/>
      <c r="CE787" s="79"/>
      <c r="CF787" s="79"/>
      <c r="CG787" s="79"/>
      <c r="CH787" s="79"/>
      <c r="CI787" s="79"/>
    </row>
    <row r="788" spans="1:87" ht="14" x14ac:dyDescent="0.1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79"/>
      <c r="AW788" s="79"/>
      <c r="AX788" s="79"/>
      <c r="AY788" s="79"/>
      <c r="AZ788" s="79"/>
      <c r="BA788" s="79"/>
      <c r="BB788" s="79"/>
      <c r="BC788" s="79"/>
      <c r="BD788" s="79"/>
      <c r="BE788" s="79"/>
      <c r="BF788" s="79"/>
      <c r="BG788" s="79"/>
      <c r="BH788" s="79"/>
      <c r="BI788" s="79"/>
      <c r="BJ788" s="79"/>
      <c r="BK788" s="79"/>
      <c r="BL788" s="79"/>
      <c r="BM788" s="79"/>
      <c r="BN788" s="79"/>
      <c r="BO788" s="79"/>
      <c r="BP788" s="79"/>
      <c r="BQ788" s="79"/>
      <c r="BR788" s="79"/>
      <c r="BS788" s="79"/>
      <c r="BT788" s="79"/>
      <c r="BU788" s="79"/>
      <c r="BV788" s="79"/>
      <c r="BW788" s="79"/>
      <c r="BX788" s="79"/>
      <c r="BY788" s="79"/>
      <c r="BZ788" s="79"/>
      <c r="CA788" s="79"/>
      <c r="CB788" s="79"/>
      <c r="CC788" s="79"/>
      <c r="CD788" s="79"/>
      <c r="CE788" s="79"/>
      <c r="CF788" s="79"/>
      <c r="CG788" s="79"/>
      <c r="CH788" s="79"/>
      <c r="CI788" s="79"/>
    </row>
    <row r="789" spans="1:87" ht="14" x14ac:dyDescent="0.1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79"/>
      <c r="AW789" s="79"/>
      <c r="AX789" s="79"/>
      <c r="AY789" s="79"/>
      <c r="AZ789" s="79"/>
      <c r="BA789" s="79"/>
      <c r="BB789" s="79"/>
      <c r="BC789" s="79"/>
      <c r="BD789" s="79"/>
      <c r="BE789" s="79"/>
      <c r="BF789" s="79"/>
      <c r="BG789" s="79"/>
      <c r="BH789" s="79"/>
      <c r="BI789" s="79"/>
      <c r="BJ789" s="79"/>
      <c r="BK789" s="79"/>
      <c r="BL789" s="79"/>
      <c r="BM789" s="79"/>
      <c r="BN789" s="79"/>
      <c r="BO789" s="79"/>
      <c r="BP789" s="79"/>
      <c r="BQ789" s="79"/>
      <c r="BR789" s="79"/>
      <c r="BS789" s="79"/>
      <c r="BT789" s="79"/>
      <c r="BU789" s="79"/>
      <c r="BV789" s="79"/>
      <c r="BW789" s="79"/>
      <c r="BX789" s="79"/>
      <c r="BY789" s="79"/>
      <c r="BZ789" s="79"/>
      <c r="CA789" s="79"/>
      <c r="CB789" s="79"/>
      <c r="CC789" s="79"/>
      <c r="CD789" s="79"/>
      <c r="CE789" s="79"/>
      <c r="CF789" s="79"/>
      <c r="CG789" s="79"/>
      <c r="CH789" s="79"/>
      <c r="CI789" s="79"/>
    </row>
    <row r="790" spans="1:87" ht="14" x14ac:dyDescent="0.1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79"/>
      <c r="AW790" s="79"/>
      <c r="AX790" s="79"/>
      <c r="AY790" s="79"/>
      <c r="AZ790" s="79"/>
      <c r="BA790" s="79"/>
      <c r="BB790" s="79"/>
      <c r="BC790" s="79"/>
      <c r="BD790" s="79"/>
      <c r="BE790" s="79"/>
      <c r="BF790" s="79"/>
      <c r="BG790" s="79"/>
      <c r="BH790" s="79"/>
      <c r="BI790" s="79"/>
      <c r="BJ790" s="79"/>
      <c r="BK790" s="79"/>
      <c r="BL790" s="79"/>
      <c r="BM790" s="79"/>
      <c r="BN790" s="79"/>
      <c r="BO790" s="79"/>
      <c r="BP790" s="79"/>
      <c r="BQ790" s="79"/>
      <c r="BR790" s="79"/>
      <c r="BS790" s="79"/>
      <c r="BT790" s="79"/>
      <c r="BU790" s="79"/>
      <c r="BV790" s="79"/>
      <c r="BW790" s="79"/>
      <c r="BX790" s="79"/>
      <c r="BY790" s="79"/>
      <c r="BZ790" s="79"/>
      <c r="CA790" s="79"/>
      <c r="CB790" s="79"/>
      <c r="CC790" s="79"/>
      <c r="CD790" s="79"/>
      <c r="CE790" s="79"/>
      <c r="CF790" s="79"/>
      <c r="CG790" s="79"/>
      <c r="CH790" s="79"/>
      <c r="CI790" s="79"/>
    </row>
    <row r="791" spans="1:87" ht="14" x14ac:dyDescent="0.1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79"/>
      <c r="AW791" s="79"/>
      <c r="AX791" s="79"/>
      <c r="AY791" s="79"/>
      <c r="AZ791" s="79"/>
      <c r="BA791" s="79"/>
      <c r="BB791" s="79"/>
      <c r="BC791" s="79"/>
      <c r="BD791" s="79"/>
      <c r="BE791" s="79"/>
      <c r="BF791" s="79"/>
      <c r="BG791" s="79"/>
      <c r="BH791" s="79"/>
      <c r="BI791" s="79"/>
      <c r="BJ791" s="79"/>
      <c r="BK791" s="79"/>
      <c r="BL791" s="79"/>
      <c r="BM791" s="79"/>
      <c r="BN791" s="79"/>
      <c r="BO791" s="79"/>
      <c r="BP791" s="79"/>
      <c r="BQ791" s="79"/>
      <c r="BR791" s="79"/>
      <c r="BS791" s="79"/>
      <c r="BT791" s="79"/>
      <c r="BU791" s="79"/>
      <c r="BV791" s="79"/>
      <c r="BW791" s="79"/>
      <c r="BX791" s="79"/>
      <c r="BY791" s="79"/>
      <c r="BZ791" s="79"/>
      <c r="CA791" s="79"/>
      <c r="CB791" s="79"/>
      <c r="CC791" s="79"/>
      <c r="CD791" s="79"/>
      <c r="CE791" s="79"/>
      <c r="CF791" s="79"/>
      <c r="CG791" s="79"/>
      <c r="CH791" s="79"/>
      <c r="CI791" s="79"/>
    </row>
    <row r="792" spans="1:87" ht="14" x14ac:dyDescent="0.1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79"/>
      <c r="AW792" s="79"/>
      <c r="AX792" s="79"/>
      <c r="AY792" s="79"/>
      <c r="AZ792" s="79"/>
      <c r="BA792" s="79"/>
      <c r="BB792" s="79"/>
      <c r="BC792" s="79"/>
      <c r="BD792" s="79"/>
      <c r="BE792" s="79"/>
      <c r="BF792" s="79"/>
      <c r="BG792" s="79"/>
      <c r="BH792" s="79"/>
      <c r="BI792" s="79"/>
      <c r="BJ792" s="79"/>
      <c r="BK792" s="79"/>
      <c r="BL792" s="79"/>
      <c r="BM792" s="79"/>
      <c r="BN792" s="79"/>
      <c r="BO792" s="79"/>
      <c r="BP792" s="79"/>
      <c r="BQ792" s="79"/>
      <c r="BR792" s="79"/>
      <c r="BS792" s="79"/>
      <c r="BT792" s="79"/>
      <c r="BU792" s="79"/>
      <c r="BV792" s="79"/>
      <c r="BW792" s="79"/>
      <c r="BX792" s="79"/>
      <c r="BY792" s="79"/>
      <c r="BZ792" s="79"/>
      <c r="CA792" s="79"/>
      <c r="CB792" s="79"/>
      <c r="CC792" s="79"/>
      <c r="CD792" s="79"/>
      <c r="CE792" s="79"/>
      <c r="CF792" s="79"/>
      <c r="CG792" s="79"/>
      <c r="CH792" s="79"/>
      <c r="CI792" s="79"/>
    </row>
    <row r="793" spans="1:87" ht="14" x14ac:dyDescent="0.1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79"/>
      <c r="AW793" s="79"/>
      <c r="AX793" s="79"/>
      <c r="AY793" s="79"/>
      <c r="AZ793" s="79"/>
      <c r="BA793" s="79"/>
      <c r="BB793" s="79"/>
      <c r="BC793" s="79"/>
      <c r="BD793" s="79"/>
      <c r="BE793" s="79"/>
      <c r="BF793" s="79"/>
      <c r="BG793" s="79"/>
      <c r="BH793" s="79"/>
      <c r="BI793" s="79"/>
      <c r="BJ793" s="79"/>
      <c r="BK793" s="79"/>
      <c r="BL793" s="79"/>
      <c r="BM793" s="79"/>
      <c r="BN793" s="79"/>
      <c r="BO793" s="79"/>
      <c r="BP793" s="79"/>
      <c r="BQ793" s="79"/>
      <c r="BR793" s="79"/>
      <c r="BS793" s="79"/>
      <c r="BT793" s="79"/>
      <c r="BU793" s="79"/>
      <c r="BV793" s="79"/>
      <c r="BW793" s="79"/>
      <c r="BX793" s="79"/>
      <c r="BY793" s="79"/>
      <c r="BZ793" s="79"/>
      <c r="CA793" s="79"/>
      <c r="CB793" s="79"/>
      <c r="CC793" s="79"/>
      <c r="CD793" s="79"/>
      <c r="CE793" s="79"/>
      <c r="CF793" s="79"/>
      <c r="CG793" s="79"/>
      <c r="CH793" s="79"/>
      <c r="CI793" s="79"/>
    </row>
    <row r="794" spans="1:87" ht="14" x14ac:dyDescent="0.1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79"/>
      <c r="AW794" s="79"/>
      <c r="AX794" s="79"/>
      <c r="AY794" s="79"/>
      <c r="AZ794" s="79"/>
      <c r="BA794" s="79"/>
      <c r="BB794" s="79"/>
      <c r="BC794" s="79"/>
      <c r="BD794" s="79"/>
      <c r="BE794" s="79"/>
      <c r="BF794" s="79"/>
      <c r="BG794" s="79"/>
      <c r="BH794" s="79"/>
      <c r="BI794" s="79"/>
      <c r="BJ794" s="79"/>
      <c r="BK794" s="79"/>
      <c r="BL794" s="79"/>
      <c r="BM794" s="79"/>
      <c r="BN794" s="79"/>
      <c r="BO794" s="79"/>
      <c r="BP794" s="79"/>
      <c r="BQ794" s="79"/>
      <c r="BR794" s="79"/>
      <c r="BS794" s="79"/>
      <c r="BT794" s="79"/>
      <c r="BU794" s="79"/>
      <c r="BV794" s="79"/>
      <c r="BW794" s="79"/>
      <c r="BX794" s="79"/>
      <c r="BY794" s="79"/>
      <c r="BZ794" s="79"/>
      <c r="CA794" s="79"/>
      <c r="CB794" s="79"/>
      <c r="CC794" s="79"/>
      <c r="CD794" s="79"/>
      <c r="CE794" s="79"/>
      <c r="CF794" s="79"/>
      <c r="CG794" s="79"/>
      <c r="CH794" s="79"/>
      <c r="CI794" s="79"/>
    </row>
    <row r="795" spans="1:87" ht="14" x14ac:dyDescent="0.1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79"/>
      <c r="AW795" s="79"/>
      <c r="AX795" s="79"/>
      <c r="AY795" s="79"/>
      <c r="AZ795" s="79"/>
      <c r="BA795" s="79"/>
      <c r="BB795" s="79"/>
      <c r="BC795" s="79"/>
      <c r="BD795" s="79"/>
      <c r="BE795" s="79"/>
      <c r="BF795" s="79"/>
      <c r="BG795" s="79"/>
      <c r="BH795" s="79"/>
      <c r="BI795" s="79"/>
      <c r="BJ795" s="79"/>
      <c r="BK795" s="79"/>
      <c r="BL795" s="79"/>
      <c r="BM795" s="79"/>
      <c r="BN795" s="79"/>
      <c r="BO795" s="79"/>
      <c r="BP795" s="79"/>
      <c r="BQ795" s="79"/>
      <c r="BR795" s="79"/>
      <c r="BS795" s="79"/>
      <c r="BT795" s="79"/>
      <c r="BU795" s="79"/>
      <c r="BV795" s="79"/>
      <c r="BW795" s="79"/>
      <c r="BX795" s="79"/>
      <c r="BY795" s="79"/>
      <c r="BZ795" s="79"/>
      <c r="CA795" s="79"/>
      <c r="CB795" s="79"/>
      <c r="CC795" s="79"/>
      <c r="CD795" s="79"/>
      <c r="CE795" s="79"/>
      <c r="CF795" s="79"/>
      <c r="CG795" s="79"/>
      <c r="CH795" s="79"/>
      <c r="CI795" s="79"/>
    </row>
    <row r="796" spans="1:87" ht="14" x14ac:dyDescent="0.1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79"/>
      <c r="AW796" s="79"/>
      <c r="AX796" s="79"/>
      <c r="AY796" s="79"/>
      <c r="AZ796" s="79"/>
      <c r="BA796" s="79"/>
      <c r="BB796" s="79"/>
      <c r="BC796" s="79"/>
      <c r="BD796" s="79"/>
      <c r="BE796" s="79"/>
      <c r="BF796" s="79"/>
      <c r="BG796" s="79"/>
      <c r="BH796" s="79"/>
      <c r="BI796" s="79"/>
      <c r="BJ796" s="79"/>
      <c r="BK796" s="79"/>
      <c r="BL796" s="79"/>
      <c r="BM796" s="79"/>
      <c r="BN796" s="79"/>
      <c r="BO796" s="79"/>
      <c r="BP796" s="79"/>
      <c r="BQ796" s="79"/>
      <c r="BR796" s="79"/>
      <c r="BS796" s="79"/>
      <c r="BT796" s="79"/>
      <c r="BU796" s="79"/>
      <c r="BV796" s="79"/>
      <c r="BW796" s="79"/>
      <c r="BX796" s="79"/>
      <c r="BY796" s="79"/>
      <c r="BZ796" s="79"/>
      <c r="CA796" s="79"/>
      <c r="CB796" s="79"/>
      <c r="CC796" s="79"/>
      <c r="CD796" s="79"/>
      <c r="CE796" s="79"/>
      <c r="CF796" s="79"/>
      <c r="CG796" s="79"/>
      <c r="CH796" s="79"/>
      <c r="CI796" s="79"/>
    </row>
    <row r="797" spans="1:87" ht="14" x14ac:dyDescent="0.1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79"/>
      <c r="AW797" s="79"/>
      <c r="AX797" s="79"/>
      <c r="AY797" s="79"/>
      <c r="AZ797" s="79"/>
      <c r="BA797" s="79"/>
      <c r="BB797" s="79"/>
      <c r="BC797" s="79"/>
      <c r="BD797" s="79"/>
      <c r="BE797" s="79"/>
      <c r="BF797" s="79"/>
      <c r="BG797" s="79"/>
      <c r="BH797" s="79"/>
      <c r="BI797" s="79"/>
      <c r="BJ797" s="79"/>
      <c r="BK797" s="79"/>
      <c r="BL797" s="79"/>
      <c r="BM797" s="79"/>
      <c r="BN797" s="79"/>
      <c r="BO797" s="79"/>
      <c r="BP797" s="79"/>
      <c r="BQ797" s="79"/>
      <c r="BR797" s="79"/>
      <c r="BS797" s="79"/>
      <c r="BT797" s="79"/>
      <c r="BU797" s="79"/>
      <c r="BV797" s="79"/>
      <c r="BW797" s="79"/>
      <c r="BX797" s="79"/>
      <c r="BY797" s="79"/>
      <c r="BZ797" s="79"/>
      <c r="CA797" s="79"/>
      <c r="CB797" s="79"/>
      <c r="CC797" s="79"/>
      <c r="CD797" s="79"/>
      <c r="CE797" s="79"/>
      <c r="CF797" s="79"/>
      <c r="CG797" s="79"/>
      <c r="CH797" s="79"/>
      <c r="CI797" s="79"/>
    </row>
    <row r="798" spans="1:87" ht="14" x14ac:dyDescent="0.1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79"/>
      <c r="AW798" s="79"/>
      <c r="AX798" s="79"/>
      <c r="AY798" s="79"/>
      <c r="AZ798" s="79"/>
      <c r="BA798" s="79"/>
      <c r="BB798" s="79"/>
      <c r="BC798" s="79"/>
      <c r="BD798" s="79"/>
      <c r="BE798" s="79"/>
      <c r="BF798" s="79"/>
      <c r="BG798" s="79"/>
      <c r="BH798" s="79"/>
      <c r="BI798" s="79"/>
      <c r="BJ798" s="79"/>
      <c r="BK798" s="79"/>
      <c r="BL798" s="79"/>
      <c r="BM798" s="79"/>
      <c r="BN798" s="79"/>
      <c r="BO798" s="79"/>
      <c r="BP798" s="79"/>
      <c r="BQ798" s="79"/>
      <c r="BR798" s="79"/>
      <c r="BS798" s="79"/>
      <c r="BT798" s="79"/>
      <c r="BU798" s="79"/>
      <c r="BV798" s="79"/>
      <c r="BW798" s="79"/>
      <c r="BX798" s="79"/>
      <c r="BY798" s="79"/>
      <c r="BZ798" s="79"/>
      <c r="CA798" s="79"/>
      <c r="CB798" s="79"/>
      <c r="CC798" s="79"/>
      <c r="CD798" s="79"/>
      <c r="CE798" s="79"/>
      <c r="CF798" s="79"/>
      <c r="CG798" s="79"/>
      <c r="CH798" s="79"/>
      <c r="CI798" s="79"/>
    </row>
    <row r="799" spans="1:87" ht="14" x14ac:dyDescent="0.1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79"/>
      <c r="AW799" s="79"/>
      <c r="AX799" s="79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79"/>
      <c r="BK799" s="79"/>
      <c r="BL799" s="79"/>
      <c r="BM799" s="79"/>
      <c r="BN799" s="79"/>
      <c r="BO799" s="79"/>
      <c r="BP799" s="79"/>
      <c r="BQ799" s="79"/>
      <c r="BR799" s="79"/>
      <c r="BS799" s="79"/>
      <c r="BT799" s="79"/>
      <c r="BU799" s="79"/>
      <c r="BV799" s="79"/>
      <c r="BW799" s="79"/>
      <c r="BX799" s="79"/>
      <c r="BY799" s="79"/>
      <c r="BZ799" s="79"/>
      <c r="CA799" s="79"/>
      <c r="CB799" s="79"/>
      <c r="CC799" s="79"/>
      <c r="CD799" s="79"/>
      <c r="CE799" s="79"/>
      <c r="CF799" s="79"/>
      <c r="CG799" s="79"/>
      <c r="CH799" s="79"/>
      <c r="CI799" s="79"/>
    </row>
    <row r="800" spans="1:87" ht="14" x14ac:dyDescent="0.1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79"/>
      <c r="AW800" s="79"/>
      <c r="AX800" s="79"/>
      <c r="AY800" s="79"/>
      <c r="AZ800" s="79"/>
      <c r="BA800" s="79"/>
      <c r="BB800" s="79"/>
      <c r="BC800" s="79"/>
      <c r="BD800" s="79"/>
      <c r="BE800" s="79"/>
      <c r="BF800" s="79"/>
      <c r="BG800" s="79"/>
      <c r="BH800" s="79"/>
      <c r="BI800" s="79"/>
      <c r="BJ800" s="79"/>
      <c r="BK800" s="79"/>
      <c r="BL800" s="79"/>
      <c r="BM800" s="79"/>
      <c r="BN800" s="79"/>
      <c r="BO800" s="79"/>
      <c r="BP800" s="79"/>
      <c r="BQ800" s="79"/>
      <c r="BR800" s="79"/>
      <c r="BS800" s="79"/>
      <c r="BT800" s="79"/>
      <c r="BU800" s="79"/>
      <c r="BV800" s="79"/>
      <c r="BW800" s="79"/>
      <c r="BX800" s="79"/>
      <c r="BY800" s="79"/>
      <c r="BZ800" s="79"/>
      <c r="CA800" s="79"/>
      <c r="CB800" s="79"/>
      <c r="CC800" s="79"/>
      <c r="CD800" s="79"/>
      <c r="CE800" s="79"/>
      <c r="CF800" s="79"/>
      <c r="CG800" s="79"/>
      <c r="CH800" s="79"/>
      <c r="CI800" s="79"/>
    </row>
    <row r="801" spans="1:87" ht="14" x14ac:dyDescent="0.1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79"/>
      <c r="AW801" s="79"/>
      <c r="AX801" s="79"/>
      <c r="AY801" s="79"/>
      <c r="AZ801" s="79"/>
      <c r="BA801" s="79"/>
      <c r="BB801" s="79"/>
      <c r="BC801" s="79"/>
      <c r="BD801" s="79"/>
      <c r="BE801" s="79"/>
      <c r="BF801" s="79"/>
      <c r="BG801" s="79"/>
      <c r="BH801" s="79"/>
      <c r="BI801" s="79"/>
      <c r="BJ801" s="79"/>
      <c r="BK801" s="79"/>
      <c r="BL801" s="79"/>
      <c r="BM801" s="79"/>
      <c r="BN801" s="79"/>
      <c r="BO801" s="79"/>
      <c r="BP801" s="79"/>
      <c r="BQ801" s="79"/>
      <c r="BR801" s="79"/>
      <c r="BS801" s="79"/>
      <c r="BT801" s="79"/>
      <c r="BU801" s="79"/>
      <c r="BV801" s="79"/>
      <c r="BW801" s="79"/>
      <c r="BX801" s="79"/>
      <c r="BY801" s="79"/>
      <c r="BZ801" s="79"/>
      <c r="CA801" s="79"/>
      <c r="CB801" s="79"/>
      <c r="CC801" s="79"/>
      <c r="CD801" s="79"/>
      <c r="CE801" s="79"/>
      <c r="CF801" s="79"/>
      <c r="CG801" s="79"/>
      <c r="CH801" s="79"/>
      <c r="CI801" s="79"/>
    </row>
    <row r="802" spans="1:87" ht="14" x14ac:dyDescent="0.1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79"/>
      <c r="AW802" s="79"/>
      <c r="AX802" s="79"/>
      <c r="AY802" s="79"/>
      <c r="AZ802" s="79"/>
      <c r="BA802" s="79"/>
      <c r="BB802" s="79"/>
      <c r="BC802" s="79"/>
      <c r="BD802" s="79"/>
      <c r="BE802" s="79"/>
      <c r="BF802" s="79"/>
      <c r="BG802" s="79"/>
      <c r="BH802" s="79"/>
      <c r="BI802" s="79"/>
      <c r="BJ802" s="79"/>
      <c r="BK802" s="79"/>
      <c r="BL802" s="79"/>
      <c r="BM802" s="79"/>
      <c r="BN802" s="79"/>
      <c r="BO802" s="79"/>
      <c r="BP802" s="79"/>
      <c r="BQ802" s="79"/>
      <c r="BR802" s="79"/>
      <c r="BS802" s="79"/>
      <c r="BT802" s="79"/>
      <c r="BU802" s="79"/>
      <c r="BV802" s="79"/>
      <c r="BW802" s="79"/>
      <c r="BX802" s="79"/>
      <c r="BY802" s="79"/>
      <c r="BZ802" s="79"/>
      <c r="CA802" s="79"/>
      <c r="CB802" s="79"/>
      <c r="CC802" s="79"/>
      <c r="CD802" s="79"/>
      <c r="CE802" s="79"/>
      <c r="CF802" s="79"/>
      <c r="CG802" s="79"/>
      <c r="CH802" s="79"/>
      <c r="CI802" s="79"/>
    </row>
    <row r="803" spans="1:87" ht="14" x14ac:dyDescent="0.1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79"/>
      <c r="AW803" s="79"/>
      <c r="AX803" s="79"/>
      <c r="AY803" s="79"/>
      <c r="AZ803" s="79"/>
      <c r="BA803" s="79"/>
      <c r="BB803" s="79"/>
      <c r="BC803" s="79"/>
      <c r="BD803" s="79"/>
      <c r="BE803" s="79"/>
      <c r="BF803" s="79"/>
      <c r="BG803" s="79"/>
      <c r="BH803" s="79"/>
      <c r="BI803" s="79"/>
      <c r="BJ803" s="79"/>
      <c r="BK803" s="79"/>
      <c r="BL803" s="79"/>
      <c r="BM803" s="79"/>
      <c r="BN803" s="79"/>
      <c r="BO803" s="79"/>
      <c r="BP803" s="79"/>
      <c r="BQ803" s="79"/>
      <c r="BR803" s="79"/>
      <c r="BS803" s="79"/>
      <c r="BT803" s="79"/>
      <c r="BU803" s="79"/>
      <c r="BV803" s="79"/>
      <c r="BW803" s="79"/>
      <c r="BX803" s="79"/>
      <c r="BY803" s="79"/>
      <c r="BZ803" s="79"/>
      <c r="CA803" s="79"/>
      <c r="CB803" s="79"/>
      <c r="CC803" s="79"/>
      <c r="CD803" s="79"/>
      <c r="CE803" s="79"/>
      <c r="CF803" s="79"/>
      <c r="CG803" s="79"/>
      <c r="CH803" s="79"/>
      <c r="CI803" s="79"/>
    </row>
    <row r="804" spans="1:87" ht="14" x14ac:dyDescent="0.1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79"/>
      <c r="AW804" s="79"/>
      <c r="AX804" s="79"/>
      <c r="AY804" s="79"/>
      <c r="AZ804" s="79"/>
      <c r="BA804" s="79"/>
      <c r="BB804" s="79"/>
      <c r="BC804" s="79"/>
      <c r="BD804" s="79"/>
      <c r="BE804" s="79"/>
      <c r="BF804" s="79"/>
      <c r="BG804" s="79"/>
      <c r="BH804" s="79"/>
      <c r="BI804" s="79"/>
      <c r="BJ804" s="79"/>
      <c r="BK804" s="79"/>
      <c r="BL804" s="79"/>
      <c r="BM804" s="79"/>
      <c r="BN804" s="79"/>
      <c r="BO804" s="79"/>
      <c r="BP804" s="79"/>
      <c r="BQ804" s="79"/>
      <c r="BR804" s="79"/>
      <c r="BS804" s="79"/>
      <c r="BT804" s="79"/>
      <c r="BU804" s="79"/>
      <c r="BV804" s="79"/>
      <c r="BW804" s="79"/>
      <c r="BX804" s="79"/>
      <c r="BY804" s="79"/>
      <c r="BZ804" s="79"/>
      <c r="CA804" s="79"/>
      <c r="CB804" s="79"/>
      <c r="CC804" s="79"/>
      <c r="CD804" s="79"/>
      <c r="CE804" s="79"/>
      <c r="CF804" s="79"/>
      <c r="CG804" s="79"/>
      <c r="CH804" s="79"/>
      <c r="CI804" s="79"/>
    </row>
    <row r="805" spans="1:87" ht="14" x14ac:dyDescent="0.1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79"/>
      <c r="AW805" s="79"/>
      <c r="AX805" s="79"/>
      <c r="AY805" s="79"/>
      <c r="AZ805" s="79"/>
      <c r="BA805" s="79"/>
      <c r="BB805" s="79"/>
      <c r="BC805" s="79"/>
      <c r="BD805" s="79"/>
      <c r="BE805" s="79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  <c r="CH805" s="79"/>
      <c r="CI805" s="79"/>
    </row>
    <row r="806" spans="1:87" ht="14" x14ac:dyDescent="0.1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79"/>
      <c r="AW806" s="79"/>
      <c r="AX806" s="79"/>
      <c r="AY806" s="79"/>
      <c r="AZ806" s="79"/>
      <c r="BA806" s="79"/>
      <c r="BB806" s="79"/>
      <c r="BC806" s="79"/>
      <c r="BD806" s="79"/>
      <c r="BE806" s="79"/>
      <c r="BF806" s="79"/>
      <c r="BG806" s="79"/>
      <c r="BH806" s="79"/>
      <c r="BI806" s="79"/>
      <c r="BJ806" s="79"/>
      <c r="BK806" s="79"/>
      <c r="BL806" s="79"/>
      <c r="BM806" s="79"/>
      <c r="BN806" s="79"/>
      <c r="BO806" s="79"/>
      <c r="BP806" s="79"/>
      <c r="BQ806" s="79"/>
      <c r="BR806" s="79"/>
      <c r="BS806" s="79"/>
      <c r="BT806" s="79"/>
      <c r="BU806" s="79"/>
      <c r="BV806" s="79"/>
      <c r="BW806" s="79"/>
      <c r="BX806" s="79"/>
      <c r="BY806" s="79"/>
      <c r="BZ806" s="79"/>
      <c r="CA806" s="79"/>
      <c r="CB806" s="79"/>
      <c r="CC806" s="79"/>
      <c r="CD806" s="79"/>
      <c r="CE806" s="79"/>
      <c r="CF806" s="79"/>
      <c r="CG806" s="79"/>
      <c r="CH806" s="79"/>
      <c r="CI806" s="79"/>
    </row>
    <row r="807" spans="1:87" ht="14" x14ac:dyDescent="0.1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79"/>
      <c r="AW807" s="79"/>
      <c r="AX807" s="79"/>
      <c r="AY807" s="79"/>
      <c r="AZ807" s="79"/>
      <c r="BA807" s="79"/>
      <c r="BB807" s="79"/>
      <c r="BC807" s="79"/>
      <c r="BD807" s="79"/>
      <c r="BE807" s="79"/>
      <c r="BF807" s="79"/>
      <c r="BG807" s="79"/>
      <c r="BH807" s="79"/>
      <c r="BI807" s="79"/>
      <c r="BJ807" s="79"/>
      <c r="BK807" s="79"/>
      <c r="BL807" s="79"/>
      <c r="BM807" s="79"/>
      <c r="BN807" s="79"/>
      <c r="BO807" s="79"/>
      <c r="BP807" s="79"/>
      <c r="BQ807" s="79"/>
      <c r="BR807" s="79"/>
      <c r="BS807" s="79"/>
      <c r="BT807" s="79"/>
      <c r="BU807" s="79"/>
      <c r="BV807" s="79"/>
      <c r="BW807" s="79"/>
      <c r="BX807" s="79"/>
      <c r="BY807" s="79"/>
      <c r="BZ807" s="79"/>
      <c r="CA807" s="79"/>
      <c r="CB807" s="79"/>
      <c r="CC807" s="79"/>
      <c r="CD807" s="79"/>
      <c r="CE807" s="79"/>
      <c r="CF807" s="79"/>
      <c r="CG807" s="79"/>
      <c r="CH807" s="79"/>
      <c r="CI807" s="79"/>
    </row>
    <row r="808" spans="1:87" ht="14" x14ac:dyDescent="0.1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79"/>
      <c r="AW808" s="79"/>
      <c r="AX808" s="79"/>
      <c r="AY808" s="79"/>
      <c r="AZ808" s="79"/>
      <c r="BA808" s="79"/>
      <c r="BB808" s="79"/>
      <c r="BC808" s="79"/>
      <c r="BD808" s="79"/>
      <c r="BE808" s="79"/>
      <c r="BF808" s="79"/>
      <c r="BG808" s="79"/>
      <c r="BH808" s="79"/>
      <c r="BI808" s="79"/>
      <c r="BJ808" s="79"/>
      <c r="BK808" s="79"/>
      <c r="BL808" s="79"/>
      <c r="BM808" s="79"/>
      <c r="BN808" s="79"/>
      <c r="BO808" s="79"/>
      <c r="BP808" s="79"/>
      <c r="BQ808" s="79"/>
      <c r="BR808" s="79"/>
      <c r="BS808" s="79"/>
      <c r="BT808" s="79"/>
      <c r="BU808" s="79"/>
      <c r="BV808" s="79"/>
      <c r="BW808" s="79"/>
      <c r="BX808" s="79"/>
      <c r="BY808" s="79"/>
      <c r="BZ808" s="79"/>
      <c r="CA808" s="79"/>
      <c r="CB808" s="79"/>
      <c r="CC808" s="79"/>
      <c r="CD808" s="79"/>
      <c r="CE808" s="79"/>
      <c r="CF808" s="79"/>
      <c r="CG808" s="79"/>
      <c r="CH808" s="79"/>
      <c r="CI808" s="79"/>
    </row>
    <row r="809" spans="1:87" ht="14" x14ac:dyDescent="0.1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79"/>
      <c r="AW809" s="79"/>
      <c r="AX809" s="79"/>
      <c r="AY809" s="79"/>
      <c r="AZ809" s="79"/>
      <c r="BA809" s="79"/>
      <c r="BB809" s="79"/>
      <c r="BC809" s="79"/>
      <c r="BD809" s="79"/>
      <c r="BE809" s="79"/>
      <c r="BF809" s="79"/>
      <c r="BG809" s="79"/>
      <c r="BH809" s="79"/>
      <c r="BI809" s="79"/>
      <c r="BJ809" s="79"/>
      <c r="BK809" s="79"/>
      <c r="BL809" s="79"/>
      <c r="BM809" s="79"/>
      <c r="BN809" s="79"/>
      <c r="BO809" s="79"/>
      <c r="BP809" s="79"/>
      <c r="BQ809" s="79"/>
      <c r="BR809" s="79"/>
      <c r="BS809" s="79"/>
      <c r="BT809" s="79"/>
      <c r="BU809" s="79"/>
      <c r="BV809" s="79"/>
      <c r="BW809" s="79"/>
      <c r="BX809" s="79"/>
      <c r="BY809" s="79"/>
      <c r="BZ809" s="79"/>
      <c r="CA809" s="79"/>
      <c r="CB809" s="79"/>
      <c r="CC809" s="79"/>
      <c r="CD809" s="79"/>
      <c r="CE809" s="79"/>
      <c r="CF809" s="79"/>
      <c r="CG809" s="79"/>
      <c r="CH809" s="79"/>
      <c r="CI809" s="79"/>
    </row>
    <row r="810" spans="1:87" ht="14" x14ac:dyDescent="0.1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79"/>
      <c r="AW810" s="79"/>
      <c r="AX810" s="79"/>
      <c r="AY810" s="79"/>
      <c r="AZ810" s="79"/>
      <c r="BA810" s="79"/>
      <c r="BB810" s="79"/>
      <c r="BC810" s="79"/>
      <c r="BD810" s="79"/>
      <c r="BE810" s="79"/>
      <c r="BF810" s="79"/>
      <c r="BG810" s="79"/>
      <c r="BH810" s="79"/>
      <c r="BI810" s="79"/>
      <c r="BJ810" s="79"/>
      <c r="BK810" s="79"/>
      <c r="BL810" s="79"/>
      <c r="BM810" s="79"/>
      <c r="BN810" s="79"/>
      <c r="BO810" s="79"/>
      <c r="BP810" s="79"/>
      <c r="BQ810" s="79"/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  <c r="CH810" s="79"/>
      <c r="CI810" s="79"/>
    </row>
    <row r="811" spans="1:87" ht="14" x14ac:dyDescent="0.1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79"/>
      <c r="AW811" s="79"/>
      <c r="AX811" s="79"/>
      <c r="AY811" s="79"/>
      <c r="AZ811" s="79"/>
      <c r="BA811" s="79"/>
      <c r="BB811" s="79"/>
      <c r="BC811" s="79"/>
      <c r="BD811" s="79"/>
      <c r="BE811" s="79"/>
      <c r="BF811" s="79"/>
      <c r="BG811" s="79"/>
      <c r="BH811" s="79"/>
      <c r="BI811" s="79"/>
      <c r="BJ811" s="79"/>
      <c r="BK811" s="79"/>
      <c r="BL811" s="79"/>
      <c r="BM811" s="79"/>
      <c r="BN811" s="79"/>
      <c r="BO811" s="79"/>
      <c r="BP811" s="79"/>
      <c r="BQ811" s="79"/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  <c r="CH811" s="79"/>
      <c r="CI811" s="79"/>
    </row>
    <row r="812" spans="1:87" ht="14" x14ac:dyDescent="0.1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  <c r="CH812" s="79"/>
      <c r="CI812" s="79"/>
    </row>
    <row r="813" spans="1:87" ht="14" x14ac:dyDescent="0.1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79"/>
      <c r="AW813" s="79"/>
      <c r="AX813" s="79"/>
      <c r="AY813" s="79"/>
      <c r="AZ813" s="79"/>
      <c r="BA813" s="79"/>
      <c r="BB813" s="79"/>
      <c r="BC813" s="79"/>
      <c r="BD813" s="79"/>
      <c r="BE813" s="79"/>
      <c r="BF813" s="79"/>
      <c r="BG813" s="79"/>
      <c r="BH813" s="79"/>
      <c r="BI813" s="79"/>
      <c r="BJ813" s="79"/>
      <c r="BK813" s="79"/>
      <c r="BL813" s="79"/>
      <c r="BM813" s="79"/>
      <c r="BN813" s="79"/>
      <c r="BO813" s="79"/>
      <c r="BP813" s="79"/>
      <c r="BQ813" s="79"/>
      <c r="BR813" s="79"/>
      <c r="BS813" s="79"/>
      <c r="BT813" s="79"/>
      <c r="BU813" s="79"/>
      <c r="BV813" s="79"/>
      <c r="BW813" s="79"/>
      <c r="BX813" s="79"/>
      <c r="BY813" s="79"/>
      <c r="BZ813" s="79"/>
      <c r="CA813" s="79"/>
      <c r="CB813" s="79"/>
      <c r="CC813" s="79"/>
      <c r="CD813" s="79"/>
      <c r="CE813" s="79"/>
      <c r="CF813" s="79"/>
      <c r="CG813" s="79"/>
      <c r="CH813" s="79"/>
      <c r="CI813" s="79"/>
    </row>
    <row r="814" spans="1:87" ht="14" x14ac:dyDescent="0.1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  <c r="CH814" s="79"/>
      <c r="CI814" s="79"/>
    </row>
    <row r="815" spans="1:87" ht="14" x14ac:dyDescent="0.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79"/>
      <c r="AW815" s="79"/>
      <c r="AX815" s="79"/>
      <c r="AY815" s="79"/>
      <c r="AZ815" s="79"/>
      <c r="BA815" s="79"/>
      <c r="BB815" s="79"/>
      <c r="BC815" s="79"/>
      <c r="BD815" s="79"/>
      <c r="BE815" s="79"/>
      <c r="BF815" s="79"/>
      <c r="BG815" s="79"/>
      <c r="BH815" s="79"/>
      <c r="BI815" s="79"/>
      <c r="BJ815" s="79"/>
      <c r="BK815" s="79"/>
      <c r="BL815" s="79"/>
      <c r="BM815" s="79"/>
      <c r="BN815" s="79"/>
      <c r="BO815" s="79"/>
      <c r="BP815" s="79"/>
      <c r="BQ815" s="79"/>
      <c r="BR815" s="79"/>
      <c r="BS815" s="79"/>
      <c r="BT815" s="79"/>
      <c r="BU815" s="79"/>
      <c r="BV815" s="79"/>
      <c r="BW815" s="79"/>
      <c r="BX815" s="79"/>
      <c r="BY815" s="79"/>
      <c r="BZ815" s="79"/>
      <c r="CA815" s="79"/>
      <c r="CB815" s="79"/>
      <c r="CC815" s="79"/>
      <c r="CD815" s="79"/>
      <c r="CE815" s="79"/>
      <c r="CF815" s="79"/>
      <c r="CG815" s="79"/>
      <c r="CH815" s="79"/>
      <c r="CI815" s="79"/>
    </row>
    <row r="816" spans="1:87" ht="14" x14ac:dyDescent="0.1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  <c r="CH816" s="79"/>
      <c r="CI816" s="79"/>
    </row>
    <row r="817" spans="1:87" ht="14" x14ac:dyDescent="0.1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79"/>
      <c r="AW817" s="79"/>
      <c r="AX817" s="79"/>
      <c r="AY817" s="79"/>
      <c r="AZ817" s="79"/>
      <c r="BA817" s="79"/>
      <c r="BB817" s="79"/>
      <c r="BC817" s="79"/>
      <c r="BD817" s="79"/>
      <c r="BE817" s="79"/>
      <c r="BF817" s="79"/>
      <c r="BG817" s="79"/>
      <c r="BH817" s="79"/>
      <c r="BI817" s="79"/>
      <c r="BJ817" s="79"/>
      <c r="BK817" s="79"/>
      <c r="BL817" s="79"/>
      <c r="BM817" s="79"/>
      <c r="BN817" s="79"/>
      <c r="BO817" s="79"/>
      <c r="BP817" s="79"/>
      <c r="BQ817" s="79"/>
      <c r="BR817" s="79"/>
      <c r="BS817" s="79"/>
      <c r="BT817" s="79"/>
      <c r="BU817" s="79"/>
      <c r="BV817" s="79"/>
      <c r="BW817" s="79"/>
      <c r="BX817" s="79"/>
      <c r="BY817" s="79"/>
      <c r="BZ817" s="79"/>
      <c r="CA817" s="79"/>
      <c r="CB817" s="79"/>
      <c r="CC817" s="79"/>
      <c r="CD817" s="79"/>
      <c r="CE817" s="79"/>
      <c r="CF817" s="79"/>
      <c r="CG817" s="79"/>
      <c r="CH817" s="79"/>
      <c r="CI817" s="79"/>
    </row>
    <row r="818" spans="1:87" ht="14" x14ac:dyDescent="0.1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79"/>
      <c r="AW818" s="79"/>
      <c r="AX818" s="79"/>
      <c r="AY818" s="79"/>
      <c r="AZ818" s="79"/>
      <c r="BA818" s="79"/>
      <c r="BB818" s="79"/>
      <c r="BC818" s="79"/>
      <c r="BD818" s="79"/>
      <c r="BE818" s="79"/>
      <c r="BF818" s="79"/>
      <c r="BG818" s="79"/>
      <c r="BH818" s="79"/>
      <c r="BI818" s="79"/>
      <c r="BJ818" s="79"/>
      <c r="BK818" s="79"/>
      <c r="BL818" s="79"/>
      <c r="BM818" s="79"/>
      <c r="BN818" s="79"/>
      <c r="BO818" s="79"/>
      <c r="BP818" s="79"/>
      <c r="BQ818" s="79"/>
      <c r="BR818" s="79"/>
      <c r="BS818" s="79"/>
      <c r="BT818" s="79"/>
      <c r="BU818" s="79"/>
      <c r="BV818" s="79"/>
      <c r="BW818" s="79"/>
      <c r="BX818" s="79"/>
      <c r="BY818" s="79"/>
      <c r="BZ818" s="79"/>
      <c r="CA818" s="79"/>
      <c r="CB818" s="79"/>
      <c r="CC818" s="79"/>
      <c r="CD818" s="79"/>
      <c r="CE818" s="79"/>
      <c r="CF818" s="79"/>
      <c r="CG818" s="79"/>
      <c r="CH818" s="79"/>
      <c r="CI818" s="79"/>
    </row>
    <row r="819" spans="1:87" ht="14" x14ac:dyDescent="0.1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79"/>
      <c r="AW819" s="79"/>
      <c r="AX819" s="79"/>
      <c r="AY819" s="79"/>
      <c r="AZ819" s="79"/>
      <c r="BA819" s="79"/>
      <c r="BB819" s="79"/>
      <c r="BC819" s="79"/>
      <c r="BD819" s="79"/>
      <c r="BE819" s="79"/>
      <c r="BF819" s="79"/>
      <c r="BG819" s="79"/>
      <c r="BH819" s="79"/>
      <c r="BI819" s="79"/>
      <c r="BJ819" s="79"/>
      <c r="BK819" s="79"/>
      <c r="BL819" s="79"/>
      <c r="BM819" s="79"/>
      <c r="BN819" s="79"/>
      <c r="BO819" s="79"/>
      <c r="BP819" s="79"/>
      <c r="BQ819" s="79"/>
      <c r="BR819" s="79"/>
      <c r="BS819" s="79"/>
      <c r="BT819" s="79"/>
      <c r="BU819" s="79"/>
      <c r="BV819" s="79"/>
      <c r="BW819" s="79"/>
      <c r="BX819" s="79"/>
      <c r="BY819" s="79"/>
      <c r="BZ819" s="79"/>
      <c r="CA819" s="79"/>
      <c r="CB819" s="79"/>
      <c r="CC819" s="79"/>
      <c r="CD819" s="79"/>
      <c r="CE819" s="79"/>
      <c r="CF819" s="79"/>
      <c r="CG819" s="79"/>
      <c r="CH819" s="79"/>
      <c r="CI819" s="79"/>
    </row>
    <row r="820" spans="1:87" ht="14" x14ac:dyDescent="0.1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79"/>
      <c r="AW820" s="79"/>
      <c r="AX820" s="79"/>
      <c r="AY820" s="79"/>
      <c r="AZ820" s="79"/>
      <c r="BA820" s="79"/>
      <c r="BB820" s="79"/>
      <c r="BC820" s="79"/>
      <c r="BD820" s="79"/>
      <c r="BE820" s="79"/>
      <c r="BF820" s="79"/>
      <c r="BG820" s="79"/>
      <c r="BH820" s="79"/>
      <c r="BI820" s="79"/>
      <c r="BJ820" s="79"/>
      <c r="BK820" s="79"/>
      <c r="BL820" s="79"/>
      <c r="BM820" s="79"/>
      <c r="BN820" s="79"/>
      <c r="BO820" s="79"/>
      <c r="BP820" s="79"/>
      <c r="BQ820" s="79"/>
      <c r="BR820" s="79"/>
      <c r="BS820" s="79"/>
      <c r="BT820" s="79"/>
      <c r="BU820" s="79"/>
      <c r="BV820" s="79"/>
      <c r="BW820" s="79"/>
      <c r="BX820" s="79"/>
      <c r="BY820" s="79"/>
      <c r="BZ820" s="79"/>
      <c r="CA820" s="79"/>
      <c r="CB820" s="79"/>
      <c r="CC820" s="79"/>
      <c r="CD820" s="79"/>
      <c r="CE820" s="79"/>
      <c r="CF820" s="79"/>
      <c r="CG820" s="79"/>
      <c r="CH820" s="79"/>
      <c r="CI820" s="79"/>
    </row>
    <row r="821" spans="1:87" ht="14" x14ac:dyDescent="0.1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/>
      <c r="BD821" s="79"/>
      <c r="BE821" s="79"/>
      <c r="BF821" s="79"/>
      <c r="BG821" s="79"/>
      <c r="BH821" s="79"/>
      <c r="BI821" s="79"/>
      <c r="BJ821" s="79"/>
      <c r="BK821" s="79"/>
      <c r="BL821" s="79"/>
      <c r="BM821" s="79"/>
      <c r="BN821" s="79"/>
      <c r="BO821" s="79"/>
      <c r="BP821" s="79"/>
      <c r="BQ821" s="79"/>
      <c r="BR821" s="79"/>
      <c r="BS821" s="79"/>
      <c r="BT821" s="79"/>
      <c r="BU821" s="79"/>
      <c r="BV821" s="79"/>
      <c r="BW821" s="79"/>
      <c r="BX821" s="79"/>
      <c r="BY821" s="79"/>
      <c r="BZ821" s="79"/>
      <c r="CA821" s="79"/>
      <c r="CB821" s="79"/>
      <c r="CC821" s="79"/>
      <c r="CD821" s="79"/>
      <c r="CE821" s="79"/>
      <c r="CF821" s="79"/>
      <c r="CG821" s="79"/>
      <c r="CH821" s="79"/>
      <c r="CI821" s="79"/>
    </row>
    <row r="822" spans="1:87" ht="14" x14ac:dyDescent="0.1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/>
      <c r="BD822" s="79"/>
      <c r="BE822" s="79"/>
      <c r="BF822" s="79"/>
      <c r="BG822" s="79"/>
      <c r="BH822" s="79"/>
      <c r="BI822" s="79"/>
      <c r="BJ822" s="79"/>
      <c r="BK822" s="79"/>
      <c r="BL822" s="79"/>
      <c r="BM822" s="79"/>
      <c r="BN822" s="79"/>
      <c r="BO822" s="79"/>
      <c r="BP822" s="79"/>
      <c r="BQ822" s="79"/>
      <c r="BR822" s="79"/>
      <c r="BS822" s="79"/>
      <c r="BT822" s="79"/>
      <c r="BU822" s="79"/>
      <c r="BV822" s="79"/>
      <c r="BW822" s="79"/>
      <c r="BX822" s="79"/>
      <c r="BY822" s="79"/>
      <c r="BZ822" s="79"/>
      <c r="CA822" s="79"/>
      <c r="CB822" s="79"/>
      <c r="CC822" s="79"/>
      <c r="CD822" s="79"/>
      <c r="CE822" s="79"/>
      <c r="CF822" s="79"/>
      <c r="CG822" s="79"/>
      <c r="CH822" s="79"/>
      <c r="CI822" s="79"/>
    </row>
    <row r="823" spans="1:87" ht="14" x14ac:dyDescent="0.1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79"/>
      <c r="AW823" s="79"/>
      <c r="AX823" s="79"/>
      <c r="AY823" s="79"/>
      <c r="AZ823" s="79"/>
      <c r="BA823" s="79"/>
      <c r="BB823" s="79"/>
      <c r="BC823" s="79"/>
      <c r="BD823" s="79"/>
      <c r="BE823" s="79"/>
      <c r="BF823" s="79"/>
      <c r="BG823" s="79"/>
      <c r="BH823" s="79"/>
      <c r="BI823" s="79"/>
      <c r="BJ823" s="79"/>
      <c r="BK823" s="79"/>
      <c r="BL823" s="79"/>
      <c r="BM823" s="79"/>
      <c r="BN823" s="79"/>
      <c r="BO823" s="79"/>
      <c r="BP823" s="79"/>
      <c r="BQ823" s="79"/>
      <c r="BR823" s="79"/>
      <c r="BS823" s="79"/>
      <c r="BT823" s="79"/>
      <c r="BU823" s="79"/>
      <c r="BV823" s="79"/>
      <c r="BW823" s="79"/>
      <c r="BX823" s="79"/>
      <c r="BY823" s="79"/>
      <c r="BZ823" s="79"/>
      <c r="CA823" s="79"/>
      <c r="CB823" s="79"/>
      <c r="CC823" s="79"/>
      <c r="CD823" s="79"/>
      <c r="CE823" s="79"/>
      <c r="CF823" s="79"/>
      <c r="CG823" s="79"/>
      <c r="CH823" s="79"/>
      <c r="CI823" s="79"/>
    </row>
    <row r="824" spans="1:87" ht="14" x14ac:dyDescent="0.1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79"/>
      <c r="AW824" s="79"/>
      <c r="AX824" s="79"/>
      <c r="AY824" s="79"/>
      <c r="AZ824" s="79"/>
      <c r="BA824" s="79"/>
      <c r="BB824" s="79"/>
      <c r="BC824" s="79"/>
      <c r="BD824" s="79"/>
      <c r="BE824" s="79"/>
      <c r="BF824" s="79"/>
      <c r="BG824" s="79"/>
      <c r="BH824" s="79"/>
      <c r="BI824" s="79"/>
      <c r="BJ824" s="79"/>
      <c r="BK824" s="79"/>
      <c r="BL824" s="79"/>
      <c r="BM824" s="79"/>
      <c r="BN824" s="79"/>
      <c r="BO824" s="79"/>
      <c r="BP824" s="79"/>
      <c r="BQ824" s="79"/>
      <c r="BR824" s="79"/>
      <c r="BS824" s="79"/>
      <c r="BT824" s="79"/>
      <c r="BU824" s="79"/>
      <c r="BV824" s="79"/>
      <c r="BW824" s="79"/>
      <c r="BX824" s="79"/>
      <c r="BY824" s="79"/>
      <c r="BZ824" s="79"/>
      <c r="CA824" s="79"/>
      <c r="CB824" s="79"/>
      <c r="CC824" s="79"/>
      <c r="CD824" s="79"/>
      <c r="CE824" s="79"/>
      <c r="CF824" s="79"/>
      <c r="CG824" s="79"/>
      <c r="CH824" s="79"/>
      <c r="CI824" s="79"/>
    </row>
    <row r="825" spans="1:87" ht="14" x14ac:dyDescent="0.1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79"/>
      <c r="AW825" s="79"/>
      <c r="AX825" s="79"/>
      <c r="AY825" s="79"/>
      <c r="AZ825" s="79"/>
      <c r="BA825" s="79"/>
      <c r="BB825" s="79"/>
      <c r="BC825" s="79"/>
      <c r="BD825" s="79"/>
      <c r="BE825" s="79"/>
      <c r="BF825" s="79"/>
      <c r="BG825" s="79"/>
      <c r="BH825" s="79"/>
      <c r="BI825" s="79"/>
      <c r="BJ825" s="79"/>
      <c r="BK825" s="79"/>
      <c r="BL825" s="79"/>
      <c r="BM825" s="79"/>
      <c r="BN825" s="79"/>
      <c r="BO825" s="79"/>
      <c r="BP825" s="79"/>
      <c r="BQ825" s="79"/>
      <c r="BR825" s="79"/>
      <c r="BS825" s="79"/>
      <c r="BT825" s="79"/>
      <c r="BU825" s="79"/>
      <c r="BV825" s="79"/>
      <c r="BW825" s="79"/>
      <c r="BX825" s="79"/>
      <c r="BY825" s="79"/>
      <c r="BZ825" s="79"/>
      <c r="CA825" s="79"/>
      <c r="CB825" s="79"/>
      <c r="CC825" s="79"/>
      <c r="CD825" s="79"/>
      <c r="CE825" s="79"/>
      <c r="CF825" s="79"/>
      <c r="CG825" s="79"/>
      <c r="CH825" s="79"/>
      <c r="CI825" s="79"/>
    </row>
    <row r="826" spans="1:87" ht="14" x14ac:dyDescent="0.1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79"/>
      <c r="AW826" s="79"/>
      <c r="AX826" s="79"/>
      <c r="AY826" s="79"/>
      <c r="AZ826" s="79"/>
      <c r="BA826" s="79"/>
      <c r="BB826" s="79"/>
      <c r="BC826" s="79"/>
      <c r="BD826" s="79"/>
      <c r="BE826" s="79"/>
      <c r="BF826" s="79"/>
      <c r="BG826" s="79"/>
      <c r="BH826" s="79"/>
      <c r="BI826" s="79"/>
      <c r="BJ826" s="79"/>
      <c r="BK826" s="79"/>
      <c r="BL826" s="79"/>
      <c r="BM826" s="79"/>
      <c r="BN826" s="79"/>
      <c r="BO826" s="79"/>
      <c r="BP826" s="79"/>
      <c r="BQ826" s="79"/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  <c r="CH826" s="79"/>
      <c r="CI826" s="79"/>
    </row>
    <row r="827" spans="1:87" ht="14" x14ac:dyDescent="0.1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79"/>
      <c r="AW827" s="79"/>
      <c r="AX827" s="79"/>
      <c r="AY827" s="79"/>
      <c r="AZ827" s="79"/>
      <c r="BA827" s="79"/>
      <c r="BB827" s="79"/>
      <c r="BC827" s="79"/>
      <c r="BD827" s="79"/>
      <c r="BE827" s="79"/>
      <c r="BF827" s="79"/>
      <c r="BG827" s="79"/>
      <c r="BH827" s="79"/>
      <c r="BI827" s="79"/>
      <c r="BJ827" s="79"/>
      <c r="BK827" s="79"/>
      <c r="BL827" s="79"/>
      <c r="BM827" s="79"/>
      <c r="BN827" s="79"/>
      <c r="BO827" s="79"/>
      <c r="BP827" s="79"/>
      <c r="BQ827" s="79"/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  <c r="CH827" s="79"/>
      <c r="CI827" s="79"/>
    </row>
    <row r="828" spans="1:87" ht="14" x14ac:dyDescent="0.1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79"/>
      <c r="AW828" s="79"/>
      <c r="AX828" s="79"/>
      <c r="AY828" s="79"/>
      <c r="AZ828" s="79"/>
      <c r="BA828" s="79"/>
      <c r="BB828" s="79"/>
      <c r="BC828" s="79"/>
      <c r="BD828" s="79"/>
      <c r="BE828" s="79"/>
      <c r="BF828" s="79"/>
      <c r="BG828" s="79"/>
      <c r="BH828" s="79"/>
      <c r="BI828" s="79"/>
      <c r="BJ828" s="79"/>
      <c r="BK828" s="79"/>
      <c r="BL828" s="79"/>
      <c r="BM828" s="79"/>
      <c r="BN828" s="79"/>
      <c r="BO828" s="79"/>
      <c r="BP828" s="79"/>
      <c r="BQ828" s="79"/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  <c r="CH828" s="79"/>
      <c r="CI828" s="79"/>
    </row>
    <row r="829" spans="1:87" ht="14" x14ac:dyDescent="0.1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79"/>
      <c r="AW829" s="79"/>
      <c r="AX829" s="79"/>
      <c r="AY829" s="79"/>
      <c r="AZ829" s="79"/>
      <c r="BA829" s="79"/>
      <c r="BB829" s="79"/>
      <c r="BC829" s="79"/>
      <c r="BD829" s="79"/>
      <c r="BE829" s="79"/>
      <c r="BF829" s="79"/>
      <c r="BG829" s="79"/>
      <c r="BH829" s="79"/>
      <c r="BI829" s="79"/>
      <c r="BJ829" s="79"/>
      <c r="BK829" s="79"/>
      <c r="BL829" s="79"/>
      <c r="BM829" s="79"/>
      <c r="BN829" s="79"/>
      <c r="BO829" s="79"/>
      <c r="BP829" s="79"/>
      <c r="BQ829" s="79"/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  <c r="CH829" s="79"/>
      <c r="CI829" s="79"/>
    </row>
    <row r="830" spans="1:87" ht="14" x14ac:dyDescent="0.1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79"/>
      <c r="AW830" s="79"/>
      <c r="AX830" s="79"/>
      <c r="AY830" s="79"/>
      <c r="AZ830" s="79"/>
      <c r="BA830" s="79"/>
      <c r="BB830" s="79"/>
      <c r="BC830" s="79"/>
      <c r="BD830" s="79"/>
      <c r="BE830" s="79"/>
      <c r="BF830" s="79"/>
      <c r="BG830" s="79"/>
      <c r="BH830" s="79"/>
      <c r="BI830" s="79"/>
      <c r="BJ830" s="79"/>
      <c r="BK830" s="79"/>
      <c r="BL830" s="79"/>
      <c r="BM830" s="79"/>
      <c r="BN830" s="79"/>
      <c r="BO830" s="79"/>
      <c r="BP830" s="79"/>
      <c r="BQ830" s="79"/>
      <c r="BR830" s="79"/>
      <c r="BS830" s="79"/>
      <c r="BT830" s="79"/>
      <c r="BU830" s="79"/>
      <c r="BV830" s="79"/>
      <c r="BW830" s="79"/>
      <c r="BX830" s="79"/>
      <c r="BY830" s="79"/>
      <c r="BZ830" s="79"/>
      <c r="CA830" s="79"/>
      <c r="CB830" s="79"/>
      <c r="CC830" s="79"/>
      <c r="CD830" s="79"/>
      <c r="CE830" s="79"/>
      <c r="CF830" s="79"/>
      <c r="CG830" s="79"/>
      <c r="CH830" s="79"/>
      <c r="CI830" s="79"/>
    </row>
    <row r="831" spans="1:87" ht="14" x14ac:dyDescent="0.1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79"/>
      <c r="AW831" s="79"/>
      <c r="AX831" s="79"/>
      <c r="AY831" s="79"/>
      <c r="AZ831" s="79"/>
      <c r="BA831" s="79"/>
      <c r="BB831" s="79"/>
      <c r="BC831" s="79"/>
      <c r="BD831" s="79"/>
      <c r="BE831" s="79"/>
      <c r="BF831" s="79"/>
      <c r="BG831" s="79"/>
      <c r="BH831" s="79"/>
      <c r="BI831" s="79"/>
      <c r="BJ831" s="79"/>
      <c r="BK831" s="79"/>
      <c r="BL831" s="79"/>
      <c r="BM831" s="79"/>
      <c r="BN831" s="79"/>
      <c r="BO831" s="79"/>
      <c r="BP831" s="79"/>
      <c r="BQ831" s="79"/>
      <c r="BR831" s="79"/>
      <c r="BS831" s="79"/>
      <c r="BT831" s="79"/>
      <c r="BU831" s="79"/>
      <c r="BV831" s="79"/>
      <c r="BW831" s="79"/>
      <c r="BX831" s="79"/>
      <c r="BY831" s="79"/>
      <c r="BZ831" s="79"/>
      <c r="CA831" s="79"/>
      <c r="CB831" s="79"/>
      <c r="CC831" s="79"/>
      <c r="CD831" s="79"/>
      <c r="CE831" s="79"/>
      <c r="CF831" s="79"/>
      <c r="CG831" s="79"/>
      <c r="CH831" s="79"/>
      <c r="CI831" s="79"/>
    </row>
    <row r="832" spans="1:87" ht="14" x14ac:dyDescent="0.1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9"/>
      <c r="BD832" s="79"/>
      <c r="BE832" s="79"/>
      <c r="BF832" s="79"/>
      <c r="BG832" s="79"/>
      <c r="BH832" s="79"/>
      <c r="BI832" s="79"/>
      <c r="BJ832" s="79"/>
      <c r="BK832" s="79"/>
      <c r="BL832" s="79"/>
      <c r="BM832" s="79"/>
      <c r="BN832" s="79"/>
      <c r="BO832" s="79"/>
      <c r="BP832" s="79"/>
      <c r="BQ832" s="79"/>
      <c r="BR832" s="79"/>
      <c r="BS832" s="79"/>
      <c r="BT832" s="79"/>
      <c r="BU832" s="79"/>
      <c r="BV832" s="79"/>
      <c r="BW832" s="79"/>
      <c r="BX832" s="79"/>
      <c r="BY832" s="79"/>
      <c r="BZ832" s="79"/>
      <c r="CA832" s="79"/>
      <c r="CB832" s="79"/>
      <c r="CC832" s="79"/>
      <c r="CD832" s="79"/>
      <c r="CE832" s="79"/>
      <c r="CF832" s="79"/>
      <c r="CG832" s="79"/>
      <c r="CH832" s="79"/>
      <c r="CI832" s="79"/>
    </row>
    <row r="833" spans="1:87" ht="14" x14ac:dyDescent="0.1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79"/>
      <c r="AW833" s="79"/>
      <c r="AX833" s="79"/>
      <c r="AY833" s="79"/>
      <c r="AZ833" s="79"/>
      <c r="BA833" s="79"/>
      <c r="BB833" s="79"/>
      <c r="BC833" s="79"/>
      <c r="BD833" s="79"/>
      <c r="BE833" s="79"/>
      <c r="BF833" s="79"/>
      <c r="BG833" s="79"/>
      <c r="BH833" s="79"/>
      <c r="BI833" s="79"/>
      <c r="BJ833" s="79"/>
      <c r="BK833" s="79"/>
      <c r="BL833" s="79"/>
      <c r="BM833" s="79"/>
      <c r="BN833" s="79"/>
      <c r="BO833" s="79"/>
      <c r="BP833" s="79"/>
      <c r="BQ833" s="79"/>
      <c r="BR833" s="79"/>
      <c r="BS833" s="79"/>
      <c r="BT833" s="79"/>
      <c r="BU833" s="79"/>
      <c r="BV833" s="79"/>
      <c r="BW833" s="79"/>
      <c r="BX833" s="79"/>
      <c r="BY833" s="79"/>
      <c r="BZ833" s="79"/>
      <c r="CA833" s="79"/>
      <c r="CB833" s="79"/>
      <c r="CC833" s="79"/>
      <c r="CD833" s="79"/>
      <c r="CE833" s="79"/>
      <c r="CF833" s="79"/>
      <c r="CG833" s="79"/>
      <c r="CH833" s="79"/>
      <c r="CI833" s="79"/>
    </row>
    <row r="834" spans="1:87" ht="14" x14ac:dyDescent="0.1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79"/>
      <c r="AW834" s="79"/>
      <c r="AX834" s="79"/>
      <c r="AY834" s="79"/>
      <c r="AZ834" s="79"/>
      <c r="BA834" s="79"/>
      <c r="BB834" s="79"/>
      <c r="BC834" s="79"/>
      <c r="BD834" s="79"/>
      <c r="BE834" s="79"/>
      <c r="BF834" s="79"/>
      <c r="BG834" s="79"/>
      <c r="BH834" s="79"/>
      <c r="BI834" s="79"/>
      <c r="BJ834" s="79"/>
      <c r="BK834" s="79"/>
      <c r="BL834" s="79"/>
      <c r="BM834" s="79"/>
      <c r="BN834" s="79"/>
      <c r="BO834" s="79"/>
      <c r="BP834" s="79"/>
      <c r="BQ834" s="79"/>
      <c r="BR834" s="79"/>
      <c r="BS834" s="79"/>
      <c r="BT834" s="79"/>
      <c r="BU834" s="79"/>
      <c r="BV834" s="79"/>
      <c r="BW834" s="79"/>
      <c r="BX834" s="79"/>
      <c r="BY834" s="79"/>
      <c r="BZ834" s="79"/>
      <c r="CA834" s="79"/>
      <c r="CB834" s="79"/>
      <c r="CC834" s="79"/>
      <c r="CD834" s="79"/>
      <c r="CE834" s="79"/>
      <c r="CF834" s="79"/>
      <c r="CG834" s="79"/>
      <c r="CH834" s="79"/>
      <c r="CI834" s="79"/>
    </row>
    <row r="835" spans="1:87" ht="14" x14ac:dyDescent="0.1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79"/>
      <c r="AW835" s="79"/>
      <c r="AX835" s="79"/>
      <c r="AY835" s="79"/>
      <c r="AZ835" s="79"/>
      <c r="BA835" s="79"/>
      <c r="BB835" s="79"/>
      <c r="BC835" s="79"/>
      <c r="BD835" s="79"/>
      <c r="BE835" s="79"/>
      <c r="BF835" s="79"/>
      <c r="BG835" s="79"/>
      <c r="BH835" s="79"/>
      <c r="BI835" s="79"/>
      <c r="BJ835" s="79"/>
      <c r="BK835" s="79"/>
      <c r="BL835" s="79"/>
      <c r="BM835" s="79"/>
      <c r="BN835" s="79"/>
      <c r="BO835" s="79"/>
      <c r="BP835" s="79"/>
      <c r="BQ835" s="79"/>
      <c r="BR835" s="79"/>
      <c r="BS835" s="79"/>
      <c r="BT835" s="79"/>
      <c r="BU835" s="79"/>
      <c r="BV835" s="79"/>
      <c r="BW835" s="79"/>
      <c r="BX835" s="79"/>
      <c r="BY835" s="79"/>
      <c r="BZ835" s="79"/>
      <c r="CA835" s="79"/>
      <c r="CB835" s="79"/>
      <c r="CC835" s="79"/>
      <c r="CD835" s="79"/>
      <c r="CE835" s="79"/>
      <c r="CF835" s="79"/>
      <c r="CG835" s="79"/>
      <c r="CH835" s="79"/>
      <c r="CI835" s="79"/>
    </row>
    <row r="836" spans="1:87" ht="14" x14ac:dyDescent="0.1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79"/>
      <c r="BG836" s="79"/>
      <c r="BH836" s="79"/>
      <c r="BI836" s="79"/>
      <c r="BJ836" s="79"/>
      <c r="BK836" s="79"/>
      <c r="BL836" s="79"/>
      <c r="BM836" s="79"/>
      <c r="BN836" s="79"/>
      <c r="BO836" s="79"/>
      <c r="BP836" s="79"/>
      <c r="BQ836" s="79"/>
      <c r="BR836" s="79"/>
      <c r="BS836" s="79"/>
      <c r="BT836" s="79"/>
      <c r="BU836" s="79"/>
      <c r="BV836" s="79"/>
      <c r="BW836" s="79"/>
      <c r="BX836" s="79"/>
      <c r="BY836" s="79"/>
      <c r="BZ836" s="79"/>
      <c r="CA836" s="79"/>
      <c r="CB836" s="79"/>
      <c r="CC836" s="79"/>
      <c r="CD836" s="79"/>
      <c r="CE836" s="79"/>
      <c r="CF836" s="79"/>
      <c r="CG836" s="79"/>
      <c r="CH836" s="79"/>
      <c r="CI836" s="79"/>
    </row>
    <row r="837" spans="1:87" ht="14" x14ac:dyDescent="0.1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79"/>
      <c r="AW837" s="79"/>
      <c r="AX837" s="79"/>
      <c r="AY837" s="79"/>
      <c r="AZ837" s="79"/>
      <c r="BA837" s="79"/>
      <c r="BB837" s="79"/>
      <c r="BC837" s="79"/>
      <c r="BD837" s="79"/>
      <c r="BE837" s="79"/>
      <c r="BF837" s="79"/>
      <c r="BG837" s="79"/>
      <c r="BH837" s="79"/>
      <c r="BI837" s="79"/>
      <c r="BJ837" s="79"/>
      <c r="BK837" s="79"/>
      <c r="BL837" s="79"/>
      <c r="BM837" s="79"/>
      <c r="BN837" s="79"/>
      <c r="BO837" s="79"/>
      <c r="BP837" s="79"/>
      <c r="BQ837" s="79"/>
      <c r="BR837" s="79"/>
      <c r="BS837" s="79"/>
      <c r="BT837" s="79"/>
      <c r="BU837" s="79"/>
      <c r="BV837" s="79"/>
      <c r="BW837" s="79"/>
      <c r="BX837" s="79"/>
      <c r="BY837" s="79"/>
      <c r="BZ837" s="79"/>
      <c r="CA837" s="79"/>
      <c r="CB837" s="79"/>
      <c r="CC837" s="79"/>
      <c r="CD837" s="79"/>
      <c r="CE837" s="79"/>
      <c r="CF837" s="79"/>
      <c r="CG837" s="79"/>
      <c r="CH837" s="79"/>
      <c r="CI837" s="79"/>
    </row>
    <row r="838" spans="1:87" ht="14" x14ac:dyDescent="0.1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79"/>
      <c r="BG838" s="79"/>
      <c r="BH838" s="79"/>
      <c r="BI838" s="79"/>
      <c r="BJ838" s="79"/>
      <c r="BK838" s="79"/>
      <c r="BL838" s="79"/>
      <c r="BM838" s="79"/>
      <c r="BN838" s="79"/>
      <c r="BO838" s="79"/>
      <c r="BP838" s="79"/>
      <c r="BQ838" s="79"/>
      <c r="BR838" s="79"/>
      <c r="BS838" s="79"/>
      <c r="BT838" s="79"/>
      <c r="BU838" s="79"/>
      <c r="BV838" s="79"/>
      <c r="BW838" s="79"/>
      <c r="BX838" s="79"/>
      <c r="BY838" s="79"/>
      <c r="BZ838" s="79"/>
      <c r="CA838" s="79"/>
      <c r="CB838" s="79"/>
      <c r="CC838" s="79"/>
      <c r="CD838" s="79"/>
      <c r="CE838" s="79"/>
      <c r="CF838" s="79"/>
      <c r="CG838" s="79"/>
      <c r="CH838" s="79"/>
      <c r="CI838" s="79"/>
    </row>
    <row r="839" spans="1:87" ht="14" x14ac:dyDescent="0.1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79"/>
      <c r="AW839" s="79"/>
      <c r="AX839" s="79"/>
      <c r="AY839" s="79"/>
      <c r="AZ839" s="79"/>
      <c r="BA839" s="79"/>
      <c r="BB839" s="79"/>
      <c r="BC839" s="79"/>
      <c r="BD839" s="79"/>
      <c r="BE839" s="79"/>
      <c r="BF839" s="79"/>
      <c r="BG839" s="79"/>
      <c r="BH839" s="79"/>
      <c r="BI839" s="79"/>
      <c r="BJ839" s="79"/>
      <c r="BK839" s="79"/>
      <c r="BL839" s="79"/>
      <c r="BM839" s="79"/>
      <c r="BN839" s="79"/>
      <c r="BO839" s="79"/>
      <c r="BP839" s="79"/>
      <c r="BQ839" s="79"/>
      <c r="BR839" s="79"/>
      <c r="BS839" s="79"/>
      <c r="BT839" s="79"/>
      <c r="BU839" s="79"/>
      <c r="BV839" s="79"/>
      <c r="BW839" s="79"/>
      <c r="BX839" s="79"/>
      <c r="BY839" s="79"/>
      <c r="BZ839" s="79"/>
      <c r="CA839" s="79"/>
      <c r="CB839" s="79"/>
      <c r="CC839" s="79"/>
      <c r="CD839" s="79"/>
      <c r="CE839" s="79"/>
      <c r="CF839" s="79"/>
      <c r="CG839" s="79"/>
      <c r="CH839" s="79"/>
      <c r="CI839" s="79"/>
    </row>
    <row r="840" spans="1:87" ht="14" x14ac:dyDescent="0.1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79"/>
      <c r="BG840" s="79"/>
      <c r="BH840" s="79"/>
      <c r="BI840" s="79"/>
      <c r="BJ840" s="79"/>
      <c r="BK840" s="79"/>
      <c r="BL840" s="79"/>
      <c r="BM840" s="79"/>
      <c r="BN840" s="79"/>
      <c r="BO840" s="79"/>
      <c r="BP840" s="79"/>
      <c r="BQ840" s="79"/>
      <c r="BR840" s="79"/>
      <c r="BS840" s="79"/>
      <c r="BT840" s="79"/>
      <c r="BU840" s="79"/>
      <c r="BV840" s="79"/>
      <c r="BW840" s="79"/>
      <c r="BX840" s="79"/>
      <c r="BY840" s="79"/>
      <c r="BZ840" s="79"/>
      <c r="CA840" s="79"/>
      <c r="CB840" s="79"/>
      <c r="CC840" s="79"/>
      <c r="CD840" s="79"/>
      <c r="CE840" s="79"/>
      <c r="CF840" s="79"/>
      <c r="CG840" s="79"/>
      <c r="CH840" s="79"/>
      <c r="CI840" s="79"/>
    </row>
    <row r="841" spans="1:87" ht="14" x14ac:dyDescent="0.1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  <c r="BK841" s="79"/>
      <c r="BL841" s="79"/>
      <c r="BM841" s="79"/>
      <c r="BN841" s="79"/>
      <c r="BO841" s="79"/>
      <c r="BP841" s="79"/>
      <c r="BQ841" s="79"/>
      <c r="BR841" s="79"/>
      <c r="BS841" s="79"/>
      <c r="BT841" s="79"/>
      <c r="BU841" s="79"/>
      <c r="BV841" s="79"/>
      <c r="BW841" s="79"/>
      <c r="BX841" s="79"/>
      <c r="BY841" s="79"/>
      <c r="BZ841" s="79"/>
      <c r="CA841" s="79"/>
      <c r="CB841" s="79"/>
      <c r="CC841" s="79"/>
      <c r="CD841" s="79"/>
      <c r="CE841" s="79"/>
      <c r="CF841" s="79"/>
      <c r="CG841" s="79"/>
      <c r="CH841" s="79"/>
      <c r="CI841" s="79"/>
    </row>
    <row r="842" spans="1:87" ht="14" x14ac:dyDescent="0.1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79"/>
      <c r="BG842" s="79"/>
      <c r="BH842" s="79"/>
      <c r="BI842" s="79"/>
      <c r="BJ842" s="79"/>
      <c r="BK842" s="79"/>
      <c r="BL842" s="79"/>
      <c r="BM842" s="79"/>
      <c r="BN842" s="79"/>
      <c r="BO842" s="79"/>
      <c r="BP842" s="79"/>
      <c r="BQ842" s="79"/>
      <c r="BR842" s="79"/>
      <c r="BS842" s="79"/>
      <c r="BT842" s="79"/>
      <c r="BU842" s="79"/>
      <c r="BV842" s="79"/>
      <c r="BW842" s="79"/>
      <c r="BX842" s="79"/>
      <c r="BY842" s="79"/>
      <c r="BZ842" s="79"/>
      <c r="CA842" s="79"/>
      <c r="CB842" s="79"/>
      <c r="CC842" s="79"/>
      <c r="CD842" s="79"/>
      <c r="CE842" s="79"/>
      <c r="CF842" s="79"/>
      <c r="CG842" s="79"/>
      <c r="CH842" s="79"/>
      <c r="CI842" s="79"/>
    </row>
    <row r="843" spans="1:87" ht="14" x14ac:dyDescent="0.1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  <c r="BK843" s="79"/>
      <c r="BL843" s="79"/>
      <c r="BM843" s="79"/>
      <c r="BN843" s="79"/>
      <c r="BO843" s="79"/>
      <c r="BP843" s="79"/>
      <c r="BQ843" s="79"/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  <c r="CH843" s="79"/>
      <c r="CI843" s="79"/>
    </row>
    <row r="844" spans="1:87" ht="14" x14ac:dyDescent="0.1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79"/>
      <c r="BG844" s="79"/>
      <c r="BH844" s="79"/>
      <c r="BI844" s="79"/>
      <c r="BJ844" s="79"/>
      <c r="BK844" s="79"/>
      <c r="BL844" s="79"/>
      <c r="BM844" s="79"/>
      <c r="BN844" s="79"/>
      <c r="BO844" s="79"/>
      <c r="BP844" s="79"/>
      <c r="BQ844" s="79"/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  <c r="CH844" s="79"/>
      <c r="CI844" s="79"/>
    </row>
    <row r="845" spans="1:87" ht="14" x14ac:dyDescent="0.1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79"/>
      <c r="AW845" s="79"/>
      <c r="AX845" s="79"/>
      <c r="AY845" s="79"/>
      <c r="AZ845" s="79"/>
      <c r="BA845" s="79"/>
      <c r="BB845" s="79"/>
      <c r="BC845" s="79"/>
      <c r="BD845" s="79"/>
      <c r="BE845" s="79"/>
      <c r="BF845" s="79"/>
      <c r="BG845" s="79"/>
      <c r="BH845" s="79"/>
      <c r="BI845" s="79"/>
      <c r="BJ845" s="79"/>
      <c r="BK845" s="79"/>
      <c r="BL845" s="79"/>
      <c r="BM845" s="79"/>
      <c r="BN845" s="79"/>
      <c r="BO845" s="79"/>
      <c r="BP845" s="79"/>
      <c r="BQ845" s="79"/>
      <c r="BR845" s="79"/>
      <c r="BS845" s="79"/>
      <c r="BT845" s="79"/>
      <c r="BU845" s="79"/>
      <c r="BV845" s="79"/>
      <c r="BW845" s="79"/>
      <c r="BX845" s="79"/>
      <c r="BY845" s="79"/>
      <c r="BZ845" s="79"/>
      <c r="CA845" s="79"/>
      <c r="CB845" s="79"/>
      <c r="CC845" s="79"/>
      <c r="CD845" s="79"/>
      <c r="CE845" s="79"/>
      <c r="CF845" s="79"/>
      <c r="CG845" s="79"/>
      <c r="CH845" s="79"/>
      <c r="CI845" s="79"/>
    </row>
    <row r="846" spans="1:87" ht="14" x14ac:dyDescent="0.1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  <c r="BK846" s="79"/>
      <c r="BL846" s="79"/>
      <c r="BM846" s="79"/>
      <c r="BN846" s="79"/>
      <c r="BO846" s="79"/>
      <c r="BP846" s="79"/>
      <c r="BQ846" s="79"/>
      <c r="BR846" s="79"/>
      <c r="BS846" s="79"/>
      <c r="BT846" s="79"/>
      <c r="BU846" s="79"/>
      <c r="BV846" s="79"/>
      <c r="BW846" s="79"/>
      <c r="BX846" s="79"/>
      <c r="BY846" s="79"/>
      <c r="BZ846" s="79"/>
      <c r="CA846" s="79"/>
      <c r="CB846" s="79"/>
      <c r="CC846" s="79"/>
      <c r="CD846" s="79"/>
      <c r="CE846" s="79"/>
      <c r="CF846" s="79"/>
      <c r="CG846" s="79"/>
      <c r="CH846" s="79"/>
      <c r="CI846" s="79"/>
    </row>
    <row r="847" spans="1:87" ht="14" x14ac:dyDescent="0.1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  <c r="BK847" s="79"/>
      <c r="BL847" s="79"/>
      <c r="BM847" s="79"/>
      <c r="BN847" s="79"/>
      <c r="BO847" s="79"/>
      <c r="BP847" s="79"/>
      <c r="BQ847" s="79"/>
      <c r="BR847" s="79"/>
      <c r="BS847" s="79"/>
      <c r="BT847" s="79"/>
      <c r="BU847" s="79"/>
      <c r="BV847" s="79"/>
      <c r="BW847" s="79"/>
      <c r="BX847" s="79"/>
      <c r="BY847" s="79"/>
      <c r="BZ847" s="79"/>
      <c r="CA847" s="79"/>
      <c r="CB847" s="79"/>
      <c r="CC847" s="79"/>
      <c r="CD847" s="79"/>
      <c r="CE847" s="79"/>
      <c r="CF847" s="79"/>
      <c r="CG847" s="79"/>
      <c r="CH847" s="79"/>
      <c r="CI847" s="79"/>
    </row>
    <row r="848" spans="1:87" ht="14" x14ac:dyDescent="0.1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9"/>
      <c r="BD848" s="79"/>
      <c r="BE848" s="79"/>
      <c r="BF848" s="79"/>
      <c r="BG848" s="79"/>
      <c r="BH848" s="79"/>
      <c r="BI848" s="79"/>
      <c r="BJ848" s="79"/>
      <c r="BK848" s="79"/>
      <c r="BL848" s="79"/>
      <c r="BM848" s="79"/>
      <c r="BN848" s="79"/>
      <c r="BO848" s="79"/>
      <c r="BP848" s="79"/>
      <c r="BQ848" s="79"/>
      <c r="BR848" s="79"/>
      <c r="BS848" s="79"/>
      <c r="BT848" s="79"/>
      <c r="BU848" s="79"/>
      <c r="BV848" s="79"/>
      <c r="BW848" s="79"/>
      <c r="BX848" s="79"/>
      <c r="BY848" s="79"/>
      <c r="BZ848" s="79"/>
      <c r="CA848" s="79"/>
      <c r="CB848" s="79"/>
      <c r="CC848" s="79"/>
      <c r="CD848" s="79"/>
      <c r="CE848" s="79"/>
      <c r="CF848" s="79"/>
      <c r="CG848" s="79"/>
      <c r="CH848" s="79"/>
      <c r="CI848" s="79"/>
    </row>
    <row r="849" spans="1:87" ht="14" x14ac:dyDescent="0.1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9"/>
      <c r="BD849" s="79"/>
      <c r="BE849" s="79"/>
      <c r="BF849" s="79"/>
      <c r="BG849" s="79"/>
      <c r="BH849" s="79"/>
      <c r="BI849" s="79"/>
      <c r="BJ849" s="79"/>
      <c r="BK849" s="79"/>
      <c r="BL849" s="79"/>
      <c r="BM849" s="79"/>
      <c r="BN849" s="79"/>
      <c r="BO849" s="79"/>
      <c r="BP849" s="79"/>
      <c r="BQ849" s="79"/>
      <c r="BR849" s="79"/>
      <c r="BS849" s="79"/>
      <c r="BT849" s="79"/>
      <c r="BU849" s="79"/>
      <c r="BV849" s="79"/>
      <c r="BW849" s="79"/>
      <c r="BX849" s="79"/>
      <c r="BY849" s="79"/>
      <c r="BZ849" s="79"/>
      <c r="CA849" s="79"/>
      <c r="CB849" s="79"/>
      <c r="CC849" s="79"/>
      <c r="CD849" s="79"/>
      <c r="CE849" s="79"/>
      <c r="CF849" s="79"/>
      <c r="CG849" s="79"/>
      <c r="CH849" s="79"/>
      <c r="CI849" s="79"/>
    </row>
    <row r="850" spans="1:87" ht="14" x14ac:dyDescent="0.1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9"/>
      <c r="BD850" s="79"/>
      <c r="BE850" s="79"/>
      <c r="BF850" s="79"/>
      <c r="BG850" s="79"/>
      <c r="BH850" s="79"/>
      <c r="BI850" s="79"/>
      <c r="BJ850" s="79"/>
      <c r="BK850" s="79"/>
      <c r="BL850" s="79"/>
      <c r="BM850" s="79"/>
      <c r="BN850" s="79"/>
      <c r="BO850" s="79"/>
      <c r="BP850" s="79"/>
      <c r="BQ850" s="79"/>
      <c r="BR850" s="79"/>
      <c r="BS850" s="79"/>
      <c r="BT850" s="79"/>
      <c r="BU850" s="79"/>
      <c r="BV850" s="79"/>
      <c r="BW850" s="79"/>
      <c r="BX850" s="79"/>
      <c r="BY850" s="79"/>
      <c r="BZ850" s="79"/>
      <c r="CA850" s="79"/>
      <c r="CB850" s="79"/>
      <c r="CC850" s="79"/>
      <c r="CD850" s="79"/>
      <c r="CE850" s="79"/>
      <c r="CF850" s="79"/>
      <c r="CG850" s="79"/>
      <c r="CH850" s="79"/>
      <c r="CI850" s="79"/>
    </row>
    <row r="851" spans="1:87" ht="14" x14ac:dyDescent="0.1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9"/>
      <c r="BD851" s="79"/>
      <c r="BE851" s="79"/>
      <c r="BF851" s="79"/>
      <c r="BG851" s="79"/>
      <c r="BH851" s="79"/>
      <c r="BI851" s="79"/>
      <c r="BJ851" s="79"/>
      <c r="BK851" s="79"/>
      <c r="BL851" s="79"/>
      <c r="BM851" s="79"/>
      <c r="BN851" s="79"/>
      <c r="BO851" s="79"/>
      <c r="BP851" s="79"/>
      <c r="BQ851" s="79"/>
      <c r="BR851" s="79"/>
      <c r="BS851" s="79"/>
      <c r="BT851" s="79"/>
      <c r="BU851" s="79"/>
      <c r="BV851" s="79"/>
      <c r="BW851" s="79"/>
      <c r="BX851" s="79"/>
      <c r="BY851" s="79"/>
      <c r="BZ851" s="79"/>
      <c r="CA851" s="79"/>
      <c r="CB851" s="79"/>
      <c r="CC851" s="79"/>
      <c r="CD851" s="79"/>
      <c r="CE851" s="79"/>
      <c r="CF851" s="79"/>
      <c r="CG851" s="79"/>
      <c r="CH851" s="79"/>
      <c r="CI851" s="79"/>
    </row>
    <row r="852" spans="1:87" ht="14" x14ac:dyDescent="0.1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79"/>
      <c r="BK852" s="79"/>
      <c r="BL852" s="79"/>
      <c r="BM852" s="79"/>
      <c r="BN852" s="79"/>
      <c r="BO852" s="79"/>
      <c r="BP852" s="79"/>
      <c r="BQ852" s="79"/>
      <c r="BR852" s="79"/>
      <c r="BS852" s="79"/>
      <c r="BT852" s="79"/>
      <c r="BU852" s="79"/>
      <c r="BV852" s="79"/>
      <c r="BW852" s="79"/>
      <c r="BX852" s="79"/>
      <c r="BY852" s="79"/>
      <c r="BZ852" s="79"/>
      <c r="CA852" s="79"/>
      <c r="CB852" s="79"/>
      <c r="CC852" s="79"/>
      <c r="CD852" s="79"/>
      <c r="CE852" s="79"/>
      <c r="CF852" s="79"/>
      <c r="CG852" s="79"/>
      <c r="CH852" s="79"/>
      <c r="CI852" s="79"/>
    </row>
    <row r="853" spans="1:87" ht="14" x14ac:dyDescent="0.1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9"/>
      <c r="BD853" s="79"/>
      <c r="BE853" s="79"/>
      <c r="BF853" s="79"/>
      <c r="BG853" s="79"/>
      <c r="BH853" s="79"/>
      <c r="BI853" s="79"/>
      <c r="BJ853" s="79"/>
      <c r="BK853" s="79"/>
      <c r="BL853" s="79"/>
      <c r="BM853" s="79"/>
      <c r="BN853" s="79"/>
      <c r="BO853" s="79"/>
      <c r="BP853" s="79"/>
      <c r="BQ853" s="79"/>
      <c r="BR853" s="79"/>
      <c r="BS853" s="79"/>
      <c r="BT853" s="79"/>
      <c r="BU853" s="79"/>
      <c r="BV853" s="79"/>
      <c r="BW853" s="79"/>
      <c r="BX853" s="79"/>
      <c r="BY853" s="79"/>
      <c r="BZ853" s="79"/>
      <c r="CA853" s="79"/>
      <c r="CB853" s="79"/>
      <c r="CC853" s="79"/>
      <c r="CD853" s="79"/>
      <c r="CE853" s="79"/>
      <c r="CF853" s="79"/>
      <c r="CG853" s="79"/>
      <c r="CH853" s="79"/>
      <c r="CI853" s="79"/>
    </row>
    <row r="854" spans="1:87" ht="14" x14ac:dyDescent="0.1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9"/>
      <c r="BD854" s="79"/>
      <c r="BE854" s="79"/>
      <c r="BF854" s="79"/>
      <c r="BG854" s="79"/>
      <c r="BH854" s="79"/>
      <c r="BI854" s="79"/>
      <c r="BJ854" s="79"/>
      <c r="BK854" s="79"/>
      <c r="BL854" s="79"/>
      <c r="BM854" s="79"/>
      <c r="BN854" s="79"/>
      <c r="BO854" s="79"/>
      <c r="BP854" s="79"/>
      <c r="BQ854" s="79"/>
      <c r="BR854" s="79"/>
      <c r="BS854" s="79"/>
      <c r="BT854" s="79"/>
      <c r="BU854" s="79"/>
      <c r="BV854" s="79"/>
      <c r="BW854" s="79"/>
      <c r="BX854" s="79"/>
      <c r="BY854" s="79"/>
      <c r="BZ854" s="79"/>
      <c r="CA854" s="79"/>
      <c r="CB854" s="79"/>
      <c r="CC854" s="79"/>
      <c r="CD854" s="79"/>
      <c r="CE854" s="79"/>
      <c r="CF854" s="79"/>
      <c r="CG854" s="79"/>
      <c r="CH854" s="79"/>
      <c r="CI854" s="79"/>
    </row>
    <row r="855" spans="1:87" ht="14" x14ac:dyDescent="0.1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  <c r="BK855" s="79"/>
      <c r="BL855" s="79"/>
      <c r="BM855" s="79"/>
      <c r="BN855" s="79"/>
      <c r="BO855" s="79"/>
      <c r="BP855" s="79"/>
      <c r="BQ855" s="79"/>
      <c r="BR855" s="79"/>
      <c r="BS855" s="79"/>
      <c r="BT855" s="79"/>
      <c r="BU855" s="79"/>
      <c r="BV855" s="79"/>
      <c r="BW855" s="79"/>
      <c r="BX855" s="79"/>
      <c r="BY855" s="79"/>
      <c r="BZ855" s="79"/>
      <c r="CA855" s="79"/>
      <c r="CB855" s="79"/>
      <c r="CC855" s="79"/>
      <c r="CD855" s="79"/>
      <c r="CE855" s="79"/>
      <c r="CF855" s="79"/>
      <c r="CG855" s="79"/>
      <c r="CH855" s="79"/>
      <c r="CI855" s="79"/>
    </row>
    <row r="856" spans="1:87" ht="14" x14ac:dyDescent="0.1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9"/>
      <c r="BD856" s="79"/>
      <c r="BE856" s="79"/>
      <c r="BF856" s="79"/>
      <c r="BG856" s="79"/>
      <c r="BH856" s="79"/>
      <c r="BI856" s="79"/>
      <c r="BJ856" s="79"/>
      <c r="BK856" s="79"/>
      <c r="BL856" s="79"/>
      <c r="BM856" s="79"/>
      <c r="BN856" s="79"/>
      <c r="BO856" s="79"/>
      <c r="BP856" s="79"/>
      <c r="BQ856" s="79"/>
      <c r="BR856" s="79"/>
      <c r="BS856" s="79"/>
      <c r="BT856" s="79"/>
      <c r="BU856" s="79"/>
      <c r="BV856" s="79"/>
      <c r="BW856" s="79"/>
      <c r="BX856" s="79"/>
      <c r="BY856" s="79"/>
      <c r="BZ856" s="79"/>
      <c r="CA856" s="79"/>
      <c r="CB856" s="79"/>
      <c r="CC856" s="79"/>
      <c r="CD856" s="79"/>
      <c r="CE856" s="79"/>
      <c r="CF856" s="79"/>
      <c r="CG856" s="79"/>
      <c r="CH856" s="79"/>
      <c r="CI856" s="79"/>
    </row>
    <row r="857" spans="1:87" ht="14" x14ac:dyDescent="0.1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9"/>
      <c r="BD857" s="79"/>
      <c r="BE857" s="79"/>
      <c r="BF857" s="79"/>
      <c r="BG857" s="79"/>
      <c r="BH857" s="79"/>
      <c r="BI857" s="79"/>
      <c r="BJ857" s="79"/>
      <c r="BK857" s="79"/>
      <c r="BL857" s="79"/>
      <c r="BM857" s="79"/>
      <c r="BN857" s="79"/>
      <c r="BO857" s="79"/>
      <c r="BP857" s="79"/>
      <c r="BQ857" s="79"/>
      <c r="BR857" s="79"/>
      <c r="BS857" s="79"/>
      <c r="BT857" s="79"/>
      <c r="BU857" s="79"/>
      <c r="BV857" s="79"/>
      <c r="BW857" s="79"/>
      <c r="BX857" s="79"/>
      <c r="BY857" s="79"/>
      <c r="BZ857" s="79"/>
      <c r="CA857" s="79"/>
      <c r="CB857" s="79"/>
      <c r="CC857" s="79"/>
      <c r="CD857" s="79"/>
      <c r="CE857" s="79"/>
      <c r="CF857" s="79"/>
      <c r="CG857" s="79"/>
      <c r="CH857" s="79"/>
      <c r="CI857" s="79"/>
    </row>
    <row r="858" spans="1:87" ht="14" x14ac:dyDescent="0.1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79"/>
      <c r="AW858" s="79"/>
      <c r="AX858" s="79"/>
      <c r="AY858" s="79"/>
      <c r="AZ858" s="79"/>
      <c r="BA858" s="79"/>
      <c r="BB858" s="79"/>
      <c r="BC858" s="79"/>
      <c r="BD858" s="79"/>
      <c r="BE858" s="79"/>
      <c r="BF858" s="79"/>
      <c r="BG858" s="79"/>
      <c r="BH858" s="79"/>
      <c r="BI858" s="79"/>
      <c r="BJ858" s="79"/>
      <c r="BK858" s="79"/>
      <c r="BL858" s="79"/>
      <c r="BM858" s="79"/>
      <c r="BN858" s="79"/>
      <c r="BO858" s="79"/>
      <c r="BP858" s="79"/>
      <c r="BQ858" s="79"/>
      <c r="BR858" s="79"/>
      <c r="BS858" s="79"/>
      <c r="BT858" s="79"/>
      <c r="BU858" s="79"/>
      <c r="BV858" s="79"/>
      <c r="BW858" s="79"/>
      <c r="BX858" s="79"/>
      <c r="BY858" s="79"/>
      <c r="BZ858" s="79"/>
      <c r="CA858" s="79"/>
      <c r="CB858" s="79"/>
      <c r="CC858" s="79"/>
      <c r="CD858" s="79"/>
      <c r="CE858" s="79"/>
      <c r="CF858" s="79"/>
      <c r="CG858" s="79"/>
      <c r="CH858" s="79"/>
      <c r="CI858" s="79"/>
    </row>
    <row r="859" spans="1:87" ht="14" x14ac:dyDescent="0.1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79"/>
      <c r="AW859" s="79"/>
      <c r="AX859" s="79"/>
      <c r="AY859" s="79"/>
      <c r="AZ859" s="79"/>
      <c r="BA859" s="79"/>
      <c r="BB859" s="79"/>
      <c r="BC859" s="79"/>
      <c r="BD859" s="79"/>
      <c r="BE859" s="79"/>
      <c r="BF859" s="79"/>
      <c r="BG859" s="79"/>
      <c r="BH859" s="79"/>
      <c r="BI859" s="79"/>
      <c r="BJ859" s="79"/>
      <c r="BK859" s="79"/>
      <c r="BL859" s="79"/>
      <c r="BM859" s="79"/>
      <c r="BN859" s="79"/>
      <c r="BO859" s="79"/>
      <c r="BP859" s="79"/>
      <c r="BQ859" s="79"/>
      <c r="BR859" s="79"/>
      <c r="BS859" s="79"/>
      <c r="BT859" s="79"/>
      <c r="BU859" s="79"/>
      <c r="BV859" s="79"/>
      <c r="BW859" s="79"/>
      <c r="BX859" s="79"/>
      <c r="BY859" s="79"/>
      <c r="BZ859" s="79"/>
      <c r="CA859" s="79"/>
      <c r="CB859" s="79"/>
      <c r="CC859" s="79"/>
      <c r="CD859" s="79"/>
      <c r="CE859" s="79"/>
      <c r="CF859" s="79"/>
      <c r="CG859" s="79"/>
      <c r="CH859" s="79"/>
      <c r="CI859" s="79"/>
    </row>
    <row r="860" spans="1:87" ht="14" x14ac:dyDescent="0.1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79"/>
      <c r="AW860" s="79"/>
      <c r="AX860" s="79"/>
      <c r="AY860" s="79"/>
      <c r="AZ860" s="79"/>
      <c r="BA860" s="79"/>
      <c r="BB860" s="79"/>
      <c r="BC860" s="79"/>
      <c r="BD860" s="79"/>
      <c r="BE860" s="79"/>
      <c r="BF860" s="79"/>
      <c r="BG860" s="79"/>
      <c r="BH860" s="79"/>
      <c r="BI860" s="79"/>
      <c r="BJ860" s="79"/>
      <c r="BK860" s="79"/>
      <c r="BL860" s="79"/>
      <c r="BM860" s="79"/>
      <c r="BN860" s="79"/>
      <c r="BO860" s="79"/>
      <c r="BP860" s="79"/>
      <c r="BQ860" s="79"/>
      <c r="BR860" s="79"/>
      <c r="BS860" s="79"/>
      <c r="BT860" s="79"/>
      <c r="BU860" s="79"/>
      <c r="BV860" s="79"/>
      <c r="BW860" s="79"/>
      <c r="BX860" s="79"/>
      <c r="BY860" s="79"/>
      <c r="BZ860" s="79"/>
      <c r="CA860" s="79"/>
      <c r="CB860" s="79"/>
      <c r="CC860" s="79"/>
      <c r="CD860" s="79"/>
      <c r="CE860" s="79"/>
      <c r="CF860" s="79"/>
      <c r="CG860" s="79"/>
      <c r="CH860" s="79"/>
      <c r="CI860" s="79"/>
    </row>
    <row r="861" spans="1:87" ht="14" x14ac:dyDescent="0.1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79"/>
      <c r="AW861" s="79"/>
      <c r="AX861" s="79"/>
      <c r="AY861" s="79"/>
      <c r="AZ861" s="79"/>
      <c r="BA861" s="79"/>
      <c r="BB861" s="79"/>
      <c r="BC861" s="79"/>
      <c r="BD861" s="79"/>
      <c r="BE861" s="79"/>
      <c r="BF861" s="79"/>
      <c r="BG861" s="79"/>
      <c r="BH861" s="79"/>
      <c r="BI861" s="79"/>
      <c r="BJ861" s="79"/>
      <c r="BK861" s="79"/>
      <c r="BL861" s="79"/>
      <c r="BM861" s="79"/>
      <c r="BN861" s="79"/>
      <c r="BO861" s="79"/>
      <c r="BP861" s="79"/>
      <c r="BQ861" s="79"/>
      <c r="BR861" s="79"/>
      <c r="BS861" s="79"/>
      <c r="BT861" s="79"/>
      <c r="BU861" s="79"/>
      <c r="BV861" s="79"/>
      <c r="BW861" s="79"/>
      <c r="BX861" s="79"/>
      <c r="BY861" s="79"/>
      <c r="BZ861" s="79"/>
      <c r="CA861" s="79"/>
      <c r="CB861" s="79"/>
      <c r="CC861" s="79"/>
      <c r="CD861" s="79"/>
      <c r="CE861" s="79"/>
      <c r="CF861" s="79"/>
      <c r="CG861" s="79"/>
      <c r="CH861" s="79"/>
      <c r="CI861" s="79"/>
    </row>
    <row r="862" spans="1:87" ht="14" x14ac:dyDescent="0.1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79"/>
      <c r="AW862" s="79"/>
      <c r="AX862" s="79"/>
      <c r="AY862" s="79"/>
      <c r="AZ862" s="79"/>
      <c r="BA862" s="79"/>
      <c r="BB862" s="79"/>
      <c r="BC862" s="79"/>
      <c r="BD862" s="79"/>
      <c r="BE862" s="79"/>
      <c r="BF862" s="79"/>
      <c r="BG862" s="79"/>
      <c r="BH862" s="79"/>
      <c r="BI862" s="79"/>
      <c r="BJ862" s="79"/>
      <c r="BK862" s="79"/>
      <c r="BL862" s="79"/>
      <c r="BM862" s="79"/>
      <c r="BN862" s="79"/>
      <c r="BO862" s="79"/>
      <c r="BP862" s="79"/>
      <c r="BQ862" s="79"/>
      <c r="BR862" s="79"/>
      <c r="BS862" s="79"/>
      <c r="BT862" s="79"/>
      <c r="BU862" s="79"/>
      <c r="BV862" s="79"/>
      <c r="BW862" s="79"/>
      <c r="BX862" s="79"/>
      <c r="BY862" s="79"/>
      <c r="BZ862" s="79"/>
      <c r="CA862" s="79"/>
      <c r="CB862" s="79"/>
      <c r="CC862" s="79"/>
      <c r="CD862" s="79"/>
      <c r="CE862" s="79"/>
      <c r="CF862" s="79"/>
      <c r="CG862" s="79"/>
      <c r="CH862" s="79"/>
      <c r="CI862" s="79"/>
    </row>
    <row r="863" spans="1:87" ht="14" x14ac:dyDescent="0.1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  <c r="BK863" s="79"/>
      <c r="BL863" s="79"/>
      <c r="BM863" s="79"/>
      <c r="BN863" s="79"/>
      <c r="BO863" s="79"/>
      <c r="BP863" s="79"/>
      <c r="BQ863" s="79"/>
      <c r="BR863" s="79"/>
      <c r="BS863" s="79"/>
      <c r="BT863" s="79"/>
      <c r="BU863" s="79"/>
      <c r="BV863" s="79"/>
      <c r="BW863" s="79"/>
      <c r="BX863" s="79"/>
      <c r="BY863" s="79"/>
      <c r="BZ863" s="79"/>
      <c r="CA863" s="79"/>
      <c r="CB863" s="79"/>
      <c r="CC863" s="79"/>
      <c r="CD863" s="79"/>
      <c r="CE863" s="79"/>
      <c r="CF863" s="79"/>
      <c r="CG863" s="79"/>
      <c r="CH863" s="79"/>
      <c r="CI863" s="79"/>
    </row>
    <row r="864" spans="1:87" ht="14" x14ac:dyDescent="0.1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79"/>
      <c r="AW864" s="79"/>
      <c r="AX864" s="79"/>
      <c r="AY864" s="79"/>
      <c r="AZ864" s="79"/>
      <c r="BA864" s="79"/>
      <c r="BB864" s="79"/>
      <c r="BC864" s="79"/>
      <c r="BD864" s="79"/>
      <c r="BE864" s="79"/>
      <c r="BF864" s="79"/>
      <c r="BG864" s="79"/>
      <c r="BH864" s="79"/>
      <c r="BI864" s="79"/>
      <c r="BJ864" s="79"/>
      <c r="BK864" s="79"/>
      <c r="BL864" s="79"/>
      <c r="BM864" s="79"/>
      <c r="BN864" s="79"/>
      <c r="BO864" s="79"/>
      <c r="BP864" s="79"/>
      <c r="BQ864" s="79"/>
      <c r="BR864" s="79"/>
      <c r="BS864" s="79"/>
      <c r="BT864" s="79"/>
      <c r="BU864" s="79"/>
      <c r="BV864" s="79"/>
      <c r="BW864" s="79"/>
      <c r="BX864" s="79"/>
      <c r="BY864" s="79"/>
      <c r="BZ864" s="79"/>
      <c r="CA864" s="79"/>
      <c r="CB864" s="79"/>
      <c r="CC864" s="79"/>
      <c r="CD864" s="79"/>
      <c r="CE864" s="79"/>
      <c r="CF864" s="79"/>
      <c r="CG864" s="79"/>
      <c r="CH864" s="79"/>
      <c r="CI864" s="79"/>
    </row>
    <row r="865" spans="1:87" ht="14" x14ac:dyDescent="0.1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79"/>
      <c r="AW865" s="79"/>
      <c r="AX865" s="79"/>
      <c r="AY865" s="79"/>
      <c r="AZ865" s="79"/>
      <c r="BA865" s="79"/>
      <c r="BB865" s="79"/>
      <c r="BC865" s="79"/>
      <c r="BD865" s="79"/>
      <c r="BE865" s="79"/>
      <c r="BF865" s="79"/>
      <c r="BG865" s="79"/>
      <c r="BH865" s="79"/>
      <c r="BI865" s="79"/>
      <c r="BJ865" s="79"/>
      <c r="BK865" s="79"/>
      <c r="BL865" s="79"/>
      <c r="BM865" s="79"/>
      <c r="BN865" s="79"/>
      <c r="BO865" s="79"/>
      <c r="BP865" s="79"/>
      <c r="BQ865" s="79"/>
      <c r="BR865" s="79"/>
      <c r="BS865" s="79"/>
      <c r="BT865" s="79"/>
      <c r="BU865" s="79"/>
      <c r="BV865" s="79"/>
      <c r="BW865" s="79"/>
      <c r="BX865" s="79"/>
      <c r="BY865" s="79"/>
      <c r="BZ865" s="79"/>
      <c r="CA865" s="79"/>
      <c r="CB865" s="79"/>
      <c r="CC865" s="79"/>
      <c r="CD865" s="79"/>
      <c r="CE865" s="79"/>
      <c r="CF865" s="79"/>
      <c r="CG865" s="79"/>
      <c r="CH865" s="79"/>
      <c r="CI865" s="79"/>
    </row>
    <row r="866" spans="1:87" ht="14" x14ac:dyDescent="0.1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79"/>
      <c r="AW866" s="79"/>
      <c r="AX866" s="79"/>
      <c r="AY866" s="79"/>
      <c r="AZ866" s="79"/>
      <c r="BA866" s="79"/>
      <c r="BB866" s="79"/>
      <c r="BC866" s="79"/>
      <c r="BD866" s="79"/>
      <c r="BE866" s="79"/>
      <c r="BF866" s="79"/>
      <c r="BG866" s="79"/>
      <c r="BH866" s="79"/>
      <c r="BI866" s="79"/>
      <c r="BJ866" s="79"/>
      <c r="BK866" s="79"/>
      <c r="BL866" s="79"/>
      <c r="BM866" s="79"/>
      <c r="BN866" s="79"/>
      <c r="BO866" s="79"/>
      <c r="BP866" s="79"/>
      <c r="BQ866" s="79"/>
      <c r="BR866" s="79"/>
      <c r="BS866" s="79"/>
      <c r="BT866" s="79"/>
      <c r="BU866" s="79"/>
      <c r="BV866" s="79"/>
      <c r="BW866" s="79"/>
      <c r="BX866" s="79"/>
      <c r="BY866" s="79"/>
      <c r="BZ866" s="79"/>
      <c r="CA866" s="79"/>
      <c r="CB866" s="79"/>
      <c r="CC866" s="79"/>
      <c r="CD866" s="79"/>
      <c r="CE866" s="79"/>
      <c r="CF866" s="79"/>
      <c r="CG866" s="79"/>
      <c r="CH866" s="79"/>
      <c r="CI866" s="79"/>
    </row>
    <row r="867" spans="1:87" ht="14" x14ac:dyDescent="0.1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79"/>
      <c r="AW867" s="79"/>
      <c r="AX867" s="79"/>
      <c r="AY867" s="79"/>
      <c r="AZ867" s="79"/>
      <c r="BA867" s="79"/>
      <c r="BB867" s="79"/>
      <c r="BC867" s="79"/>
      <c r="BD867" s="79"/>
      <c r="BE867" s="79"/>
      <c r="BF867" s="79"/>
      <c r="BG867" s="79"/>
      <c r="BH867" s="79"/>
      <c r="BI867" s="79"/>
      <c r="BJ867" s="79"/>
      <c r="BK867" s="79"/>
      <c r="BL867" s="79"/>
      <c r="BM867" s="79"/>
      <c r="BN867" s="79"/>
      <c r="BO867" s="79"/>
      <c r="BP867" s="79"/>
      <c r="BQ867" s="79"/>
      <c r="BR867" s="79"/>
      <c r="BS867" s="79"/>
      <c r="BT867" s="79"/>
      <c r="BU867" s="79"/>
      <c r="BV867" s="79"/>
      <c r="BW867" s="79"/>
      <c r="BX867" s="79"/>
      <c r="BY867" s="79"/>
      <c r="BZ867" s="79"/>
      <c r="CA867" s="79"/>
      <c r="CB867" s="79"/>
      <c r="CC867" s="79"/>
      <c r="CD867" s="79"/>
      <c r="CE867" s="79"/>
      <c r="CF867" s="79"/>
      <c r="CG867" s="79"/>
      <c r="CH867" s="79"/>
      <c r="CI867" s="79"/>
    </row>
    <row r="868" spans="1:87" ht="14" x14ac:dyDescent="0.1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79"/>
      <c r="AW868" s="79"/>
      <c r="AX868" s="79"/>
      <c r="AY868" s="79"/>
      <c r="AZ868" s="79"/>
      <c r="BA868" s="79"/>
      <c r="BB868" s="79"/>
      <c r="BC868" s="79"/>
      <c r="BD868" s="79"/>
      <c r="BE868" s="79"/>
      <c r="BF868" s="79"/>
      <c r="BG868" s="79"/>
      <c r="BH868" s="79"/>
      <c r="BI868" s="79"/>
      <c r="BJ868" s="79"/>
      <c r="BK868" s="79"/>
      <c r="BL868" s="79"/>
      <c r="BM868" s="79"/>
      <c r="BN868" s="79"/>
      <c r="BO868" s="79"/>
      <c r="BP868" s="79"/>
      <c r="BQ868" s="79"/>
      <c r="BR868" s="79"/>
      <c r="BS868" s="79"/>
      <c r="BT868" s="79"/>
      <c r="BU868" s="79"/>
      <c r="BV868" s="79"/>
      <c r="BW868" s="79"/>
      <c r="BX868" s="79"/>
      <c r="BY868" s="79"/>
      <c r="BZ868" s="79"/>
      <c r="CA868" s="79"/>
      <c r="CB868" s="79"/>
      <c r="CC868" s="79"/>
      <c r="CD868" s="79"/>
      <c r="CE868" s="79"/>
      <c r="CF868" s="79"/>
      <c r="CG868" s="79"/>
      <c r="CH868" s="79"/>
      <c r="CI868" s="79"/>
    </row>
    <row r="869" spans="1:87" ht="14" x14ac:dyDescent="0.1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79"/>
      <c r="AW869" s="79"/>
      <c r="AX869" s="79"/>
      <c r="AY869" s="79"/>
      <c r="AZ869" s="79"/>
      <c r="BA869" s="79"/>
      <c r="BB869" s="79"/>
      <c r="BC869" s="79"/>
      <c r="BD869" s="79"/>
      <c r="BE869" s="79"/>
      <c r="BF869" s="79"/>
      <c r="BG869" s="79"/>
      <c r="BH869" s="79"/>
      <c r="BI869" s="79"/>
      <c r="BJ869" s="79"/>
      <c r="BK869" s="79"/>
      <c r="BL869" s="79"/>
      <c r="BM869" s="79"/>
      <c r="BN869" s="79"/>
      <c r="BO869" s="79"/>
      <c r="BP869" s="79"/>
      <c r="BQ869" s="79"/>
      <c r="BR869" s="79"/>
      <c r="BS869" s="79"/>
      <c r="BT869" s="79"/>
      <c r="BU869" s="79"/>
      <c r="BV869" s="79"/>
      <c r="BW869" s="79"/>
      <c r="BX869" s="79"/>
      <c r="BY869" s="79"/>
      <c r="BZ869" s="79"/>
      <c r="CA869" s="79"/>
      <c r="CB869" s="79"/>
      <c r="CC869" s="79"/>
      <c r="CD869" s="79"/>
      <c r="CE869" s="79"/>
      <c r="CF869" s="79"/>
      <c r="CG869" s="79"/>
      <c r="CH869" s="79"/>
      <c r="CI869" s="79"/>
    </row>
    <row r="870" spans="1:87" ht="14" x14ac:dyDescent="0.1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79"/>
      <c r="AW870" s="79"/>
      <c r="AX870" s="79"/>
      <c r="AY870" s="79"/>
      <c r="AZ870" s="79"/>
      <c r="BA870" s="79"/>
      <c r="BB870" s="79"/>
      <c r="BC870" s="79"/>
      <c r="BD870" s="79"/>
      <c r="BE870" s="79"/>
      <c r="BF870" s="79"/>
      <c r="BG870" s="79"/>
      <c r="BH870" s="79"/>
      <c r="BI870" s="79"/>
      <c r="BJ870" s="79"/>
      <c r="BK870" s="79"/>
      <c r="BL870" s="79"/>
      <c r="BM870" s="79"/>
      <c r="BN870" s="79"/>
      <c r="BO870" s="79"/>
      <c r="BP870" s="79"/>
      <c r="BQ870" s="79"/>
      <c r="BR870" s="79"/>
      <c r="BS870" s="79"/>
      <c r="BT870" s="79"/>
      <c r="BU870" s="79"/>
      <c r="BV870" s="79"/>
      <c r="BW870" s="79"/>
      <c r="BX870" s="79"/>
      <c r="BY870" s="79"/>
      <c r="BZ870" s="79"/>
      <c r="CA870" s="79"/>
      <c r="CB870" s="79"/>
      <c r="CC870" s="79"/>
      <c r="CD870" s="79"/>
      <c r="CE870" s="79"/>
      <c r="CF870" s="79"/>
      <c r="CG870" s="79"/>
      <c r="CH870" s="79"/>
      <c r="CI870" s="79"/>
    </row>
    <row r="871" spans="1:87" ht="14" x14ac:dyDescent="0.1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  <c r="BK871" s="79"/>
      <c r="BL871" s="79"/>
      <c r="BM871" s="79"/>
      <c r="BN871" s="79"/>
      <c r="BO871" s="79"/>
      <c r="BP871" s="79"/>
      <c r="BQ871" s="79"/>
      <c r="BR871" s="79"/>
      <c r="BS871" s="79"/>
      <c r="BT871" s="79"/>
      <c r="BU871" s="79"/>
      <c r="BV871" s="79"/>
      <c r="BW871" s="79"/>
      <c r="BX871" s="79"/>
      <c r="BY871" s="79"/>
      <c r="BZ871" s="79"/>
      <c r="CA871" s="79"/>
      <c r="CB871" s="79"/>
      <c r="CC871" s="79"/>
      <c r="CD871" s="79"/>
      <c r="CE871" s="79"/>
      <c r="CF871" s="79"/>
      <c r="CG871" s="79"/>
      <c r="CH871" s="79"/>
      <c r="CI871" s="79"/>
    </row>
    <row r="872" spans="1:87" ht="14" x14ac:dyDescent="0.1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79"/>
      <c r="AW872" s="79"/>
      <c r="AX872" s="79"/>
      <c r="AY872" s="79"/>
      <c r="AZ872" s="79"/>
      <c r="BA872" s="79"/>
      <c r="BB872" s="79"/>
      <c r="BC872" s="79"/>
      <c r="BD872" s="79"/>
      <c r="BE872" s="79"/>
      <c r="BF872" s="79"/>
      <c r="BG872" s="79"/>
      <c r="BH872" s="79"/>
      <c r="BI872" s="79"/>
      <c r="BJ872" s="79"/>
      <c r="BK872" s="79"/>
      <c r="BL872" s="79"/>
      <c r="BM872" s="79"/>
      <c r="BN872" s="79"/>
      <c r="BO872" s="79"/>
      <c r="BP872" s="79"/>
      <c r="BQ872" s="79"/>
      <c r="BR872" s="79"/>
      <c r="BS872" s="79"/>
      <c r="BT872" s="79"/>
      <c r="BU872" s="79"/>
      <c r="BV872" s="79"/>
      <c r="BW872" s="79"/>
      <c r="BX872" s="79"/>
      <c r="BY872" s="79"/>
      <c r="BZ872" s="79"/>
      <c r="CA872" s="79"/>
      <c r="CB872" s="79"/>
      <c r="CC872" s="79"/>
      <c r="CD872" s="79"/>
      <c r="CE872" s="79"/>
      <c r="CF872" s="79"/>
      <c r="CG872" s="79"/>
      <c r="CH872" s="79"/>
      <c r="CI872" s="79"/>
    </row>
    <row r="873" spans="1:87" ht="14" x14ac:dyDescent="0.1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79"/>
      <c r="AW873" s="79"/>
      <c r="AX873" s="79"/>
      <c r="AY873" s="79"/>
      <c r="AZ873" s="79"/>
      <c r="BA873" s="79"/>
      <c r="BB873" s="79"/>
      <c r="BC873" s="79"/>
      <c r="BD873" s="79"/>
      <c r="BE873" s="79"/>
      <c r="BF873" s="79"/>
      <c r="BG873" s="79"/>
      <c r="BH873" s="79"/>
      <c r="BI873" s="79"/>
      <c r="BJ873" s="79"/>
      <c r="BK873" s="79"/>
      <c r="BL873" s="79"/>
      <c r="BM873" s="79"/>
      <c r="BN873" s="79"/>
      <c r="BO873" s="79"/>
      <c r="BP873" s="79"/>
      <c r="BQ873" s="79"/>
      <c r="BR873" s="79"/>
      <c r="BS873" s="79"/>
      <c r="BT873" s="79"/>
      <c r="BU873" s="79"/>
      <c r="BV873" s="79"/>
      <c r="BW873" s="79"/>
      <c r="BX873" s="79"/>
      <c r="BY873" s="79"/>
      <c r="BZ873" s="79"/>
      <c r="CA873" s="79"/>
      <c r="CB873" s="79"/>
      <c r="CC873" s="79"/>
      <c r="CD873" s="79"/>
      <c r="CE873" s="79"/>
      <c r="CF873" s="79"/>
      <c r="CG873" s="79"/>
      <c r="CH873" s="79"/>
      <c r="CI873" s="79"/>
    </row>
    <row r="874" spans="1:87" ht="14" x14ac:dyDescent="0.1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  <c r="BK874" s="79"/>
      <c r="BL874" s="79"/>
      <c r="BM874" s="79"/>
      <c r="BN874" s="79"/>
      <c r="BO874" s="79"/>
      <c r="BP874" s="79"/>
      <c r="BQ874" s="79"/>
      <c r="BR874" s="79"/>
      <c r="BS874" s="79"/>
      <c r="BT874" s="79"/>
      <c r="BU874" s="79"/>
      <c r="BV874" s="79"/>
      <c r="BW874" s="79"/>
      <c r="BX874" s="79"/>
      <c r="BY874" s="79"/>
      <c r="BZ874" s="79"/>
      <c r="CA874" s="79"/>
      <c r="CB874" s="79"/>
      <c r="CC874" s="79"/>
      <c r="CD874" s="79"/>
      <c r="CE874" s="79"/>
      <c r="CF874" s="79"/>
      <c r="CG874" s="79"/>
      <c r="CH874" s="79"/>
      <c r="CI874" s="79"/>
    </row>
    <row r="875" spans="1:87" ht="14" x14ac:dyDescent="0.1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  <c r="BK875" s="79"/>
      <c r="BL875" s="79"/>
      <c r="BM875" s="79"/>
      <c r="BN875" s="79"/>
      <c r="BO875" s="79"/>
      <c r="BP875" s="79"/>
      <c r="BQ875" s="79"/>
      <c r="BR875" s="79"/>
      <c r="BS875" s="79"/>
      <c r="BT875" s="79"/>
      <c r="BU875" s="79"/>
      <c r="BV875" s="79"/>
      <c r="BW875" s="79"/>
      <c r="BX875" s="79"/>
      <c r="BY875" s="79"/>
      <c r="BZ875" s="79"/>
      <c r="CA875" s="79"/>
      <c r="CB875" s="79"/>
      <c r="CC875" s="79"/>
      <c r="CD875" s="79"/>
      <c r="CE875" s="79"/>
      <c r="CF875" s="79"/>
      <c r="CG875" s="79"/>
      <c r="CH875" s="79"/>
      <c r="CI875" s="79"/>
    </row>
    <row r="876" spans="1:87" ht="14" x14ac:dyDescent="0.1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9"/>
      <c r="BD876" s="79"/>
      <c r="BE876" s="79"/>
      <c r="BF876" s="79"/>
      <c r="BG876" s="79"/>
      <c r="BH876" s="79"/>
      <c r="BI876" s="79"/>
      <c r="BJ876" s="79"/>
      <c r="BK876" s="79"/>
      <c r="BL876" s="79"/>
      <c r="BM876" s="79"/>
      <c r="BN876" s="79"/>
      <c r="BO876" s="79"/>
      <c r="BP876" s="79"/>
      <c r="BQ876" s="79"/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  <c r="CH876" s="79"/>
      <c r="CI876" s="79"/>
    </row>
    <row r="877" spans="1:87" ht="14" x14ac:dyDescent="0.1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9"/>
      <c r="BD877" s="79"/>
      <c r="BE877" s="79"/>
      <c r="BF877" s="79"/>
      <c r="BG877" s="79"/>
      <c r="BH877" s="79"/>
      <c r="BI877" s="79"/>
      <c r="BJ877" s="79"/>
      <c r="BK877" s="79"/>
      <c r="BL877" s="79"/>
      <c r="BM877" s="79"/>
      <c r="BN877" s="79"/>
      <c r="BO877" s="79"/>
      <c r="BP877" s="79"/>
      <c r="BQ877" s="79"/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  <c r="CH877" s="79"/>
      <c r="CI877" s="79"/>
    </row>
    <row r="878" spans="1:87" ht="14" x14ac:dyDescent="0.1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79"/>
      <c r="AW878" s="79"/>
      <c r="AX878" s="79"/>
      <c r="AY878" s="79"/>
      <c r="AZ878" s="79"/>
      <c r="BA878" s="79"/>
      <c r="BB878" s="79"/>
      <c r="BC878" s="79"/>
      <c r="BD878" s="79"/>
      <c r="BE878" s="79"/>
      <c r="BF878" s="79"/>
      <c r="BG878" s="79"/>
      <c r="BH878" s="79"/>
      <c r="BI878" s="79"/>
      <c r="BJ878" s="79"/>
      <c r="BK878" s="79"/>
      <c r="BL878" s="79"/>
      <c r="BM878" s="79"/>
      <c r="BN878" s="79"/>
      <c r="BO878" s="79"/>
      <c r="BP878" s="79"/>
      <c r="BQ878" s="79"/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  <c r="CH878" s="79"/>
      <c r="CI878" s="79"/>
    </row>
    <row r="879" spans="1:87" ht="14" x14ac:dyDescent="0.1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79"/>
      <c r="AW879" s="79"/>
      <c r="AX879" s="79"/>
      <c r="AY879" s="79"/>
      <c r="AZ879" s="79"/>
      <c r="BA879" s="79"/>
      <c r="BB879" s="79"/>
      <c r="BC879" s="79"/>
      <c r="BD879" s="79"/>
      <c r="BE879" s="79"/>
      <c r="BF879" s="79"/>
      <c r="BG879" s="79"/>
      <c r="BH879" s="79"/>
      <c r="BI879" s="79"/>
      <c r="BJ879" s="79"/>
      <c r="BK879" s="79"/>
      <c r="BL879" s="79"/>
      <c r="BM879" s="79"/>
      <c r="BN879" s="79"/>
      <c r="BO879" s="79"/>
      <c r="BP879" s="79"/>
      <c r="BQ879" s="79"/>
      <c r="BR879" s="79"/>
      <c r="BS879" s="79"/>
      <c r="BT879" s="79"/>
      <c r="BU879" s="79"/>
      <c r="BV879" s="79"/>
      <c r="BW879" s="79"/>
      <c r="BX879" s="79"/>
      <c r="BY879" s="79"/>
      <c r="BZ879" s="79"/>
      <c r="CA879" s="79"/>
      <c r="CB879" s="79"/>
      <c r="CC879" s="79"/>
      <c r="CD879" s="79"/>
      <c r="CE879" s="79"/>
      <c r="CF879" s="79"/>
      <c r="CG879" s="79"/>
      <c r="CH879" s="79"/>
      <c r="CI879" s="79"/>
    </row>
    <row r="880" spans="1:87" ht="14" x14ac:dyDescent="0.1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79"/>
      <c r="AW880" s="79"/>
      <c r="AX880" s="79"/>
      <c r="AY880" s="79"/>
      <c r="AZ880" s="79"/>
      <c r="BA880" s="79"/>
      <c r="BB880" s="79"/>
      <c r="BC880" s="79"/>
      <c r="BD880" s="79"/>
      <c r="BE880" s="79"/>
      <c r="BF880" s="79"/>
      <c r="BG880" s="79"/>
      <c r="BH880" s="79"/>
      <c r="BI880" s="79"/>
      <c r="BJ880" s="79"/>
      <c r="BK880" s="79"/>
      <c r="BL880" s="79"/>
      <c r="BM880" s="79"/>
      <c r="BN880" s="79"/>
      <c r="BO880" s="79"/>
      <c r="BP880" s="79"/>
      <c r="BQ880" s="79"/>
      <c r="BR880" s="79"/>
      <c r="BS880" s="79"/>
      <c r="BT880" s="79"/>
      <c r="BU880" s="79"/>
      <c r="BV880" s="79"/>
      <c r="BW880" s="79"/>
      <c r="BX880" s="79"/>
      <c r="BY880" s="79"/>
      <c r="BZ880" s="79"/>
      <c r="CA880" s="79"/>
      <c r="CB880" s="79"/>
      <c r="CC880" s="79"/>
      <c r="CD880" s="79"/>
      <c r="CE880" s="79"/>
      <c r="CF880" s="79"/>
      <c r="CG880" s="79"/>
      <c r="CH880" s="79"/>
      <c r="CI880" s="79"/>
    </row>
    <row r="881" spans="1:87" ht="14" x14ac:dyDescent="0.1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79"/>
      <c r="AW881" s="79"/>
      <c r="AX881" s="79"/>
      <c r="AY881" s="79"/>
      <c r="AZ881" s="79"/>
      <c r="BA881" s="79"/>
      <c r="BB881" s="79"/>
      <c r="BC881" s="79"/>
      <c r="BD881" s="79"/>
      <c r="BE881" s="79"/>
      <c r="BF881" s="79"/>
      <c r="BG881" s="79"/>
      <c r="BH881" s="79"/>
      <c r="BI881" s="79"/>
      <c r="BJ881" s="79"/>
      <c r="BK881" s="79"/>
      <c r="BL881" s="79"/>
      <c r="BM881" s="79"/>
      <c r="BN881" s="79"/>
      <c r="BO881" s="79"/>
      <c r="BP881" s="79"/>
      <c r="BQ881" s="79"/>
      <c r="BR881" s="79"/>
      <c r="BS881" s="79"/>
      <c r="BT881" s="79"/>
      <c r="BU881" s="79"/>
      <c r="BV881" s="79"/>
      <c r="BW881" s="79"/>
      <c r="BX881" s="79"/>
      <c r="BY881" s="79"/>
      <c r="BZ881" s="79"/>
      <c r="CA881" s="79"/>
      <c r="CB881" s="79"/>
      <c r="CC881" s="79"/>
      <c r="CD881" s="79"/>
      <c r="CE881" s="79"/>
      <c r="CF881" s="79"/>
      <c r="CG881" s="79"/>
      <c r="CH881" s="79"/>
      <c r="CI881" s="79"/>
    </row>
    <row r="882" spans="1:87" ht="14" x14ac:dyDescent="0.1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79"/>
      <c r="AW882" s="79"/>
      <c r="AX882" s="79"/>
      <c r="AY882" s="79"/>
      <c r="AZ882" s="79"/>
      <c r="BA882" s="79"/>
      <c r="BB882" s="79"/>
      <c r="BC882" s="79"/>
      <c r="BD882" s="79"/>
      <c r="BE882" s="79"/>
      <c r="BF882" s="79"/>
      <c r="BG882" s="79"/>
      <c r="BH882" s="79"/>
      <c r="BI882" s="79"/>
      <c r="BJ882" s="79"/>
      <c r="BK882" s="79"/>
      <c r="BL882" s="79"/>
      <c r="BM882" s="79"/>
      <c r="BN882" s="79"/>
      <c r="BO882" s="79"/>
      <c r="BP882" s="79"/>
      <c r="BQ882" s="79"/>
      <c r="BR882" s="79"/>
      <c r="BS882" s="79"/>
      <c r="BT882" s="79"/>
      <c r="BU882" s="79"/>
      <c r="BV882" s="79"/>
      <c r="BW882" s="79"/>
      <c r="BX882" s="79"/>
      <c r="BY882" s="79"/>
      <c r="BZ882" s="79"/>
      <c r="CA882" s="79"/>
      <c r="CB882" s="79"/>
      <c r="CC882" s="79"/>
      <c r="CD882" s="79"/>
      <c r="CE882" s="79"/>
      <c r="CF882" s="79"/>
      <c r="CG882" s="79"/>
      <c r="CH882" s="79"/>
      <c r="CI882" s="79"/>
    </row>
    <row r="883" spans="1:87" ht="14" x14ac:dyDescent="0.1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79"/>
      <c r="AW883" s="79"/>
      <c r="AX883" s="79"/>
      <c r="AY883" s="79"/>
      <c r="AZ883" s="79"/>
      <c r="BA883" s="79"/>
      <c r="BB883" s="79"/>
      <c r="BC883" s="79"/>
      <c r="BD883" s="79"/>
      <c r="BE883" s="79"/>
      <c r="BF883" s="79"/>
      <c r="BG883" s="79"/>
      <c r="BH883" s="79"/>
      <c r="BI883" s="79"/>
      <c r="BJ883" s="79"/>
      <c r="BK883" s="79"/>
      <c r="BL883" s="79"/>
      <c r="BM883" s="79"/>
      <c r="BN883" s="79"/>
      <c r="BO883" s="79"/>
      <c r="BP883" s="79"/>
      <c r="BQ883" s="79"/>
      <c r="BR883" s="79"/>
      <c r="BS883" s="79"/>
      <c r="BT883" s="79"/>
      <c r="BU883" s="79"/>
      <c r="BV883" s="79"/>
      <c r="BW883" s="79"/>
      <c r="BX883" s="79"/>
      <c r="BY883" s="79"/>
      <c r="BZ883" s="79"/>
      <c r="CA883" s="79"/>
      <c r="CB883" s="79"/>
      <c r="CC883" s="79"/>
      <c r="CD883" s="79"/>
      <c r="CE883" s="79"/>
      <c r="CF883" s="79"/>
      <c r="CG883" s="79"/>
      <c r="CH883" s="79"/>
      <c r="CI883" s="79"/>
    </row>
    <row r="884" spans="1:87" ht="14" x14ac:dyDescent="0.1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79"/>
      <c r="AW884" s="79"/>
      <c r="AX884" s="79"/>
      <c r="AY884" s="79"/>
      <c r="AZ884" s="79"/>
      <c r="BA884" s="79"/>
      <c r="BB884" s="79"/>
      <c r="BC884" s="79"/>
      <c r="BD884" s="79"/>
      <c r="BE884" s="79"/>
      <c r="BF884" s="79"/>
      <c r="BG884" s="79"/>
      <c r="BH884" s="79"/>
      <c r="BI884" s="79"/>
      <c r="BJ884" s="79"/>
      <c r="BK884" s="79"/>
      <c r="BL884" s="79"/>
      <c r="BM884" s="79"/>
      <c r="BN884" s="79"/>
      <c r="BO884" s="79"/>
      <c r="BP884" s="79"/>
      <c r="BQ884" s="79"/>
      <c r="BR884" s="79"/>
      <c r="BS884" s="79"/>
      <c r="BT884" s="79"/>
      <c r="BU884" s="79"/>
      <c r="BV884" s="79"/>
      <c r="BW884" s="79"/>
      <c r="BX884" s="79"/>
      <c r="BY884" s="79"/>
      <c r="BZ884" s="79"/>
      <c r="CA884" s="79"/>
      <c r="CB884" s="79"/>
      <c r="CC884" s="79"/>
      <c r="CD884" s="79"/>
      <c r="CE884" s="79"/>
      <c r="CF884" s="79"/>
      <c r="CG884" s="79"/>
      <c r="CH884" s="79"/>
      <c r="CI884" s="79"/>
    </row>
    <row r="885" spans="1:87" ht="14" x14ac:dyDescent="0.1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79"/>
      <c r="AW885" s="79"/>
      <c r="AX885" s="79"/>
      <c r="AY885" s="79"/>
      <c r="AZ885" s="79"/>
      <c r="BA885" s="79"/>
      <c r="BB885" s="79"/>
      <c r="BC885" s="79"/>
      <c r="BD885" s="79"/>
      <c r="BE885" s="79"/>
      <c r="BF885" s="79"/>
      <c r="BG885" s="79"/>
      <c r="BH885" s="79"/>
      <c r="BI885" s="79"/>
      <c r="BJ885" s="79"/>
      <c r="BK885" s="79"/>
      <c r="BL885" s="79"/>
      <c r="BM885" s="79"/>
      <c r="BN885" s="79"/>
      <c r="BO885" s="79"/>
      <c r="BP885" s="79"/>
      <c r="BQ885" s="79"/>
      <c r="BR885" s="79"/>
      <c r="BS885" s="79"/>
      <c r="BT885" s="79"/>
      <c r="BU885" s="79"/>
      <c r="BV885" s="79"/>
      <c r="BW885" s="79"/>
      <c r="BX885" s="79"/>
      <c r="BY885" s="79"/>
      <c r="BZ885" s="79"/>
      <c r="CA885" s="79"/>
      <c r="CB885" s="79"/>
      <c r="CC885" s="79"/>
      <c r="CD885" s="79"/>
      <c r="CE885" s="79"/>
      <c r="CF885" s="79"/>
      <c r="CG885" s="79"/>
      <c r="CH885" s="79"/>
      <c r="CI885" s="79"/>
    </row>
    <row r="886" spans="1:87" ht="14" x14ac:dyDescent="0.1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79"/>
      <c r="AW886" s="79"/>
      <c r="AX886" s="79"/>
      <c r="AY886" s="79"/>
      <c r="AZ886" s="79"/>
      <c r="BA886" s="79"/>
      <c r="BB886" s="79"/>
      <c r="BC886" s="79"/>
      <c r="BD886" s="79"/>
      <c r="BE886" s="79"/>
      <c r="BF886" s="79"/>
      <c r="BG886" s="79"/>
      <c r="BH886" s="79"/>
      <c r="BI886" s="79"/>
      <c r="BJ886" s="79"/>
      <c r="BK886" s="79"/>
      <c r="BL886" s="79"/>
      <c r="BM886" s="79"/>
      <c r="BN886" s="79"/>
      <c r="BO886" s="79"/>
      <c r="BP886" s="79"/>
      <c r="BQ886" s="79"/>
      <c r="BR886" s="79"/>
      <c r="BS886" s="79"/>
      <c r="BT886" s="79"/>
      <c r="BU886" s="79"/>
      <c r="BV886" s="79"/>
      <c r="BW886" s="79"/>
      <c r="BX886" s="79"/>
      <c r="BY886" s="79"/>
      <c r="BZ886" s="79"/>
      <c r="CA886" s="79"/>
      <c r="CB886" s="79"/>
      <c r="CC886" s="79"/>
      <c r="CD886" s="79"/>
      <c r="CE886" s="79"/>
      <c r="CF886" s="79"/>
      <c r="CG886" s="79"/>
      <c r="CH886" s="79"/>
      <c r="CI886" s="79"/>
    </row>
    <row r="887" spans="1:87" ht="14" x14ac:dyDescent="0.1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79"/>
      <c r="AW887" s="79"/>
      <c r="AX887" s="79"/>
      <c r="AY887" s="79"/>
      <c r="AZ887" s="79"/>
      <c r="BA887" s="79"/>
      <c r="BB887" s="79"/>
      <c r="BC887" s="79"/>
      <c r="BD887" s="79"/>
      <c r="BE887" s="79"/>
      <c r="BF887" s="79"/>
      <c r="BG887" s="79"/>
      <c r="BH887" s="79"/>
      <c r="BI887" s="79"/>
      <c r="BJ887" s="79"/>
      <c r="BK887" s="79"/>
      <c r="BL887" s="79"/>
      <c r="BM887" s="79"/>
      <c r="BN887" s="79"/>
      <c r="BO887" s="79"/>
      <c r="BP887" s="79"/>
      <c r="BQ887" s="79"/>
      <c r="BR887" s="79"/>
      <c r="BS887" s="79"/>
      <c r="BT887" s="79"/>
      <c r="BU887" s="79"/>
      <c r="BV887" s="79"/>
      <c r="BW887" s="79"/>
      <c r="BX887" s="79"/>
      <c r="BY887" s="79"/>
      <c r="BZ887" s="79"/>
      <c r="CA887" s="79"/>
      <c r="CB887" s="79"/>
      <c r="CC887" s="79"/>
      <c r="CD887" s="79"/>
      <c r="CE887" s="79"/>
      <c r="CF887" s="79"/>
      <c r="CG887" s="79"/>
      <c r="CH887" s="79"/>
      <c r="CI887" s="79"/>
    </row>
    <row r="888" spans="1:87" ht="14" x14ac:dyDescent="0.1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79"/>
      <c r="AW888" s="79"/>
      <c r="AX888" s="79"/>
      <c r="AY888" s="79"/>
      <c r="AZ888" s="79"/>
      <c r="BA888" s="79"/>
      <c r="BB888" s="79"/>
      <c r="BC888" s="79"/>
      <c r="BD888" s="79"/>
      <c r="BE888" s="79"/>
      <c r="BF888" s="79"/>
      <c r="BG888" s="79"/>
      <c r="BH888" s="79"/>
      <c r="BI888" s="79"/>
      <c r="BJ888" s="79"/>
      <c r="BK888" s="79"/>
      <c r="BL888" s="79"/>
      <c r="BM888" s="79"/>
      <c r="BN888" s="79"/>
      <c r="BO888" s="79"/>
      <c r="BP888" s="79"/>
      <c r="BQ888" s="79"/>
      <c r="BR888" s="79"/>
      <c r="BS888" s="79"/>
      <c r="BT888" s="79"/>
      <c r="BU888" s="79"/>
      <c r="BV888" s="79"/>
      <c r="BW888" s="79"/>
      <c r="BX888" s="79"/>
      <c r="BY888" s="79"/>
      <c r="BZ888" s="79"/>
      <c r="CA888" s="79"/>
      <c r="CB888" s="79"/>
      <c r="CC888" s="79"/>
      <c r="CD888" s="79"/>
      <c r="CE888" s="79"/>
      <c r="CF888" s="79"/>
      <c r="CG888" s="79"/>
      <c r="CH888" s="79"/>
      <c r="CI888" s="79"/>
    </row>
    <row r="889" spans="1:87" ht="14" x14ac:dyDescent="0.1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  <c r="BK889" s="79"/>
      <c r="BL889" s="79"/>
      <c r="BM889" s="79"/>
      <c r="BN889" s="79"/>
      <c r="BO889" s="79"/>
      <c r="BP889" s="79"/>
      <c r="BQ889" s="79"/>
      <c r="BR889" s="79"/>
      <c r="BS889" s="79"/>
      <c r="BT889" s="79"/>
      <c r="BU889" s="79"/>
      <c r="BV889" s="79"/>
      <c r="BW889" s="79"/>
      <c r="BX889" s="79"/>
      <c r="BY889" s="79"/>
      <c r="BZ889" s="79"/>
      <c r="CA889" s="79"/>
      <c r="CB889" s="79"/>
      <c r="CC889" s="79"/>
      <c r="CD889" s="79"/>
      <c r="CE889" s="79"/>
      <c r="CF889" s="79"/>
      <c r="CG889" s="79"/>
      <c r="CH889" s="79"/>
      <c r="CI889" s="79"/>
    </row>
    <row r="890" spans="1:87" ht="14" x14ac:dyDescent="0.1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/>
      <c r="BD890" s="79"/>
      <c r="BE890" s="79"/>
      <c r="BF890" s="79"/>
      <c r="BG890" s="79"/>
      <c r="BH890" s="79"/>
      <c r="BI890" s="79"/>
      <c r="BJ890" s="79"/>
      <c r="BK890" s="79"/>
      <c r="BL890" s="79"/>
      <c r="BM890" s="79"/>
      <c r="BN890" s="79"/>
      <c r="BO890" s="79"/>
      <c r="BP890" s="79"/>
      <c r="BQ890" s="79"/>
      <c r="BR890" s="79"/>
      <c r="BS890" s="79"/>
      <c r="BT890" s="79"/>
      <c r="BU890" s="79"/>
      <c r="BV890" s="79"/>
      <c r="BW890" s="79"/>
      <c r="BX890" s="79"/>
      <c r="BY890" s="79"/>
      <c r="BZ890" s="79"/>
      <c r="CA890" s="79"/>
      <c r="CB890" s="79"/>
      <c r="CC890" s="79"/>
      <c r="CD890" s="79"/>
      <c r="CE890" s="79"/>
      <c r="CF890" s="79"/>
      <c r="CG890" s="79"/>
      <c r="CH890" s="79"/>
      <c r="CI890" s="79"/>
    </row>
    <row r="891" spans="1:87" ht="14" x14ac:dyDescent="0.1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/>
      <c r="BD891" s="79"/>
      <c r="BE891" s="79"/>
      <c r="BF891" s="79"/>
      <c r="BG891" s="79"/>
      <c r="BH891" s="79"/>
      <c r="BI891" s="79"/>
      <c r="BJ891" s="79"/>
      <c r="BK891" s="79"/>
      <c r="BL891" s="79"/>
      <c r="BM891" s="79"/>
      <c r="BN891" s="79"/>
      <c r="BO891" s="79"/>
      <c r="BP891" s="79"/>
      <c r="BQ891" s="79"/>
      <c r="BR891" s="79"/>
      <c r="BS891" s="79"/>
      <c r="BT891" s="79"/>
      <c r="BU891" s="79"/>
      <c r="BV891" s="79"/>
      <c r="BW891" s="79"/>
      <c r="BX891" s="79"/>
      <c r="BY891" s="79"/>
      <c r="BZ891" s="79"/>
      <c r="CA891" s="79"/>
      <c r="CB891" s="79"/>
      <c r="CC891" s="79"/>
      <c r="CD891" s="79"/>
      <c r="CE891" s="79"/>
      <c r="CF891" s="79"/>
      <c r="CG891" s="79"/>
      <c r="CH891" s="79"/>
      <c r="CI891" s="79"/>
    </row>
    <row r="892" spans="1:87" ht="14" x14ac:dyDescent="0.1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  <c r="BK892" s="79"/>
      <c r="BL892" s="79"/>
      <c r="BM892" s="79"/>
      <c r="BN892" s="79"/>
      <c r="BO892" s="79"/>
      <c r="BP892" s="79"/>
      <c r="BQ892" s="79"/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  <c r="CH892" s="79"/>
      <c r="CI892" s="79"/>
    </row>
    <row r="893" spans="1:87" ht="14" x14ac:dyDescent="0.1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79"/>
      <c r="AW893" s="79"/>
      <c r="AX893" s="79"/>
      <c r="AY893" s="79"/>
      <c r="AZ893" s="79"/>
      <c r="BA893" s="79"/>
      <c r="BB893" s="79"/>
      <c r="BC893" s="79"/>
      <c r="BD893" s="79"/>
      <c r="BE893" s="79"/>
      <c r="BF893" s="79"/>
      <c r="BG893" s="79"/>
      <c r="BH893" s="79"/>
      <c r="BI893" s="79"/>
      <c r="BJ893" s="79"/>
      <c r="BK893" s="79"/>
      <c r="BL893" s="79"/>
      <c r="BM893" s="79"/>
      <c r="BN893" s="79"/>
      <c r="BO893" s="79"/>
      <c r="BP893" s="79"/>
      <c r="BQ893" s="79"/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  <c r="CH893" s="79"/>
      <c r="CI893" s="79"/>
    </row>
    <row r="894" spans="1:87" ht="14" x14ac:dyDescent="0.1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79"/>
      <c r="AW894" s="79"/>
      <c r="AX894" s="79"/>
      <c r="AY894" s="79"/>
      <c r="AZ894" s="79"/>
      <c r="BA894" s="79"/>
      <c r="BB894" s="79"/>
      <c r="BC894" s="79"/>
      <c r="BD894" s="79"/>
      <c r="BE894" s="79"/>
      <c r="BF894" s="79"/>
      <c r="BG894" s="79"/>
      <c r="BH894" s="79"/>
      <c r="BI894" s="79"/>
      <c r="BJ894" s="79"/>
      <c r="BK894" s="79"/>
      <c r="BL894" s="79"/>
      <c r="BM894" s="79"/>
      <c r="BN894" s="79"/>
      <c r="BO894" s="79"/>
      <c r="BP894" s="79"/>
      <c r="BQ894" s="79"/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  <c r="CH894" s="79"/>
      <c r="CI894" s="79"/>
    </row>
    <row r="895" spans="1:87" ht="14" x14ac:dyDescent="0.1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79"/>
      <c r="AW895" s="79"/>
      <c r="AX895" s="79"/>
      <c r="AY895" s="79"/>
      <c r="AZ895" s="79"/>
      <c r="BA895" s="79"/>
      <c r="BB895" s="79"/>
      <c r="BC895" s="79"/>
      <c r="BD895" s="79"/>
      <c r="BE895" s="79"/>
      <c r="BF895" s="79"/>
      <c r="BG895" s="79"/>
      <c r="BH895" s="79"/>
      <c r="BI895" s="79"/>
      <c r="BJ895" s="79"/>
      <c r="BK895" s="79"/>
      <c r="BL895" s="79"/>
      <c r="BM895" s="79"/>
      <c r="BN895" s="79"/>
      <c r="BO895" s="79"/>
      <c r="BP895" s="79"/>
      <c r="BQ895" s="79"/>
      <c r="BR895" s="79"/>
      <c r="BS895" s="79"/>
      <c r="BT895" s="79"/>
      <c r="BU895" s="79"/>
      <c r="BV895" s="79"/>
      <c r="BW895" s="79"/>
      <c r="BX895" s="79"/>
      <c r="BY895" s="79"/>
      <c r="BZ895" s="79"/>
      <c r="CA895" s="79"/>
      <c r="CB895" s="79"/>
      <c r="CC895" s="79"/>
      <c r="CD895" s="79"/>
      <c r="CE895" s="79"/>
      <c r="CF895" s="79"/>
      <c r="CG895" s="79"/>
      <c r="CH895" s="79"/>
      <c r="CI895" s="79"/>
    </row>
    <row r="896" spans="1:87" ht="14" x14ac:dyDescent="0.1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79"/>
      <c r="AW896" s="79"/>
      <c r="AX896" s="79"/>
      <c r="AY896" s="79"/>
      <c r="AZ896" s="79"/>
      <c r="BA896" s="79"/>
      <c r="BB896" s="79"/>
      <c r="BC896" s="79"/>
      <c r="BD896" s="79"/>
      <c r="BE896" s="79"/>
      <c r="BF896" s="79"/>
      <c r="BG896" s="79"/>
      <c r="BH896" s="79"/>
      <c r="BI896" s="79"/>
      <c r="BJ896" s="79"/>
      <c r="BK896" s="79"/>
      <c r="BL896" s="79"/>
      <c r="BM896" s="79"/>
      <c r="BN896" s="79"/>
      <c r="BO896" s="79"/>
      <c r="BP896" s="79"/>
      <c r="BQ896" s="79"/>
      <c r="BR896" s="79"/>
      <c r="BS896" s="79"/>
      <c r="BT896" s="79"/>
      <c r="BU896" s="79"/>
      <c r="BV896" s="79"/>
      <c r="BW896" s="79"/>
      <c r="BX896" s="79"/>
      <c r="BY896" s="79"/>
      <c r="BZ896" s="79"/>
      <c r="CA896" s="79"/>
      <c r="CB896" s="79"/>
      <c r="CC896" s="79"/>
      <c r="CD896" s="79"/>
      <c r="CE896" s="79"/>
      <c r="CF896" s="79"/>
      <c r="CG896" s="79"/>
      <c r="CH896" s="79"/>
      <c r="CI896" s="79"/>
    </row>
    <row r="897" spans="1:87" ht="14" x14ac:dyDescent="0.1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79"/>
      <c r="AW897" s="79"/>
      <c r="AX897" s="79"/>
      <c r="AY897" s="79"/>
      <c r="AZ897" s="79"/>
      <c r="BA897" s="79"/>
      <c r="BB897" s="79"/>
      <c r="BC897" s="79"/>
      <c r="BD897" s="79"/>
      <c r="BE897" s="79"/>
      <c r="BF897" s="79"/>
      <c r="BG897" s="79"/>
      <c r="BH897" s="79"/>
      <c r="BI897" s="79"/>
      <c r="BJ897" s="79"/>
      <c r="BK897" s="79"/>
      <c r="BL897" s="79"/>
      <c r="BM897" s="79"/>
      <c r="BN897" s="79"/>
      <c r="BO897" s="79"/>
      <c r="BP897" s="79"/>
      <c r="BQ897" s="79"/>
      <c r="BR897" s="79"/>
      <c r="BS897" s="79"/>
      <c r="BT897" s="79"/>
      <c r="BU897" s="79"/>
      <c r="BV897" s="79"/>
      <c r="BW897" s="79"/>
      <c r="BX897" s="79"/>
      <c r="BY897" s="79"/>
      <c r="BZ897" s="79"/>
      <c r="CA897" s="79"/>
      <c r="CB897" s="79"/>
      <c r="CC897" s="79"/>
      <c r="CD897" s="79"/>
      <c r="CE897" s="79"/>
      <c r="CF897" s="79"/>
      <c r="CG897" s="79"/>
      <c r="CH897" s="79"/>
      <c r="CI897" s="79"/>
    </row>
    <row r="898" spans="1:87" ht="14" x14ac:dyDescent="0.1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79"/>
      <c r="AW898" s="79"/>
      <c r="AX898" s="79"/>
      <c r="AY898" s="79"/>
      <c r="AZ898" s="79"/>
      <c r="BA898" s="79"/>
      <c r="BB898" s="79"/>
      <c r="BC898" s="79"/>
      <c r="BD898" s="79"/>
      <c r="BE898" s="79"/>
      <c r="BF898" s="79"/>
      <c r="BG898" s="79"/>
      <c r="BH898" s="79"/>
      <c r="BI898" s="79"/>
      <c r="BJ898" s="79"/>
      <c r="BK898" s="79"/>
      <c r="BL898" s="79"/>
      <c r="BM898" s="79"/>
      <c r="BN898" s="79"/>
      <c r="BO898" s="79"/>
      <c r="BP898" s="79"/>
      <c r="BQ898" s="79"/>
      <c r="BR898" s="79"/>
      <c r="BS898" s="79"/>
      <c r="BT898" s="79"/>
      <c r="BU898" s="79"/>
      <c r="BV898" s="79"/>
      <c r="BW898" s="79"/>
      <c r="BX898" s="79"/>
      <c r="BY898" s="79"/>
      <c r="BZ898" s="79"/>
      <c r="CA898" s="79"/>
      <c r="CB898" s="79"/>
      <c r="CC898" s="79"/>
      <c r="CD898" s="79"/>
      <c r="CE898" s="79"/>
      <c r="CF898" s="79"/>
      <c r="CG898" s="79"/>
      <c r="CH898" s="79"/>
      <c r="CI898" s="79"/>
    </row>
    <row r="899" spans="1:87" ht="14" x14ac:dyDescent="0.1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79"/>
      <c r="AW899" s="79"/>
      <c r="AX899" s="79"/>
      <c r="AY899" s="79"/>
      <c r="AZ899" s="79"/>
      <c r="BA899" s="79"/>
      <c r="BB899" s="79"/>
      <c r="BC899" s="79"/>
      <c r="BD899" s="79"/>
      <c r="BE899" s="79"/>
      <c r="BF899" s="79"/>
      <c r="BG899" s="79"/>
      <c r="BH899" s="79"/>
      <c r="BI899" s="79"/>
      <c r="BJ899" s="79"/>
      <c r="BK899" s="79"/>
      <c r="BL899" s="79"/>
      <c r="BM899" s="79"/>
      <c r="BN899" s="79"/>
      <c r="BO899" s="79"/>
      <c r="BP899" s="79"/>
      <c r="BQ899" s="79"/>
      <c r="BR899" s="79"/>
      <c r="BS899" s="79"/>
      <c r="BT899" s="79"/>
      <c r="BU899" s="79"/>
      <c r="BV899" s="79"/>
      <c r="BW899" s="79"/>
      <c r="BX899" s="79"/>
      <c r="BY899" s="79"/>
      <c r="BZ899" s="79"/>
      <c r="CA899" s="79"/>
      <c r="CB899" s="79"/>
      <c r="CC899" s="79"/>
      <c r="CD899" s="79"/>
      <c r="CE899" s="79"/>
      <c r="CF899" s="79"/>
      <c r="CG899" s="79"/>
      <c r="CH899" s="79"/>
      <c r="CI899" s="79"/>
    </row>
    <row r="900" spans="1:87" ht="14" x14ac:dyDescent="0.1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79"/>
      <c r="AW900" s="79"/>
      <c r="AX900" s="79"/>
      <c r="AY900" s="79"/>
      <c r="AZ900" s="79"/>
      <c r="BA900" s="79"/>
      <c r="BB900" s="79"/>
      <c r="BC900" s="79"/>
      <c r="BD900" s="79"/>
      <c r="BE900" s="79"/>
      <c r="BF900" s="79"/>
      <c r="BG900" s="79"/>
      <c r="BH900" s="79"/>
      <c r="BI900" s="79"/>
      <c r="BJ900" s="79"/>
      <c r="BK900" s="79"/>
      <c r="BL900" s="79"/>
      <c r="BM900" s="79"/>
      <c r="BN900" s="79"/>
      <c r="BO900" s="79"/>
      <c r="BP900" s="79"/>
      <c r="BQ900" s="79"/>
      <c r="BR900" s="79"/>
      <c r="BS900" s="79"/>
      <c r="BT900" s="79"/>
      <c r="BU900" s="79"/>
      <c r="BV900" s="79"/>
      <c r="BW900" s="79"/>
      <c r="BX900" s="79"/>
      <c r="BY900" s="79"/>
      <c r="BZ900" s="79"/>
      <c r="CA900" s="79"/>
      <c r="CB900" s="79"/>
      <c r="CC900" s="79"/>
      <c r="CD900" s="79"/>
      <c r="CE900" s="79"/>
      <c r="CF900" s="79"/>
      <c r="CG900" s="79"/>
      <c r="CH900" s="79"/>
      <c r="CI900" s="79"/>
    </row>
    <row r="901" spans="1:87" ht="14" x14ac:dyDescent="0.1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  <c r="BK901" s="79"/>
      <c r="BL901" s="79"/>
      <c r="BM901" s="79"/>
      <c r="BN901" s="79"/>
      <c r="BO901" s="79"/>
      <c r="BP901" s="79"/>
      <c r="BQ901" s="79"/>
      <c r="BR901" s="79"/>
      <c r="BS901" s="79"/>
      <c r="BT901" s="79"/>
      <c r="BU901" s="79"/>
      <c r="BV901" s="79"/>
      <c r="BW901" s="79"/>
      <c r="BX901" s="79"/>
      <c r="BY901" s="79"/>
      <c r="BZ901" s="79"/>
      <c r="CA901" s="79"/>
      <c r="CB901" s="79"/>
      <c r="CC901" s="79"/>
      <c r="CD901" s="79"/>
      <c r="CE901" s="79"/>
      <c r="CF901" s="79"/>
      <c r="CG901" s="79"/>
      <c r="CH901" s="79"/>
      <c r="CI901" s="79"/>
    </row>
    <row r="902" spans="1:87" ht="14" x14ac:dyDescent="0.1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79"/>
      <c r="AW902" s="79"/>
      <c r="AX902" s="79"/>
      <c r="AY902" s="79"/>
      <c r="AZ902" s="79"/>
      <c r="BA902" s="79"/>
      <c r="BB902" s="79"/>
      <c r="BC902" s="79"/>
      <c r="BD902" s="79"/>
      <c r="BE902" s="79"/>
      <c r="BF902" s="79"/>
      <c r="BG902" s="79"/>
      <c r="BH902" s="79"/>
      <c r="BI902" s="79"/>
      <c r="BJ902" s="79"/>
      <c r="BK902" s="79"/>
      <c r="BL902" s="79"/>
      <c r="BM902" s="79"/>
      <c r="BN902" s="79"/>
      <c r="BO902" s="79"/>
      <c r="BP902" s="79"/>
      <c r="BQ902" s="79"/>
      <c r="BR902" s="79"/>
      <c r="BS902" s="79"/>
      <c r="BT902" s="79"/>
      <c r="BU902" s="79"/>
      <c r="BV902" s="79"/>
      <c r="BW902" s="79"/>
      <c r="BX902" s="79"/>
      <c r="BY902" s="79"/>
      <c r="BZ902" s="79"/>
      <c r="CA902" s="79"/>
      <c r="CB902" s="79"/>
      <c r="CC902" s="79"/>
      <c r="CD902" s="79"/>
      <c r="CE902" s="79"/>
      <c r="CF902" s="79"/>
      <c r="CG902" s="79"/>
      <c r="CH902" s="79"/>
      <c r="CI902" s="79"/>
    </row>
    <row r="903" spans="1:87" ht="14" x14ac:dyDescent="0.1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79"/>
      <c r="AW903" s="79"/>
      <c r="AX903" s="79"/>
      <c r="AY903" s="79"/>
      <c r="AZ903" s="79"/>
      <c r="BA903" s="79"/>
      <c r="BB903" s="79"/>
      <c r="BC903" s="79"/>
      <c r="BD903" s="79"/>
      <c r="BE903" s="79"/>
      <c r="BF903" s="79"/>
      <c r="BG903" s="79"/>
      <c r="BH903" s="79"/>
      <c r="BI903" s="79"/>
      <c r="BJ903" s="79"/>
      <c r="BK903" s="79"/>
      <c r="BL903" s="79"/>
      <c r="BM903" s="79"/>
      <c r="BN903" s="79"/>
      <c r="BO903" s="79"/>
      <c r="BP903" s="79"/>
      <c r="BQ903" s="79"/>
      <c r="BR903" s="79"/>
      <c r="BS903" s="79"/>
      <c r="BT903" s="79"/>
      <c r="BU903" s="79"/>
      <c r="BV903" s="79"/>
      <c r="BW903" s="79"/>
      <c r="BX903" s="79"/>
      <c r="BY903" s="79"/>
      <c r="BZ903" s="79"/>
      <c r="CA903" s="79"/>
      <c r="CB903" s="79"/>
      <c r="CC903" s="79"/>
      <c r="CD903" s="79"/>
      <c r="CE903" s="79"/>
      <c r="CF903" s="79"/>
      <c r="CG903" s="79"/>
      <c r="CH903" s="79"/>
      <c r="CI903" s="79"/>
    </row>
    <row r="904" spans="1:87" ht="14" x14ac:dyDescent="0.1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  <c r="BK904" s="79"/>
      <c r="BL904" s="79"/>
      <c r="BM904" s="79"/>
      <c r="BN904" s="79"/>
      <c r="BO904" s="79"/>
      <c r="BP904" s="79"/>
      <c r="BQ904" s="79"/>
      <c r="BR904" s="79"/>
      <c r="BS904" s="79"/>
      <c r="BT904" s="79"/>
      <c r="BU904" s="79"/>
      <c r="BV904" s="79"/>
      <c r="BW904" s="79"/>
      <c r="BX904" s="79"/>
      <c r="BY904" s="79"/>
      <c r="BZ904" s="79"/>
      <c r="CA904" s="79"/>
      <c r="CB904" s="79"/>
      <c r="CC904" s="79"/>
      <c r="CD904" s="79"/>
      <c r="CE904" s="79"/>
      <c r="CF904" s="79"/>
      <c r="CG904" s="79"/>
      <c r="CH904" s="79"/>
      <c r="CI904" s="79"/>
    </row>
    <row r="905" spans="1:87" ht="14" x14ac:dyDescent="0.1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79"/>
      <c r="AW905" s="79"/>
      <c r="AX905" s="79"/>
      <c r="AY905" s="79"/>
      <c r="AZ905" s="79"/>
      <c r="BA905" s="79"/>
      <c r="BB905" s="79"/>
      <c r="BC905" s="79"/>
      <c r="BD905" s="79"/>
      <c r="BE905" s="79"/>
      <c r="BF905" s="79"/>
      <c r="BG905" s="79"/>
      <c r="BH905" s="79"/>
      <c r="BI905" s="79"/>
      <c r="BJ905" s="79"/>
      <c r="BK905" s="79"/>
      <c r="BL905" s="79"/>
      <c r="BM905" s="79"/>
      <c r="BN905" s="79"/>
      <c r="BO905" s="79"/>
      <c r="BP905" s="79"/>
      <c r="BQ905" s="79"/>
      <c r="BR905" s="79"/>
      <c r="BS905" s="79"/>
      <c r="BT905" s="79"/>
      <c r="BU905" s="79"/>
      <c r="BV905" s="79"/>
      <c r="BW905" s="79"/>
      <c r="BX905" s="79"/>
      <c r="BY905" s="79"/>
      <c r="BZ905" s="79"/>
      <c r="CA905" s="79"/>
      <c r="CB905" s="79"/>
      <c r="CC905" s="79"/>
      <c r="CD905" s="79"/>
      <c r="CE905" s="79"/>
      <c r="CF905" s="79"/>
      <c r="CG905" s="79"/>
      <c r="CH905" s="79"/>
      <c r="CI905" s="79"/>
    </row>
    <row r="906" spans="1:87" ht="14" x14ac:dyDescent="0.1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79"/>
      <c r="AW906" s="79"/>
      <c r="AX906" s="79"/>
      <c r="AY906" s="79"/>
      <c r="AZ906" s="79"/>
      <c r="BA906" s="79"/>
      <c r="BB906" s="79"/>
      <c r="BC906" s="79"/>
      <c r="BD906" s="79"/>
      <c r="BE906" s="79"/>
      <c r="BF906" s="79"/>
      <c r="BG906" s="79"/>
      <c r="BH906" s="79"/>
      <c r="BI906" s="79"/>
      <c r="BJ906" s="79"/>
      <c r="BK906" s="79"/>
      <c r="BL906" s="79"/>
      <c r="BM906" s="79"/>
      <c r="BN906" s="79"/>
      <c r="BO906" s="79"/>
      <c r="BP906" s="79"/>
      <c r="BQ906" s="79"/>
      <c r="BR906" s="79"/>
      <c r="BS906" s="79"/>
      <c r="BT906" s="79"/>
      <c r="BU906" s="79"/>
      <c r="BV906" s="79"/>
      <c r="BW906" s="79"/>
      <c r="BX906" s="79"/>
      <c r="BY906" s="79"/>
      <c r="BZ906" s="79"/>
      <c r="CA906" s="79"/>
      <c r="CB906" s="79"/>
      <c r="CC906" s="79"/>
      <c r="CD906" s="79"/>
      <c r="CE906" s="79"/>
      <c r="CF906" s="79"/>
      <c r="CG906" s="79"/>
      <c r="CH906" s="79"/>
      <c r="CI906" s="79"/>
    </row>
    <row r="907" spans="1:87" ht="14" x14ac:dyDescent="0.1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79"/>
      <c r="AW907" s="79"/>
      <c r="AX907" s="79"/>
      <c r="AY907" s="79"/>
      <c r="AZ907" s="79"/>
      <c r="BA907" s="79"/>
      <c r="BB907" s="79"/>
      <c r="BC907" s="79"/>
      <c r="BD907" s="79"/>
      <c r="BE907" s="79"/>
      <c r="BF907" s="79"/>
      <c r="BG907" s="79"/>
      <c r="BH907" s="79"/>
      <c r="BI907" s="79"/>
      <c r="BJ907" s="79"/>
      <c r="BK907" s="79"/>
      <c r="BL907" s="79"/>
      <c r="BM907" s="79"/>
      <c r="BN907" s="79"/>
      <c r="BO907" s="79"/>
      <c r="BP907" s="79"/>
      <c r="BQ907" s="79"/>
      <c r="BR907" s="79"/>
      <c r="BS907" s="79"/>
      <c r="BT907" s="79"/>
      <c r="BU907" s="79"/>
      <c r="BV907" s="79"/>
      <c r="BW907" s="79"/>
      <c r="BX907" s="79"/>
      <c r="BY907" s="79"/>
      <c r="BZ907" s="79"/>
      <c r="CA907" s="79"/>
      <c r="CB907" s="79"/>
      <c r="CC907" s="79"/>
      <c r="CD907" s="79"/>
      <c r="CE907" s="79"/>
      <c r="CF907" s="79"/>
      <c r="CG907" s="79"/>
      <c r="CH907" s="79"/>
      <c r="CI907" s="79"/>
    </row>
    <row r="908" spans="1:87" ht="14" x14ac:dyDescent="0.1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79"/>
      <c r="AW908" s="79"/>
      <c r="AX908" s="79"/>
      <c r="AY908" s="79"/>
      <c r="AZ908" s="79"/>
      <c r="BA908" s="79"/>
      <c r="BB908" s="79"/>
      <c r="BC908" s="79"/>
      <c r="BD908" s="79"/>
      <c r="BE908" s="79"/>
      <c r="BF908" s="79"/>
      <c r="BG908" s="79"/>
      <c r="BH908" s="79"/>
      <c r="BI908" s="79"/>
      <c r="BJ908" s="79"/>
      <c r="BK908" s="79"/>
      <c r="BL908" s="79"/>
      <c r="BM908" s="79"/>
      <c r="BN908" s="79"/>
      <c r="BO908" s="79"/>
      <c r="BP908" s="79"/>
      <c r="BQ908" s="79"/>
      <c r="BR908" s="79"/>
      <c r="BS908" s="79"/>
      <c r="BT908" s="79"/>
      <c r="BU908" s="79"/>
      <c r="BV908" s="79"/>
      <c r="BW908" s="79"/>
      <c r="BX908" s="79"/>
      <c r="BY908" s="79"/>
      <c r="BZ908" s="79"/>
      <c r="CA908" s="79"/>
      <c r="CB908" s="79"/>
      <c r="CC908" s="79"/>
      <c r="CD908" s="79"/>
      <c r="CE908" s="79"/>
      <c r="CF908" s="79"/>
      <c r="CG908" s="79"/>
      <c r="CH908" s="79"/>
      <c r="CI908" s="79"/>
    </row>
    <row r="909" spans="1:87" ht="14" x14ac:dyDescent="0.1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79"/>
      <c r="AW909" s="79"/>
      <c r="AX909" s="79"/>
      <c r="AY909" s="79"/>
      <c r="AZ909" s="79"/>
      <c r="BA909" s="79"/>
      <c r="BB909" s="79"/>
      <c r="BC909" s="79"/>
      <c r="BD909" s="79"/>
      <c r="BE909" s="79"/>
      <c r="BF909" s="79"/>
      <c r="BG909" s="79"/>
      <c r="BH909" s="79"/>
      <c r="BI909" s="79"/>
      <c r="BJ909" s="79"/>
      <c r="BK909" s="79"/>
      <c r="BL909" s="79"/>
      <c r="BM909" s="79"/>
      <c r="BN909" s="79"/>
      <c r="BO909" s="79"/>
      <c r="BP909" s="79"/>
      <c r="BQ909" s="79"/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  <c r="CH909" s="79"/>
      <c r="CI909" s="79"/>
    </row>
    <row r="910" spans="1:87" ht="14" x14ac:dyDescent="0.1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79"/>
      <c r="AW910" s="79"/>
      <c r="AX910" s="79"/>
      <c r="AY910" s="79"/>
      <c r="AZ910" s="79"/>
      <c r="BA910" s="79"/>
      <c r="BB910" s="79"/>
      <c r="BC910" s="79"/>
      <c r="BD910" s="79"/>
      <c r="BE910" s="79"/>
      <c r="BF910" s="79"/>
      <c r="BG910" s="79"/>
      <c r="BH910" s="79"/>
      <c r="BI910" s="79"/>
      <c r="BJ910" s="79"/>
      <c r="BK910" s="79"/>
      <c r="BL910" s="79"/>
      <c r="BM910" s="79"/>
      <c r="BN910" s="79"/>
      <c r="BO910" s="79"/>
      <c r="BP910" s="79"/>
      <c r="BQ910" s="79"/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  <c r="CH910" s="79"/>
      <c r="CI910" s="79"/>
    </row>
    <row r="911" spans="1:87" ht="14" x14ac:dyDescent="0.1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/>
      <c r="BD911" s="79"/>
      <c r="BE911" s="79"/>
      <c r="BF911" s="79"/>
      <c r="BG911" s="79"/>
      <c r="BH911" s="79"/>
      <c r="BI911" s="79"/>
      <c r="BJ911" s="79"/>
      <c r="BK911" s="79"/>
      <c r="BL911" s="79"/>
      <c r="BM911" s="79"/>
      <c r="BN911" s="79"/>
      <c r="BO911" s="79"/>
      <c r="BP911" s="79"/>
      <c r="BQ911" s="79"/>
      <c r="BR911" s="79"/>
      <c r="BS911" s="79"/>
      <c r="BT911" s="79"/>
      <c r="BU911" s="79"/>
      <c r="BV911" s="79"/>
      <c r="BW911" s="79"/>
      <c r="BX911" s="79"/>
      <c r="BY911" s="79"/>
      <c r="BZ911" s="79"/>
      <c r="CA911" s="79"/>
      <c r="CB911" s="79"/>
      <c r="CC911" s="79"/>
      <c r="CD911" s="79"/>
      <c r="CE911" s="79"/>
      <c r="CF911" s="79"/>
      <c r="CG911" s="79"/>
      <c r="CH911" s="79"/>
      <c r="CI911" s="79"/>
    </row>
    <row r="912" spans="1:87" ht="14" x14ac:dyDescent="0.1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/>
      <c r="BD912" s="79"/>
      <c r="BE912" s="79"/>
      <c r="BF912" s="79"/>
      <c r="BG912" s="79"/>
      <c r="BH912" s="79"/>
      <c r="BI912" s="79"/>
      <c r="BJ912" s="79"/>
      <c r="BK912" s="79"/>
      <c r="BL912" s="79"/>
      <c r="BM912" s="79"/>
      <c r="BN912" s="79"/>
      <c r="BO912" s="79"/>
      <c r="BP912" s="79"/>
      <c r="BQ912" s="79"/>
      <c r="BR912" s="79"/>
      <c r="BS912" s="79"/>
      <c r="BT912" s="79"/>
      <c r="BU912" s="79"/>
      <c r="BV912" s="79"/>
      <c r="BW912" s="79"/>
      <c r="BX912" s="79"/>
      <c r="BY912" s="79"/>
      <c r="BZ912" s="79"/>
      <c r="CA912" s="79"/>
      <c r="CB912" s="79"/>
      <c r="CC912" s="79"/>
      <c r="CD912" s="79"/>
      <c r="CE912" s="79"/>
      <c r="CF912" s="79"/>
      <c r="CG912" s="79"/>
      <c r="CH912" s="79"/>
      <c r="CI912" s="79"/>
    </row>
    <row r="913" spans="1:87" ht="14" x14ac:dyDescent="0.1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/>
      <c r="BD913" s="79"/>
      <c r="BE913" s="79"/>
      <c r="BF913" s="79"/>
      <c r="BG913" s="79"/>
      <c r="BH913" s="79"/>
      <c r="BI913" s="79"/>
      <c r="BJ913" s="79"/>
      <c r="BK913" s="79"/>
      <c r="BL913" s="79"/>
      <c r="BM913" s="79"/>
      <c r="BN913" s="79"/>
      <c r="BO913" s="79"/>
      <c r="BP913" s="79"/>
      <c r="BQ913" s="79"/>
      <c r="BR913" s="79"/>
      <c r="BS913" s="79"/>
      <c r="BT913" s="79"/>
      <c r="BU913" s="79"/>
      <c r="BV913" s="79"/>
      <c r="BW913" s="79"/>
      <c r="BX913" s="79"/>
      <c r="BY913" s="79"/>
      <c r="BZ913" s="79"/>
      <c r="CA913" s="79"/>
      <c r="CB913" s="79"/>
      <c r="CC913" s="79"/>
      <c r="CD913" s="79"/>
      <c r="CE913" s="79"/>
      <c r="CF913" s="79"/>
      <c r="CG913" s="79"/>
      <c r="CH913" s="79"/>
      <c r="CI913" s="79"/>
    </row>
    <row r="914" spans="1:87" ht="14" x14ac:dyDescent="0.1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/>
      <c r="BD914" s="79"/>
      <c r="BE914" s="79"/>
      <c r="BF914" s="79"/>
      <c r="BG914" s="79"/>
      <c r="BH914" s="79"/>
      <c r="BI914" s="79"/>
      <c r="BJ914" s="79"/>
      <c r="BK914" s="79"/>
      <c r="BL914" s="79"/>
      <c r="BM914" s="79"/>
      <c r="BN914" s="79"/>
      <c r="BO914" s="79"/>
      <c r="BP914" s="79"/>
      <c r="BQ914" s="79"/>
      <c r="BR914" s="79"/>
      <c r="BS914" s="79"/>
      <c r="BT914" s="79"/>
      <c r="BU914" s="79"/>
      <c r="BV914" s="79"/>
      <c r="BW914" s="79"/>
      <c r="BX914" s="79"/>
      <c r="BY914" s="79"/>
      <c r="BZ914" s="79"/>
      <c r="CA914" s="79"/>
      <c r="CB914" s="79"/>
      <c r="CC914" s="79"/>
      <c r="CD914" s="79"/>
      <c r="CE914" s="79"/>
      <c r="CF914" s="79"/>
      <c r="CG914" s="79"/>
      <c r="CH914" s="79"/>
      <c r="CI914" s="79"/>
    </row>
    <row r="915" spans="1:87" ht="14" x14ac:dyDescent="0.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79"/>
      <c r="AW915" s="79"/>
      <c r="AX915" s="79"/>
      <c r="AY915" s="79"/>
      <c r="AZ915" s="79"/>
      <c r="BA915" s="79"/>
      <c r="BB915" s="79"/>
      <c r="BC915" s="79"/>
      <c r="BD915" s="79"/>
      <c r="BE915" s="79"/>
      <c r="BF915" s="79"/>
      <c r="BG915" s="79"/>
      <c r="BH915" s="79"/>
      <c r="BI915" s="79"/>
      <c r="BJ915" s="79"/>
      <c r="BK915" s="79"/>
      <c r="BL915" s="79"/>
      <c r="BM915" s="79"/>
      <c r="BN915" s="79"/>
      <c r="BO915" s="79"/>
      <c r="BP915" s="79"/>
      <c r="BQ915" s="79"/>
      <c r="BR915" s="79"/>
      <c r="BS915" s="79"/>
      <c r="BT915" s="79"/>
      <c r="BU915" s="79"/>
      <c r="BV915" s="79"/>
      <c r="BW915" s="79"/>
      <c r="BX915" s="79"/>
      <c r="BY915" s="79"/>
      <c r="BZ915" s="79"/>
      <c r="CA915" s="79"/>
      <c r="CB915" s="79"/>
      <c r="CC915" s="79"/>
      <c r="CD915" s="79"/>
      <c r="CE915" s="79"/>
      <c r="CF915" s="79"/>
      <c r="CG915" s="79"/>
      <c r="CH915" s="79"/>
      <c r="CI915" s="79"/>
    </row>
    <row r="916" spans="1:87" ht="14" x14ac:dyDescent="0.1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79"/>
      <c r="AW916" s="79"/>
      <c r="AX916" s="79"/>
      <c r="AY916" s="79"/>
      <c r="AZ916" s="79"/>
      <c r="BA916" s="79"/>
      <c r="BB916" s="79"/>
      <c r="BC916" s="79"/>
      <c r="BD916" s="79"/>
      <c r="BE916" s="79"/>
      <c r="BF916" s="79"/>
      <c r="BG916" s="79"/>
      <c r="BH916" s="79"/>
      <c r="BI916" s="79"/>
      <c r="BJ916" s="79"/>
      <c r="BK916" s="79"/>
      <c r="BL916" s="79"/>
      <c r="BM916" s="79"/>
      <c r="BN916" s="79"/>
      <c r="BO916" s="79"/>
      <c r="BP916" s="79"/>
      <c r="BQ916" s="79"/>
      <c r="BR916" s="79"/>
      <c r="BS916" s="79"/>
      <c r="BT916" s="79"/>
      <c r="BU916" s="79"/>
      <c r="BV916" s="79"/>
      <c r="BW916" s="79"/>
      <c r="BX916" s="79"/>
      <c r="BY916" s="79"/>
      <c r="BZ916" s="79"/>
      <c r="CA916" s="79"/>
      <c r="CB916" s="79"/>
      <c r="CC916" s="79"/>
      <c r="CD916" s="79"/>
      <c r="CE916" s="79"/>
      <c r="CF916" s="79"/>
      <c r="CG916" s="79"/>
      <c r="CH916" s="79"/>
      <c r="CI916" s="79"/>
    </row>
    <row r="917" spans="1:87" ht="14" x14ac:dyDescent="0.1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79"/>
      <c r="AW917" s="79"/>
      <c r="AX917" s="79"/>
      <c r="AY917" s="79"/>
      <c r="AZ917" s="79"/>
      <c r="BA917" s="79"/>
      <c r="BB917" s="79"/>
      <c r="BC917" s="79"/>
      <c r="BD917" s="79"/>
      <c r="BE917" s="79"/>
      <c r="BF917" s="79"/>
      <c r="BG917" s="79"/>
      <c r="BH917" s="79"/>
      <c r="BI917" s="79"/>
      <c r="BJ917" s="79"/>
      <c r="BK917" s="79"/>
      <c r="BL917" s="79"/>
      <c r="BM917" s="79"/>
      <c r="BN917" s="79"/>
      <c r="BO917" s="79"/>
      <c r="BP917" s="79"/>
      <c r="BQ917" s="79"/>
      <c r="BR917" s="79"/>
      <c r="BS917" s="79"/>
      <c r="BT917" s="79"/>
      <c r="BU917" s="79"/>
      <c r="BV917" s="79"/>
      <c r="BW917" s="79"/>
      <c r="BX917" s="79"/>
      <c r="BY917" s="79"/>
      <c r="BZ917" s="79"/>
      <c r="CA917" s="79"/>
      <c r="CB917" s="79"/>
      <c r="CC917" s="79"/>
      <c r="CD917" s="79"/>
      <c r="CE917" s="79"/>
      <c r="CF917" s="79"/>
      <c r="CG917" s="79"/>
      <c r="CH917" s="79"/>
      <c r="CI917" s="79"/>
    </row>
    <row r="918" spans="1:87" ht="14" x14ac:dyDescent="0.1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79"/>
      <c r="AW918" s="79"/>
      <c r="AX918" s="79"/>
      <c r="AY918" s="79"/>
      <c r="AZ918" s="79"/>
      <c r="BA918" s="79"/>
      <c r="BB918" s="79"/>
      <c r="BC918" s="79"/>
      <c r="BD918" s="79"/>
      <c r="BE918" s="79"/>
      <c r="BF918" s="79"/>
      <c r="BG918" s="79"/>
      <c r="BH918" s="79"/>
      <c r="BI918" s="79"/>
      <c r="BJ918" s="79"/>
      <c r="BK918" s="79"/>
      <c r="BL918" s="79"/>
      <c r="BM918" s="79"/>
      <c r="BN918" s="79"/>
      <c r="BO918" s="79"/>
      <c r="BP918" s="79"/>
      <c r="BQ918" s="79"/>
      <c r="BR918" s="79"/>
      <c r="BS918" s="79"/>
      <c r="BT918" s="79"/>
      <c r="BU918" s="79"/>
      <c r="BV918" s="79"/>
      <c r="BW918" s="79"/>
      <c r="BX918" s="79"/>
      <c r="BY918" s="79"/>
      <c r="BZ918" s="79"/>
      <c r="CA918" s="79"/>
      <c r="CB918" s="79"/>
      <c r="CC918" s="79"/>
      <c r="CD918" s="79"/>
      <c r="CE918" s="79"/>
      <c r="CF918" s="79"/>
      <c r="CG918" s="79"/>
      <c r="CH918" s="79"/>
      <c r="CI918" s="79"/>
    </row>
    <row r="919" spans="1:87" ht="14" x14ac:dyDescent="0.1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79"/>
      <c r="AW919" s="79"/>
      <c r="AX919" s="79"/>
      <c r="AY919" s="79"/>
      <c r="AZ919" s="79"/>
      <c r="BA919" s="79"/>
      <c r="BB919" s="79"/>
      <c r="BC919" s="79"/>
      <c r="BD919" s="79"/>
      <c r="BE919" s="79"/>
      <c r="BF919" s="79"/>
      <c r="BG919" s="79"/>
      <c r="BH919" s="79"/>
      <c r="BI919" s="79"/>
      <c r="BJ919" s="79"/>
      <c r="BK919" s="79"/>
      <c r="BL919" s="79"/>
      <c r="BM919" s="79"/>
      <c r="BN919" s="79"/>
      <c r="BO919" s="79"/>
      <c r="BP919" s="79"/>
      <c r="BQ919" s="79"/>
      <c r="BR919" s="79"/>
      <c r="BS919" s="79"/>
      <c r="BT919" s="79"/>
      <c r="BU919" s="79"/>
      <c r="BV919" s="79"/>
      <c r="BW919" s="79"/>
      <c r="BX919" s="79"/>
      <c r="BY919" s="79"/>
      <c r="BZ919" s="79"/>
      <c r="CA919" s="79"/>
      <c r="CB919" s="79"/>
      <c r="CC919" s="79"/>
      <c r="CD919" s="79"/>
      <c r="CE919" s="79"/>
      <c r="CF919" s="79"/>
      <c r="CG919" s="79"/>
      <c r="CH919" s="79"/>
      <c r="CI919" s="79"/>
    </row>
    <row r="920" spans="1:87" ht="14" x14ac:dyDescent="0.1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79"/>
      <c r="AW920" s="79"/>
      <c r="AX920" s="79"/>
      <c r="AY920" s="79"/>
      <c r="AZ920" s="79"/>
      <c r="BA920" s="79"/>
      <c r="BB920" s="79"/>
      <c r="BC920" s="79"/>
      <c r="BD920" s="79"/>
      <c r="BE920" s="79"/>
      <c r="BF920" s="79"/>
      <c r="BG920" s="79"/>
      <c r="BH920" s="79"/>
      <c r="BI920" s="79"/>
      <c r="BJ920" s="79"/>
      <c r="BK920" s="79"/>
      <c r="BL920" s="79"/>
      <c r="BM920" s="79"/>
      <c r="BN920" s="79"/>
      <c r="BO920" s="79"/>
      <c r="BP920" s="79"/>
      <c r="BQ920" s="79"/>
      <c r="BR920" s="79"/>
      <c r="BS920" s="79"/>
      <c r="BT920" s="79"/>
      <c r="BU920" s="79"/>
      <c r="BV920" s="79"/>
      <c r="BW920" s="79"/>
      <c r="BX920" s="79"/>
      <c r="BY920" s="79"/>
      <c r="BZ920" s="79"/>
      <c r="CA920" s="79"/>
      <c r="CB920" s="79"/>
      <c r="CC920" s="79"/>
      <c r="CD920" s="79"/>
      <c r="CE920" s="79"/>
      <c r="CF920" s="79"/>
      <c r="CG920" s="79"/>
      <c r="CH920" s="79"/>
      <c r="CI920" s="79"/>
    </row>
    <row r="921" spans="1:87" ht="14" x14ac:dyDescent="0.1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79"/>
      <c r="AW921" s="79"/>
      <c r="AX921" s="79"/>
      <c r="AY921" s="79"/>
      <c r="AZ921" s="79"/>
      <c r="BA921" s="79"/>
      <c r="BB921" s="79"/>
      <c r="BC921" s="79"/>
      <c r="BD921" s="79"/>
      <c r="BE921" s="79"/>
      <c r="BF921" s="79"/>
      <c r="BG921" s="79"/>
      <c r="BH921" s="79"/>
      <c r="BI921" s="79"/>
      <c r="BJ921" s="79"/>
      <c r="BK921" s="79"/>
      <c r="BL921" s="79"/>
      <c r="BM921" s="79"/>
      <c r="BN921" s="79"/>
      <c r="BO921" s="79"/>
      <c r="BP921" s="79"/>
      <c r="BQ921" s="79"/>
      <c r="BR921" s="79"/>
      <c r="BS921" s="79"/>
      <c r="BT921" s="79"/>
      <c r="BU921" s="79"/>
      <c r="BV921" s="79"/>
      <c r="BW921" s="79"/>
      <c r="BX921" s="79"/>
      <c r="BY921" s="79"/>
      <c r="BZ921" s="79"/>
      <c r="CA921" s="79"/>
      <c r="CB921" s="79"/>
      <c r="CC921" s="79"/>
      <c r="CD921" s="79"/>
      <c r="CE921" s="79"/>
      <c r="CF921" s="79"/>
      <c r="CG921" s="79"/>
      <c r="CH921" s="79"/>
      <c r="CI921" s="79"/>
    </row>
    <row r="922" spans="1:87" ht="14" x14ac:dyDescent="0.1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79"/>
      <c r="AW922" s="79"/>
      <c r="AX922" s="79"/>
      <c r="AY922" s="79"/>
      <c r="AZ922" s="79"/>
      <c r="BA922" s="79"/>
      <c r="BB922" s="79"/>
      <c r="BC922" s="79"/>
      <c r="BD922" s="79"/>
      <c r="BE922" s="79"/>
      <c r="BF922" s="79"/>
      <c r="BG922" s="79"/>
      <c r="BH922" s="79"/>
      <c r="BI922" s="79"/>
      <c r="BJ922" s="79"/>
      <c r="BK922" s="79"/>
      <c r="BL922" s="79"/>
      <c r="BM922" s="79"/>
      <c r="BN922" s="79"/>
      <c r="BO922" s="79"/>
      <c r="BP922" s="79"/>
      <c r="BQ922" s="79"/>
      <c r="BR922" s="79"/>
      <c r="BS922" s="79"/>
      <c r="BT922" s="79"/>
      <c r="BU922" s="79"/>
      <c r="BV922" s="79"/>
      <c r="BW922" s="79"/>
      <c r="BX922" s="79"/>
      <c r="BY922" s="79"/>
      <c r="BZ922" s="79"/>
      <c r="CA922" s="79"/>
      <c r="CB922" s="79"/>
      <c r="CC922" s="79"/>
      <c r="CD922" s="79"/>
      <c r="CE922" s="79"/>
      <c r="CF922" s="79"/>
      <c r="CG922" s="79"/>
      <c r="CH922" s="79"/>
      <c r="CI922" s="79"/>
    </row>
    <row r="923" spans="1:87" ht="14" x14ac:dyDescent="0.1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9"/>
      <c r="BD923" s="79"/>
      <c r="BE923" s="79"/>
      <c r="BF923" s="79"/>
      <c r="BG923" s="79"/>
      <c r="BH923" s="79"/>
      <c r="BI923" s="79"/>
      <c r="BJ923" s="79"/>
      <c r="BK923" s="79"/>
      <c r="BL923" s="79"/>
      <c r="BM923" s="79"/>
      <c r="BN923" s="79"/>
      <c r="BO923" s="79"/>
      <c r="BP923" s="79"/>
      <c r="BQ923" s="79"/>
      <c r="BR923" s="79"/>
      <c r="BS923" s="79"/>
      <c r="BT923" s="79"/>
      <c r="BU923" s="79"/>
      <c r="BV923" s="79"/>
      <c r="BW923" s="79"/>
      <c r="BX923" s="79"/>
      <c r="BY923" s="79"/>
      <c r="BZ923" s="79"/>
      <c r="CA923" s="79"/>
      <c r="CB923" s="79"/>
      <c r="CC923" s="79"/>
      <c r="CD923" s="79"/>
      <c r="CE923" s="79"/>
      <c r="CF923" s="79"/>
      <c r="CG923" s="79"/>
      <c r="CH923" s="79"/>
      <c r="CI923" s="79"/>
    </row>
    <row r="924" spans="1:87" ht="14" x14ac:dyDescent="0.1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79"/>
      <c r="AW924" s="79"/>
      <c r="AX924" s="79"/>
      <c r="AY924" s="79"/>
      <c r="AZ924" s="79"/>
      <c r="BA924" s="79"/>
      <c r="BB924" s="79"/>
      <c r="BC924" s="79"/>
      <c r="BD924" s="79"/>
      <c r="BE924" s="79"/>
      <c r="BF924" s="79"/>
      <c r="BG924" s="79"/>
      <c r="BH924" s="79"/>
      <c r="BI924" s="79"/>
      <c r="BJ924" s="79"/>
      <c r="BK924" s="79"/>
      <c r="BL924" s="79"/>
      <c r="BM924" s="79"/>
      <c r="BN924" s="79"/>
      <c r="BO924" s="79"/>
      <c r="BP924" s="79"/>
      <c r="BQ924" s="79"/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  <c r="CH924" s="79"/>
      <c r="CI924" s="79"/>
    </row>
    <row r="925" spans="1:87" ht="14" x14ac:dyDescent="0.1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79"/>
      <c r="AW925" s="79"/>
      <c r="AX925" s="79"/>
      <c r="AY925" s="79"/>
      <c r="AZ925" s="79"/>
      <c r="BA925" s="79"/>
      <c r="BB925" s="79"/>
      <c r="BC925" s="79"/>
      <c r="BD925" s="79"/>
      <c r="BE925" s="79"/>
      <c r="BF925" s="79"/>
      <c r="BG925" s="79"/>
      <c r="BH925" s="79"/>
      <c r="BI925" s="79"/>
      <c r="BJ925" s="79"/>
      <c r="BK925" s="79"/>
      <c r="BL925" s="79"/>
      <c r="BM925" s="79"/>
      <c r="BN925" s="79"/>
      <c r="BO925" s="79"/>
      <c r="BP925" s="79"/>
      <c r="BQ925" s="79"/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  <c r="CH925" s="79"/>
      <c r="CI925" s="79"/>
    </row>
    <row r="926" spans="1:87" ht="14" x14ac:dyDescent="0.1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79"/>
      <c r="AW926" s="79"/>
      <c r="AX926" s="79"/>
      <c r="AY926" s="79"/>
      <c r="AZ926" s="79"/>
      <c r="BA926" s="79"/>
      <c r="BB926" s="79"/>
      <c r="BC926" s="79"/>
      <c r="BD926" s="79"/>
      <c r="BE926" s="79"/>
      <c r="BF926" s="79"/>
      <c r="BG926" s="79"/>
      <c r="BH926" s="79"/>
      <c r="BI926" s="79"/>
      <c r="BJ926" s="79"/>
      <c r="BK926" s="79"/>
      <c r="BL926" s="79"/>
      <c r="BM926" s="79"/>
      <c r="BN926" s="79"/>
      <c r="BO926" s="79"/>
      <c r="BP926" s="79"/>
      <c r="BQ926" s="79"/>
      <c r="BR926" s="79"/>
      <c r="BS926" s="79"/>
      <c r="BT926" s="79"/>
      <c r="BU926" s="79"/>
      <c r="BV926" s="79"/>
      <c r="BW926" s="79"/>
      <c r="BX926" s="79"/>
      <c r="BY926" s="79"/>
      <c r="BZ926" s="79"/>
      <c r="CA926" s="79"/>
      <c r="CB926" s="79"/>
      <c r="CC926" s="79"/>
      <c r="CD926" s="79"/>
      <c r="CE926" s="79"/>
      <c r="CF926" s="79"/>
      <c r="CG926" s="79"/>
      <c r="CH926" s="79"/>
      <c r="CI926" s="79"/>
    </row>
    <row r="927" spans="1:87" ht="14" x14ac:dyDescent="0.1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79"/>
      <c r="AW927" s="79"/>
      <c r="AX927" s="79"/>
      <c r="AY927" s="79"/>
      <c r="AZ927" s="79"/>
      <c r="BA927" s="79"/>
      <c r="BB927" s="79"/>
      <c r="BC927" s="79"/>
      <c r="BD927" s="79"/>
      <c r="BE927" s="79"/>
      <c r="BF927" s="79"/>
      <c r="BG927" s="79"/>
      <c r="BH927" s="79"/>
      <c r="BI927" s="79"/>
      <c r="BJ927" s="79"/>
      <c r="BK927" s="79"/>
      <c r="BL927" s="79"/>
      <c r="BM927" s="79"/>
      <c r="BN927" s="79"/>
      <c r="BO927" s="79"/>
      <c r="BP927" s="79"/>
      <c r="BQ927" s="79"/>
      <c r="BR927" s="79"/>
      <c r="BS927" s="79"/>
      <c r="BT927" s="79"/>
      <c r="BU927" s="79"/>
      <c r="BV927" s="79"/>
      <c r="BW927" s="79"/>
      <c r="BX927" s="79"/>
      <c r="BY927" s="79"/>
      <c r="BZ927" s="79"/>
      <c r="CA927" s="79"/>
      <c r="CB927" s="79"/>
      <c r="CC927" s="79"/>
      <c r="CD927" s="79"/>
      <c r="CE927" s="79"/>
      <c r="CF927" s="79"/>
      <c r="CG927" s="79"/>
      <c r="CH927" s="79"/>
      <c r="CI927" s="79"/>
    </row>
    <row r="928" spans="1:87" ht="14" x14ac:dyDescent="0.1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79"/>
      <c r="AW928" s="79"/>
      <c r="AX928" s="79"/>
      <c r="AY928" s="79"/>
      <c r="AZ928" s="79"/>
      <c r="BA928" s="79"/>
      <c r="BB928" s="79"/>
      <c r="BC928" s="79"/>
      <c r="BD928" s="79"/>
      <c r="BE928" s="79"/>
      <c r="BF928" s="79"/>
      <c r="BG928" s="79"/>
      <c r="BH928" s="79"/>
      <c r="BI928" s="79"/>
      <c r="BJ928" s="79"/>
      <c r="BK928" s="79"/>
      <c r="BL928" s="79"/>
      <c r="BM928" s="79"/>
      <c r="BN928" s="79"/>
      <c r="BO928" s="79"/>
      <c r="BP928" s="79"/>
      <c r="BQ928" s="79"/>
      <c r="BR928" s="79"/>
      <c r="BS928" s="79"/>
      <c r="BT928" s="79"/>
      <c r="BU928" s="79"/>
      <c r="BV928" s="79"/>
      <c r="BW928" s="79"/>
      <c r="BX928" s="79"/>
      <c r="BY928" s="79"/>
      <c r="BZ928" s="79"/>
      <c r="CA928" s="79"/>
      <c r="CB928" s="79"/>
      <c r="CC928" s="79"/>
      <c r="CD928" s="79"/>
      <c r="CE928" s="79"/>
      <c r="CF928" s="79"/>
      <c r="CG928" s="79"/>
      <c r="CH928" s="79"/>
      <c r="CI928" s="79"/>
    </row>
    <row r="929" spans="1:87" ht="14" x14ac:dyDescent="0.1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79"/>
      <c r="AW929" s="79"/>
      <c r="AX929" s="79"/>
      <c r="AY929" s="79"/>
      <c r="AZ929" s="79"/>
      <c r="BA929" s="79"/>
      <c r="BB929" s="79"/>
      <c r="BC929" s="79"/>
      <c r="BD929" s="79"/>
      <c r="BE929" s="79"/>
      <c r="BF929" s="79"/>
      <c r="BG929" s="79"/>
      <c r="BH929" s="79"/>
      <c r="BI929" s="79"/>
      <c r="BJ929" s="79"/>
      <c r="BK929" s="79"/>
      <c r="BL929" s="79"/>
      <c r="BM929" s="79"/>
      <c r="BN929" s="79"/>
      <c r="BO929" s="79"/>
      <c r="BP929" s="79"/>
      <c r="BQ929" s="79"/>
      <c r="BR929" s="79"/>
      <c r="BS929" s="79"/>
      <c r="BT929" s="79"/>
      <c r="BU929" s="79"/>
      <c r="BV929" s="79"/>
      <c r="BW929" s="79"/>
      <c r="BX929" s="79"/>
      <c r="BY929" s="79"/>
      <c r="BZ929" s="79"/>
      <c r="CA929" s="79"/>
      <c r="CB929" s="79"/>
      <c r="CC929" s="79"/>
      <c r="CD929" s="79"/>
      <c r="CE929" s="79"/>
      <c r="CF929" s="79"/>
      <c r="CG929" s="79"/>
      <c r="CH929" s="79"/>
      <c r="CI929" s="79"/>
    </row>
    <row r="930" spans="1:87" ht="14" x14ac:dyDescent="0.1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79"/>
      <c r="AW930" s="79"/>
      <c r="AX930" s="79"/>
      <c r="AY930" s="79"/>
      <c r="AZ930" s="79"/>
      <c r="BA930" s="79"/>
      <c r="BB930" s="79"/>
      <c r="BC930" s="79"/>
      <c r="BD930" s="79"/>
      <c r="BE930" s="79"/>
      <c r="BF930" s="79"/>
      <c r="BG930" s="79"/>
      <c r="BH930" s="79"/>
      <c r="BI930" s="79"/>
      <c r="BJ930" s="79"/>
      <c r="BK930" s="79"/>
      <c r="BL930" s="79"/>
      <c r="BM930" s="79"/>
      <c r="BN930" s="79"/>
      <c r="BO930" s="79"/>
      <c r="BP930" s="79"/>
      <c r="BQ930" s="79"/>
      <c r="BR930" s="79"/>
      <c r="BS930" s="79"/>
      <c r="BT930" s="79"/>
      <c r="BU930" s="79"/>
      <c r="BV930" s="79"/>
      <c r="BW930" s="79"/>
      <c r="BX930" s="79"/>
      <c r="BY930" s="79"/>
      <c r="BZ930" s="79"/>
      <c r="CA930" s="79"/>
      <c r="CB930" s="79"/>
      <c r="CC930" s="79"/>
      <c r="CD930" s="79"/>
      <c r="CE930" s="79"/>
      <c r="CF930" s="79"/>
      <c r="CG930" s="79"/>
      <c r="CH930" s="79"/>
      <c r="CI930" s="79"/>
    </row>
    <row r="931" spans="1:87" ht="14" x14ac:dyDescent="0.1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79"/>
      <c r="AW931" s="79"/>
      <c r="AX931" s="79"/>
      <c r="AY931" s="79"/>
      <c r="AZ931" s="79"/>
      <c r="BA931" s="79"/>
      <c r="BB931" s="79"/>
      <c r="BC931" s="79"/>
      <c r="BD931" s="79"/>
      <c r="BE931" s="79"/>
      <c r="BF931" s="79"/>
      <c r="BG931" s="79"/>
      <c r="BH931" s="79"/>
      <c r="BI931" s="79"/>
      <c r="BJ931" s="79"/>
      <c r="BK931" s="79"/>
      <c r="BL931" s="79"/>
      <c r="BM931" s="79"/>
      <c r="BN931" s="79"/>
      <c r="BO931" s="79"/>
      <c r="BP931" s="79"/>
      <c r="BQ931" s="79"/>
      <c r="BR931" s="79"/>
      <c r="BS931" s="79"/>
      <c r="BT931" s="79"/>
      <c r="BU931" s="79"/>
      <c r="BV931" s="79"/>
      <c r="BW931" s="79"/>
      <c r="BX931" s="79"/>
      <c r="BY931" s="79"/>
      <c r="BZ931" s="79"/>
      <c r="CA931" s="79"/>
      <c r="CB931" s="79"/>
      <c r="CC931" s="79"/>
      <c r="CD931" s="79"/>
      <c r="CE931" s="79"/>
      <c r="CF931" s="79"/>
      <c r="CG931" s="79"/>
      <c r="CH931" s="79"/>
      <c r="CI931" s="79"/>
    </row>
    <row r="932" spans="1:87" ht="14" x14ac:dyDescent="0.1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79"/>
      <c r="AW932" s="79"/>
      <c r="AX932" s="79"/>
      <c r="AY932" s="79"/>
      <c r="AZ932" s="79"/>
      <c r="BA932" s="79"/>
      <c r="BB932" s="79"/>
      <c r="BC932" s="79"/>
      <c r="BD932" s="79"/>
      <c r="BE932" s="79"/>
      <c r="BF932" s="79"/>
      <c r="BG932" s="79"/>
      <c r="BH932" s="79"/>
      <c r="BI932" s="79"/>
      <c r="BJ932" s="79"/>
      <c r="BK932" s="79"/>
      <c r="BL932" s="79"/>
      <c r="BM932" s="79"/>
      <c r="BN932" s="79"/>
      <c r="BO932" s="79"/>
      <c r="BP932" s="79"/>
      <c r="BQ932" s="79"/>
      <c r="BR932" s="79"/>
      <c r="BS932" s="79"/>
      <c r="BT932" s="79"/>
      <c r="BU932" s="79"/>
      <c r="BV932" s="79"/>
      <c r="BW932" s="79"/>
      <c r="BX932" s="79"/>
      <c r="BY932" s="79"/>
      <c r="BZ932" s="79"/>
      <c r="CA932" s="79"/>
      <c r="CB932" s="79"/>
      <c r="CC932" s="79"/>
      <c r="CD932" s="79"/>
      <c r="CE932" s="79"/>
      <c r="CF932" s="79"/>
      <c r="CG932" s="79"/>
      <c r="CH932" s="79"/>
      <c r="CI932" s="79"/>
    </row>
    <row r="933" spans="1:87" ht="14" x14ac:dyDescent="0.1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79"/>
      <c r="AW933" s="79"/>
      <c r="AX933" s="79"/>
      <c r="AY933" s="79"/>
      <c r="AZ933" s="79"/>
      <c r="BA933" s="79"/>
      <c r="BB933" s="79"/>
      <c r="BC933" s="79"/>
      <c r="BD933" s="79"/>
      <c r="BE933" s="79"/>
      <c r="BF933" s="79"/>
      <c r="BG933" s="79"/>
      <c r="BH933" s="79"/>
      <c r="BI933" s="79"/>
      <c r="BJ933" s="79"/>
      <c r="BK933" s="79"/>
      <c r="BL933" s="79"/>
      <c r="BM933" s="79"/>
      <c r="BN933" s="79"/>
      <c r="BO933" s="79"/>
      <c r="BP933" s="79"/>
      <c r="BQ933" s="79"/>
      <c r="BR933" s="79"/>
      <c r="BS933" s="79"/>
      <c r="BT933" s="79"/>
      <c r="BU933" s="79"/>
      <c r="BV933" s="79"/>
      <c r="BW933" s="79"/>
      <c r="BX933" s="79"/>
      <c r="BY933" s="79"/>
      <c r="BZ933" s="79"/>
      <c r="CA933" s="79"/>
      <c r="CB933" s="79"/>
      <c r="CC933" s="79"/>
      <c r="CD933" s="79"/>
      <c r="CE933" s="79"/>
      <c r="CF933" s="79"/>
      <c r="CG933" s="79"/>
      <c r="CH933" s="79"/>
      <c r="CI933" s="79"/>
    </row>
    <row r="934" spans="1:87" ht="14" x14ac:dyDescent="0.1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79"/>
      <c r="AW934" s="79"/>
      <c r="AX934" s="79"/>
      <c r="AY934" s="79"/>
      <c r="AZ934" s="79"/>
      <c r="BA934" s="79"/>
      <c r="BB934" s="79"/>
      <c r="BC934" s="79"/>
      <c r="BD934" s="79"/>
      <c r="BE934" s="79"/>
      <c r="BF934" s="79"/>
      <c r="BG934" s="79"/>
      <c r="BH934" s="79"/>
      <c r="BI934" s="79"/>
      <c r="BJ934" s="79"/>
      <c r="BK934" s="79"/>
      <c r="BL934" s="79"/>
      <c r="BM934" s="79"/>
      <c r="BN934" s="79"/>
      <c r="BO934" s="79"/>
      <c r="BP934" s="79"/>
      <c r="BQ934" s="79"/>
      <c r="BR934" s="79"/>
      <c r="BS934" s="79"/>
      <c r="BT934" s="79"/>
      <c r="BU934" s="79"/>
      <c r="BV934" s="79"/>
      <c r="BW934" s="79"/>
      <c r="BX934" s="79"/>
      <c r="BY934" s="79"/>
      <c r="BZ934" s="79"/>
      <c r="CA934" s="79"/>
      <c r="CB934" s="79"/>
      <c r="CC934" s="79"/>
      <c r="CD934" s="79"/>
      <c r="CE934" s="79"/>
      <c r="CF934" s="79"/>
      <c r="CG934" s="79"/>
      <c r="CH934" s="79"/>
      <c r="CI934" s="79"/>
    </row>
    <row r="935" spans="1:87" ht="14" x14ac:dyDescent="0.1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79"/>
      <c r="AW935" s="79"/>
      <c r="AX935" s="79"/>
      <c r="AY935" s="79"/>
      <c r="AZ935" s="79"/>
      <c r="BA935" s="79"/>
      <c r="BB935" s="79"/>
      <c r="BC935" s="79"/>
      <c r="BD935" s="79"/>
      <c r="BE935" s="79"/>
      <c r="BF935" s="79"/>
      <c r="BG935" s="79"/>
      <c r="BH935" s="79"/>
      <c r="BI935" s="79"/>
      <c r="BJ935" s="79"/>
      <c r="BK935" s="79"/>
      <c r="BL935" s="79"/>
      <c r="BM935" s="79"/>
      <c r="BN935" s="79"/>
      <c r="BO935" s="79"/>
      <c r="BP935" s="79"/>
      <c r="BQ935" s="79"/>
      <c r="BR935" s="79"/>
      <c r="BS935" s="79"/>
      <c r="BT935" s="79"/>
      <c r="BU935" s="79"/>
      <c r="BV935" s="79"/>
      <c r="BW935" s="79"/>
      <c r="BX935" s="79"/>
      <c r="BY935" s="79"/>
      <c r="BZ935" s="79"/>
      <c r="CA935" s="79"/>
      <c r="CB935" s="79"/>
      <c r="CC935" s="79"/>
      <c r="CD935" s="79"/>
      <c r="CE935" s="79"/>
      <c r="CF935" s="79"/>
      <c r="CG935" s="79"/>
      <c r="CH935" s="79"/>
      <c r="CI935" s="79"/>
    </row>
    <row r="936" spans="1:87" ht="14" x14ac:dyDescent="0.1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79"/>
      <c r="AW936" s="79"/>
      <c r="AX936" s="79"/>
      <c r="AY936" s="79"/>
      <c r="AZ936" s="79"/>
      <c r="BA936" s="79"/>
      <c r="BB936" s="79"/>
      <c r="BC936" s="79"/>
      <c r="BD936" s="79"/>
      <c r="BE936" s="79"/>
      <c r="BF936" s="79"/>
      <c r="BG936" s="79"/>
      <c r="BH936" s="79"/>
      <c r="BI936" s="79"/>
      <c r="BJ936" s="79"/>
      <c r="BK936" s="79"/>
      <c r="BL936" s="79"/>
      <c r="BM936" s="79"/>
      <c r="BN936" s="79"/>
      <c r="BO936" s="79"/>
      <c r="BP936" s="79"/>
      <c r="BQ936" s="79"/>
      <c r="BR936" s="79"/>
      <c r="BS936" s="79"/>
      <c r="BT936" s="79"/>
      <c r="BU936" s="79"/>
      <c r="BV936" s="79"/>
      <c r="BW936" s="79"/>
      <c r="BX936" s="79"/>
      <c r="BY936" s="79"/>
      <c r="BZ936" s="79"/>
      <c r="CA936" s="79"/>
      <c r="CB936" s="79"/>
      <c r="CC936" s="79"/>
      <c r="CD936" s="79"/>
      <c r="CE936" s="79"/>
      <c r="CF936" s="79"/>
      <c r="CG936" s="79"/>
      <c r="CH936" s="79"/>
      <c r="CI936" s="79"/>
    </row>
    <row r="937" spans="1:87" ht="14" x14ac:dyDescent="0.1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79"/>
      <c r="AW937" s="79"/>
      <c r="AX937" s="79"/>
      <c r="AY937" s="79"/>
      <c r="AZ937" s="79"/>
      <c r="BA937" s="79"/>
      <c r="BB937" s="79"/>
      <c r="BC937" s="79"/>
      <c r="BD937" s="79"/>
      <c r="BE937" s="79"/>
      <c r="BF937" s="79"/>
      <c r="BG937" s="79"/>
      <c r="BH937" s="79"/>
      <c r="BI937" s="79"/>
      <c r="BJ937" s="79"/>
      <c r="BK937" s="79"/>
      <c r="BL937" s="79"/>
      <c r="BM937" s="79"/>
      <c r="BN937" s="79"/>
      <c r="BO937" s="79"/>
      <c r="BP937" s="79"/>
      <c r="BQ937" s="79"/>
      <c r="BR937" s="79"/>
      <c r="BS937" s="79"/>
      <c r="BT937" s="79"/>
      <c r="BU937" s="79"/>
      <c r="BV937" s="79"/>
      <c r="BW937" s="79"/>
      <c r="BX937" s="79"/>
      <c r="BY937" s="79"/>
      <c r="BZ937" s="79"/>
      <c r="CA937" s="79"/>
      <c r="CB937" s="79"/>
      <c r="CC937" s="79"/>
      <c r="CD937" s="79"/>
      <c r="CE937" s="79"/>
      <c r="CF937" s="79"/>
      <c r="CG937" s="79"/>
      <c r="CH937" s="79"/>
      <c r="CI937" s="79"/>
    </row>
    <row r="938" spans="1:87" ht="14" x14ac:dyDescent="0.1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79"/>
      <c r="AW938" s="79"/>
      <c r="AX938" s="79"/>
      <c r="AY938" s="79"/>
      <c r="AZ938" s="79"/>
      <c r="BA938" s="79"/>
      <c r="BB938" s="79"/>
      <c r="BC938" s="79"/>
      <c r="BD938" s="79"/>
      <c r="BE938" s="79"/>
      <c r="BF938" s="79"/>
      <c r="BG938" s="79"/>
      <c r="BH938" s="79"/>
      <c r="BI938" s="79"/>
      <c r="BJ938" s="79"/>
      <c r="BK938" s="79"/>
      <c r="BL938" s="79"/>
      <c r="BM938" s="79"/>
      <c r="BN938" s="79"/>
      <c r="BO938" s="79"/>
      <c r="BP938" s="79"/>
      <c r="BQ938" s="79"/>
      <c r="BR938" s="79"/>
      <c r="BS938" s="79"/>
      <c r="BT938" s="79"/>
      <c r="BU938" s="79"/>
      <c r="BV938" s="79"/>
      <c r="BW938" s="79"/>
      <c r="BX938" s="79"/>
      <c r="BY938" s="79"/>
      <c r="BZ938" s="79"/>
      <c r="CA938" s="79"/>
      <c r="CB938" s="79"/>
      <c r="CC938" s="79"/>
      <c r="CD938" s="79"/>
      <c r="CE938" s="79"/>
      <c r="CF938" s="79"/>
      <c r="CG938" s="79"/>
      <c r="CH938" s="79"/>
      <c r="CI938" s="79"/>
    </row>
    <row r="939" spans="1:87" ht="14" x14ac:dyDescent="0.1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79"/>
      <c r="AW939" s="79"/>
      <c r="AX939" s="79"/>
      <c r="AY939" s="79"/>
      <c r="AZ939" s="79"/>
      <c r="BA939" s="79"/>
      <c r="BB939" s="79"/>
      <c r="BC939" s="79"/>
      <c r="BD939" s="79"/>
      <c r="BE939" s="79"/>
      <c r="BF939" s="79"/>
      <c r="BG939" s="79"/>
      <c r="BH939" s="79"/>
      <c r="BI939" s="79"/>
      <c r="BJ939" s="79"/>
      <c r="BK939" s="79"/>
      <c r="BL939" s="79"/>
      <c r="BM939" s="79"/>
      <c r="BN939" s="79"/>
      <c r="BO939" s="79"/>
      <c r="BP939" s="79"/>
      <c r="BQ939" s="79"/>
      <c r="BR939" s="79"/>
      <c r="BS939" s="79"/>
      <c r="BT939" s="79"/>
      <c r="BU939" s="79"/>
      <c r="BV939" s="79"/>
      <c r="BW939" s="79"/>
      <c r="BX939" s="79"/>
      <c r="BY939" s="79"/>
      <c r="BZ939" s="79"/>
      <c r="CA939" s="79"/>
      <c r="CB939" s="79"/>
      <c r="CC939" s="79"/>
      <c r="CD939" s="79"/>
      <c r="CE939" s="79"/>
      <c r="CF939" s="79"/>
      <c r="CG939" s="79"/>
      <c r="CH939" s="79"/>
      <c r="CI939" s="79"/>
    </row>
    <row r="940" spans="1:87" ht="14" x14ac:dyDescent="0.1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79"/>
      <c r="AW940" s="79"/>
      <c r="AX940" s="79"/>
      <c r="AY940" s="79"/>
      <c r="AZ940" s="79"/>
      <c r="BA940" s="79"/>
      <c r="BB940" s="79"/>
      <c r="BC940" s="79"/>
      <c r="BD940" s="79"/>
      <c r="BE940" s="79"/>
      <c r="BF940" s="79"/>
      <c r="BG940" s="79"/>
      <c r="BH940" s="79"/>
      <c r="BI940" s="79"/>
      <c r="BJ940" s="79"/>
      <c r="BK940" s="79"/>
      <c r="BL940" s="79"/>
      <c r="BM940" s="79"/>
      <c r="BN940" s="79"/>
      <c r="BO940" s="79"/>
      <c r="BP940" s="79"/>
      <c r="BQ940" s="79"/>
      <c r="BR940" s="79"/>
      <c r="BS940" s="79"/>
      <c r="BT940" s="79"/>
      <c r="BU940" s="79"/>
      <c r="BV940" s="79"/>
      <c r="BW940" s="79"/>
      <c r="BX940" s="79"/>
      <c r="BY940" s="79"/>
      <c r="BZ940" s="79"/>
      <c r="CA940" s="79"/>
      <c r="CB940" s="79"/>
      <c r="CC940" s="79"/>
      <c r="CD940" s="79"/>
      <c r="CE940" s="79"/>
      <c r="CF940" s="79"/>
      <c r="CG940" s="79"/>
      <c r="CH940" s="79"/>
      <c r="CI940" s="79"/>
    </row>
    <row r="941" spans="1:87" ht="14" x14ac:dyDescent="0.1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79"/>
      <c r="AW941" s="79"/>
      <c r="AX941" s="79"/>
      <c r="AY941" s="79"/>
      <c r="AZ941" s="79"/>
      <c r="BA941" s="79"/>
      <c r="BB941" s="79"/>
      <c r="BC941" s="79"/>
      <c r="BD941" s="79"/>
      <c r="BE941" s="79"/>
      <c r="BF941" s="79"/>
      <c r="BG941" s="79"/>
      <c r="BH941" s="79"/>
      <c r="BI941" s="79"/>
      <c r="BJ941" s="79"/>
      <c r="BK941" s="79"/>
      <c r="BL941" s="79"/>
      <c r="BM941" s="79"/>
      <c r="BN941" s="79"/>
      <c r="BO941" s="79"/>
      <c r="BP941" s="79"/>
      <c r="BQ941" s="79"/>
      <c r="BR941" s="79"/>
      <c r="BS941" s="79"/>
      <c r="BT941" s="79"/>
      <c r="BU941" s="79"/>
      <c r="BV941" s="79"/>
      <c r="BW941" s="79"/>
      <c r="BX941" s="79"/>
      <c r="BY941" s="79"/>
      <c r="BZ941" s="79"/>
      <c r="CA941" s="79"/>
      <c r="CB941" s="79"/>
      <c r="CC941" s="79"/>
      <c r="CD941" s="79"/>
      <c r="CE941" s="79"/>
      <c r="CF941" s="79"/>
      <c r="CG941" s="79"/>
      <c r="CH941" s="79"/>
      <c r="CI941" s="79"/>
    </row>
    <row r="942" spans="1:87" ht="14" x14ac:dyDescent="0.1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79"/>
      <c r="AW942" s="79"/>
      <c r="AX942" s="79"/>
      <c r="AY942" s="79"/>
      <c r="AZ942" s="79"/>
      <c r="BA942" s="79"/>
      <c r="BB942" s="79"/>
      <c r="BC942" s="79"/>
      <c r="BD942" s="79"/>
      <c r="BE942" s="79"/>
      <c r="BF942" s="79"/>
      <c r="BG942" s="79"/>
      <c r="BH942" s="79"/>
      <c r="BI942" s="79"/>
      <c r="BJ942" s="79"/>
      <c r="BK942" s="79"/>
      <c r="BL942" s="79"/>
      <c r="BM942" s="79"/>
      <c r="BN942" s="79"/>
      <c r="BO942" s="79"/>
      <c r="BP942" s="79"/>
      <c r="BQ942" s="79"/>
      <c r="BR942" s="79"/>
      <c r="BS942" s="79"/>
      <c r="BT942" s="79"/>
      <c r="BU942" s="79"/>
      <c r="BV942" s="79"/>
      <c r="BW942" s="79"/>
      <c r="BX942" s="79"/>
      <c r="BY942" s="79"/>
      <c r="BZ942" s="79"/>
      <c r="CA942" s="79"/>
      <c r="CB942" s="79"/>
      <c r="CC942" s="79"/>
      <c r="CD942" s="79"/>
      <c r="CE942" s="79"/>
      <c r="CF942" s="79"/>
      <c r="CG942" s="79"/>
      <c r="CH942" s="79"/>
      <c r="CI942" s="79"/>
    </row>
    <row r="943" spans="1:87" ht="14" x14ac:dyDescent="0.1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79"/>
      <c r="AW943" s="79"/>
      <c r="AX943" s="79"/>
      <c r="AY943" s="79"/>
      <c r="AZ943" s="79"/>
      <c r="BA943" s="79"/>
      <c r="BB943" s="79"/>
      <c r="BC943" s="79"/>
      <c r="BD943" s="79"/>
      <c r="BE943" s="79"/>
      <c r="BF943" s="79"/>
      <c r="BG943" s="79"/>
      <c r="BH943" s="79"/>
      <c r="BI943" s="79"/>
      <c r="BJ943" s="79"/>
      <c r="BK943" s="79"/>
      <c r="BL943" s="79"/>
      <c r="BM943" s="79"/>
      <c r="BN943" s="79"/>
      <c r="BO943" s="79"/>
      <c r="BP943" s="79"/>
      <c r="BQ943" s="79"/>
      <c r="BR943" s="79"/>
      <c r="BS943" s="79"/>
      <c r="BT943" s="79"/>
      <c r="BU943" s="79"/>
      <c r="BV943" s="79"/>
      <c r="BW943" s="79"/>
      <c r="BX943" s="79"/>
      <c r="BY943" s="79"/>
      <c r="BZ943" s="79"/>
      <c r="CA943" s="79"/>
      <c r="CB943" s="79"/>
      <c r="CC943" s="79"/>
      <c r="CD943" s="79"/>
      <c r="CE943" s="79"/>
      <c r="CF943" s="79"/>
      <c r="CG943" s="79"/>
      <c r="CH943" s="79"/>
      <c r="CI943" s="79"/>
    </row>
    <row r="944" spans="1:87" ht="14" x14ac:dyDescent="0.1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79"/>
      <c r="AW944" s="79"/>
      <c r="AX944" s="79"/>
      <c r="AY944" s="79"/>
      <c r="AZ944" s="79"/>
      <c r="BA944" s="79"/>
      <c r="BB944" s="79"/>
      <c r="BC944" s="79"/>
      <c r="BD944" s="79"/>
      <c r="BE944" s="79"/>
      <c r="BF944" s="79"/>
      <c r="BG944" s="79"/>
      <c r="BH944" s="79"/>
      <c r="BI944" s="79"/>
      <c r="BJ944" s="79"/>
      <c r="BK944" s="79"/>
      <c r="BL944" s="79"/>
      <c r="BM944" s="79"/>
      <c r="BN944" s="79"/>
      <c r="BO944" s="79"/>
      <c r="BP944" s="79"/>
      <c r="BQ944" s="79"/>
      <c r="BR944" s="79"/>
      <c r="BS944" s="79"/>
      <c r="BT944" s="79"/>
      <c r="BU944" s="79"/>
      <c r="BV944" s="79"/>
      <c r="BW944" s="79"/>
      <c r="BX944" s="79"/>
      <c r="BY944" s="79"/>
      <c r="BZ944" s="79"/>
      <c r="CA944" s="79"/>
      <c r="CB944" s="79"/>
      <c r="CC944" s="79"/>
      <c r="CD944" s="79"/>
      <c r="CE944" s="79"/>
      <c r="CF944" s="79"/>
      <c r="CG944" s="79"/>
      <c r="CH944" s="79"/>
      <c r="CI944" s="79"/>
    </row>
    <row r="945" spans="1:87" ht="14" x14ac:dyDescent="0.1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79"/>
      <c r="AW945" s="79"/>
      <c r="AX945" s="79"/>
      <c r="AY945" s="79"/>
      <c r="AZ945" s="79"/>
      <c r="BA945" s="79"/>
      <c r="BB945" s="79"/>
      <c r="BC945" s="79"/>
      <c r="BD945" s="79"/>
      <c r="BE945" s="79"/>
      <c r="BF945" s="79"/>
      <c r="BG945" s="79"/>
      <c r="BH945" s="79"/>
      <c r="BI945" s="79"/>
      <c r="BJ945" s="79"/>
      <c r="BK945" s="79"/>
      <c r="BL945" s="79"/>
      <c r="BM945" s="79"/>
      <c r="BN945" s="79"/>
      <c r="BO945" s="79"/>
      <c r="BP945" s="79"/>
      <c r="BQ945" s="79"/>
      <c r="BR945" s="79"/>
      <c r="BS945" s="79"/>
      <c r="BT945" s="79"/>
      <c r="BU945" s="79"/>
      <c r="BV945" s="79"/>
      <c r="BW945" s="79"/>
      <c r="BX945" s="79"/>
      <c r="BY945" s="79"/>
      <c r="BZ945" s="79"/>
      <c r="CA945" s="79"/>
      <c r="CB945" s="79"/>
      <c r="CC945" s="79"/>
      <c r="CD945" s="79"/>
      <c r="CE945" s="79"/>
      <c r="CF945" s="79"/>
      <c r="CG945" s="79"/>
      <c r="CH945" s="79"/>
      <c r="CI945" s="79"/>
    </row>
    <row r="946" spans="1:87" ht="14" x14ac:dyDescent="0.1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79"/>
      <c r="AW946" s="79"/>
      <c r="AX946" s="79"/>
      <c r="AY946" s="79"/>
      <c r="AZ946" s="79"/>
      <c r="BA946" s="79"/>
      <c r="BB946" s="79"/>
      <c r="BC946" s="79"/>
      <c r="BD946" s="79"/>
      <c r="BE946" s="79"/>
      <c r="BF946" s="79"/>
      <c r="BG946" s="79"/>
      <c r="BH946" s="79"/>
      <c r="BI946" s="79"/>
      <c r="BJ946" s="79"/>
      <c r="BK946" s="79"/>
      <c r="BL946" s="79"/>
      <c r="BM946" s="79"/>
      <c r="BN946" s="79"/>
      <c r="BO946" s="79"/>
      <c r="BP946" s="79"/>
      <c r="BQ946" s="79"/>
      <c r="BR946" s="79"/>
      <c r="BS946" s="79"/>
      <c r="BT946" s="79"/>
      <c r="BU946" s="79"/>
      <c r="BV946" s="79"/>
      <c r="BW946" s="79"/>
      <c r="BX946" s="79"/>
      <c r="BY946" s="79"/>
      <c r="BZ946" s="79"/>
      <c r="CA946" s="79"/>
      <c r="CB946" s="79"/>
      <c r="CC946" s="79"/>
      <c r="CD946" s="79"/>
      <c r="CE946" s="79"/>
      <c r="CF946" s="79"/>
      <c r="CG946" s="79"/>
      <c r="CH946" s="79"/>
      <c r="CI946" s="79"/>
    </row>
    <row r="947" spans="1:87" ht="14" x14ac:dyDescent="0.1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79"/>
      <c r="AW947" s="79"/>
      <c r="AX947" s="79"/>
      <c r="AY947" s="79"/>
      <c r="AZ947" s="79"/>
      <c r="BA947" s="79"/>
      <c r="BB947" s="79"/>
      <c r="BC947" s="79"/>
      <c r="BD947" s="79"/>
      <c r="BE947" s="79"/>
      <c r="BF947" s="79"/>
      <c r="BG947" s="79"/>
      <c r="BH947" s="79"/>
      <c r="BI947" s="79"/>
      <c r="BJ947" s="79"/>
      <c r="BK947" s="79"/>
      <c r="BL947" s="79"/>
      <c r="BM947" s="79"/>
      <c r="BN947" s="79"/>
      <c r="BO947" s="79"/>
      <c r="BP947" s="79"/>
      <c r="BQ947" s="79"/>
      <c r="BR947" s="79"/>
      <c r="BS947" s="79"/>
      <c r="BT947" s="79"/>
      <c r="BU947" s="79"/>
      <c r="BV947" s="79"/>
      <c r="BW947" s="79"/>
      <c r="BX947" s="79"/>
      <c r="BY947" s="79"/>
      <c r="BZ947" s="79"/>
      <c r="CA947" s="79"/>
      <c r="CB947" s="79"/>
      <c r="CC947" s="79"/>
      <c r="CD947" s="79"/>
      <c r="CE947" s="79"/>
      <c r="CF947" s="79"/>
      <c r="CG947" s="79"/>
      <c r="CH947" s="79"/>
      <c r="CI947" s="79"/>
    </row>
    <row r="948" spans="1:87" ht="14" x14ac:dyDescent="0.1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  <c r="AS948" s="79"/>
      <c r="AT948" s="79"/>
      <c r="AU948" s="79"/>
      <c r="AV948" s="79"/>
      <c r="AW948" s="79"/>
      <c r="AX948" s="79"/>
      <c r="AY948" s="79"/>
      <c r="AZ948" s="79"/>
      <c r="BA948" s="79"/>
      <c r="BB948" s="79"/>
      <c r="BC948" s="79"/>
      <c r="BD948" s="79"/>
      <c r="BE948" s="79"/>
      <c r="BF948" s="79"/>
      <c r="BG948" s="79"/>
      <c r="BH948" s="79"/>
      <c r="BI948" s="79"/>
      <c r="BJ948" s="79"/>
      <c r="BK948" s="79"/>
      <c r="BL948" s="79"/>
      <c r="BM948" s="79"/>
      <c r="BN948" s="79"/>
      <c r="BO948" s="79"/>
      <c r="BP948" s="79"/>
      <c r="BQ948" s="79"/>
      <c r="BR948" s="79"/>
      <c r="BS948" s="79"/>
      <c r="BT948" s="79"/>
      <c r="BU948" s="79"/>
      <c r="BV948" s="79"/>
      <c r="BW948" s="79"/>
      <c r="BX948" s="79"/>
      <c r="BY948" s="79"/>
      <c r="BZ948" s="79"/>
      <c r="CA948" s="79"/>
      <c r="CB948" s="79"/>
      <c r="CC948" s="79"/>
      <c r="CD948" s="79"/>
      <c r="CE948" s="79"/>
      <c r="CF948" s="79"/>
      <c r="CG948" s="79"/>
      <c r="CH948" s="79"/>
      <c r="CI948" s="79"/>
    </row>
    <row r="949" spans="1:87" ht="14" x14ac:dyDescent="0.1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  <c r="AS949" s="79"/>
      <c r="AT949" s="79"/>
      <c r="AU949" s="79"/>
      <c r="AV949" s="79"/>
      <c r="AW949" s="79"/>
      <c r="AX949" s="79"/>
      <c r="AY949" s="79"/>
      <c r="AZ949" s="79"/>
      <c r="BA949" s="79"/>
      <c r="BB949" s="79"/>
      <c r="BC949" s="79"/>
      <c r="BD949" s="79"/>
      <c r="BE949" s="79"/>
      <c r="BF949" s="79"/>
      <c r="BG949" s="79"/>
      <c r="BH949" s="79"/>
      <c r="BI949" s="79"/>
      <c r="BJ949" s="79"/>
      <c r="BK949" s="79"/>
      <c r="BL949" s="79"/>
      <c r="BM949" s="79"/>
      <c r="BN949" s="79"/>
      <c r="BO949" s="79"/>
      <c r="BP949" s="79"/>
      <c r="BQ949" s="79"/>
      <c r="BR949" s="79"/>
      <c r="BS949" s="79"/>
      <c r="BT949" s="79"/>
      <c r="BU949" s="79"/>
      <c r="BV949" s="79"/>
      <c r="BW949" s="79"/>
      <c r="BX949" s="79"/>
      <c r="BY949" s="79"/>
      <c r="BZ949" s="79"/>
      <c r="CA949" s="79"/>
      <c r="CB949" s="79"/>
      <c r="CC949" s="79"/>
      <c r="CD949" s="79"/>
      <c r="CE949" s="79"/>
      <c r="CF949" s="79"/>
      <c r="CG949" s="79"/>
      <c r="CH949" s="79"/>
      <c r="CI949" s="79"/>
    </row>
    <row r="950" spans="1:87" ht="14" x14ac:dyDescent="0.1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  <c r="AS950" s="79"/>
      <c r="AT950" s="79"/>
      <c r="AU950" s="79"/>
      <c r="AV950" s="79"/>
      <c r="AW950" s="79"/>
      <c r="AX950" s="79"/>
      <c r="AY950" s="79"/>
      <c r="AZ950" s="79"/>
      <c r="BA950" s="79"/>
      <c r="BB950" s="79"/>
      <c r="BC950" s="79"/>
      <c r="BD950" s="79"/>
      <c r="BE950" s="79"/>
      <c r="BF950" s="79"/>
      <c r="BG950" s="79"/>
      <c r="BH950" s="79"/>
      <c r="BI950" s="79"/>
      <c r="BJ950" s="79"/>
      <c r="BK950" s="79"/>
      <c r="BL950" s="79"/>
      <c r="BM950" s="79"/>
      <c r="BN950" s="79"/>
      <c r="BO950" s="79"/>
      <c r="BP950" s="79"/>
      <c r="BQ950" s="79"/>
      <c r="BR950" s="79"/>
      <c r="BS950" s="79"/>
      <c r="BT950" s="79"/>
      <c r="BU950" s="79"/>
      <c r="BV950" s="79"/>
      <c r="BW950" s="79"/>
      <c r="BX950" s="79"/>
      <c r="BY950" s="79"/>
      <c r="BZ950" s="79"/>
      <c r="CA950" s="79"/>
      <c r="CB950" s="79"/>
      <c r="CC950" s="79"/>
      <c r="CD950" s="79"/>
      <c r="CE950" s="79"/>
      <c r="CF950" s="79"/>
      <c r="CG950" s="79"/>
      <c r="CH950" s="79"/>
      <c r="CI950" s="79"/>
    </row>
    <row r="951" spans="1:87" ht="14" x14ac:dyDescent="0.1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  <c r="AS951" s="79"/>
      <c r="AT951" s="79"/>
      <c r="AU951" s="79"/>
      <c r="AV951" s="79"/>
      <c r="AW951" s="79"/>
      <c r="AX951" s="79"/>
      <c r="AY951" s="79"/>
      <c r="AZ951" s="79"/>
      <c r="BA951" s="79"/>
      <c r="BB951" s="79"/>
      <c r="BC951" s="79"/>
      <c r="BD951" s="79"/>
      <c r="BE951" s="79"/>
      <c r="BF951" s="79"/>
      <c r="BG951" s="79"/>
      <c r="BH951" s="79"/>
      <c r="BI951" s="79"/>
      <c r="BJ951" s="79"/>
      <c r="BK951" s="79"/>
      <c r="BL951" s="79"/>
      <c r="BM951" s="79"/>
      <c r="BN951" s="79"/>
      <c r="BO951" s="79"/>
      <c r="BP951" s="79"/>
      <c r="BQ951" s="79"/>
      <c r="BR951" s="79"/>
      <c r="BS951" s="79"/>
      <c r="BT951" s="79"/>
      <c r="BU951" s="79"/>
      <c r="BV951" s="79"/>
      <c r="BW951" s="79"/>
      <c r="BX951" s="79"/>
      <c r="BY951" s="79"/>
      <c r="BZ951" s="79"/>
      <c r="CA951" s="79"/>
      <c r="CB951" s="79"/>
      <c r="CC951" s="79"/>
      <c r="CD951" s="79"/>
      <c r="CE951" s="79"/>
      <c r="CF951" s="79"/>
      <c r="CG951" s="79"/>
      <c r="CH951" s="79"/>
      <c r="CI951" s="79"/>
    </row>
    <row r="952" spans="1:87" ht="14" x14ac:dyDescent="0.1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79"/>
      <c r="AW952" s="79"/>
      <c r="AX952" s="79"/>
      <c r="AY952" s="79"/>
      <c r="AZ952" s="79"/>
      <c r="BA952" s="79"/>
      <c r="BB952" s="79"/>
      <c r="BC952" s="79"/>
      <c r="BD952" s="79"/>
      <c r="BE952" s="79"/>
      <c r="BF952" s="79"/>
      <c r="BG952" s="79"/>
      <c r="BH952" s="79"/>
      <c r="BI952" s="79"/>
      <c r="BJ952" s="79"/>
      <c r="BK952" s="79"/>
      <c r="BL952" s="79"/>
      <c r="BM952" s="79"/>
      <c r="BN952" s="79"/>
      <c r="BO952" s="79"/>
      <c r="BP952" s="79"/>
      <c r="BQ952" s="79"/>
      <c r="BR952" s="79"/>
      <c r="BS952" s="79"/>
      <c r="BT952" s="79"/>
      <c r="BU952" s="79"/>
      <c r="BV952" s="79"/>
      <c r="BW952" s="79"/>
      <c r="BX952" s="79"/>
      <c r="BY952" s="79"/>
      <c r="BZ952" s="79"/>
      <c r="CA952" s="79"/>
      <c r="CB952" s="79"/>
      <c r="CC952" s="79"/>
      <c r="CD952" s="79"/>
      <c r="CE952" s="79"/>
      <c r="CF952" s="79"/>
      <c r="CG952" s="79"/>
      <c r="CH952" s="79"/>
      <c r="CI952" s="79"/>
    </row>
    <row r="953" spans="1:87" ht="14" x14ac:dyDescent="0.1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79"/>
      <c r="AT953" s="79"/>
      <c r="AU953" s="79"/>
      <c r="AV953" s="79"/>
      <c r="AW953" s="79"/>
      <c r="AX953" s="79"/>
      <c r="AY953" s="79"/>
      <c r="AZ953" s="79"/>
      <c r="BA953" s="79"/>
      <c r="BB953" s="79"/>
      <c r="BC953" s="79"/>
      <c r="BD953" s="79"/>
      <c r="BE953" s="79"/>
      <c r="BF953" s="79"/>
      <c r="BG953" s="79"/>
      <c r="BH953" s="79"/>
      <c r="BI953" s="79"/>
      <c r="BJ953" s="79"/>
      <c r="BK953" s="79"/>
      <c r="BL953" s="79"/>
      <c r="BM953" s="79"/>
      <c r="BN953" s="79"/>
      <c r="BO953" s="79"/>
      <c r="BP953" s="79"/>
      <c r="BQ953" s="79"/>
      <c r="BR953" s="79"/>
      <c r="BS953" s="79"/>
      <c r="BT953" s="79"/>
      <c r="BU953" s="79"/>
      <c r="BV953" s="79"/>
      <c r="BW953" s="79"/>
      <c r="BX953" s="79"/>
      <c r="BY953" s="79"/>
      <c r="BZ953" s="79"/>
      <c r="CA953" s="79"/>
      <c r="CB953" s="79"/>
      <c r="CC953" s="79"/>
      <c r="CD953" s="79"/>
      <c r="CE953" s="79"/>
      <c r="CF953" s="79"/>
      <c r="CG953" s="79"/>
      <c r="CH953" s="79"/>
      <c r="CI953" s="79"/>
    </row>
    <row r="954" spans="1:87" ht="14" x14ac:dyDescent="0.1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  <c r="AS954" s="79"/>
      <c r="AT954" s="79"/>
      <c r="AU954" s="79"/>
      <c r="AV954" s="79"/>
      <c r="AW954" s="79"/>
      <c r="AX954" s="79"/>
      <c r="AY954" s="79"/>
      <c r="AZ954" s="79"/>
      <c r="BA954" s="79"/>
      <c r="BB954" s="79"/>
      <c r="BC954" s="79"/>
      <c r="BD954" s="79"/>
      <c r="BE954" s="79"/>
      <c r="BF954" s="79"/>
      <c r="BG954" s="79"/>
      <c r="BH954" s="79"/>
      <c r="BI954" s="79"/>
      <c r="BJ954" s="79"/>
      <c r="BK954" s="79"/>
      <c r="BL954" s="79"/>
      <c r="BM954" s="79"/>
      <c r="BN954" s="79"/>
      <c r="BO954" s="79"/>
      <c r="BP954" s="79"/>
      <c r="BQ954" s="79"/>
      <c r="BR954" s="79"/>
      <c r="BS954" s="79"/>
      <c r="BT954" s="79"/>
      <c r="BU954" s="79"/>
      <c r="BV954" s="79"/>
      <c r="BW954" s="79"/>
      <c r="BX954" s="79"/>
      <c r="BY954" s="79"/>
      <c r="BZ954" s="79"/>
      <c r="CA954" s="79"/>
      <c r="CB954" s="79"/>
      <c r="CC954" s="79"/>
      <c r="CD954" s="79"/>
      <c r="CE954" s="79"/>
      <c r="CF954" s="79"/>
      <c r="CG954" s="79"/>
      <c r="CH954" s="79"/>
      <c r="CI954" s="79"/>
    </row>
    <row r="955" spans="1:87" ht="14" x14ac:dyDescent="0.1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79"/>
      <c r="AW955" s="79"/>
      <c r="AX955" s="79"/>
      <c r="AY955" s="79"/>
      <c r="AZ955" s="79"/>
      <c r="BA955" s="79"/>
      <c r="BB955" s="79"/>
      <c r="BC955" s="79"/>
      <c r="BD955" s="79"/>
      <c r="BE955" s="79"/>
      <c r="BF955" s="79"/>
      <c r="BG955" s="79"/>
      <c r="BH955" s="79"/>
      <c r="BI955" s="79"/>
      <c r="BJ955" s="79"/>
      <c r="BK955" s="79"/>
      <c r="BL955" s="79"/>
      <c r="BM955" s="79"/>
      <c r="BN955" s="79"/>
      <c r="BO955" s="79"/>
      <c r="BP955" s="79"/>
      <c r="BQ955" s="79"/>
      <c r="BR955" s="79"/>
      <c r="BS955" s="79"/>
      <c r="BT955" s="79"/>
      <c r="BU955" s="79"/>
      <c r="BV955" s="79"/>
      <c r="BW955" s="79"/>
      <c r="BX955" s="79"/>
      <c r="BY955" s="79"/>
      <c r="BZ955" s="79"/>
      <c r="CA955" s="79"/>
      <c r="CB955" s="79"/>
      <c r="CC955" s="79"/>
      <c r="CD955" s="79"/>
      <c r="CE955" s="79"/>
      <c r="CF955" s="79"/>
      <c r="CG955" s="79"/>
      <c r="CH955" s="79"/>
      <c r="CI955" s="79"/>
    </row>
    <row r="956" spans="1:87" ht="14" x14ac:dyDescent="0.1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  <c r="AS956" s="79"/>
      <c r="AT956" s="79"/>
      <c r="AU956" s="79"/>
      <c r="AV956" s="79"/>
      <c r="AW956" s="79"/>
      <c r="AX956" s="79"/>
      <c r="AY956" s="79"/>
      <c r="AZ956" s="79"/>
      <c r="BA956" s="79"/>
      <c r="BB956" s="79"/>
      <c r="BC956" s="79"/>
      <c r="BD956" s="79"/>
      <c r="BE956" s="79"/>
      <c r="BF956" s="79"/>
      <c r="BG956" s="79"/>
      <c r="BH956" s="79"/>
      <c r="BI956" s="79"/>
      <c r="BJ956" s="79"/>
      <c r="BK956" s="79"/>
      <c r="BL956" s="79"/>
      <c r="BM956" s="79"/>
      <c r="BN956" s="79"/>
      <c r="BO956" s="79"/>
      <c r="BP956" s="79"/>
      <c r="BQ956" s="79"/>
      <c r="BR956" s="79"/>
      <c r="BS956" s="79"/>
      <c r="BT956" s="79"/>
      <c r="BU956" s="79"/>
      <c r="BV956" s="79"/>
      <c r="BW956" s="79"/>
      <c r="BX956" s="79"/>
      <c r="BY956" s="79"/>
      <c r="BZ956" s="79"/>
      <c r="CA956" s="79"/>
      <c r="CB956" s="79"/>
      <c r="CC956" s="79"/>
      <c r="CD956" s="79"/>
      <c r="CE956" s="79"/>
      <c r="CF956" s="79"/>
      <c r="CG956" s="79"/>
      <c r="CH956" s="79"/>
      <c r="CI956" s="79"/>
    </row>
    <row r="957" spans="1:87" ht="14" x14ac:dyDescent="0.1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  <c r="AS957" s="79"/>
      <c r="AT957" s="79"/>
      <c r="AU957" s="79"/>
      <c r="AV957" s="79"/>
      <c r="AW957" s="79"/>
      <c r="AX957" s="79"/>
      <c r="AY957" s="79"/>
      <c r="AZ957" s="79"/>
      <c r="BA957" s="79"/>
      <c r="BB957" s="79"/>
      <c r="BC957" s="79"/>
      <c r="BD957" s="79"/>
      <c r="BE957" s="79"/>
      <c r="BF957" s="79"/>
      <c r="BG957" s="79"/>
      <c r="BH957" s="79"/>
      <c r="BI957" s="79"/>
      <c r="BJ957" s="79"/>
      <c r="BK957" s="79"/>
      <c r="BL957" s="79"/>
      <c r="BM957" s="79"/>
      <c r="BN957" s="79"/>
      <c r="BO957" s="79"/>
      <c r="BP957" s="79"/>
      <c r="BQ957" s="79"/>
      <c r="BR957" s="79"/>
      <c r="BS957" s="79"/>
      <c r="BT957" s="79"/>
      <c r="BU957" s="79"/>
      <c r="BV957" s="79"/>
      <c r="BW957" s="79"/>
      <c r="BX957" s="79"/>
      <c r="BY957" s="79"/>
      <c r="BZ957" s="79"/>
      <c r="CA957" s="79"/>
      <c r="CB957" s="79"/>
      <c r="CC957" s="79"/>
      <c r="CD957" s="79"/>
      <c r="CE957" s="79"/>
      <c r="CF957" s="79"/>
      <c r="CG957" s="79"/>
      <c r="CH957" s="79"/>
      <c r="CI957" s="79"/>
    </row>
    <row r="958" spans="1:87" ht="14" x14ac:dyDescent="0.1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  <c r="AS958" s="79"/>
      <c r="AT958" s="79"/>
      <c r="AU958" s="79"/>
      <c r="AV958" s="79"/>
      <c r="AW958" s="79"/>
      <c r="AX958" s="79"/>
      <c r="AY958" s="79"/>
      <c r="AZ958" s="79"/>
      <c r="BA958" s="79"/>
      <c r="BB958" s="79"/>
      <c r="BC958" s="79"/>
      <c r="BD958" s="79"/>
      <c r="BE958" s="79"/>
      <c r="BF958" s="79"/>
      <c r="BG958" s="79"/>
      <c r="BH958" s="79"/>
      <c r="BI958" s="79"/>
      <c r="BJ958" s="79"/>
      <c r="BK958" s="79"/>
      <c r="BL958" s="79"/>
      <c r="BM958" s="79"/>
      <c r="BN958" s="79"/>
      <c r="BO958" s="79"/>
      <c r="BP958" s="79"/>
      <c r="BQ958" s="79"/>
      <c r="BR958" s="79"/>
      <c r="BS958" s="79"/>
      <c r="BT958" s="79"/>
      <c r="BU958" s="79"/>
      <c r="BV958" s="79"/>
      <c r="BW958" s="79"/>
      <c r="BX958" s="79"/>
      <c r="BY958" s="79"/>
      <c r="BZ958" s="79"/>
      <c r="CA958" s="79"/>
      <c r="CB958" s="79"/>
      <c r="CC958" s="79"/>
      <c r="CD958" s="79"/>
      <c r="CE958" s="79"/>
      <c r="CF958" s="79"/>
      <c r="CG958" s="79"/>
      <c r="CH958" s="79"/>
      <c r="CI958" s="79"/>
    </row>
    <row r="959" spans="1:87" ht="14" x14ac:dyDescent="0.1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79"/>
      <c r="AW959" s="79"/>
      <c r="AX959" s="79"/>
      <c r="AY959" s="79"/>
      <c r="AZ959" s="79"/>
      <c r="BA959" s="79"/>
      <c r="BB959" s="79"/>
      <c r="BC959" s="79"/>
      <c r="BD959" s="79"/>
      <c r="BE959" s="79"/>
      <c r="BF959" s="79"/>
      <c r="BG959" s="79"/>
      <c r="BH959" s="79"/>
      <c r="BI959" s="79"/>
      <c r="BJ959" s="79"/>
      <c r="BK959" s="79"/>
      <c r="BL959" s="79"/>
      <c r="BM959" s="79"/>
      <c r="BN959" s="79"/>
      <c r="BO959" s="79"/>
      <c r="BP959" s="79"/>
      <c r="BQ959" s="79"/>
      <c r="BR959" s="79"/>
      <c r="BS959" s="79"/>
      <c r="BT959" s="79"/>
      <c r="BU959" s="79"/>
      <c r="BV959" s="79"/>
      <c r="BW959" s="79"/>
      <c r="BX959" s="79"/>
      <c r="BY959" s="79"/>
      <c r="BZ959" s="79"/>
      <c r="CA959" s="79"/>
      <c r="CB959" s="79"/>
      <c r="CC959" s="79"/>
      <c r="CD959" s="79"/>
      <c r="CE959" s="79"/>
      <c r="CF959" s="79"/>
      <c r="CG959" s="79"/>
      <c r="CH959" s="79"/>
      <c r="CI959" s="79"/>
    </row>
    <row r="960" spans="1:87" ht="14" x14ac:dyDescent="0.1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79"/>
      <c r="AW960" s="79"/>
      <c r="AX960" s="79"/>
      <c r="AY960" s="79"/>
      <c r="AZ960" s="79"/>
      <c r="BA960" s="79"/>
      <c r="BB960" s="79"/>
      <c r="BC960" s="79"/>
      <c r="BD960" s="79"/>
      <c r="BE960" s="79"/>
      <c r="BF960" s="79"/>
      <c r="BG960" s="79"/>
      <c r="BH960" s="79"/>
      <c r="BI960" s="79"/>
      <c r="BJ960" s="79"/>
      <c r="BK960" s="79"/>
      <c r="BL960" s="79"/>
      <c r="BM960" s="79"/>
      <c r="BN960" s="79"/>
      <c r="BO960" s="79"/>
      <c r="BP960" s="79"/>
      <c r="BQ960" s="79"/>
      <c r="BR960" s="79"/>
      <c r="BS960" s="79"/>
      <c r="BT960" s="79"/>
      <c r="BU960" s="79"/>
      <c r="BV960" s="79"/>
      <c r="BW960" s="79"/>
      <c r="BX960" s="79"/>
      <c r="BY960" s="79"/>
      <c r="BZ960" s="79"/>
      <c r="CA960" s="79"/>
      <c r="CB960" s="79"/>
      <c r="CC960" s="79"/>
      <c r="CD960" s="79"/>
      <c r="CE960" s="79"/>
      <c r="CF960" s="79"/>
      <c r="CG960" s="79"/>
      <c r="CH960" s="79"/>
      <c r="CI960" s="79"/>
    </row>
    <row r="961" spans="1:87" ht="14" x14ac:dyDescent="0.1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  <c r="AS961" s="79"/>
      <c r="AT961" s="79"/>
      <c r="AU961" s="79"/>
      <c r="AV961" s="79"/>
      <c r="AW961" s="79"/>
      <c r="AX961" s="79"/>
      <c r="AY961" s="79"/>
      <c r="AZ961" s="79"/>
      <c r="BA961" s="79"/>
      <c r="BB961" s="79"/>
      <c r="BC961" s="79"/>
      <c r="BD961" s="79"/>
      <c r="BE961" s="79"/>
      <c r="BF961" s="79"/>
      <c r="BG961" s="79"/>
      <c r="BH961" s="79"/>
      <c r="BI961" s="79"/>
      <c r="BJ961" s="79"/>
      <c r="BK961" s="79"/>
      <c r="BL961" s="79"/>
      <c r="BM961" s="79"/>
      <c r="BN961" s="79"/>
      <c r="BO961" s="79"/>
      <c r="BP961" s="79"/>
      <c r="BQ961" s="79"/>
      <c r="BR961" s="79"/>
      <c r="BS961" s="79"/>
      <c r="BT961" s="79"/>
      <c r="BU961" s="79"/>
      <c r="BV961" s="79"/>
      <c r="BW961" s="79"/>
      <c r="BX961" s="79"/>
      <c r="BY961" s="79"/>
      <c r="BZ961" s="79"/>
      <c r="CA961" s="79"/>
      <c r="CB961" s="79"/>
      <c r="CC961" s="79"/>
      <c r="CD961" s="79"/>
      <c r="CE961" s="79"/>
      <c r="CF961" s="79"/>
      <c r="CG961" s="79"/>
      <c r="CH961" s="79"/>
      <c r="CI961" s="79"/>
    </row>
    <row r="962" spans="1:87" ht="14" x14ac:dyDescent="0.1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79"/>
      <c r="AW962" s="79"/>
      <c r="AX962" s="79"/>
      <c r="AY962" s="79"/>
      <c r="AZ962" s="79"/>
      <c r="BA962" s="79"/>
      <c r="BB962" s="79"/>
      <c r="BC962" s="79"/>
      <c r="BD962" s="79"/>
      <c r="BE962" s="79"/>
      <c r="BF962" s="79"/>
      <c r="BG962" s="79"/>
      <c r="BH962" s="79"/>
      <c r="BI962" s="79"/>
      <c r="BJ962" s="79"/>
      <c r="BK962" s="79"/>
      <c r="BL962" s="79"/>
      <c r="BM962" s="79"/>
      <c r="BN962" s="79"/>
      <c r="BO962" s="79"/>
      <c r="BP962" s="79"/>
      <c r="BQ962" s="79"/>
      <c r="BR962" s="79"/>
      <c r="BS962" s="79"/>
      <c r="BT962" s="79"/>
      <c r="BU962" s="79"/>
      <c r="BV962" s="79"/>
      <c r="BW962" s="79"/>
      <c r="BX962" s="79"/>
      <c r="BY962" s="79"/>
      <c r="BZ962" s="79"/>
      <c r="CA962" s="79"/>
      <c r="CB962" s="79"/>
      <c r="CC962" s="79"/>
      <c r="CD962" s="79"/>
      <c r="CE962" s="79"/>
      <c r="CF962" s="79"/>
      <c r="CG962" s="79"/>
      <c r="CH962" s="79"/>
      <c r="CI962" s="79"/>
    </row>
    <row r="963" spans="1:87" ht="14" x14ac:dyDescent="0.1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79"/>
      <c r="AW963" s="79"/>
      <c r="AX963" s="79"/>
      <c r="AY963" s="79"/>
      <c r="AZ963" s="79"/>
      <c r="BA963" s="79"/>
      <c r="BB963" s="79"/>
      <c r="BC963" s="79"/>
      <c r="BD963" s="79"/>
      <c r="BE963" s="79"/>
      <c r="BF963" s="79"/>
      <c r="BG963" s="79"/>
      <c r="BH963" s="79"/>
      <c r="BI963" s="79"/>
      <c r="BJ963" s="79"/>
      <c r="BK963" s="79"/>
      <c r="BL963" s="79"/>
      <c r="BM963" s="79"/>
      <c r="BN963" s="79"/>
      <c r="BO963" s="79"/>
      <c r="BP963" s="79"/>
      <c r="BQ963" s="79"/>
      <c r="BR963" s="79"/>
      <c r="BS963" s="79"/>
      <c r="BT963" s="79"/>
      <c r="BU963" s="79"/>
      <c r="BV963" s="79"/>
      <c r="BW963" s="79"/>
      <c r="BX963" s="79"/>
      <c r="BY963" s="79"/>
      <c r="BZ963" s="79"/>
      <c r="CA963" s="79"/>
      <c r="CB963" s="79"/>
      <c r="CC963" s="79"/>
      <c r="CD963" s="79"/>
      <c r="CE963" s="79"/>
      <c r="CF963" s="79"/>
      <c r="CG963" s="79"/>
      <c r="CH963" s="79"/>
      <c r="CI963" s="79"/>
    </row>
    <row r="964" spans="1:87" ht="14" x14ac:dyDescent="0.1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  <c r="AS964" s="79"/>
      <c r="AT964" s="79"/>
      <c r="AU964" s="79"/>
      <c r="AV964" s="79"/>
      <c r="AW964" s="79"/>
      <c r="AX964" s="79"/>
      <c r="AY964" s="79"/>
      <c r="AZ964" s="79"/>
      <c r="BA964" s="79"/>
      <c r="BB964" s="79"/>
      <c r="BC964" s="79"/>
      <c r="BD964" s="79"/>
      <c r="BE964" s="79"/>
      <c r="BF964" s="79"/>
      <c r="BG964" s="79"/>
      <c r="BH964" s="79"/>
      <c r="BI964" s="79"/>
      <c r="BJ964" s="79"/>
      <c r="BK964" s="79"/>
      <c r="BL964" s="79"/>
      <c r="BM964" s="79"/>
      <c r="BN964" s="79"/>
      <c r="BO964" s="79"/>
      <c r="BP964" s="79"/>
      <c r="BQ964" s="79"/>
      <c r="BR964" s="79"/>
      <c r="BS964" s="79"/>
      <c r="BT964" s="79"/>
      <c r="BU964" s="79"/>
      <c r="BV964" s="79"/>
      <c r="BW964" s="79"/>
      <c r="BX964" s="79"/>
      <c r="BY964" s="79"/>
      <c r="BZ964" s="79"/>
      <c r="CA964" s="79"/>
      <c r="CB964" s="79"/>
      <c r="CC964" s="79"/>
      <c r="CD964" s="79"/>
      <c r="CE964" s="79"/>
      <c r="CF964" s="79"/>
      <c r="CG964" s="79"/>
      <c r="CH964" s="79"/>
      <c r="CI964" s="79"/>
    </row>
    <row r="965" spans="1:87" ht="14" x14ac:dyDescent="0.1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  <c r="AS965" s="79"/>
      <c r="AT965" s="79"/>
      <c r="AU965" s="79"/>
      <c r="AV965" s="79"/>
      <c r="AW965" s="79"/>
      <c r="AX965" s="79"/>
      <c r="AY965" s="79"/>
      <c r="AZ965" s="79"/>
      <c r="BA965" s="79"/>
      <c r="BB965" s="79"/>
      <c r="BC965" s="79"/>
      <c r="BD965" s="79"/>
      <c r="BE965" s="79"/>
      <c r="BF965" s="79"/>
      <c r="BG965" s="79"/>
      <c r="BH965" s="79"/>
      <c r="BI965" s="79"/>
      <c r="BJ965" s="79"/>
      <c r="BK965" s="79"/>
      <c r="BL965" s="79"/>
      <c r="BM965" s="79"/>
      <c r="BN965" s="79"/>
      <c r="BO965" s="79"/>
      <c r="BP965" s="79"/>
      <c r="BQ965" s="79"/>
      <c r="BR965" s="79"/>
      <c r="BS965" s="79"/>
      <c r="BT965" s="79"/>
      <c r="BU965" s="79"/>
      <c r="BV965" s="79"/>
      <c r="BW965" s="79"/>
      <c r="BX965" s="79"/>
      <c r="BY965" s="79"/>
      <c r="BZ965" s="79"/>
      <c r="CA965" s="79"/>
      <c r="CB965" s="79"/>
      <c r="CC965" s="79"/>
      <c r="CD965" s="79"/>
      <c r="CE965" s="79"/>
      <c r="CF965" s="79"/>
      <c r="CG965" s="79"/>
      <c r="CH965" s="79"/>
      <c r="CI965" s="79"/>
    </row>
    <row r="966" spans="1:87" ht="14" x14ac:dyDescent="0.1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  <c r="AS966" s="79"/>
      <c r="AT966" s="79"/>
      <c r="AU966" s="79"/>
      <c r="AV966" s="79"/>
      <c r="AW966" s="79"/>
      <c r="AX966" s="79"/>
      <c r="AY966" s="79"/>
      <c r="AZ966" s="79"/>
      <c r="BA966" s="79"/>
      <c r="BB966" s="79"/>
      <c r="BC966" s="79"/>
      <c r="BD966" s="79"/>
      <c r="BE966" s="79"/>
      <c r="BF966" s="79"/>
      <c r="BG966" s="79"/>
      <c r="BH966" s="79"/>
      <c r="BI966" s="79"/>
      <c r="BJ966" s="79"/>
      <c r="BK966" s="79"/>
      <c r="BL966" s="79"/>
      <c r="BM966" s="79"/>
      <c r="BN966" s="79"/>
      <c r="BO966" s="79"/>
      <c r="BP966" s="79"/>
      <c r="BQ966" s="79"/>
      <c r="BR966" s="79"/>
      <c r="BS966" s="79"/>
      <c r="BT966" s="79"/>
      <c r="BU966" s="79"/>
      <c r="BV966" s="79"/>
      <c r="BW966" s="79"/>
      <c r="BX966" s="79"/>
      <c r="BY966" s="79"/>
      <c r="BZ966" s="79"/>
      <c r="CA966" s="79"/>
      <c r="CB966" s="79"/>
      <c r="CC966" s="79"/>
      <c r="CD966" s="79"/>
      <c r="CE966" s="79"/>
      <c r="CF966" s="79"/>
      <c r="CG966" s="79"/>
      <c r="CH966" s="79"/>
      <c r="CI966" s="79"/>
    </row>
    <row r="967" spans="1:87" ht="14" x14ac:dyDescent="0.1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  <c r="AS967" s="79"/>
      <c r="AT967" s="79"/>
      <c r="AU967" s="79"/>
      <c r="AV967" s="79"/>
      <c r="AW967" s="79"/>
      <c r="AX967" s="79"/>
      <c r="AY967" s="79"/>
      <c r="AZ967" s="79"/>
      <c r="BA967" s="79"/>
      <c r="BB967" s="79"/>
      <c r="BC967" s="79"/>
      <c r="BD967" s="79"/>
      <c r="BE967" s="79"/>
      <c r="BF967" s="79"/>
      <c r="BG967" s="79"/>
      <c r="BH967" s="79"/>
      <c r="BI967" s="79"/>
      <c r="BJ967" s="79"/>
      <c r="BK967" s="79"/>
      <c r="BL967" s="79"/>
      <c r="BM967" s="79"/>
      <c r="BN967" s="79"/>
      <c r="BO967" s="79"/>
      <c r="BP967" s="79"/>
      <c r="BQ967" s="79"/>
      <c r="BR967" s="79"/>
      <c r="BS967" s="79"/>
      <c r="BT967" s="79"/>
      <c r="BU967" s="79"/>
      <c r="BV967" s="79"/>
      <c r="BW967" s="79"/>
      <c r="BX967" s="79"/>
      <c r="BY967" s="79"/>
      <c r="BZ967" s="79"/>
      <c r="CA967" s="79"/>
      <c r="CB967" s="79"/>
      <c r="CC967" s="79"/>
      <c r="CD967" s="79"/>
      <c r="CE967" s="79"/>
      <c r="CF967" s="79"/>
      <c r="CG967" s="79"/>
      <c r="CH967" s="79"/>
      <c r="CI967" s="79"/>
    </row>
    <row r="968" spans="1:87" ht="14" x14ac:dyDescent="0.1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79"/>
      <c r="AW968" s="79"/>
      <c r="AX968" s="79"/>
      <c r="AY968" s="79"/>
      <c r="AZ968" s="79"/>
      <c r="BA968" s="79"/>
      <c r="BB968" s="79"/>
      <c r="BC968" s="79"/>
      <c r="BD968" s="79"/>
      <c r="BE968" s="79"/>
      <c r="BF968" s="79"/>
      <c r="BG968" s="79"/>
      <c r="BH968" s="79"/>
      <c r="BI968" s="79"/>
      <c r="BJ968" s="79"/>
      <c r="BK968" s="79"/>
      <c r="BL968" s="79"/>
      <c r="BM968" s="79"/>
      <c r="BN968" s="79"/>
      <c r="BO968" s="79"/>
      <c r="BP968" s="79"/>
      <c r="BQ968" s="79"/>
      <c r="BR968" s="79"/>
      <c r="BS968" s="79"/>
      <c r="BT968" s="79"/>
      <c r="BU968" s="79"/>
      <c r="BV968" s="79"/>
      <c r="BW968" s="79"/>
      <c r="BX968" s="79"/>
      <c r="BY968" s="79"/>
      <c r="BZ968" s="79"/>
      <c r="CA968" s="79"/>
      <c r="CB968" s="79"/>
      <c r="CC968" s="79"/>
      <c r="CD968" s="79"/>
      <c r="CE968" s="79"/>
      <c r="CF968" s="79"/>
      <c r="CG968" s="79"/>
      <c r="CH968" s="79"/>
      <c r="CI968" s="79"/>
    </row>
    <row r="969" spans="1:87" ht="14" x14ac:dyDescent="0.1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  <c r="AS969" s="79"/>
      <c r="AT969" s="79"/>
      <c r="AU969" s="79"/>
      <c r="AV969" s="79"/>
      <c r="AW969" s="79"/>
      <c r="AX969" s="79"/>
      <c r="AY969" s="79"/>
      <c r="AZ969" s="79"/>
      <c r="BA969" s="79"/>
      <c r="BB969" s="79"/>
      <c r="BC969" s="79"/>
      <c r="BD969" s="79"/>
      <c r="BE969" s="79"/>
      <c r="BF969" s="79"/>
      <c r="BG969" s="79"/>
      <c r="BH969" s="79"/>
      <c r="BI969" s="79"/>
      <c r="BJ969" s="79"/>
      <c r="BK969" s="79"/>
      <c r="BL969" s="79"/>
      <c r="BM969" s="79"/>
      <c r="BN969" s="79"/>
      <c r="BO969" s="79"/>
      <c r="BP969" s="79"/>
      <c r="BQ969" s="79"/>
      <c r="BR969" s="79"/>
      <c r="BS969" s="79"/>
      <c r="BT969" s="79"/>
      <c r="BU969" s="79"/>
      <c r="BV969" s="79"/>
      <c r="BW969" s="79"/>
      <c r="BX969" s="79"/>
      <c r="BY969" s="79"/>
      <c r="BZ969" s="79"/>
      <c r="CA969" s="79"/>
      <c r="CB969" s="79"/>
      <c r="CC969" s="79"/>
      <c r="CD969" s="79"/>
      <c r="CE969" s="79"/>
      <c r="CF969" s="79"/>
      <c r="CG969" s="79"/>
      <c r="CH969" s="79"/>
      <c r="CI969" s="79"/>
    </row>
    <row r="970" spans="1:87" ht="14" x14ac:dyDescent="0.1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  <c r="AS970" s="79"/>
      <c r="AT970" s="79"/>
      <c r="AU970" s="79"/>
      <c r="AV970" s="79"/>
      <c r="AW970" s="79"/>
      <c r="AX970" s="79"/>
      <c r="AY970" s="79"/>
      <c r="AZ970" s="79"/>
      <c r="BA970" s="79"/>
      <c r="BB970" s="79"/>
      <c r="BC970" s="79"/>
      <c r="BD970" s="79"/>
      <c r="BE970" s="79"/>
      <c r="BF970" s="79"/>
      <c r="BG970" s="79"/>
      <c r="BH970" s="79"/>
      <c r="BI970" s="79"/>
      <c r="BJ970" s="79"/>
      <c r="BK970" s="79"/>
      <c r="BL970" s="79"/>
      <c r="BM970" s="79"/>
      <c r="BN970" s="79"/>
      <c r="BO970" s="79"/>
      <c r="BP970" s="79"/>
      <c r="BQ970" s="79"/>
      <c r="BR970" s="79"/>
      <c r="BS970" s="79"/>
      <c r="BT970" s="79"/>
      <c r="BU970" s="79"/>
      <c r="BV970" s="79"/>
      <c r="BW970" s="79"/>
      <c r="BX970" s="79"/>
      <c r="BY970" s="79"/>
      <c r="BZ970" s="79"/>
      <c r="CA970" s="79"/>
      <c r="CB970" s="79"/>
      <c r="CC970" s="79"/>
      <c r="CD970" s="79"/>
      <c r="CE970" s="79"/>
      <c r="CF970" s="79"/>
      <c r="CG970" s="79"/>
      <c r="CH970" s="79"/>
      <c r="CI970" s="79"/>
    </row>
    <row r="971" spans="1:87" ht="14" x14ac:dyDescent="0.1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79"/>
      <c r="AW971" s="79"/>
      <c r="AX971" s="79"/>
      <c r="AY971" s="79"/>
      <c r="AZ971" s="79"/>
      <c r="BA971" s="79"/>
      <c r="BB971" s="79"/>
      <c r="BC971" s="79"/>
      <c r="BD971" s="79"/>
      <c r="BE971" s="79"/>
      <c r="BF971" s="79"/>
      <c r="BG971" s="79"/>
      <c r="BH971" s="79"/>
      <c r="BI971" s="79"/>
      <c r="BJ971" s="79"/>
      <c r="BK971" s="79"/>
      <c r="BL971" s="79"/>
      <c r="BM971" s="79"/>
      <c r="BN971" s="79"/>
      <c r="BO971" s="79"/>
      <c r="BP971" s="79"/>
      <c r="BQ971" s="79"/>
      <c r="BR971" s="79"/>
      <c r="BS971" s="79"/>
      <c r="BT971" s="79"/>
      <c r="BU971" s="79"/>
      <c r="BV971" s="79"/>
      <c r="BW971" s="79"/>
      <c r="BX971" s="79"/>
      <c r="BY971" s="79"/>
      <c r="BZ971" s="79"/>
      <c r="CA971" s="79"/>
      <c r="CB971" s="79"/>
      <c r="CC971" s="79"/>
      <c r="CD971" s="79"/>
      <c r="CE971" s="79"/>
      <c r="CF971" s="79"/>
      <c r="CG971" s="79"/>
      <c r="CH971" s="79"/>
      <c r="CI971" s="79"/>
    </row>
    <row r="972" spans="1:87" ht="14" x14ac:dyDescent="0.1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  <c r="AS972" s="79"/>
      <c r="AT972" s="79"/>
      <c r="AU972" s="79"/>
      <c r="AV972" s="79"/>
      <c r="AW972" s="79"/>
      <c r="AX972" s="79"/>
      <c r="AY972" s="79"/>
      <c r="AZ972" s="79"/>
      <c r="BA972" s="79"/>
      <c r="BB972" s="79"/>
      <c r="BC972" s="79"/>
      <c r="BD972" s="79"/>
      <c r="BE972" s="79"/>
      <c r="BF972" s="79"/>
      <c r="BG972" s="79"/>
      <c r="BH972" s="79"/>
      <c r="BI972" s="79"/>
      <c r="BJ972" s="79"/>
      <c r="BK972" s="79"/>
      <c r="BL972" s="79"/>
      <c r="BM972" s="79"/>
      <c r="BN972" s="79"/>
      <c r="BO972" s="79"/>
      <c r="BP972" s="79"/>
      <c r="BQ972" s="79"/>
      <c r="BR972" s="79"/>
      <c r="BS972" s="79"/>
      <c r="BT972" s="79"/>
      <c r="BU972" s="79"/>
      <c r="BV972" s="79"/>
      <c r="BW972" s="79"/>
      <c r="BX972" s="79"/>
      <c r="BY972" s="79"/>
      <c r="BZ972" s="79"/>
      <c r="CA972" s="79"/>
      <c r="CB972" s="79"/>
      <c r="CC972" s="79"/>
      <c r="CD972" s="79"/>
      <c r="CE972" s="79"/>
      <c r="CF972" s="79"/>
      <c r="CG972" s="79"/>
      <c r="CH972" s="79"/>
      <c r="CI972" s="79"/>
    </row>
    <row r="973" spans="1:87" ht="14" x14ac:dyDescent="0.1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  <c r="AS973" s="79"/>
      <c r="AT973" s="79"/>
      <c r="AU973" s="79"/>
      <c r="AV973" s="79"/>
      <c r="AW973" s="79"/>
      <c r="AX973" s="79"/>
      <c r="AY973" s="79"/>
      <c r="AZ973" s="79"/>
      <c r="BA973" s="79"/>
      <c r="BB973" s="79"/>
      <c r="BC973" s="79"/>
      <c r="BD973" s="79"/>
      <c r="BE973" s="79"/>
      <c r="BF973" s="79"/>
      <c r="BG973" s="79"/>
      <c r="BH973" s="79"/>
      <c r="BI973" s="79"/>
      <c r="BJ973" s="79"/>
      <c r="BK973" s="79"/>
      <c r="BL973" s="79"/>
      <c r="BM973" s="79"/>
      <c r="BN973" s="79"/>
      <c r="BO973" s="79"/>
      <c r="BP973" s="79"/>
      <c r="BQ973" s="79"/>
      <c r="BR973" s="79"/>
      <c r="BS973" s="79"/>
      <c r="BT973" s="79"/>
      <c r="BU973" s="79"/>
      <c r="BV973" s="79"/>
      <c r="BW973" s="79"/>
      <c r="BX973" s="79"/>
      <c r="BY973" s="79"/>
      <c r="BZ973" s="79"/>
      <c r="CA973" s="79"/>
      <c r="CB973" s="79"/>
      <c r="CC973" s="79"/>
      <c r="CD973" s="79"/>
      <c r="CE973" s="79"/>
      <c r="CF973" s="79"/>
      <c r="CG973" s="79"/>
      <c r="CH973" s="79"/>
      <c r="CI973" s="79"/>
    </row>
    <row r="974" spans="1:87" ht="14" x14ac:dyDescent="0.1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/>
      <c r="AS974" s="79"/>
      <c r="AT974" s="79"/>
      <c r="AU974" s="79"/>
      <c r="AV974" s="79"/>
      <c r="AW974" s="79"/>
      <c r="AX974" s="79"/>
      <c r="AY974" s="79"/>
      <c r="AZ974" s="79"/>
      <c r="BA974" s="79"/>
      <c r="BB974" s="79"/>
      <c r="BC974" s="79"/>
      <c r="BD974" s="79"/>
      <c r="BE974" s="79"/>
      <c r="BF974" s="79"/>
      <c r="BG974" s="79"/>
      <c r="BH974" s="79"/>
      <c r="BI974" s="79"/>
      <c r="BJ974" s="79"/>
      <c r="BK974" s="79"/>
      <c r="BL974" s="79"/>
      <c r="BM974" s="79"/>
      <c r="BN974" s="79"/>
      <c r="BO974" s="79"/>
      <c r="BP974" s="79"/>
      <c r="BQ974" s="79"/>
      <c r="BR974" s="79"/>
      <c r="BS974" s="79"/>
      <c r="BT974" s="79"/>
      <c r="BU974" s="79"/>
      <c r="BV974" s="79"/>
      <c r="BW974" s="79"/>
      <c r="BX974" s="79"/>
      <c r="BY974" s="79"/>
      <c r="BZ974" s="79"/>
      <c r="CA974" s="79"/>
      <c r="CB974" s="79"/>
      <c r="CC974" s="79"/>
      <c r="CD974" s="79"/>
      <c r="CE974" s="79"/>
      <c r="CF974" s="79"/>
      <c r="CG974" s="79"/>
      <c r="CH974" s="79"/>
      <c r="CI974" s="79"/>
    </row>
    <row r="975" spans="1:87" ht="14" x14ac:dyDescent="0.1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/>
      <c r="AS975" s="79"/>
      <c r="AT975" s="79"/>
      <c r="AU975" s="79"/>
      <c r="AV975" s="79"/>
      <c r="AW975" s="79"/>
      <c r="AX975" s="79"/>
      <c r="AY975" s="79"/>
      <c r="AZ975" s="79"/>
      <c r="BA975" s="79"/>
      <c r="BB975" s="79"/>
      <c r="BC975" s="79"/>
      <c r="BD975" s="79"/>
      <c r="BE975" s="79"/>
      <c r="BF975" s="79"/>
      <c r="BG975" s="79"/>
      <c r="BH975" s="79"/>
      <c r="BI975" s="79"/>
      <c r="BJ975" s="79"/>
      <c r="BK975" s="79"/>
      <c r="BL975" s="79"/>
      <c r="BM975" s="79"/>
      <c r="BN975" s="79"/>
      <c r="BO975" s="79"/>
      <c r="BP975" s="79"/>
      <c r="BQ975" s="79"/>
      <c r="BR975" s="79"/>
      <c r="BS975" s="79"/>
      <c r="BT975" s="79"/>
      <c r="BU975" s="79"/>
      <c r="BV975" s="79"/>
      <c r="BW975" s="79"/>
      <c r="BX975" s="79"/>
      <c r="BY975" s="79"/>
      <c r="BZ975" s="79"/>
      <c r="CA975" s="79"/>
      <c r="CB975" s="79"/>
      <c r="CC975" s="79"/>
      <c r="CD975" s="79"/>
      <c r="CE975" s="79"/>
      <c r="CF975" s="79"/>
      <c r="CG975" s="79"/>
      <c r="CH975" s="79"/>
      <c r="CI975" s="79"/>
    </row>
    <row r="976" spans="1:87" ht="14" x14ac:dyDescent="0.1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/>
      <c r="AS976" s="79"/>
      <c r="AT976" s="79"/>
      <c r="AU976" s="79"/>
      <c r="AV976" s="79"/>
      <c r="AW976" s="79"/>
      <c r="AX976" s="79"/>
      <c r="AY976" s="79"/>
      <c r="AZ976" s="79"/>
      <c r="BA976" s="79"/>
      <c r="BB976" s="79"/>
      <c r="BC976" s="79"/>
      <c r="BD976" s="79"/>
      <c r="BE976" s="79"/>
      <c r="BF976" s="79"/>
      <c r="BG976" s="79"/>
      <c r="BH976" s="79"/>
      <c r="BI976" s="79"/>
      <c r="BJ976" s="79"/>
      <c r="BK976" s="79"/>
      <c r="BL976" s="79"/>
      <c r="BM976" s="79"/>
      <c r="BN976" s="79"/>
      <c r="BO976" s="79"/>
      <c r="BP976" s="79"/>
      <c r="BQ976" s="79"/>
      <c r="BR976" s="79"/>
      <c r="BS976" s="79"/>
      <c r="BT976" s="79"/>
      <c r="BU976" s="79"/>
      <c r="BV976" s="79"/>
      <c r="BW976" s="79"/>
      <c r="BX976" s="79"/>
      <c r="BY976" s="79"/>
      <c r="BZ976" s="79"/>
      <c r="CA976" s="79"/>
      <c r="CB976" s="79"/>
      <c r="CC976" s="79"/>
      <c r="CD976" s="79"/>
      <c r="CE976" s="79"/>
      <c r="CF976" s="79"/>
      <c r="CG976" s="79"/>
      <c r="CH976" s="79"/>
      <c r="CI976" s="79"/>
    </row>
    <row r="977" spans="1:87" ht="14" x14ac:dyDescent="0.1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  <c r="AR977" s="79"/>
      <c r="AS977" s="79"/>
      <c r="AT977" s="79"/>
      <c r="AU977" s="79"/>
      <c r="AV977" s="79"/>
      <c r="AW977" s="79"/>
      <c r="AX977" s="79"/>
      <c r="AY977" s="79"/>
      <c r="AZ977" s="79"/>
      <c r="BA977" s="79"/>
      <c r="BB977" s="79"/>
      <c r="BC977" s="79"/>
      <c r="BD977" s="79"/>
      <c r="BE977" s="79"/>
      <c r="BF977" s="79"/>
      <c r="BG977" s="79"/>
      <c r="BH977" s="79"/>
      <c r="BI977" s="79"/>
      <c r="BJ977" s="79"/>
      <c r="BK977" s="79"/>
      <c r="BL977" s="79"/>
      <c r="BM977" s="79"/>
      <c r="BN977" s="79"/>
      <c r="BO977" s="79"/>
      <c r="BP977" s="79"/>
      <c r="BQ977" s="79"/>
      <c r="BR977" s="79"/>
      <c r="BS977" s="79"/>
      <c r="BT977" s="79"/>
      <c r="BU977" s="79"/>
      <c r="BV977" s="79"/>
      <c r="BW977" s="79"/>
      <c r="BX977" s="79"/>
      <c r="BY977" s="79"/>
      <c r="BZ977" s="79"/>
      <c r="CA977" s="79"/>
      <c r="CB977" s="79"/>
      <c r="CC977" s="79"/>
      <c r="CD977" s="79"/>
      <c r="CE977" s="79"/>
      <c r="CF977" s="79"/>
      <c r="CG977" s="79"/>
      <c r="CH977" s="79"/>
      <c r="CI977" s="79"/>
    </row>
    <row r="978" spans="1:87" ht="14" x14ac:dyDescent="0.1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  <c r="AR978" s="79"/>
      <c r="AS978" s="79"/>
      <c r="AT978" s="79"/>
      <c r="AU978" s="79"/>
      <c r="AV978" s="79"/>
      <c r="AW978" s="79"/>
      <c r="AX978" s="79"/>
      <c r="AY978" s="79"/>
      <c r="AZ978" s="79"/>
      <c r="BA978" s="79"/>
      <c r="BB978" s="79"/>
      <c r="BC978" s="79"/>
      <c r="BD978" s="79"/>
      <c r="BE978" s="79"/>
      <c r="BF978" s="79"/>
      <c r="BG978" s="79"/>
      <c r="BH978" s="79"/>
      <c r="BI978" s="79"/>
      <c r="BJ978" s="79"/>
      <c r="BK978" s="79"/>
      <c r="BL978" s="79"/>
      <c r="BM978" s="79"/>
      <c r="BN978" s="79"/>
      <c r="BO978" s="79"/>
      <c r="BP978" s="79"/>
      <c r="BQ978" s="79"/>
      <c r="BR978" s="79"/>
      <c r="BS978" s="79"/>
      <c r="BT978" s="79"/>
      <c r="BU978" s="79"/>
      <c r="BV978" s="79"/>
      <c r="BW978" s="79"/>
      <c r="BX978" s="79"/>
      <c r="BY978" s="79"/>
      <c r="BZ978" s="79"/>
      <c r="CA978" s="79"/>
      <c r="CB978" s="79"/>
      <c r="CC978" s="79"/>
      <c r="CD978" s="79"/>
      <c r="CE978" s="79"/>
      <c r="CF978" s="79"/>
      <c r="CG978" s="79"/>
      <c r="CH978" s="79"/>
      <c r="CI978" s="79"/>
    </row>
    <row r="979" spans="1:87" ht="14" x14ac:dyDescent="0.1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  <c r="AR979" s="79"/>
      <c r="AS979" s="79"/>
      <c r="AT979" s="79"/>
      <c r="AU979" s="79"/>
      <c r="AV979" s="79"/>
      <c r="AW979" s="79"/>
      <c r="AX979" s="79"/>
      <c r="AY979" s="79"/>
      <c r="AZ979" s="79"/>
      <c r="BA979" s="79"/>
      <c r="BB979" s="79"/>
      <c r="BC979" s="79"/>
      <c r="BD979" s="79"/>
      <c r="BE979" s="79"/>
      <c r="BF979" s="79"/>
      <c r="BG979" s="79"/>
      <c r="BH979" s="79"/>
      <c r="BI979" s="79"/>
      <c r="BJ979" s="79"/>
      <c r="BK979" s="79"/>
      <c r="BL979" s="79"/>
      <c r="BM979" s="79"/>
      <c r="BN979" s="79"/>
      <c r="BO979" s="79"/>
      <c r="BP979" s="79"/>
      <c r="BQ979" s="79"/>
      <c r="BR979" s="79"/>
      <c r="BS979" s="79"/>
      <c r="BT979" s="79"/>
      <c r="BU979" s="79"/>
      <c r="BV979" s="79"/>
      <c r="BW979" s="79"/>
      <c r="BX979" s="79"/>
      <c r="BY979" s="79"/>
      <c r="BZ979" s="79"/>
      <c r="CA979" s="79"/>
      <c r="CB979" s="79"/>
      <c r="CC979" s="79"/>
      <c r="CD979" s="79"/>
      <c r="CE979" s="79"/>
      <c r="CF979" s="79"/>
      <c r="CG979" s="79"/>
      <c r="CH979" s="79"/>
      <c r="CI979" s="79"/>
    </row>
    <row r="980" spans="1:87" ht="14" x14ac:dyDescent="0.1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79"/>
      <c r="AW980" s="79"/>
      <c r="AX980" s="79"/>
      <c r="AY980" s="79"/>
      <c r="AZ980" s="79"/>
      <c r="BA980" s="79"/>
      <c r="BB980" s="79"/>
      <c r="BC980" s="79"/>
      <c r="BD980" s="79"/>
      <c r="BE980" s="79"/>
      <c r="BF980" s="79"/>
      <c r="BG980" s="79"/>
      <c r="BH980" s="79"/>
      <c r="BI980" s="79"/>
      <c r="BJ980" s="79"/>
      <c r="BK980" s="79"/>
      <c r="BL980" s="79"/>
      <c r="BM980" s="79"/>
      <c r="BN980" s="79"/>
      <c r="BO980" s="79"/>
      <c r="BP980" s="79"/>
      <c r="BQ980" s="79"/>
      <c r="BR980" s="79"/>
      <c r="BS980" s="79"/>
      <c r="BT980" s="79"/>
      <c r="BU980" s="79"/>
      <c r="BV980" s="79"/>
      <c r="BW980" s="79"/>
      <c r="BX980" s="79"/>
      <c r="BY980" s="79"/>
      <c r="BZ980" s="79"/>
      <c r="CA980" s="79"/>
      <c r="CB980" s="79"/>
      <c r="CC980" s="79"/>
      <c r="CD980" s="79"/>
      <c r="CE980" s="79"/>
      <c r="CF980" s="79"/>
      <c r="CG980" s="79"/>
      <c r="CH980" s="79"/>
      <c r="CI980" s="79"/>
    </row>
    <row r="981" spans="1:87" ht="14" x14ac:dyDescent="0.1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/>
      <c r="AS981" s="79"/>
      <c r="AT981" s="79"/>
      <c r="AU981" s="79"/>
      <c r="AV981" s="79"/>
      <c r="AW981" s="79"/>
      <c r="AX981" s="79"/>
      <c r="AY981" s="79"/>
      <c r="AZ981" s="79"/>
      <c r="BA981" s="79"/>
      <c r="BB981" s="79"/>
      <c r="BC981" s="79"/>
      <c r="BD981" s="79"/>
      <c r="BE981" s="79"/>
      <c r="BF981" s="79"/>
      <c r="BG981" s="79"/>
      <c r="BH981" s="79"/>
      <c r="BI981" s="79"/>
      <c r="BJ981" s="79"/>
      <c r="BK981" s="79"/>
      <c r="BL981" s="79"/>
      <c r="BM981" s="79"/>
      <c r="BN981" s="79"/>
      <c r="BO981" s="79"/>
      <c r="BP981" s="79"/>
      <c r="BQ981" s="79"/>
      <c r="BR981" s="79"/>
      <c r="BS981" s="79"/>
      <c r="BT981" s="79"/>
      <c r="BU981" s="79"/>
      <c r="BV981" s="79"/>
      <c r="BW981" s="79"/>
      <c r="BX981" s="79"/>
      <c r="BY981" s="79"/>
      <c r="BZ981" s="79"/>
      <c r="CA981" s="79"/>
      <c r="CB981" s="79"/>
      <c r="CC981" s="79"/>
      <c r="CD981" s="79"/>
      <c r="CE981" s="79"/>
      <c r="CF981" s="79"/>
      <c r="CG981" s="79"/>
      <c r="CH981" s="79"/>
      <c r="CI981" s="79"/>
    </row>
    <row r="982" spans="1:87" ht="14" x14ac:dyDescent="0.1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79"/>
      <c r="AV982" s="79"/>
      <c r="AW982" s="79"/>
      <c r="AX982" s="79"/>
      <c r="AY982" s="79"/>
      <c r="AZ982" s="79"/>
      <c r="BA982" s="79"/>
      <c r="BB982" s="79"/>
      <c r="BC982" s="79"/>
      <c r="BD982" s="79"/>
      <c r="BE982" s="79"/>
      <c r="BF982" s="79"/>
      <c r="BG982" s="79"/>
      <c r="BH982" s="79"/>
      <c r="BI982" s="79"/>
      <c r="BJ982" s="79"/>
      <c r="BK982" s="79"/>
      <c r="BL982" s="79"/>
      <c r="BM982" s="79"/>
      <c r="BN982" s="79"/>
      <c r="BO982" s="79"/>
      <c r="BP982" s="79"/>
      <c r="BQ982" s="79"/>
      <c r="BR982" s="79"/>
      <c r="BS982" s="79"/>
      <c r="BT982" s="79"/>
      <c r="BU982" s="79"/>
      <c r="BV982" s="79"/>
      <c r="BW982" s="79"/>
      <c r="BX982" s="79"/>
      <c r="BY982" s="79"/>
      <c r="BZ982" s="79"/>
      <c r="CA982" s="79"/>
      <c r="CB982" s="79"/>
      <c r="CC982" s="79"/>
      <c r="CD982" s="79"/>
      <c r="CE982" s="79"/>
      <c r="CF982" s="79"/>
      <c r="CG982" s="79"/>
      <c r="CH982" s="79"/>
      <c r="CI982" s="79"/>
    </row>
    <row r="983" spans="1:87" ht="14" x14ac:dyDescent="0.1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  <c r="AR983" s="79"/>
      <c r="AS983" s="79"/>
      <c r="AT983" s="79"/>
      <c r="AU983" s="79"/>
      <c r="AV983" s="79"/>
      <c r="AW983" s="79"/>
      <c r="AX983" s="79"/>
      <c r="AY983" s="79"/>
      <c r="AZ983" s="79"/>
      <c r="BA983" s="79"/>
      <c r="BB983" s="79"/>
      <c r="BC983" s="79"/>
      <c r="BD983" s="79"/>
      <c r="BE983" s="79"/>
      <c r="BF983" s="79"/>
      <c r="BG983" s="79"/>
      <c r="BH983" s="79"/>
      <c r="BI983" s="79"/>
      <c r="BJ983" s="79"/>
      <c r="BK983" s="79"/>
      <c r="BL983" s="79"/>
      <c r="BM983" s="79"/>
      <c r="BN983" s="79"/>
      <c r="BO983" s="79"/>
      <c r="BP983" s="79"/>
      <c r="BQ983" s="79"/>
      <c r="BR983" s="79"/>
      <c r="BS983" s="79"/>
      <c r="BT983" s="79"/>
      <c r="BU983" s="79"/>
      <c r="BV983" s="79"/>
      <c r="BW983" s="79"/>
      <c r="BX983" s="79"/>
      <c r="BY983" s="79"/>
      <c r="BZ983" s="79"/>
      <c r="CA983" s="79"/>
      <c r="CB983" s="79"/>
      <c r="CC983" s="79"/>
      <c r="CD983" s="79"/>
      <c r="CE983" s="79"/>
      <c r="CF983" s="79"/>
      <c r="CG983" s="79"/>
      <c r="CH983" s="79"/>
      <c r="CI983" s="79"/>
    </row>
    <row r="984" spans="1:87" ht="14" x14ac:dyDescent="0.1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  <c r="AR984" s="79"/>
      <c r="AS984" s="79"/>
      <c r="AT984" s="79"/>
      <c r="AU984" s="79"/>
      <c r="AV984" s="79"/>
      <c r="AW984" s="79"/>
      <c r="AX984" s="79"/>
      <c r="AY984" s="79"/>
      <c r="AZ984" s="79"/>
      <c r="BA984" s="79"/>
      <c r="BB984" s="79"/>
      <c r="BC984" s="79"/>
      <c r="BD984" s="79"/>
      <c r="BE984" s="79"/>
      <c r="BF984" s="79"/>
      <c r="BG984" s="79"/>
      <c r="BH984" s="79"/>
      <c r="BI984" s="79"/>
      <c r="BJ984" s="79"/>
      <c r="BK984" s="79"/>
      <c r="BL984" s="79"/>
      <c r="BM984" s="79"/>
      <c r="BN984" s="79"/>
      <c r="BO984" s="79"/>
      <c r="BP984" s="79"/>
      <c r="BQ984" s="79"/>
      <c r="BR984" s="79"/>
      <c r="BS984" s="79"/>
      <c r="BT984" s="79"/>
      <c r="BU984" s="79"/>
      <c r="BV984" s="79"/>
      <c r="BW984" s="79"/>
      <c r="BX984" s="79"/>
      <c r="BY984" s="79"/>
      <c r="BZ984" s="79"/>
      <c r="CA984" s="79"/>
      <c r="CB984" s="79"/>
      <c r="CC984" s="79"/>
      <c r="CD984" s="79"/>
      <c r="CE984" s="79"/>
      <c r="CF984" s="79"/>
      <c r="CG984" s="79"/>
      <c r="CH984" s="79"/>
      <c r="CI984" s="79"/>
    </row>
    <row r="985" spans="1:87" ht="14" x14ac:dyDescent="0.1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  <c r="AR985" s="79"/>
      <c r="AS985" s="79"/>
      <c r="AT985" s="79"/>
      <c r="AU985" s="79"/>
      <c r="AV985" s="79"/>
      <c r="AW985" s="79"/>
      <c r="AX985" s="79"/>
      <c r="AY985" s="79"/>
      <c r="AZ985" s="79"/>
      <c r="BA985" s="79"/>
      <c r="BB985" s="79"/>
      <c r="BC985" s="79"/>
      <c r="BD985" s="79"/>
      <c r="BE985" s="79"/>
      <c r="BF985" s="79"/>
      <c r="BG985" s="79"/>
      <c r="BH985" s="79"/>
      <c r="BI985" s="79"/>
      <c r="BJ985" s="79"/>
      <c r="BK985" s="79"/>
      <c r="BL985" s="79"/>
      <c r="BM985" s="79"/>
      <c r="BN985" s="79"/>
      <c r="BO985" s="79"/>
      <c r="BP985" s="79"/>
      <c r="BQ985" s="79"/>
      <c r="BR985" s="79"/>
      <c r="BS985" s="79"/>
      <c r="BT985" s="79"/>
      <c r="BU985" s="79"/>
      <c r="BV985" s="79"/>
      <c r="BW985" s="79"/>
      <c r="BX985" s="79"/>
      <c r="BY985" s="79"/>
      <c r="BZ985" s="79"/>
      <c r="CA985" s="79"/>
      <c r="CB985" s="79"/>
      <c r="CC985" s="79"/>
      <c r="CD985" s="79"/>
      <c r="CE985" s="79"/>
      <c r="CF985" s="79"/>
      <c r="CG985" s="79"/>
      <c r="CH985" s="79"/>
      <c r="CI985" s="79"/>
    </row>
    <row r="986" spans="1:87" ht="14" x14ac:dyDescent="0.1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  <c r="AR986" s="79"/>
      <c r="AS986" s="79"/>
      <c r="AT986" s="79"/>
      <c r="AU986" s="79"/>
      <c r="AV986" s="79"/>
      <c r="AW986" s="79"/>
      <c r="AX986" s="79"/>
      <c r="AY986" s="79"/>
      <c r="AZ986" s="79"/>
      <c r="BA986" s="79"/>
      <c r="BB986" s="79"/>
      <c r="BC986" s="79"/>
      <c r="BD986" s="79"/>
      <c r="BE986" s="79"/>
      <c r="BF986" s="79"/>
      <c r="BG986" s="79"/>
      <c r="BH986" s="79"/>
      <c r="BI986" s="79"/>
      <c r="BJ986" s="79"/>
      <c r="BK986" s="79"/>
      <c r="BL986" s="79"/>
      <c r="BM986" s="79"/>
      <c r="BN986" s="79"/>
      <c r="BO986" s="79"/>
      <c r="BP986" s="79"/>
      <c r="BQ986" s="79"/>
      <c r="BR986" s="79"/>
      <c r="BS986" s="79"/>
      <c r="BT986" s="79"/>
      <c r="BU986" s="79"/>
      <c r="BV986" s="79"/>
      <c r="BW986" s="79"/>
      <c r="BX986" s="79"/>
      <c r="BY986" s="79"/>
      <c r="BZ986" s="79"/>
      <c r="CA986" s="79"/>
      <c r="CB986" s="79"/>
      <c r="CC986" s="79"/>
      <c r="CD986" s="79"/>
      <c r="CE986" s="79"/>
      <c r="CF986" s="79"/>
      <c r="CG986" s="79"/>
      <c r="CH986" s="79"/>
      <c r="CI986" s="79"/>
    </row>
    <row r="987" spans="1:87" ht="14" x14ac:dyDescent="0.1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  <c r="AR987" s="79"/>
      <c r="AS987" s="79"/>
      <c r="AT987" s="79"/>
      <c r="AU987" s="79"/>
      <c r="AV987" s="79"/>
      <c r="AW987" s="79"/>
      <c r="AX987" s="79"/>
      <c r="AY987" s="79"/>
      <c r="AZ987" s="79"/>
      <c r="BA987" s="79"/>
      <c r="BB987" s="79"/>
      <c r="BC987" s="79"/>
      <c r="BD987" s="79"/>
      <c r="BE987" s="79"/>
      <c r="BF987" s="79"/>
      <c r="BG987" s="79"/>
      <c r="BH987" s="79"/>
      <c r="BI987" s="79"/>
      <c r="BJ987" s="79"/>
      <c r="BK987" s="79"/>
      <c r="BL987" s="79"/>
      <c r="BM987" s="79"/>
      <c r="BN987" s="79"/>
      <c r="BO987" s="79"/>
      <c r="BP987" s="79"/>
      <c r="BQ987" s="79"/>
      <c r="BR987" s="79"/>
      <c r="BS987" s="79"/>
      <c r="BT987" s="79"/>
      <c r="BU987" s="79"/>
      <c r="BV987" s="79"/>
      <c r="BW987" s="79"/>
      <c r="BX987" s="79"/>
      <c r="BY987" s="79"/>
      <c r="BZ987" s="79"/>
      <c r="CA987" s="79"/>
      <c r="CB987" s="79"/>
      <c r="CC987" s="79"/>
      <c r="CD987" s="79"/>
      <c r="CE987" s="79"/>
      <c r="CF987" s="79"/>
      <c r="CG987" s="79"/>
      <c r="CH987" s="79"/>
      <c r="CI987" s="79"/>
    </row>
    <row r="988" spans="1:87" ht="14" x14ac:dyDescent="0.1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/>
      <c r="AS988" s="79"/>
      <c r="AT988" s="79"/>
      <c r="AU988" s="79"/>
      <c r="AV988" s="79"/>
      <c r="AW988" s="79"/>
      <c r="AX988" s="79"/>
      <c r="AY988" s="79"/>
      <c r="AZ988" s="79"/>
      <c r="BA988" s="79"/>
      <c r="BB988" s="79"/>
      <c r="BC988" s="79"/>
      <c r="BD988" s="79"/>
      <c r="BE988" s="79"/>
      <c r="BF988" s="79"/>
      <c r="BG988" s="79"/>
      <c r="BH988" s="79"/>
      <c r="BI988" s="79"/>
      <c r="BJ988" s="79"/>
      <c r="BK988" s="79"/>
      <c r="BL988" s="79"/>
      <c r="BM988" s="79"/>
      <c r="BN988" s="79"/>
      <c r="BO988" s="79"/>
      <c r="BP988" s="79"/>
      <c r="BQ988" s="79"/>
      <c r="BR988" s="79"/>
      <c r="BS988" s="79"/>
      <c r="BT988" s="79"/>
      <c r="BU988" s="79"/>
      <c r="BV988" s="79"/>
      <c r="BW988" s="79"/>
      <c r="BX988" s="79"/>
      <c r="BY988" s="79"/>
      <c r="BZ988" s="79"/>
      <c r="CA988" s="79"/>
      <c r="CB988" s="79"/>
      <c r="CC988" s="79"/>
      <c r="CD988" s="79"/>
      <c r="CE988" s="79"/>
      <c r="CF988" s="79"/>
      <c r="CG988" s="79"/>
      <c r="CH988" s="79"/>
      <c r="CI988" s="79"/>
    </row>
    <row r="989" spans="1:87" ht="14" x14ac:dyDescent="0.1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/>
      <c r="AS989" s="79"/>
      <c r="AT989" s="79"/>
      <c r="AU989" s="79"/>
      <c r="AV989" s="79"/>
      <c r="AW989" s="79"/>
      <c r="AX989" s="79"/>
      <c r="AY989" s="79"/>
      <c r="AZ989" s="79"/>
      <c r="BA989" s="79"/>
      <c r="BB989" s="79"/>
      <c r="BC989" s="79"/>
      <c r="BD989" s="79"/>
      <c r="BE989" s="79"/>
      <c r="BF989" s="79"/>
      <c r="BG989" s="79"/>
      <c r="BH989" s="79"/>
      <c r="BI989" s="79"/>
      <c r="BJ989" s="79"/>
      <c r="BK989" s="79"/>
      <c r="BL989" s="79"/>
      <c r="BM989" s="79"/>
      <c r="BN989" s="79"/>
      <c r="BO989" s="79"/>
      <c r="BP989" s="79"/>
      <c r="BQ989" s="79"/>
      <c r="BR989" s="79"/>
      <c r="BS989" s="79"/>
      <c r="BT989" s="79"/>
      <c r="BU989" s="79"/>
      <c r="BV989" s="79"/>
      <c r="BW989" s="79"/>
      <c r="BX989" s="79"/>
      <c r="BY989" s="79"/>
      <c r="BZ989" s="79"/>
      <c r="CA989" s="79"/>
      <c r="CB989" s="79"/>
      <c r="CC989" s="79"/>
      <c r="CD989" s="79"/>
      <c r="CE989" s="79"/>
      <c r="CF989" s="79"/>
      <c r="CG989" s="79"/>
      <c r="CH989" s="79"/>
      <c r="CI989" s="79"/>
    </row>
    <row r="990" spans="1:87" ht="14" x14ac:dyDescent="0.1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/>
      <c r="AS990" s="79"/>
      <c r="AT990" s="79"/>
      <c r="AU990" s="79"/>
      <c r="AV990" s="79"/>
      <c r="AW990" s="79"/>
      <c r="AX990" s="79"/>
      <c r="AY990" s="79"/>
      <c r="AZ990" s="79"/>
      <c r="BA990" s="79"/>
      <c r="BB990" s="79"/>
      <c r="BC990" s="79"/>
      <c r="BD990" s="79"/>
      <c r="BE990" s="79"/>
      <c r="BF990" s="79"/>
      <c r="BG990" s="79"/>
      <c r="BH990" s="79"/>
      <c r="BI990" s="79"/>
      <c r="BJ990" s="79"/>
      <c r="BK990" s="79"/>
      <c r="BL990" s="79"/>
      <c r="BM990" s="79"/>
      <c r="BN990" s="79"/>
      <c r="BO990" s="79"/>
      <c r="BP990" s="79"/>
      <c r="BQ990" s="79"/>
      <c r="BR990" s="79"/>
      <c r="BS990" s="79"/>
      <c r="BT990" s="79"/>
      <c r="BU990" s="79"/>
      <c r="BV990" s="79"/>
      <c r="BW990" s="79"/>
      <c r="BX990" s="79"/>
      <c r="BY990" s="79"/>
      <c r="BZ990" s="79"/>
      <c r="CA990" s="79"/>
      <c r="CB990" s="79"/>
      <c r="CC990" s="79"/>
      <c r="CD990" s="79"/>
      <c r="CE990" s="79"/>
      <c r="CF990" s="79"/>
      <c r="CG990" s="79"/>
      <c r="CH990" s="79"/>
      <c r="CI990" s="79"/>
    </row>
    <row r="991" spans="1:87" ht="14" x14ac:dyDescent="0.1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  <c r="AR991" s="79"/>
      <c r="AS991" s="79"/>
      <c r="AT991" s="79"/>
      <c r="AU991" s="79"/>
      <c r="AV991" s="79"/>
      <c r="AW991" s="79"/>
      <c r="AX991" s="79"/>
      <c r="AY991" s="79"/>
      <c r="AZ991" s="79"/>
      <c r="BA991" s="79"/>
      <c r="BB991" s="79"/>
      <c r="BC991" s="79"/>
      <c r="BD991" s="79"/>
      <c r="BE991" s="79"/>
      <c r="BF991" s="79"/>
      <c r="BG991" s="79"/>
      <c r="BH991" s="79"/>
      <c r="BI991" s="79"/>
      <c r="BJ991" s="79"/>
      <c r="BK991" s="79"/>
      <c r="BL991" s="79"/>
      <c r="BM991" s="79"/>
      <c r="BN991" s="79"/>
      <c r="BO991" s="79"/>
      <c r="BP991" s="79"/>
      <c r="BQ991" s="79"/>
      <c r="BR991" s="79"/>
      <c r="BS991" s="79"/>
      <c r="BT991" s="79"/>
      <c r="BU991" s="79"/>
      <c r="BV991" s="79"/>
      <c r="BW991" s="79"/>
      <c r="BX991" s="79"/>
      <c r="BY991" s="79"/>
      <c r="BZ991" s="79"/>
      <c r="CA991" s="79"/>
      <c r="CB991" s="79"/>
      <c r="CC991" s="79"/>
      <c r="CD991" s="79"/>
      <c r="CE991" s="79"/>
      <c r="CF991" s="79"/>
      <c r="CG991" s="79"/>
      <c r="CH991" s="79"/>
      <c r="CI991" s="79"/>
    </row>
    <row r="992" spans="1:87" ht="14" x14ac:dyDescent="0.1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  <c r="AQ992" s="79"/>
      <c r="AR992" s="79"/>
      <c r="AS992" s="79"/>
      <c r="AT992" s="79"/>
      <c r="AU992" s="79"/>
      <c r="AV992" s="79"/>
      <c r="AW992" s="79"/>
      <c r="AX992" s="79"/>
      <c r="AY992" s="79"/>
      <c r="AZ992" s="79"/>
      <c r="BA992" s="79"/>
      <c r="BB992" s="79"/>
      <c r="BC992" s="79"/>
      <c r="BD992" s="79"/>
      <c r="BE992" s="79"/>
      <c r="BF992" s="79"/>
      <c r="BG992" s="79"/>
      <c r="BH992" s="79"/>
      <c r="BI992" s="79"/>
      <c r="BJ992" s="79"/>
      <c r="BK992" s="79"/>
      <c r="BL992" s="79"/>
      <c r="BM992" s="79"/>
      <c r="BN992" s="79"/>
      <c r="BO992" s="79"/>
      <c r="BP992" s="79"/>
      <c r="BQ992" s="79"/>
      <c r="BR992" s="79"/>
      <c r="BS992" s="79"/>
      <c r="BT992" s="79"/>
      <c r="BU992" s="79"/>
      <c r="BV992" s="79"/>
      <c r="BW992" s="79"/>
      <c r="BX992" s="79"/>
      <c r="BY992" s="79"/>
      <c r="BZ992" s="79"/>
      <c r="CA992" s="79"/>
      <c r="CB992" s="79"/>
      <c r="CC992" s="79"/>
      <c r="CD992" s="79"/>
      <c r="CE992" s="79"/>
      <c r="CF992" s="79"/>
      <c r="CG992" s="79"/>
      <c r="CH992" s="79"/>
      <c r="CI992" s="79"/>
    </row>
    <row r="993" spans="1:87" ht="14" x14ac:dyDescent="0.1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  <c r="AQ993" s="79"/>
      <c r="AR993" s="79"/>
      <c r="AS993" s="79"/>
      <c r="AT993" s="79"/>
      <c r="AU993" s="79"/>
      <c r="AV993" s="79"/>
      <c r="AW993" s="79"/>
      <c r="AX993" s="79"/>
      <c r="AY993" s="79"/>
      <c r="AZ993" s="79"/>
      <c r="BA993" s="79"/>
      <c r="BB993" s="79"/>
      <c r="BC993" s="79"/>
      <c r="BD993" s="79"/>
      <c r="BE993" s="79"/>
      <c r="BF993" s="79"/>
      <c r="BG993" s="79"/>
      <c r="BH993" s="79"/>
      <c r="BI993" s="79"/>
      <c r="BJ993" s="79"/>
      <c r="BK993" s="79"/>
      <c r="BL993" s="79"/>
      <c r="BM993" s="79"/>
      <c r="BN993" s="79"/>
      <c r="BO993" s="79"/>
      <c r="BP993" s="79"/>
      <c r="BQ993" s="79"/>
      <c r="BR993" s="79"/>
      <c r="BS993" s="79"/>
      <c r="BT993" s="79"/>
      <c r="BU993" s="79"/>
      <c r="BV993" s="79"/>
      <c r="BW993" s="79"/>
      <c r="BX993" s="79"/>
      <c r="BY993" s="79"/>
      <c r="BZ993" s="79"/>
      <c r="CA993" s="79"/>
      <c r="CB993" s="79"/>
      <c r="CC993" s="79"/>
      <c r="CD993" s="79"/>
      <c r="CE993" s="79"/>
      <c r="CF993" s="79"/>
      <c r="CG993" s="79"/>
      <c r="CH993" s="79"/>
      <c r="CI993" s="79"/>
    </row>
    <row r="994" spans="1:87" ht="14" x14ac:dyDescent="0.1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  <c r="AQ994" s="79"/>
      <c r="AR994" s="79"/>
      <c r="AS994" s="79"/>
      <c r="AT994" s="79"/>
      <c r="AU994" s="79"/>
      <c r="AV994" s="79"/>
      <c r="AW994" s="79"/>
      <c r="AX994" s="79"/>
      <c r="AY994" s="79"/>
      <c r="AZ994" s="79"/>
      <c r="BA994" s="79"/>
      <c r="BB994" s="79"/>
      <c r="BC994" s="79"/>
      <c r="BD994" s="79"/>
      <c r="BE994" s="79"/>
      <c r="BF994" s="79"/>
      <c r="BG994" s="79"/>
      <c r="BH994" s="79"/>
      <c r="BI994" s="79"/>
      <c r="BJ994" s="79"/>
      <c r="BK994" s="79"/>
      <c r="BL994" s="79"/>
      <c r="BM994" s="79"/>
      <c r="BN994" s="79"/>
      <c r="BO994" s="79"/>
      <c r="BP994" s="79"/>
      <c r="BQ994" s="79"/>
      <c r="BR994" s="79"/>
      <c r="BS994" s="79"/>
      <c r="BT994" s="79"/>
      <c r="BU994" s="79"/>
      <c r="BV994" s="79"/>
      <c r="BW994" s="79"/>
      <c r="BX994" s="79"/>
      <c r="BY994" s="79"/>
      <c r="BZ994" s="79"/>
      <c r="CA994" s="79"/>
      <c r="CB994" s="79"/>
      <c r="CC994" s="79"/>
      <c r="CD994" s="79"/>
      <c r="CE994" s="79"/>
      <c r="CF994" s="79"/>
      <c r="CG994" s="79"/>
      <c r="CH994" s="79"/>
      <c r="CI994" s="79"/>
    </row>
    <row r="995" spans="1:87" ht="14" x14ac:dyDescent="0.1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  <c r="AQ995" s="79"/>
      <c r="AR995" s="79"/>
      <c r="AS995" s="79"/>
      <c r="AT995" s="79"/>
      <c r="AU995" s="79"/>
      <c r="AV995" s="79"/>
      <c r="AW995" s="79"/>
      <c r="AX995" s="79"/>
      <c r="AY995" s="79"/>
      <c r="AZ995" s="79"/>
      <c r="BA995" s="79"/>
      <c r="BB995" s="79"/>
      <c r="BC995" s="79"/>
      <c r="BD995" s="79"/>
      <c r="BE995" s="79"/>
      <c r="BF995" s="79"/>
      <c r="BG995" s="79"/>
      <c r="BH995" s="79"/>
      <c r="BI995" s="79"/>
      <c r="BJ995" s="79"/>
      <c r="BK995" s="79"/>
      <c r="BL995" s="79"/>
      <c r="BM995" s="79"/>
      <c r="BN995" s="79"/>
      <c r="BO995" s="79"/>
      <c r="BP995" s="79"/>
      <c r="BQ995" s="79"/>
      <c r="BR995" s="79"/>
      <c r="BS995" s="79"/>
      <c r="BT995" s="79"/>
      <c r="BU995" s="79"/>
      <c r="BV995" s="79"/>
      <c r="BW995" s="79"/>
      <c r="BX995" s="79"/>
      <c r="BY995" s="79"/>
      <c r="BZ995" s="79"/>
      <c r="CA995" s="79"/>
      <c r="CB995" s="79"/>
      <c r="CC995" s="79"/>
      <c r="CD995" s="79"/>
      <c r="CE995" s="79"/>
      <c r="CF995" s="79"/>
      <c r="CG995" s="79"/>
      <c r="CH995" s="79"/>
      <c r="CI995" s="79"/>
    </row>
    <row r="996" spans="1:87" ht="14" x14ac:dyDescent="0.1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  <c r="AR996" s="79"/>
      <c r="AS996" s="79"/>
      <c r="AT996" s="79"/>
      <c r="AU996" s="79"/>
      <c r="AV996" s="79"/>
      <c r="AW996" s="79"/>
      <c r="AX996" s="79"/>
      <c r="AY996" s="79"/>
      <c r="AZ996" s="79"/>
      <c r="BA996" s="79"/>
      <c r="BB996" s="79"/>
      <c r="BC996" s="79"/>
      <c r="BD996" s="79"/>
      <c r="BE996" s="79"/>
      <c r="BF996" s="79"/>
      <c r="BG996" s="79"/>
      <c r="BH996" s="79"/>
      <c r="BI996" s="79"/>
      <c r="BJ996" s="79"/>
      <c r="BK996" s="79"/>
      <c r="BL996" s="79"/>
      <c r="BM996" s="79"/>
      <c r="BN996" s="79"/>
      <c r="BO996" s="79"/>
      <c r="BP996" s="79"/>
      <c r="BQ996" s="79"/>
      <c r="BR996" s="79"/>
      <c r="BS996" s="79"/>
      <c r="BT996" s="79"/>
      <c r="BU996" s="79"/>
      <c r="BV996" s="79"/>
      <c r="BW996" s="79"/>
      <c r="BX996" s="79"/>
      <c r="BY996" s="79"/>
      <c r="BZ996" s="79"/>
      <c r="CA996" s="79"/>
      <c r="CB996" s="79"/>
      <c r="CC996" s="79"/>
      <c r="CD996" s="79"/>
      <c r="CE996" s="79"/>
      <c r="CF996" s="79"/>
      <c r="CG996" s="79"/>
      <c r="CH996" s="79"/>
      <c r="CI996" s="79"/>
    </row>
    <row r="997" spans="1:87" ht="14" x14ac:dyDescent="0.15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  <c r="AQ997" s="79"/>
      <c r="AR997" s="79"/>
      <c r="AS997" s="79"/>
      <c r="AT997" s="79"/>
      <c r="AU997" s="79"/>
      <c r="AV997" s="79"/>
      <c r="AW997" s="79"/>
      <c r="AX997" s="79"/>
      <c r="AY997" s="79"/>
      <c r="AZ997" s="79"/>
      <c r="BA997" s="79"/>
      <c r="BB997" s="79"/>
      <c r="BC997" s="79"/>
      <c r="BD997" s="79"/>
      <c r="BE997" s="79"/>
      <c r="BF997" s="79"/>
      <c r="BG997" s="79"/>
      <c r="BH997" s="79"/>
      <c r="BI997" s="79"/>
      <c r="BJ997" s="79"/>
      <c r="BK997" s="79"/>
      <c r="BL997" s="79"/>
      <c r="BM997" s="79"/>
      <c r="BN997" s="79"/>
      <c r="BO997" s="79"/>
      <c r="BP997" s="79"/>
      <c r="BQ997" s="79"/>
      <c r="BR997" s="79"/>
      <c r="BS997" s="79"/>
      <c r="BT997" s="79"/>
      <c r="BU997" s="79"/>
      <c r="BV997" s="79"/>
      <c r="BW997" s="79"/>
      <c r="BX997" s="79"/>
      <c r="BY997" s="79"/>
      <c r="BZ997" s="79"/>
      <c r="CA997" s="79"/>
      <c r="CB997" s="79"/>
      <c r="CC997" s="79"/>
      <c r="CD997" s="79"/>
      <c r="CE997" s="79"/>
      <c r="CF997" s="79"/>
      <c r="CG997" s="79"/>
      <c r="CH997" s="79"/>
      <c r="CI997" s="79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97D"/>
    <outlinePr summaryBelow="0"/>
  </sheetPr>
  <dimension ref="A1:AE997"/>
  <sheetViews>
    <sheetView showGridLines="0" tabSelected="1" workbookViewId="0">
      <pane xSplit="2" ySplit="7" topLeftCell="H48" activePane="bottomRight" state="frozen"/>
      <selection pane="topRight" activeCell="C1" sqref="C1"/>
      <selection pane="bottomLeft" activeCell="A8" sqref="A8"/>
      <selection pane="bottomRight" activeCell="A76" sqref="A76"/>
    </sheetView>
  </sheetViews>
  <sheetFormatPr baseColWidth="10" defaultColWidth="12.6640625" defaultRowHeight="15" customHeight="1" outlineLevelRow="1" x14ac:dyDescent="0.15"/>
  <cols>
    <col min="1" max="1" width="34.6640625" style="79" customWidth="1"/>
    <col min="2" max="2" width="12.6640625" style="79" customWidth="1"/>
    <col min="3" max="7" width="12.83203125" style="79" hidden="1" customWidth="1"/>
    <col min="8" max="27" width="12.83203125" style="79" customWidth="1"/>
    <col min="28" max="28" width="6" style="560" customWidth="1"/>
    <col min="29" max="31" width="12.83203125" style="79" customWidth="1"/>
    <col min="32" max="16384" width="12.6640625" style="79"/>
  </cols>
  <sheetData>
    <row r="1" spans="1:31" ht="13.5" customHeight="1" x14ac:dyDescent="0.15">
      <c r="A1" s="209" t="str">
        <f>Settings!C5</f>
        <v>CosignSimple</v>
      </c>
      <c r="B1" s="389"/>
      <c r="C1" s="67"/>
      <c r="D1" s="115"/>
      <c r="E1" s="390"/>
      <c r="F1" s="115"/>
      <c r="G1" s="115"/>
      <c r="H1" s="115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544"/>
      <c r="AC1" s="206"/>
      <c r="AD1" s="206"/>
      <c r="AE1" s="206"/>
    </row>
    <row r="2" spans="1:31" ht="13.5" customHeight="1" x14ac:dyDescent="0.15">
      <c r="A2" s="205" t="s">
        <v>163</v>
      </c>
      <c r="B2" s="389"/>
      <c r="C2" s="391"/>
      <c r="D2" s="391"/>
      <c r="E2" s="392"/>
      <c r="F2" s="391"/>
      <c r="G2" s="393"/>
      <c r="H2" s="394"/>
      <c r="I2" s="391"/>
      <c r="J2" s="393"/>
      <c r="K2" s="392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544"/>
      <c r="AC2" s="206"/>
      <c r="AD2" s="206"/>
      <c r="AE2" s="206"/>
    </row>
    <row r="3" spans="1:31" ht="13.5" customHeight="1" x14ac:dyDescent="0.15">
      <c r="A3" s="210">
        <f ca="1">+TODAY()</f>
        <v>44539</v>
      </c>
      <c r="B3" s="389"/>
      <c r="C3" s="395"/>
      <c r="D3" s="395"/>
      <c r="E3" s="392"/>
      <c r="F3" s="395"/>
      <c r="G3" s="395"/>
      <c r="H3" s="394"/>
      <c r="I3" s="391"/>
      <c r="J3" s="395"/>
      <c r="K3" s="39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544"/>
      <c r="AC3" s="206"/>
      <c r="AD3" s="596" t="s">
        <v>430</v>
      </c>
      <c r="AE3" s="596"/>
    </row>
    <row r="4" spans="1:31" ht="13.5" customHeight="1" x14ac:dyDescent="0.15">
      <c r="A4" s="210"/>
      <c r="B4" s="397"/>
      <c r="C4" s="391"/>
      <c r="D4" s="391"/>
      <c r="E4" s="392"/>
      <c r="F4" s="395"/>
      <c r="G4" s="395"/>
      <c r="H4" s="392"/>
      <c r="I4" s="395"/>
      <c r="J4" s="395"/>
      <c r="K4" s="394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692" t="s">
        <v>437</v>
      </c>
      <c r="AA4" s="692"/>
      <c r="AB4" s="544"/>
      <c r="AC4" s="206"/>
      <c r="AD4" s="657" t="s">
        <v>429</v>
      </c>
      <c r="AE4" s="658" t="s">
        <v>431</v>
      </c>
    </row>
    <row r="5" spans="1:31" ht="3.75" customHeight="1" x14ac:dyDescent="0.15">
      <c r="A5" s="210"/>
      <c r="B5" s="397"/>
      <c r="C5" s="115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643"/>
      <c r="AA5" s="643"/>
      <c r="AB5" s="544"/>
      <c r="AC5" s="206"/>
      <c r="AD5" s="206"/>
      <c r="AE5" s="206"/>
    </row>
    <row r="6" spans="1:31" ht="13.5" customHeight="1" x14ac:dyDescent="0.15">
      <c r="A6" s="398"/>
      <c r="B6" s="399"/>
      <c r="C6" s="400">
        <f>Settings!$C$7</f>
        <v>43831</v>
      </c>
      <c r="D6" s="400">
        <f t="shared" ref="D6:T6" si="0">EDATE(C6,1)</f>
        <v>43862</v>
      </c>
      <c r="E6" s="400">
        <f t="shared" si="0"/>
        <v>43891</v>
      </c>
      <c r="F6" s="400">
        <f t="shared" si="0"/>
        <v>43922</v>
      </c>
      <c r="G6" s="400">
        <f t="shared" si="0"/>
        <v>43952</v>
      </c>
      <c r="H6" s="400">
        <f>EDATE(G6,1)</f>
        <v>43983</v>
      </c>
      <c r="I6" s="400">
        <f t="shared" si="0"/>
        <v>44013</v>
      </c>
      <c r="J6" s="400">
        <f t="shared" si="0"/>
        <v>44044</v>
      </c>
      <c r="K6" s="400">
        <f t="shared" si="0"/>
        <v>44075</v>
      </c>
      <c r="L6" s="400">
        <f t="shared" si="0"/>
        <v>44105</v>
      </c>
      <c r="M6" s="400">
        <f t="shared" si="0"/>
        <v>44136</v>
      </c>
      <c r="N6" s="400">
        <f t="shared" si="0"/>
        <v>44166</v>
      </c>
      <c r="O6" s="400">
        <f t="shared" si="0"/>
        <v>44197</v>
      </c>
      <c r="P6" s="400">
        <f t="shared" si="0"/>
        <v>44228</v>
      </c>
      <c r="Q6" s="400">
        <f t="shared" si="0"/>
        <v>44256</v>
      </c>
      <c r="R6" s="400">
        <f t="shared" si="0"/>
        <v>44287</v>
      </c>
      <c r="S6" s="400">
        <f t="shared" si="0"/>
        <v>44317</v>
      </c>
      <c r="T6" s="400">
        <f t="shared" si="0"/>
        <v>44348</v>
      </c>
      <c r="U6" s="400">
        <f t="shared" ref="U6" si="1">EDATE(T6,1)</f>
        <v>44378</v>
      </c>
      <c r="V6" s="400">
        <f t="shared" ref="V6" si="2">EDATE(U6,1)</f>
        <v>44409</v>
      </c>
      <c r="W6" s="400">
        <f t="shared" ref="W6" si="3">EDATE(V6,1)</f>
        <v>44440</v>
      </c>
      <c r="X6" s="400">
        <f t="shared" ref="X6" si="4">EDATE(W6,1)</f>
        <v>44470</v>
      </c>
      <c r="Y6" s="400">
        <f t="shared" ref="Y6:AA6" si="5">EDATE(X6,1)</f>
        <v>44501</v>
      </c>
      <c r="Z6" s="659">
        <f t="shared" si="5"/>
        <v>44531</v>
      </c>
      <c r="AA6" s="659">
        <f t="shared" si="5"/>
        <v>44562</v>
      </c>
      <c r="AB6" s="545"/>
      <c r="AC6" s="400" t="s">
        <v>160</v>
      </c>
      <c r="AD6" s="400" t="s">
        <v>160</v>
      </c>
      <c r="AE6" s="400" t="s">
        <v>160</v>
      </c>
    </row>
    <row r="7" spans="1:31" ht="18" customHeight="1" x14ac:dyDescent="0.15">
      <c r="A7" s="401"/>
      <c r="B7" s="193" t="s">
        <v>164</v>
      </c>
      <c r="C7" s="402">
        <v>1</v>
      </c>
      <c r="D7" s="403">
        <f t="shared" ref="D7:T7" si="6">C7+1</f>
        <v>2</v>
      </c>
      <c r="E7" s="403">
        <f t="shared" si="6"/>
        <v>3</v>
      </c>
      <c r="F7" s="403">
        <f t="shared" si="6"/>
        <v>4</v>
      </c>
      <c r="G7" s="403">
        <f t="shared" si="6"/>
        <v>5</v>
      </c>
      <c r="H7" s="403">
        <v>1</v>
      </c>
      <c r="I7" s="403">
        <f t="shared" si="6"/>
        <v>2</v>
      </c>
      <c r="J7" s="403">
        <f t="shared" si="6"/>
        <v>3</v>
      </c>
      <c r="K7" s="403">
        <f t="shared" si="6"/>
        <v>4</v>
      </c>
      <c r="L7" s="403">
        <f t="shared" si="6"/>
        <v>5</v>
      </c>
      <c r="M7" s="403">
        <f t="shared" si="6"/>
        <v>6</v>
      </c>
      <c r="N7" s="403">
        <f t="shared" si="6"/>
        <v>7</v>
      </c>
      <c r="O7" s="403">
        <f t="shared" si="6"/>
        <v>8</v>
      </c>
      <c r="P7" s="403">
        <f t="shared" si="6"/>
        <v>9</v>
      </c>
      <c r="Q7" s="403">
        <f t="shared" si="6"/>
        <v>10</v>
      </c>
      <c r="R7" s="403">
        <f t="shared" si="6"/>
        <v>11</v>
      </c>
      <c r="S7" s="403">
        <f t="shared" si="6"/>
        <v>12</v>
      </c>
      <c r="T7" s="403">
        <f t="shared" si="6"/>
        <v>13</v>
      </c>
      <c r="U7" s="403">
        <f t="shared" ref="U7" si="7">T7+1</f>
        <v>14</v>
      </c>
      <c r="V7" s="403">
        <f t="shared" ref="V7" si="8">U7+1</f>
        <v>15</v>
      </c>
      <c r="W7" s="403">
        <f t="shared" ref="W7" si="9">V7+1</f>
        <v>16</v>
      </c>
      <c r="X7" s="403">
        <f t="shared" ref="X7" si="10">W7+1</f>
        <v>17</v>
      </c>
      <c r="Y7" s="403">
        <f t="shared" ref="Y7:AA7" si="11">X7+1</f>
        <v>18</v>
      </c>
      <c r="Z7" s="660">
        <f t="shared" si="11"/>
        <v>19</v>
      </c>
      <c r="AA7" s="660">
        <f t="shared" si="11"/>
        <v>20</v>
      </c>
      <c r="AB7" s="540"/>
      <c r="AC7" s="403" t="s">
        <v>427</v>
      </c>
      <c r="AD7" s="403" t="s">
        <v>428</v>
      </c>
      <c r="AE7" s="403" t="s">
        <v>432</v>
      </c>
    </row>
    <row r="8" spans="1:31" ht="13.5" customHeight="1" x14ac:dyDescent="0.15">
      <c r="A8" s="81"/>
      <c r="B8" s="194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641"/>
      <c r="AA8" s="641"/>
      <c r="AB8" s="546"/>
      <c r="AC8" s="85"/>
      <c r="AD8" s="85"/>
      <c r="AE8" s="85"/>
    </row>
    <row r="9" spans="1:31" ht="13.5" customHeight="1" thickBot="1" x14ac:dyDescent="0.2">
      <c r="A9" s="212" t="s">
        <v>165</v>
      </c>
      <c r="B9" s="213"/>
      <c r="C9" s="404"/>
      <c r="D9" s="404"/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661"/>
      <c r="AA9" s="661"/>
      <c r="AB9" s="547"/>
      <c r="AC9" s="404"/>
      <c r="AD9" s="404"/>
      <c r="AE9" s="404"/>
    </row>
    <row r="10" spans="1:31" ht="4.5" customHeight="1" x14ac:dyDescent="0.15">
      <c r="A10" s="80"/>
      <c r="B10" s="211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643"/>
      <c r="AA10" s="643"/>
      <c r="AB10" s="544"/>
      <c r="AC10" s="206"/>
      <c r="AD10" s="206"/>
      <c r="AE10" s="206"/>
    </row>
    <row r="11" spans="1:31" ht="13.5" customHeight="1" x14ac:dyDescent="0.15">
      <c r="A11" s="80" t="str">
        <f>Revenue!A11</f>
        <v># of Loans</v>
      </c>
      <c r="B11" s="80"/>
      <c r="C11" s="80">
        <f>Revenue!C11</f>
        <v>0</v>
      </c>
      <c r="D11" s="80">
        <f>Revenue!D11</f>
        <v>0</v>
      </c>
      <c r="E11" s="80">
        <f>Revenue!E11</f>
        <v>0</v>
      </c>
      <c r="F11" s="80">
        <f>Revenue!F11</f>
        <v>0</v>
      </c>
      <c r="G11" s="80">
        <f>Revenue!G11</f>
        <v>0</v>
      </c>
      <c r="H11" s="80">
        <f>Revenue!H11</f>
        <v>31</v>
      </c>
      <c r="I11" s="80">
        <f>Revenue!I11</f>
        <v>114</v>
      </c>
      <c r="J11" s="80">
        <f>Revenue!J11</f>
        <v>167</v>
      </c>
      <c r="K11" s="80">
        <f>Revenue!K11</f>
        <v>136</v>
      </c>
      <c r="L11" s="80">
        <f>Revenue!L11</f>
        <v>95</v>
      </c>
      <c r="M11" s="80">
        <f>Revenue!M11</f>
        <v>113</v>
      </c>
      <c r="N11" s="80">
        <f>Revenue!N11</f>
        <v>104</v>
      </c>
      <c r="O11" s="80">
        <f>Revenue!O11</f>
        <v>87</v>
      </c>
      <c r="P11" s="80">
        <f>Revenue!P11</f>
        <v>113</v>
      </c>
      <c r="Q11" s="80">
        <f>Revenue!Q11</f>
        <v>199</v>
      </c>
      <c r="R11" s="80">
        <f>Revenue!R11</f>
        <v>234</v>
      </c>
      <c r="S11" s="80">
        <f>Revenue!S11</f>
        <v>239</v>
      </c>
      <c r="T11" s="80">
        <f>Revenue!T11</f>
        <v>284</v>
      </c>
      <c r="U11" s="80">
        <f>Revenue!U11</f>
        <v>332</v>
      </c>
      <c r="V11" s="80">
        <f>Revenue!V11</f>
        <v>341</v>
      </c>
      <c r="W11" s="80">
        <f>Revenue!W11</f>
        <v>336</v>
      </c>
      <c r="X11" s="80">
        <f>Revenue!X11</f>
        <v>265</v>
      </c>
      <c r="Y11" s="80">
        <f>Revenue!Y11</f>
        <v>363</v>
      </c>
      <c r="Z11" s="662">
        <f>Revenue!Z11</f>
        <v>372.07499999999999</v>
      </c>
      <c r="AA11" s="662">
        <f>Revenue!AA11</f>
        <v>381.37687499999993</v>
      </c>
      <c r="AB11" s="548"/>
      <c r="AC11" s="80">
        <f>SUM(H11:AA11)</f>
        <v>4306.4518749999997</v>
      </c>
      <c r="AD11" s="80">
        <f>SUM(H11:O11)</f>
        <v>847</v>
      </c>
      <c r="AE11" s="80">
        <f>SUM(P11:AA11)</f>
        <v>3459.4518749999997</v>
      </c>
    </row>
    <row r="12" spans="1:31" ht="13.5" customHeight="1" x14ac:dyDescent="0.15">
      <c r="A12" s="80" t="str">
        <f>Revenue!A12</f>
        <v>Total # of Loans</v>
      </c>
      <c r="B12" s="80"/>
      <c r="C12" s="80">
        <f>Revenue!C12</f>
        <v>0</v>
      </c>
      <c r="D12" s="80">
        <f>Revenue!D12</f>
        <v>0</v>
      </c>
      <c r="E12" s="80">
        <f>Revenue!E12</f>
        <v>0</v>
      </c>
      <c r="F12" s="80">
        <f>Revenue!F12</f>
        <v>0</v>
      </c>
      <c r="G12" s="80">
        <f>Revenue!G12</f>
        <v>0</v>
      </c>
      <c r="H12" s="80">
        <f>Revenue!H12</f>
        <v>31</v>
      </c>
      <c r="I12" s="80">
        <f>Revenue!I12</f>
        <v>145</v>
      </c>
      <c r="J12" s="80">
        <f>Revenue!J12</f>
        <v>312</v>
      </c>
      <c r="K12" s="80">
        <f>Revenue!K12</f>
        <v>448</v>
      </c>
      <c r="L12" s="80">
        <f>Revenue!L12</f>
        <v>543</v>
      </c>
      <c r="M12" s="80">
        <f>Revenue!M12</f>
        <v>656</v>
      </c>
      <c r="N12" s="80">
        <f>Revenue!N12</f>
        <v>760</v>
      </c>
      <c r="O12" s="80">
        <f>Revenue!O12</f>
        <v>847</v>
      </c>
      <c r="P12" s="80">
        <f>Revenue!P12</f>
        <v>960</v>
      </c>
      <c r="Q12" s="80">
        <f>Revenue!Q12</f>
        <v>1159</v>
      </c>
      <c r="R12" s="80">
        <f>Revenue!R12</f>
        <v>1393</v>
      </c>
      <c r="S12" s="80">
        <f>Revenue!S12</f>
        <v>1632</v>
      </c>
      <c r="T12" s="80">
        <f>Revenue!T12</f>
        <v>1916</v>
      </c>
      <c r="U12" s="80">
        <f>Revenue!U12</f>
        <v>2248</v>
      </c>
      <c r="V12" s="80">
        <f>Revenue!V12</f>
        <v>2589</v>
      </c>
      <c r="W12" s="80">
        <f>Revenue!W12</f>
        <v>2925</v>
      </c>
      <c r="X12" s="80">
        <f>Revenue!X12</f>
        <v>3190</v>
      </c>
      <c r="Y12" s="80">
        <f>Revenue!Y12</f>
        <v>3553</v>
      </c>
      <c r="Z12" s="662">
        <f>Revenue!Z12</f>
        <v>3925.0749999999998</v>
      </c>
      <c r="AA12" s="662">
        <f>Revenue!AA12</f>
        <v>4306.4518749999997</v>
      </c>
      <c r="AB12" s="548"/>
      <c r="AC12" s="80">
        <f>AA12</f>
        <v>4306.4518749999997</v>
      </c>
      <c r="AD12" s="80">
        <f>O12</f>
        <v>847</v>
      </c>
      <c r="AE12" s="80">
        <f>AA12</f>
        <v>4306.4518749999997</v>
      </c>
    </row>
    <row r="13" spans="1:31" ht="13.5" customHeight="1" x14ac:dyDescent="0.1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662"/>
      <c r="AA13" s="662"/>
      <c r="AB13" s="548"/>
      <c r="AC13" s="80"/>
      <c r="AD13" s="80"/>
      <c r="AE13" s="80"/>
    </row>
    <row r="14" spans="1:31" s="407" customFormat="1" ht="13.5" customHeight="1" x14ac:dyDescent="0.15">
      <c r="A14" s="406" t="str">
        <f>Revenue!A14</f>
        <v>Total $ on Loan (Outstanding Loans) BOM</v>
      </c>
      <c r="B14" s="406"/>
      <c r="C14" s="406">
        <f>Revenue!C14</f>
        <v>0</v>
      </c>
      <c r="D14" s="406">
        <f>Revenue!D14</f>
        <v>0</v>
      </c>
      <c r="E14" s="406">
        <f>Revenue!E14</f>
        <v>0</v>
      </c>
      <c r="F14" s="406">
        <f>Revenue!F14</f>
        <v>0</v>
      </c>
      <c r="G14" s="406">
        <f>Revenue!G14</f>
        <v>0</v>
      </c>
      <c r="H14" s="406">
        <f>Revenue!H14</f>
        <v>0</v>
      </c>
      <c r="I14" s="406">
        <f>Revenue!I14</f>
        <v>110193.7</v>
      </c>
      <c r="J14" s="406">
        <f>Revenue!J14</f>
        <v>512017.5</v>
      </c>
      <c r="K14" s="406">
        <f>Revenue!K14</f>
        <v>1225616.25</v>
      </c>
      <c r="L14" s="406">
        <f>Revenue!L14</f>
        <v>1870749.26</v>
      </c>
      <c r="M14" s="406">
        <f>Revenue!M14</f>
        <v>2356378.4300000002</v>
      </c>
      <c r="N14" s="406">
        <f>Revenue!N14</f>
        <v>2943102.5900000003</v>
      </c>
      <c r="O14" s="406">
        <f>Revenue!O14</f>
        <v>3496682.43</v>
      </c>
      <c r="P14" s="406">
        <f>Revenue!P14</f>
        <v>3929213.93</v>
      </c>
      <c r="Q14" s="406">
        <f>Revenue!Q14</f>
        <v>4397617.46</v>
      </c>
      <c r="R14" s="406">
        <f>Revenue!R14</f>
        <v>5234978.96</v>
      </c>
      <c r="S14" s="406">
        <f>Revenue!S14</f>
        <v>6172493.0899999999</v>
      </c>
      <c r="T14" s="406">
        <f>Revenue!T14</f>
        <v>7027823.1799999997</v>
      </c>
      <c r="U14" s="406">
        <f>Revenue!U14</f>
        <v>8089332.6499999994</v>
      </c>
      <c r="V14" s="406">
        <f>Revenue!V14</f>
        <v>9387828.3299999982</v>
      </c>
      <c r="W14" s="406">
        <f>Revenue!W14</f>
        <v>10640549.419999998</v>
      </c>
      <c r="X14" s="406">
        <f>Revenue!X14</f>
        <v>10757662.419999998</v>
      </c>
      <c r="Y14" s="406">
        <f>Revenue!Y14</f>
        <v>11852432.779999997</v>
      </c>
      <c r="Z14" s="663">
        <f>Revenue!Z14</f>
        <v>13322341.789999997</v>
      </c>
      <c r="AA14" s="663">
        <f>Revenue!AA14</f>
        <v>14922264.289999997</v>
      </c>
      <c r="AB14" s="549"/>
      <c r="AC14" s="406">
        <f>+AA20</f>
        <v>16562184.852499997</v>
      </c>
      <c r="AD14" s="406">
        <f>O20</f>
        <v>3929213.93</v>
      </c>
      <c r="AE14" s="406">
        <f>AA20</f>
        <v>16562184.852499997</v>
      </c>
    </row>
    <row r="15" spans="1:31" s="531" customFormat="1" ht="13.5" customHeight="1" x14ac:dyDescent="0.15">
      <c r="A15" s="406" t="str">
        <f>Revenue!A15</f>
        <v>New Loans Written</v>
      </c>
      <c r="B15" s="425"/>
      <c r="C15" s="406">
        <f>Revenue!C15</f>
        <v>0</v>
      </c>
      <c r="D15" s="406">
        <f>Revenue!D15</f>
        <v>0</v>
      </c>
      <c r="E15" s="406">
        <f>Revenue!E15</f>
        <v>0</v>
      </c>
      <c r="F15" s="406">
        <f>Revenue!F15</f>
        <v>0</v>
      </c>
      <c r="G15" s="406">
        <f>Revenue!G15</f>
        <v>0</v>
      </c>
      <c r="H15" s="406">
        <f>Revenue!H15</f>
        <v>110193.7</v>
      </c>
      <c r="I15" s="406">
        <f>Revenue!I15</f>
        <v>401823.8</v>
      </c>
      <c r="J15" s="406">
        <f>Revenue!J15</f>
        <v>713598.75</v>
      </c>
      <c r="K15" s="406">
        <f>Revenue!K15</f>
        <v>645133.01</v>
      </c>
      <c r="L15" s="406">
        <f>Revenue!L15</f>
        <v>485629.17</v>
      </c>
      <c r="M15" s="406">
        <f>Revenue!M15</f>
        <v>586724.16</v>
      </c>
      <c r="N15" s="406">
        <f>Revenue!N15</f>
        <v>553579.84</v>
      </c>
      <c r="O15" s="406">
        <f>Revenue!O15</f>
        <v>432531.5</v>
      </c>
      <c r="P15" s="406">
        <f>Revenue!P15</f>
        <v>470357.4</v>
      </c>
      <c r="Q15" s="406">
        <f>Revenue!Q15</f>
        <v>843630.28</v>
      </c>
      <c r="R15" s="406">
        <f>Revenue!R15</f>
        <v>942528.59</v>
      </c>
      <c r="S15" s="406">
        <f>Revenue!S15</f>
        <v>874055.51</v>
      </c>
      <c r="T15" s="406">
        <f>Revenue!T15</f>
        <v>1063346</v>
      </c>
      <c r="U15" s="406">
        <f>Revenue!U15</f>
        <v>1308403</v>
      </c>
      <c r="V15" s="406">
        <f>Revenue!V15</f>
        <v>1268000</v>
      </c>
      <c r="W15" s="406">
        <f>Revenue!W15</f>
        <v>126624.05</v>
      </c>
      <c r="X15" s="406">
        <f>Revenue!X15</f>
        <v>1120389</v>
      </c>
      <c r="Y15" s="406">
        <f>Revenue!Y15</f>
        <v>1493430</v>
      </c>
      <c r="Z15" s="663">
        <f>Revenue!Z15</f>
        <v>1599922.5</v>
      </c>
      <c r="AA15" s="663">
        <f>Revenue!AA15</f>
        <v>1639920.5624999998</v>
      </c>
      <c r="AB15" s="549"/>
      <c r="AC15" s="406">
        <f>SUM(H15:AA15)</f>
        <v>16679820.822500002</v>
      </c>
      <c r="AD15" s="406">
        <f>SUM(H15:O15)</f>
        <v>3929213.93</v>
      </c>
      <c r="AE15" s="406">
        <f>SUM(P15:AA15)</f>
        <v>12750606.8925</v>
      </c>
    </row>
    <row r="16" spans="1:31" ht="13.5" customHeight="1" x14ac:dyDescent="0.15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662"/>
      <c r="AA16" s="662"/>
      <c r="AB16" s="548"/>
      <c r="AC16" s="80"/>
      <c r="AD16" s="80"/>
      <c r="AE16" s="80"/>
    </row>
    <row r="17" spans="1:31" s="407" customFormat="1" ht="13.5" customHeight="1" x14ac:dyDescent="0.15">
      <c r="A17" s="406" t="str">
        <f>Revenue!A17</f>
        <v>CS Collect</v>
      </c>
      <c r="B17" s="406"/>
      <c r="C17" s="406">
        <f>Revenue!C17</f>
        <v>0</v>
      </c>
      <c r="D17" s="406">
        <f>Revenue!D17</f>
        <v>0</v>
      </c>
      <c r="E17" s="406">
        <f>Revenue!E17</f>
        <v>0</v>
      </c>
      <c r="F17" s="406">
        <f>Revenue!F17</f>
        <v>0</v>
      </c>
      <c r="G17" s="406">
        <f>Revenue!G17</f>
        <v>0</v>
      </c>
      <c r="H17" s="406">
        <f>Revenue!H17</f>
        <v>0</v>
      </c>
      <c r="I17" s="406">
        <f>Revenue!I17</f>
        <v>0</v>
      </c>
      <c r="J17" s="406">
        <f>Revenue!J17</f>
        <v>0</v>
      </c>
      <c r="K17" s="406">
        <f>Revenue!K17</f>
        <v>0</v>
      </c>
      <c r="L17" s="406">
        <f>Revenue!L17</f>
        <v>0</v>
      </c>
      <c r="M17" s="406">
        <f>Revenue!M17</f>
        <v>0</v>
      </c>
      <c r="N17" s="406">
        <f>Revenue!N17</f>
        <v>0</v>
      </c>
      <c r="O17" s="406">
        <f>Revenue!O17</f>
        <v>0</v>
      </c>
      <c r="P17" s="406">
        <f>Revenue!P17</f>
        <v>-1953.87</v>
      </c>
      <c r="Q17" s="406">
        <f>Revenue!Q17</f>
        <v>-6268.78</v>
      </c>
      <c r="R17" s="406">
        <f>Revenue!R17</f>
        <v>-5014.46</v>
      </c>
      <c r="S17" s="406">
        <f>Revenue!S17</f>
        <v>-18725.419999999998</v>
      </c>
      <c r="T17" s="406">
        <f>Revenue!T17</f>
        <v>-1836.53</v>
      </c>
      <c r="U17" s="406">
        <f>Revenue!U17</f>
        <v>-9907.32</v>
      </c>
      <c r="V17" s="406">
        <f>Revenue!V17</f>
        <v>-15278.91</v>
      </c>
      <c r="W17" s="406">
        <f>Revenue!W17</f>
        <v>-9511.0499999999993</v>
      </c>
      <c r="X17" s="406">
        <f>Revenue!X17</f>
        <v>-25618.639999999999</v>
      </c>
      <c r="Y17" s="406">
        <f>Revenue!Y17</f>
        <v>-23520.99</v>
      </c>
      <c r="Z17" s="663">
        <f>Revenue!Z17</f>
        <v>0</v>
      </c>
      <c r="AA17" s="663">
        <f>Revenue!AA17</f>
        <v>0</v>
      </c>
      <c r="AB17" s="549"/>
      <c r="AC17" s="406">
        <f>SUM(H17:AA17)</f>
        <v>-117635.97</v>
      </c>
      <c r="AD17" s="406">
        <f>SUM(H17:O17)</f>
        <v>0</v>
      </c>
      <c r="AE17" s="406">
        <f>SUM(P17:AA17)</f>
        <v>-117635.97</v>
      </c>
    </row>
    <row r="18" spans="1:31" s="407" customFormat="1" ht="13.5" customHeight="1" x14ac:dyDescent="0.15">
      <c r="A18" s="406" t="str">
        <f>Revenue!A18</f>
        <v>Cosign Reserve Account</v>
      </c>
      <c r="B18" s="406"/>
      <c r="C18" s="406">
        <f>Revenue!C18</f>
        <v>0</v>
      </c>
      <c r="D18" s="406">
        <f>Revenue!D18</f>
        <v>0</v>
      </c>
      <c r="E18" s="406">
        <f>Revenue!E18</f>
        <v>0</v>
      </c>
      <c r="F18" s="406">
        <f>Revenue!F18</f>
        <v>0</v>
      </c>
      <c r="G18" s="406">
        <f>Revenue!G18</f>
        <v>0</v>
      </c>
      <c r="H18" s="406">
        <f>Revenue!H18</f>
        <v>2754.8425000000002</v>
      </c>
      <c r="I18" s="406">
        <f>Revenue!I18</f>
        <v>10045.595000000001</v>
      </c>
      <c r="J18" s="406">
        <f>Revenue!J18</f>
        <v>17839.96875</v>
      </c>
      <c r="K18" s="406">
        <f>Revenue!K18</f>
        <v>16128.325250000002</v>
      </c>
      <c r="L18" s="406">
        <f>Revenue!L18</f>
        <v>12140.72925</v>
      </c>
      <c r="M18" s="406">
        <f>Revenue!M18</f>
        <v>14668.104000000001</v>
      </c>
      <c r="N18" s="406">
        <f>Revenue!N18</f>
        <v>13839.495999999999</v>
      </c>
      <c r="O18" s="406">
        <f>Revenue!O18</f>
        <v>10813.2875</v>
      </c>
      <c r="P18" s="406">
        <f>Revenue!P18</f>
        <v>11758.935000000001</v>
      </c>
      <c r="Q18" s="406">
        <f>Revenue!Q18</f>
        <v>21090.757000000001</v>
      </c>
      <c r="R18" s="406">
        <f>Revenue!R18</f>
        <v>23563.214749999999</v>
      </c>
      <c r="S18" s="406">
        <f>Revenue!S18</f>
        <v>21851.387750000002</v>
      </c>
      <c r="T18" s="406">
        <f>Revenue!T18</f>
        <v>26583.65</v>
      </c>
      <c r="U18" s="406">
        <f>Revenue!U18</f>
        <v>32710.075000000001</v>
      </c>
      <c r="V18" s="406">
        <f>Revenue!V18</f>
        <v>31700</v>
      </c>
      <c r="W18" s="406">
        <f>Revenue!W18</f>
        <v>3165.6012500000002</v>
      </c>
      <c r="X18" s="406">
        <f>Revenue!X18</f>
        <v>28009.725000000002</v>
      </c>
      <c r="Y18" s="406">
        <f>Revenue!Y18</f>
        <v>37335.75</v>
      </c>
      <c r="Z18" s="663">
        <f>Revenue!Z18</f>
        <v>39998.0625</v>
      </c>
      <c r="AA18" s="663">
        <f>Revenue!AA18</f>
        <v>40998.014062499999</v>
      </c>
      <c r="AB18" s="549"/>
      <c r="AC18" s="406">
        <f t="shared" ref="AC18:AC19" si="12">SUM(H18:AA18)</f>
        <v>416995.52056249994</v>
      </c>
      <c r="AD18" s="406">
        <f t="shared" ref="AD18:AD19" si="13">SUM(H18:O18)</f>
        <v>98230.34825000001</v>
      </c>
      <c r="AE18" s="406">
        <f t="shared" ref="AE18:AE19" si="14">SUM(P18:AA18)</f>
        <v>318765.17231250001</v>
      </c>
    </row>
    <row r="19" spans="1:31" s="531" customFormat="1" ht="13.5" customHeight="1" x14ac:dyDescent="0.15">
      <c r="A19" s="406" t="str">
        <f>Revenue!A19</f>
        <v>Total $ in Reserve Account EOM</v>
      </c>
      <c r="B19" s="425"/>
      <c r="C19" s="406">
        <f>Revenue!C19</f>
        <v>0</v>
      </c>
      <c r="D19" s="406">
        <f>Revenue!D19</f>
        <v>0</v>
      </c>
      <c r="E19" s="406">
        <f>Revenue!E19</f>
        <v>0</v>
      </c>
      <c r="F19" s="406">
        <f>Revenue!F19</f>
        <v>0</v>
      </c>
      <c r="G19" s="406">
        <f>Revenue!G19</f>
        <v>0</v>
      </c>
      <c r="H19" s="406">
        <f>Revenue!H19</f>
        <v>2754.8425000000002</v>
      </c>
      <c r="I19" s="406">
        <f>Revenue!I19</f>
        <v>12800.437500000002</v>
      </c>
      <c r="J19" s="406">
        <f>Revenue!J19</f>
        <v>30640.40625</v>
      </c>
      <c r="K19" s="406">
        <f>Revenue!K19</f>
        <v>46768.731500000002</v>
      </c>
      <c r="L19" s="406">
        <f>Revenue!L19</f>
        <v>58909.460749999998</v>
      </c>
      <c r="M19" s="406">
        <f>Revenue!M19</f>
        <v>73577.564750000005</v>
      </c>
      <c r="N19" s="406">
        <f>Revenue!N19</f>
        <v>87417.060750000004</v>
      </c>
      <c r="O19" s="406">
        <f>Revenue!O19</f>
        <v>98230.34825000001</v>
      </c>
      <c r="P19" s="406">
        <f>Revenue!P19</f>
        <v>108035.41325000001</v>
      </c>
      <c r="Q19" s="406">
        <f>Revenue!Q19</f>
        <v>122857.39025000001</v>
      </c>
      <c r="R19" s="406">
        <f>Revenue!R19</f>
        <v>141406.14500000002</v>
      </c>
      <c r="S19" s="406">
        <f>Revenue!S19</f>
        <v>144532.11275000003</v>
      </c>
      <c r="T19" s="406">
        <f>Revenue!T19</f>
        <v>169279.23275000002</v>
      </c>
      <c r="U19" s="406">
        <f>Revenue!U19</f>
        <v>192081.98775000003</v>
      </c>
      <c r="V19" s="406">
        <f>Revenue!V19</f>
        <v>208503.07775000003</v>
      </c>
      <c r="W19" s="406">
        <f>Revenue!W19</f>
        <v>202157.62900000004</v>
      </c>
      <c r="X19" s="406">
        <f>Revenue!X19</f>
        <v>204548.71400000004</v>
      </c>
      <c r="Y19" s="406">
        <f>Revenue!Y19</f>
        <v>218363.47400000005</v>
      </c>
      <c r="Z19" s="663">
        <f>Revenue!Z19</f>
        <v>258361.53650000005</v>
      </c>
      <c r="AA19" s="663">
        <f>Revenue!AA19</f>
        <v>299359.55056250002</v>
      </c>
      <c r="AB19" s="549"/>
      <c r="AC19" s="406">
        <f>+AA19</f>
        <v>299359.55056250002</v>
      </c>
      <c r="AD19" s="406">
        <f>+O19</f>
        <v>98230.34825000001</v>
      </c>
      <c r="AE19" s="406">
        <f>+AA19</f>
        <v>299359.55056250002</v>
      </c>
    </row>
    <row r="20" spans="1:31" s="531" customFormat="1" ht="13.5" customHeight="1" x14ac:dyDescent="0.15">
      <c r="A20" s="425" t="str">
        <f>Revenue!A20</f>
        <v>Total $ on Loan (Outstanding Loans) EOM</v>
      </c>
      <c r="B20" s="425"/>
      <c r="C20" s="425">
        <f>Revenue!C20</f>
        <v>0</v>
      </c>
      <c r="D20" s="425">
        <f>Revenue!D20</f>
        <v>0</v>
      </c>
      <c r="E20" s="425">
        <f>Revenue!E20</f>
        <v>0</v>
      </c>
      <c r="F20" s="425">
        <f>Revenue!F20</f>
        <v>0</v>
      </c>
      <c r="G20" s="425">
        <f>Revenue!G20</f>
        <v>0</v>
      </c>
      <c r="H20" s="425">
        <f>Revenue!H20</f>
        <v>110193.7</v>
      </c>
      <c r="I20" s="425">
        <f>Revenue!I20</f>
        <v>512017.5</v>
      </c>
      <c r="J20" s="425">
        <f>Revenue!J20</f>
        <v>1225616.25</v>
      </c>
      <c r="K20" s="425">
        <f>Revenue!K20</f>
        <v>1870749.26</v>
      </c>
      <c r="L20" s="425">
        <f>Revenue!L20</f>
        <v>2356378.4300000002</v>
      </c>
      <c r="M20" s="425">
        <f>Revenue!M20</f>
        <v>2943102.5900000003</v>
      </c>
      <c r="N20" s="425">
        <f>Revenue!N20</f>
        <v>3496682.43</v>
      </c>
      <c r="O20" s="425">
        <f>Revenue!O20</f>
        <v>3929213.93</v>
      </c>
      <c r="P20" s="425">
        <f>Revenue!P20</f>
        <v>4397617.46</v>
      </c>
      <c r="Q20" s="425">
        <f>Revenue!Q20</f>
        <v>5234978.96</v>
      </c>
      <c r="R20" s="425">
        <f>Revenue!R20</f>
        <v>6172493.0899999999</v>
      </c>
      <c r="S20" s="425">
        <f>Revenue!S20</f>
        <v>7027823.1799999997</v>
      </c>
      <c r="T20" s="425">
        <f>Revenue!T20</f>
        <v>8089332.6499999994</v>
      </c>
      <c r="U20" s="425">
        <f>Revenue!U20</f>
        <v>9387828.3299999982</v>
      </c>
      <c r="V20" s="425">
        <f>Revenue!V20</f>
        <v>10640549.419999998</v>
      </c>
      <c r="W20" s="425">
        <f>Revenue!W20</f>
        <v>10757662.419999998</v>
      </c>
      <c r="X20" s="425">
        <f>Revenue!X20</f>
        <v>11852432.779999997</v>
      </c>
      <c r="Y20" s="425">
        <f>Revenue!Y20</f>
        <v>13322341.789999997</v>
      </c>
      <c r="Z20" s="664">
        <f>Revenue!Z20</f>
        <v>14922264.289999997</v>
      </c>
      <c r="AA20" s="664">
        <f>Revenue!AA20</f>
        <v>16562184.852499997</v>
      </c>
      <c r="AB20" s="550"/>
      <c r="AC20" s="406">
        <f>+AA20</f>
        <v>16562184.852499997</v>
      </c>
      <c r="AD20" s="406">
        <f>+O20</f>
        <v>3929213.93</v>
      </c>
      <c r="AE20" s="406">
        <f>+AA20</f>
        <v>16562184.852499997</v>
      </c>
    </row>
    <row r="21" spans="1:31" ht="13.5" customHeight="1" x14ac:dyDescent="0.15">
      <c r="A21" s="80"/>
      <c r="B21" s="194"/>
      <c r="C21" s="85"/>
      <c r="D21" s="85"/>
      <c r="E21" s="85"/>
      <c r="F21" s="85"/>
      <c r="G21" s="85"/>
      <c r="H21" s="85"/>
      <c r="I21" s="408"/>
      <c r="J21" s="408"/>
      <c r="K21" s="408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641"/>
      <c r="AA21" s="641"/>
      <c r="AB21" s="546"/>
      <c r="AC21" s="85"/>
      <c r="AD21" s="85"/>
      <c r="AE21" s="85"/>
    </row>
    <row r="22" spans="1:31" ht="13.5" customHeight="1" thickBot="1" x14ac:dyDescent="0.2">
      <c r="A22" s="212" t="s">
        <v>166</v>
      </c>
      <c r="B22" s="213"/>
      <c r="C22" s="404"/>
      <c r="D22" s="404"/>
      <c r="E22" s="404"/>
      <c r="F22" s="404"/>
      <c r="G22" s="404"/>
      <c r="H22" s="404"/>
      <c r="I22" s="404"/>
      <c r="J22" s="404"/>
      <c r="K22" s="404"/>
      <c r="L22" s="404"/>
      <c r="M22" s="404"/>
      <c r="N22" s="404"/>
      <c r="O22" s="404"/>
      <c r="P22" s="404"/>
      <c r="Q22" s="404"/>
      <c r="R22" s="404"/>
      <c r="S22" s="404"/>
      <c r="T22" s="404"/>
      <c r="U22" s="404"/>
      <c r="V22" s="404"/>
      <c r="W22" s="404"/>
      <c r="X22" s="404"/>
      <c r="Y22" s="404"/>
      <c r="Z22" s="661"/>
      <c r="AA22" s="661"/>
      <c r="AB22" s="547"/>
      <c r="AC22" s="404"/>
      <c r="AD22" s="404"/>
      <c r="AE22" s="404"/>
    </row>
    <row r="23" spans="1:31" ht="4.5" customHeight="1" x14ac:dyDescent="0.15">
      <c r="A23" s="80"/>
      <c r="B23" s="409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643"/>
      <c r="AA23" s="643"/>
      <c r="AB23" s="544"/>
      <c r="AC23" s="206"/>
      <c r="AD23" s="206"/>
      <c r="AE23" s="206"/>
    </row>
    <row r="24" spans="1:31" s="407" customFormat="1" ht="25.5" customHeight="1" x14ac:dyDescent="0.15">
      <c r="A24" s="410" t="s">
        <v>19</v>
      </c>
      <c r="B24" s="411" t="str">
        <f>Settings!$C$6</f>
        <v>CAD</v>
      </c>
      <c r="C24" s="412" t="e">
        <f>SUM(C25:C27)</f>
        <v>#REF!</v>
      </c>
      <c r="D24" s="412" t="e">
        <f t="shared" ref="D24:T24" si="15">SUM(D25:D27)</f>
        <v>#REF!</v>
      </c>
      <c r="E24" s="412" t="e">
        <f t="shared" si="15"/>
        <v>#REF!</v>
      </c>
      <c r="F24" s="412" t="e">
        <f t="shared" si="15"/>
        <v>#REF!</v>
      </c>
      <c r="G24" s="412" t="e">
        <f t="shared" si="15"/>
        <v>#REF!</v>
      </c>
      <c r="H24" s="412">
        <f t="shared" si="15"/>
        <v>11019.37</v>
      </c>
      <c r="I24" s="412">
        <f t="shared" si="15"/>
        <v>40182.380000000005</v>
      </c>
      <c r="J24" s="412">
        <f t="shared" si="15"/>
        <v>71359.875</v>
      </c>
      <c r="K24" s="412">
        <f t="shared" si="15"/>
        <v>64513.301000000007</v>
      </c>
      <c r="L24" s="412">
        <f t="shared" si="15"/>
        <v>48562.917000000001</v>
      </c>
      <c r="M24" s="412">
        <f t="shared" si="15"/>
        <v>58672.416000000005</v>
      </c>
      <c r="N24" s="412">
        <f t="shared" si="15"/>
        <v>55357.983999999997</v>
      </c>
      <c r="O24" s="412">
        <f t="shared" si="15"/>
        <v>43253.15</v>
      </c>
      <c r="P24" s="412">
        <f t="shared" si="15"/>
        <v>47035.740000000005</v>
      </c>
      <c r="Q24" s="412">
        <f t="shared" si="15"/>
        <v>84363.028000000006</v>
      </c>
      <c r="R24" s="412">
        <f t="shared" si="15"/>
        <v>94252.858999999997</v>
      </c>
      <c r="S24" s="412">
        <f t="shared" si="15"/>
        <v>87405.551000000007</v>
      </c>
      <c r="T24" s="412">
        <f t="shared" si="15"/>
        <v>106334.6</v>
      </c>
      <c r="U24" s="412">
        <f t="shared" ref="U24:X24" si="16">SUM(U25:U27)</f>
        <v>130840.3</v>
      </c>
      <c r="V24" s="412">
        <f t="shared" si="16"/>
        <v>126800</v>
      </c>
      <c r="W24" s="412">
        <f t="shared" si="16"/>
        <v>12662.405000000001</v>
      </c>
      <c r="X24" s="412">
        <f t="shared" si="16"/>
        <v>112038.90000000001</v>
      </c>
      <c r="Y24" s="412">
        <f t="shared" ref="Y24:Z24" si="17">SUM(Y25:Y27)</f>
        <v>149343</v>
      </c>
      <c r="Z24" s="665">
        <f t="shared" ref="Z24:AA24" si="18">SUM(Z25:Z27)</f>
        <v>159992.25</v>
      </c>
      <c r="AA24" s="665">
        <f t="shared" si="18"/>
        <v>163992.05624999999</v>
      </c>
      <c r="AB24" s="541"/>
      <c r="AC24" s="412">
        <f>SUM(H24:AA24)</f>
        <v>1667982.0822499997</v>
      </c>
      <c r="AD24" s="412">
        <f>SUM(H24:O24)</f>
        <v>392921.39300000004</v>
      </c>
      <c r="AE24" s="412">
        <f>SUM(P24:AA24)</f>
        <v>1275060.6892500001</v>
      </c>
    </row>
    <row r="25" spans="1:31" s="407" customFormat="1" ht="13.5" customHeight="1" outlineLevel="1" x14ac:dyDescent="0.15">
      <c r="A25" s="413" t="str">
        <f>+Revenue!A25</f>
        <v>Borrower Fees</v>
      </c>
      <c r="B25" s="414" t="str">
        <f>Settings!$C$6</f>
        <v>CAD</v>
      </c>
      <c r="C25" s="415" t="e">
        <f>Revenue!#REF!</f>
        <v>#REF!</v>
      </c>
      <c r="D25" s="415" t="e">
        <f>Revenue!#REF!</f>
        <v>#REF!</v>
      </c>
      <c r="E25" s="415" t="e">
        <f>Revenue!#REF!</f>
        <v>#REF!</v>
      </c>
      <c r="F25" s="415" t="e">
        <f>Revenue!#REF!</f>
        <v>#REF!</v>
      </c>
      <c r="G25" s="415" t="e">
        <f>Revenue!#REF!</f>
        <v>#REF!</v>
      </c>
      <c r="H25" s="415">
        <f>+Revenue!H25</f>
        <v>11019.37</v>
      </c>
      <c r="I25" s="415">
        <f>+Revenue!I25</f>
        <v>40182.380000000005</v>
      </c>
      <c r="J25" s="415">
        <f>+Revenue!J25</f>
        <v>71359.875</v>
      </c>
      <c r="K25" s="415">
        <f>+Revenue!K25</f>
        <v>64513.301000000007</v>
      </c>
      <c r="L25" s="415">
        <f>+Revenue!L25</f>
        <v>48562.917000000001</v>
      </c>
      <c r="M25" s="415">
        <f>+Revenue!M25</f>
        <v>58672.416000000005</v>
      </c>
      <c r="N25" s="415">
        <f>+Revenue!N25</f>
        <v>55357.983999999997</v>
      </c>
      <c r="O25" s="415">
        <f>+Revenue!O25</f>
        <v>43253.15</v>
      </c>
      <c r="P25" s="415">
        <f>+Revenue!P25</f>
        <v>47035.740000000005</v>
      </c>
      <c r="Q25" s="415">
        <f>+Revenue!Q25</f>
        <v>84363.028000000006</v>
      </c>
      <c r="R25" s="415">
        <f>+Revenue!R25</f>
        <v>94252.858999999997</v>
      </c>
      <c r="S25" s="415">
        <f>+Revenue!S25</f>
        <v>87405.551000000007</v>
      </c>
      <c r="T25" s="415">
        <f>+Revenue!T25</f>
        <v>106334.6</v>
      </c>
      <c r="U25" s="415">
        <f>+Revenue!U25</f>
        <v>130840.3</v>
      </c>
      <c r="V25" s="415">
        <f>+Revenue!V25</f>
        <v>126800</v>
      </c>
      <c r="W25" s="415">
        <f>+Revenue!W25</f>
        <v>12662.405000000001</v>
      </c>
      <c r="X25" s="415">
        <f>+Revenue!X25</f>
        <v>112038.90000000001</v>
      </c>
      <c r="Y25" s="415">
        <f>+Revenue!Y25</f>
        <v>149343</v>
      </c>
      <c r="Z25" s="666">
        <f>+Revenue!Z25</f>
        <v>159992.25</v>
      </c>
      <c r="AA25" s="666">
        <f>+Revenue!AA25</f>
        <v>163992.05624999999</v>
      </c>
      <c r="AB25" s="542"/>
      <c r="AC25" s="415">
        <f t="shared" ref="AC25:AC27" si="19">SUM(H25:AA25)</f>
        <v>1667982.0822499997</v>
      </c>
      <c r="AD25" s="415">
        <f t="shared" ref="AD25:AD27" si="20">SUM(H25:O25)</f>
        <v>392921.39300000004</v>
      </c>
      <c r="AE25" s="415">
        <f t="shared" ref="AE25:AE27" si="21">SUM(P25:AA25)</f>
        <v>1275060.6892500001</v>
      </c>
    </row>
    <row r="26" spans="1:31" s="407" customFormat="1" ht="13.5" customHeight="1" outlineLevel="1" x14ac:dyDescent="0.15">
      <c r="A26" s="413" t="str">
        <f>+Revenue!A26</f>
        <v>Collected on Defaulted Loans</v>
      </c>
      <c r="B26" s="414" t="str">
        <f>Settings!$C$6</f>
        <v>CAD</v>
      </c>
      <c r="C26" s="415" t="e">
        <f>Revenue!#REF!</f>
        <v>#REF!</v>
      </c>
      <c r="D26" s="415" t="e">
        <f>Revenue!#REF!</f>
        <v>#REF!</v>
      </c>
      <c r="E26" s="415" t="e">
        <f>Revenue!#REF!</f>
        <v>#REF!</v>
      </c>
      <c r="F26" s="415" t="e">
        <f>Revenue!#REF!</f>
        <v>#REF!</v>
      </c>
      <c r="G26" s="415" t="e">
        <f>Revenue!#REF!</f>
        <v>#REF!</v>
      </c>
      <c r="H26" s="415">
        <f>+Revenue!H26</f>
        <v>0</v>
      </c>
      <c r="I26" s="415">
        <f>+Revenue!I26</f>
        <v>0</v>
      </c>
      <c r="J26" s="415">
        <f>+Revenue!J26</f>
        <v>0</v>
      </c>
      <c r="K26" s="415">
        <f>+Revenue!K26</f>
        <v>0</v>
      </c>
      <c r="L26" s="415">
        <f>+Revenue!L26</f>
        <v>0</v>
      </c>
      <c r="M26" s="415">
        <f>+Revenue!M26</f>
        <v>0</v>
      </c>
      <c r="N26" s="415">
        <f>+Revenue!N26</f>
        <v>0</v>
      </c>
      <c r="O26" s="415">
        <f>+Revenue!O26</f>
        <v>0</v>
      </c>
      <c r="P26" s="415">
        <f>+Revenue!P26</f>
        <v>0</v>
      </c>
      <c r="Q26" s="415">
        <f>+Revenue!Q26</f>
        <v>0</v>
      </c>
      <c r="R26" s="415">
        <f>+Revenue!R26</f>
        <v>0</v>
      </c>
      <c r="S26" s="415">
        <f>+Revenue!S26</f>
        <v>0</v>
      </c>
      <c r="T26" s="415">
        <f>+Revenue!T26</f>
        <v>0</v>
      </c>
      <c r="U26" s="415">
        <f>+Revenue!U26</f>
        <v>0</v>
      </c>
      <c r="V26" s="415">
        <f>+Revenue!V26</f>
        <v>0</v>
      </c>
      <c r="W26" s="415">
        <f>+Revenue!W26</f>
        <v>0</v>
      </c>
      <c r="X26" s="415">
        <f>+Revenue!X26</f>
        <v>0</v>
      </c>
      <c r="Y26" s="415">
        <f>+Revenue!Y26</f>
        <v>0</v>
      </c>
      <c r="Z26" s="666">
        <f>+Revenue!Z26</f>
        <v>0</v>
      </c>
      <c r="AA26" s="666">
        <f>+Revenue!AA26</f>
        <v>0</v>
      </c>
      <c r="AB26" s="542"/>
      <c r="AC26" s="415">
        <f t="shared" si="19"/>
        <v>0</v>
      </c>
      <c r="AD26" s="415">
        <f t="shared" si="20"/>
        <v>0</v>
      </c>
      <c r="AE26" s="415">
        <f t="shared" si="21"/>
        <v>0</v>
      </c>
    </row>
    <row r="27" spans="1:31" s="407" customFormat="1" ht="13.5" customHeight="1" outlineLevel="1" x14ac:dyDescent="0.15">
      <c r="A27" s="413" t="str">
        <f>+Revenue!A27</f>
        <v>NSF Fees Collected</v>
      </c>
      <c r="B27" s="414" t="str">
        <f>Settings!$C$6</f>
        <v>CAD</v>
      </c>
      <c r="C27" s="415" t="e">
        <f>Revenue!#REF!</f>
        <v>#REF!</v>
      </c>
      <c r="D27" s="415" t="e">
        <f>Revenue!#REF!</f>
        <v>#REF!</v>
      </c>
      <c r="E27" s="415" t="e">
        <f>Revenue!#REF!</f>
        <v>#REF!</v>
      </c>
      <c r="F27" s="415" t="e">
        <f>Revenue!#REF!</f>
        <v>#REF!</v>
      </c>
      <c r="G27" s="415" t="e">
        <f>Revenue!#REF!</f>
        <v>#REF!</v>
      </c>
      <c r="H27" s="415">
        <f>+Revenue!H27</f>
        <v>0</v>
      </c>
      <c r="I27" s="415">
        <f>+Revenue!I27</f>
        <v>0</v>
      </c>
      <c r="J27" s="415">
        <f>+Revenue!J27</f>
        <v>0</v>
      </c>
      <c r="K27" s="415">
        <f>+Revenue!K27</f>
        <v>0</v>
      </c>
      <c r="L27" s="415">
        <f>+Revenue!L27</f>
        <v>0</v>
      </c>
      <c r="M27" s="415">
        <f>+Revenue!M27</f>
        <v>0</v>
      </c>
      <c r="N27" s="415">
        <f>+Revenue!N27</f>
        <v>0</v>
      </c>
      <c r="O27" s="415">
        <f>+Revenue!O27</f>
        <v>0</v>
      </c>
      <c r="P27" s="415">
        <f>+Revenue!P27</f>
        <v>0</v>
      </c>
      <c r="Q27" s="415">
        <f>+Revenue!Q27</f>
        <v>0</v>
      </c>
      <c r="R27" s="415">
        <f>+Revenue!R27</f>
        <v>0</v>
      </c>
      <c r="S27" s="415">
        <f>+Revenue!S27</f>
        <v>0</v>
      </c>
      <c r="T27" s="415">
        <f>+Revenue!T27</f>
        <v>0</v>
      </c>
      <c r="U27" s="415">
        <f>+Revenue!U27</f>
        <v>0</v>
      </c>
      <c r="V27" s="415">
        <f>+Revenue!V27</f>
        <v>0</v>
      </c>
      <c r="W27" s="415">
        <f>+Revenue!W27</f>
        <v>0</v>
      </c>
      <c r="X27" s="415">
        <f>+Revenue!X27</f>
        <v>0</v>
      </c>
      <c r="Y27" s="415">
        <f>+Revenue!Y27</f>
        <v>0</v>
      </c>
      <c r="Z27" s="666">
        <f>+Revenue!Z27</f>
        <v>0</v>
      </c>
      <c r="AA27" s="666">
        <f>+Revenue!AA27</f>
        <v>0</v>
      </c>
      <c r="AB27" s="542"/>
      <c r="AC27" s="415">
        <f t="shared" si="19"/>
        <v>0</v>
      </c>
      <c r="AD27" s="415">
        <f t="shared" si="20"/>
        <v>0</v>
      </c>
      <c r="AE27" s="415">
        <f t="shared" si="21"/>
        <v>0</v>
      </c>
    </row>
    <row r="28" spans="1:31" s="407" customFormat="1" ht="13.5" customHeight="1" outlineLevel="1" x14ac:dyDescent="0.15">
      <c r="A28" s="416"/>
      <c r="B28" s="417"/>
      <c r="C28" s="418"/>
      <c r="D28" s="418"/>
      <c r="E28" s="418"/>
      <c r="F28" s="418"/>
      <c r="G28" s="418"/>
      <c r="H28" s="418"/>
      <c r="I28" s="418"/>
      <c r="J28" s="418"/>
      <c r="K28" s="418"/>
      <c r="L28" s="418"/>
      <c r="M28" s="418"/>
      <c r="N28" s="418"/>
      <c r="O28" s="418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667"/>
      <c r="AA28" s="667"/>
      <c r="AB28" s="542"/>
      <c r="AC28" s="418">
        <f t="shared" ref="AC28:AC31" si="22">SUM(H28:AA28)</f>
        <v>0</v>
      </c>
      <c r="AD28" s="418">
        <f t="shared" ref="AD28:AD31" si="23">SUM(H28:O28)</f>
        <v>0</v>
      </c>
      <c r="AE28" s="418">
        <f t="shared" ref="AE28:AE31" si="24">SUM(P28:AA28)</f>
        <v>0</v>
      </c>
    </row>
    <row r="29" spans="1:31" s="407" customFormat="1" ht="25.5" customHeight="1" x14ac:dyDescent="0.15">
      <c r="A29" s="419" t="s">
        <v>167</v>
      </c>
      <c r="B29" s="420" t="str">
        <f>Settings!$C$6</f>
        <v>CAD</v>
      </c>
      <c r="C29" s="421" t="e">
        <f>SUM(C30:C31)</f>
        <v>#REF!</v>
      </c>
      <c r="D29" s="421" t="e">
        <f t="shared" ref="D29:T29" si="25">SUM(D30:D31)</f>
        <v>#REF!</v>
      </c>
      <c r="E29" s="421" t="e">
        <f t="shared" si="25"/>
        <v>#REF!</v>
      </c>
      <c r="F29" s="421" t="e">
        <f t="shared" si="25"/>
        <v>#REF!</v>
      </c>
      <c r="G29" s="421" t="e">
        <f t="shared" si="25"/>
        <v>#REF!</v>
      </c>
      <c r="H29" s="421">
        <f t="shared" si="25"/>
        <v>0</v>
      </c>
      <c r="I29" s="421">
        <f t="shared" si="25"/>
        <v>0</v>
      </c>
      <c r="J29" s="421">
        <f t="shared" si="25"/>
        <v>0</v>
      </c>
      <c r="K29" s="421">
        <f t="shared" si="25"/>
        <v>0</v>
      </c>
      <c r="L29" s="421">
        <f t="shared" si="25"/>
        <v>0</v>
      </c>
      <c r="M29" s="421">
        <f t="shared" si="25"/>
        <v>0</v>
      </c>
      <c r="N29" s="421">
        <f t="shared" si="25"/>
        <v>0</v>
      </c>
      <c r="O29" s="421">
        <f t="shared" si="25"/>
        <v>0</v>
      </c>
      <c r="P29" s="421">
        <f t="shared" si="25"/>
        <v>0</v>
      </c>
      <c r="Q29" s="421">
        <f t="shared" si="25"/>
        <v>0</v>
      </c>
      <c r="R29" s="421">
        <f t="shared" si="25"/>
        <v>0</v>
      </c>
      <c r="S29" s="421">
        <f t="shared" si="25"/>
        <v>0</v>
      </c>
      <c r="T29" s="421">
        <f t="shared" si="25"/>
        <v>0</v>
      </c>
      <c r="U29" s="421">
        <f t="shared" ref="U29:X29" si="26">SUM(U30:U31)</f>
        <v>0</v>
      </c>
      <c r="V29" s="421">
        <f t="shared" si="26"/>
        <v>-80996.076562500006</v>
      </c>
      <c r="W29" s="421">
        <f t="shared" si="26"/>
        <v>0</v>
      </c>
      <c r="X29" s="421">
        <f t="shared" si="26"/>
        <v>-80996.076562500006</v>
      </c>
      <c r="Y29" s="421">
        <f t="shared" ref="Y29:Z29" si="27">SUM(Y30:Y31)</f>
        <v>0</v>
      </c>
      <c r="Z29" s="668">
        <f t="shared" ref="Z29:AA29" si="28">SUM(Z30:Z31)</f>
        <v>0</v>
      </c>
      <c r="AA29" s="668">
        <f t="shared" si="28"/>
        <v>0</v>
      </c>
      <c r="AB29" s="541"/>
      <c r="AC29" s="421">
        <f t="shared" si="22"/>
        <v>-161992.15312500001</v>
      </c>
      <c r="AD29" s="421">
        <f t="shared" si="23"/>
        <v>0</v>
      </c>
      <c r="AE29" s="421">
        <f t="shared" si="24"/>
        <v>-161992.15312500001</v>
      </c>
    </row>
    <row r="30" spans="1:31" s="407" customFormat="1" ht="13.5" customHeight="1" outlineLevel="1" x14ac:dyDescent="0.15">
      <c r="A30" s="422" t="str">
        <f>'COS and SG&amp;A'!A34</f>
        <v>Lender Admin Fee</v>
      </c>
      <c r="B30" s="423" t="str">
        <f>Settings!$C$6</f>
        <v>CAD</v>
      </c>
      <c r="C30" s="424">
        <f>'COS and SG&amp;A'!C34</f>
        <v>0</v>
      </c>
      <c r="D30" s="424">
        <f>'COS and SG&amp;A'!D34</f>
        <v>0</v>
      </c>
      <c r="E30" s="424">
        <f>'COS and SG&amp;A'!E34</f>
        <v>0</v>
      </c>
      <c r="F30" s="424">
        <f>'COS and SG&amp;A'!F34</f>
        <v>0</v>
      </c>
      <c r="G30" s="424">
        <f>'COS and SG&amp;A'!G34</f>
        <v>0</v>
      </c>
      <c r="H30" s="424">
        <f>'COS and SG&amp;A'!H34</f>
        <v>0</v>
      </c>
      <c r="I30" s="424">
        <f>'COS and SG&amp;A'!I34</f>
        <v>0</v>
      </c>
      <c r="J30" s="424">
        <f>'COS and SG&amp;A'!J34</f>
        <v>0</v>
      </c>
      <c r="K30" s="424">
        <f>'COS and SG&amp;A'!K34</f>
        <v>0</v>
      </c>
      <c r="L30" s="424">
        <f>'COS and SG&amp;A'!L34</f>
        <v>0</v>
      </c>
      <c r="M30" s="424">
        <f>'COS and SG&amp;A'!M34</f>
        <v>0</v>
      </c>
      <c r="N30" s="424">
        <f>'COS and SG&amp;A'!N34</f>
        <v>0</v>
      </c>
      <c r="O30" s="424">
        <f>'COS and SG&amp;A'!O34</f>
        <v>0</v>
      </c>
      <c r="P30" s="424">
        <f>'COS and SG&amp;A'!P34</f>
        <v>0</v>
      </c>
      <c r="Q30" s="424">
        <f>'COS and SG&amp;A'!Q34</f>
        <v>0</v>
      </c>
      <c r="R30" s="424">
        <f>'COS and SG&amp;A'!R34</f>
        <v>0</v>
      </c>
      <c r="S30" s="424">
        <f>'COS and SG&amp;A'!S34</f>
        <v>0</v>
      </c>
      <c r="T30" s="424">
        <f>'COS and SG&amp;A'!T34</f>
        <v>0</v>
      </c>
      <c r="U30" s="424">
        <f>'COS and SG&amp;A'!AB34</f>
        <v>0</v>
      </c>
      <c r="V30" s="424">
        <f>'COS and SG&amp;A'!AC34</f>
        <v>-80996.076562500006</v>
      </c>
      <c r="W30" s="424">
        <f>'COS and SG&amp;A'!AD34</f>
        <v>0</v>
      </c>
      <c r="X30" s="424">
        <f>'COS and SG&amp;A'!AE34</f>
        <v>-80996.076562500006</v>
      </c>
      <c r="Y30" s="424">
        <f>'COS and SG&amp;A'!AF34</f>
        <v>0</v>
      </c>
      <c r="Z30" s="669">
        <f>'COS and SG&amp;A'!AG34</f>
        <v>0</v>
      </c>
      <c r="AA30" s="669">
        <f>'COS and SG&amp;A'!AH34</f>
        <v>0</v>
      </c>
      <c r="AB30" s="542"/>
      <c r="AC30" s="424">
        <f t="shared" si="22"/>
        <v>-161992.15312500001</v>
      </c>
      <c r="AD30" s="424">
        <f t="shared" si="23"/>
        <v>0</v>
      </c>
      <c r="AE30" s="424">
        <f t="shared" si="24"/>
        <v>-161992.15312500001</v>
      </c>
    </row>
    <row r="31" spans="1:31" s="407" customFormat="1" ht="13.5" customHeight="1" outlineLevel="1" x14ac:dyDescent="0.15">
      <c r="A31" s="422" t="str">
        <f>'COS and SG&amp;A'!A35</f>
        <v>Borower Payout Bonus</v>
      </c>
      <c r="B31" s="423" t="str">
        <f>Settings!$C$6</f>
        <v>CAD</v>
      </c>
      <c r="C31" s="424" t="e">
        <f>'COS and SG&amp;A'!C35</f>
        <v>#REF!</v>
      </c>
      <c r="D31" s="424" t="e">
        <f>'COS and SG&amp;A'!D35</f>
        <v>#REF!</v>
      </c>
      <c r="E31" s="424" t="e">
        <f>'COS and SG&amp;A'!E35</f>
        <v>#REF!</v>
      </c>
      <c r="F31" s="424" t="e">
        <f>'COS and SG&amp;A'!F35</f>
        <v>#REF!</v>
      </c>
      <c r="G31" s="424" t="e">
        <f>'COS and SG&amp;A'!G35</f>
        <v>#REF!</v>
      </c>
      <c r="H31" s="424">
        <f>'COS and SG&amp;A'!H35</f>
        <v>0</v>
      </c>
      <c r="I31" s="424">
        <f>'COS and SG&amp;A'!I35</f>
        <v>0</v>
      </c>
      <c r="J31" s="424">
        <f>'COS and SG&amp;A'!J35</f>
        <v>0</v>
      </c>
      <c r="K31" s="424">
        <f>'COS and SG&amp;A'!K35</f>
        <v>0</v>
      </c>
      <c r="L31" s="424">
        <f>'COS and SG&amp;A'!L35</f>
        <v>0</v>
      </c>
      <c r="M31" s="424">
        <f>'COS and SG&amp;A'!M35</f>
        <v>0</v>
      </c>
      <c r="N31" s="424">
        <f>'COS and SG&amp;A'!N35</f>
        <v>0</v>
      </c>
      <c r="O31" s="424">
        <f>'COS and SG&amp;A'!O35</f>
        <v>0</v>
      </c>
      <c r="P31" s="424">
        <f>'COS and SG&amp;A'!P35</f>
        <v>0</v>
      </c>
      <c r="Q31" s="424">
        <f>'COS and SG&amp;A'!Q35</f>
        <v>0</v>
      </c>
      <c r="R31" s="424">
        <f>'COS and SG&amp;A'!R35</f>
        <v>0</v>
      </c>
      <c r="S31" s="424">
        <f>'COS and SG&amp;A'!S35</f>
        <v>0</v>
      </c>
      <c r="T31" s="424">
        <f>'COS and SG&amp;A'!T35</f>
        <v>0</v>
      </c>
      <c r="U31" s="424">
        <f>'COS and SG&amp;A'!AB35</f>
        <v>0</v>
      </c>
      <c r="V31" s="424">
        <f>'COS and SG&amp;A'!AC35</f>
        <v>0</v>
      </c>
      <c r="W31" s="424">
        <f>'COS and SG&amp;A'!AD35</f>
        <v>0</v>
      </c>
      <c r="X31" s="424">
        <f>'COS and SG&amp;A'!AE35</f>
        <v>0</v>
      </c>
      <c r="Y31" s="424">
        <f>'COS and SG&amp;A'!AF35</f>
        <v>0</v>
      </c>
      <c r="Z31" s="669">
        <f>'COS and SG&amp;A'!AG35</f>
        <v>0</v>
      </c>
      <c r="AA31" s="669">
        <f>'COS and SG&amp;A'!AH35</f>
        <v>0</v>
      </c>
      <c r="AB31" s="542"/>
      <c r="AC31" s="424">
        <f t="shared" si="22"/>
        <v>0</v>
      </c>
      <c r="AD31" s="424">
        <f t="shared" si="23"/>
        <v>0</v>
      </c>
      <c r="AE31" s="424">
        <f t="shared" si="24"/>
        <v>0</v>
      </c>
    </row>
    <row r="32" spans="1:31" s="407" customFormat="1" ht="13.5" customHeight="1" x14ac:dyDescent="0.15">
      <c r="A32" s="425" t="s">
        <v>168</v>
      </c>
      <c r="B32" s="417" t="str">
        <f>Settings!$C$6</f>
        <v>CAD</v>
      </c>
      <c r="C32" s="426" t="e">
        <f>C24+C29</f>
        <v>#REF!</v>
      </c>
      <c r="D32" s="426" t="e">
        <f>D24+D29</f>
        <v>#REF!</v>
      </c>
      <c r="E32" s="426" t="e">
        <f t="shared" ref="E32:T32" si="29">E24+E29</f>
        <v>#REF!</v>
      </c>
      <c r="F32" s="426" t="e">
        <f t="shared" si="29"/>
        <v>#REF!</v>
      </c>
      <c r="G32" s="426" t="e">
        <f t="shared" si="29"/>
        <v>#REF!</v>
      </c>
      <c r="H32" s="426">
        <f t="shared" si="29"/>
        <v>11019.37</v>
      </c>
      <c r="I32" s="426">
        <f t="shared" si="29"/>
        <v>40182.380000000005</v>
      </c>
      <c r="J32" s="426">
        <f t="shared" si="29"/>
        <v>71359.875</v>
      </c>
      <c r="K32" s="426">
        <f t="shared" si="29"/>
        <v>64513.301000000007</v>
      </c>
      <c r="L32" s="426">
        <f t="shared" si="29"/>
        <v>48562.917000000001</v>
      </c>
      <c r="M32" s="426">
        <f t="shared" si="29"/>
        <v>58672.416000000005</v>
      </c>
      <c r="N32" s="426">
        <f t="shared" si="29"/>
        <v>55357.983999999997</v>
      </c>
      <c r="O32" s="426">
        <f t="shared" si="29"/>
        <v>43253.15</v>
      </c>
      <c r="P32" s="426">
        <f t="shared" si="29"/>
        <v>47035.740000000005</v>
      </c>
      <c r="Q32" s="426">
        <f t="shared" si="29"/>
        <v>84363.028000000006</v>
      </c>
      <c r="R32" s="426">
        <f t="shared" si="29"/>
        <v>94252.858999999997</v>
      </c>
      <c r="S32" s="426">
        <f t="shared" si="29"/>
        <v>87405.551000000007</v>
      </c>
      <c r="T32" s="426">
        <f t="shared" si="29"/>
        <v>106334.6</v>
      </c>
      <c r="U32" s="426">
        <f t="shared" ref="U32:X32" si="30">U24+U29</f>
        <v>130840.3</v>
      </c>
      <c r="V32" s="426">
        <f t="shared" si="30"/>
        <v>45803.923437499994</v>
      </c>
      <c r="W32" s="426">
        <f t="shared" si="30"/>
        <v>12662.405000000001</v>
      </c>
      <c r="X32" s="426">
        <f t="shared" si="30"/>
        <v>31042.823437500003</v>
      </c>
      <c r="Y32" s="426">
        <f t="shared" ref="Y32:Z32" si="31">Y24+Y29</f>
        <v>149343</v>
      </c>
      <c r="Z32" s="670">
        <f t="shared" ref="Z32:AA32" si="32">Z24+Z29</f>
        <v>159992.25</v>
      </c>
      <c r="AA32" s="670">
        <f t="shared" si="32"/>
        <v>163992.05624999999</v>
      </c>
      <c r="AB32" s="541"/>
      <c r="AC32" s="426">
        <f>AC24+AC29</f>
        <v>1505989.9291249998</v>
      </c>
      <c r="AD32" s="426">
        <f>AD24+AD29</f>
        <v>392921.39300000004</v>
      </c>
      <c r="AE32" s="426">
        <f>AE24+AE29</f>
        <v>1113068.5361250001</v>
      </c>
    </row>
    <row r="33" spans="1:31" ht="13.5" customHeight="1" x14ac:dyDescent="0.15">
      <c r="A33" s="84" t="s">
        <v>169</v>
      </c>
      <c r="B33" s="427" t="s">
        <v>107</v>
      </c>
      <c r="C33" s="428" t="str">
        <f t="shared" ref="C33:T33" si="33">IFERROR(C32/C$24,"-")</f>
        <v>-</v>
      </c>
      <c r="D33" s="428" t="str">
        <f t="shared" si="33"/>
        <v>-</v>
      </c>
      <c r="E33" s="428" t="str">
        <f t="shared" si="33"/>
        <v>-</v>
      </c>
      <c r="F33" s="428" t="str">
        <f t="shared" si="33"/>
        <v>-</v>
      </c>
      <c r="G33" s="428" t="str">
        <f t="shared" si="33"/>
        <v>-</v>
      </c>
      <c r="H33" s="428">
        <f t="shared" si="33"/>
        <v>1</v>
      </c>
      <c r="I33" s="428">
        <f t="shared" si="33"/>
        <v>1</v>
      </c>
      <c r="J33" s="428">
        <f t="shared" si="33"/>
        <v>1</v>
      </c>
      <c r="K33" s="428">
        <f t="shared" si="33"/>
        <v>1</v>
      </c>
      <c r="L33" s="428">
        <f t="shared" si="33"/>
        <v>1</v>
      </c>
      <c r="M33" s="428">
        <f t="shared" si="33"/>
        <v>1</v>
      </c>
      <c r="N33" s="428">
        <f t="shared" si="33"/>
        <v>1</v>
      </c>
      <c r="O33" s="428">
        <f t="shared" si="33"/>
        <v>1</v>
      </c>
      <c r="P33" s="428">
        <f t="shared" si="33"/>
        <v>1</v>
      </c>
      <c r="Q33" s="428">
        <f t="shared" si="33"/>
        <v>1</v>
      </c>
      <c r="R33" s="428">
        <f t="shared" si="33"/>
        <v>1</v>
      </c>
      <c r="S33" s="428">
        <f t="shared" si="33"/>
        <v>1</v>
      </c>
      <c r="T33" s="428">
        <f t="shared" si="33"/>
        <v>1</v>
      </c>
      <c r="U33" s="428">
        <f t="shared" ref="U33:X33" si="34">IFERROR(U32/U$24,"-")</f>
        <v>1</v>
      </c>
      <c r="V33" s="428">
        <f t="shared" si="34"/>
        <v>0.36122968010646683</v>
      </c>
      <c r="W33" s="428">
        <f t="shared" si="34"/>
        <v>1</v>
      </c>
      <c r="X33" s="428">
        <f t="shared" si="34"/>
        <v>0.27707183342124925</v>
      </c>
      <c r="Y33" s="428">
        <f t="shared" ref="Y33:Z33" si="35">IFERROR(Y32/Y$24,"-")</f>
        <v>1</v>
      </c>
      <c r="Z33" s="671">
        <f t="shared" ref="Z33:AA33" si="36">IFERROR(Z32/Z$24,"-")</f>
        <v>1</v>
      </c>
      <c r="AA33" s="671">
        <f t="shared" si="36"/>
        <v>1</v>
      </c>
      <c r="AB33" s="551"/>
      <c r="AC33" s="428">
        <f>IFERROR(AC32/AC$24,"-")</f>
        <v>0.9028813589493222</v>
      </c>
      <c r="AD33" s="428">
        <f>IFERROR(AD32/AD$24,"-")</f>
        <v>1</v>
      </c>
      <c r="AE33" s="428">
        <f>IFERROR(AE32/AE$24,"-")</f>
        <v>0.87295337822681607</v>
      </c>
    </row>
    <row r="34" spans="1:31" ht="24.75" customHeight="1" x14ac:dyDescent="0.15">
      <c r="A34" s="80"/>
      <c r="B34" s="211"/>
      <c r="C34" s="429"/>
      <c r="D34" s="429"/>
      <c r="E34" s="429"/>
      <c r="F34" s="429"/>
      <c r="G34" s="429"/>
      <c r="H34" s="429"/>
      <c r="I34" s="429"/>
      <c r="J34" s="429"/>
      <c r="K34" s="429"/>
      <c r="L34" s="429"/>
      <c r="M34" s="429"/>
      <c r="N34" s="429"/>
      <c r="O34" s="429"/>
      <c r="P34" s="429"/>
      <c r="Q34" s="429"/>
      <c r="R34" s="429"/>
      <c r="S34" s="429"/>
      <c r="T34" s="429"/>
      <c r="U34" s="429"/>
      <c r="V34" s="429"/>
      <c r="W34" s="429"/>
      <c r="X34" s="429"/>
      <c r="Y34" s="429"/>
      <c r="Z34" s="672"/>
      <c r="AA34" s="672"/>
      <c r="AB34" s="552"/>
      <c r="AC34" s="429"/>
      <c r="AD34" s="429"/>
      <c r="AE34" s="429"/>
    </row>
    <row r="35" spans="1:31" s="407" customFormat="1" ht="25.5" customHeight="1" x14ac:dyDescent="0.15">
      <c r="A35" s="430" t="s">
        <v>23</v>
      </c>
      <c r="B35" s="431" t="str">
        <f>Settings!$C$6</f>
        <v>CAD</v>
      </c>
      <c r="C35" s="432">
        <f>SUM(C36:C42)</f>
        <v>0</v>
      </c>
      <c r="D35" s="432">
        <f>SUM(D36:D42)</f>
        <v>0</v>
      </c>
      <c r="E35" s="432">
        <f>SUM(E36:E42)</f>
        <v>0</v>
      </c>
      <c r="F35" s="432">
        <f>SUM(F36:F42)</f>
        <v>0</v>
      </c>
      <c r="G35" s="432">
        <f>SUM(G36:G42)</f>
        <v>0</v>
      </c>
      <c r="H35" s="432">
        <f>SUM(H36:H42)</f>
        <v>-739.88670000000002</v>
      </c>
      <c r="I35" s="432">
        <f>SUM(I36:I42)</f>
        <v>-739.88670000000002</v>
      </c>
      <c r="J35" s="432">
        <f>SUM(J36:J42)</f>
        <v>-739.88670000000002</v>
      </c>
      <c r="K35" s="432">
        <f>SUM(K36:K42)</f>
        <v>-739.88670000000002</v>
      </c>
      <c r="L35" s="432">
        <f>SUM(L36:L42)</f>
        <v>-739.88670000000002</v>
      </c>
      <c r="M35" s="432">
        <f>SUM(M36:M42)</f>
        <v>-739.88670000000002</v>
      </c>
      <c r="N35" s="432">
        <f>SUM(N36:N42)</f>
        <v>-5964.8867</v>
      </c>
      <c r="O35" s="432">
        <f>SUM(O36:O42)</f>
        <v>-5964.8867</v>
      </c>
      <c r="P35" s="432">
        <f>SUM(P36:P42)</f>
        <v>-5964.8867</v>
      </c>
      <c r="Q35" s="432">
        <f>SUM(Q36:Q42)</f>
        <v>-5964.8867</v>
      </c>
      <c r="R35" s="432">
        <f>SUM(R36:R42)</f>
        <v>-5964.8867</v>
      </c>
      <c r="S35" s="432">
        <f>SUM(S36:S42)</f>
        <v>-11664.886699999999</v>
      </c>
      <c r="T35" s="432">
        <f>SUM(T36:T42)</f>
        <v>-12099.886699999999</v>
      </c>
      <c r="U35" s="432">
        <f>SUM(U36:U42)</f>
        <v>-12429.316699999999</v>
      </c>
      <c r="V35" s="432">
        <f>SUM(V36:V42)</f>
        <v>-12552.816699999999</v>
      </c>
      <c r="W35" s="432">
        <f>SUM(W36:W42)</f>
        <v>-12694.036699999997</v>
      </c>
      <c r="X35" s="432">
        <f>SUM(X36:X42)</f>
        <v>-13804.146699999998</v>
      </c>
      <c r="Y35" s="432">
        <f>SUM(Y36:Y42)</f>
        <v>-15002.056699999997</v>
      </c>
      <c r="Z35" s="673">
        <f t="shared" ref="Z35:AA35" si="37">SUM(Z36:Z42)</f>
        <v>-54429.949200000003</v>
      </c>
      <c r="AA35" s="673">
        <f t="shared" si="37"/>
        <v>-55429.900762500001</v>
      </c>
      <c r="AB35" s="541"/>
      <c r="AC35" s="432">
        <f>SUM(H35:AA35)</f>
        <v>-234370.7505625</v>
      </c>
      <c r="AD35" s="432">
        <f>SUM(H35:O35)</f>
        <v>-16369.0936</v>
      </c>
      <c r="AE35" s="432">
        <f>SUM(P35:AA35)</f>
        <v>-218001.65696250001</v>
      </c>
    </row>
    <row r="36" spans="1:31" s="407" customFormat="1" ht="13.5" customHeight="1" outlineLevel="1" x14ac:dyDescent="0.15">
      <c r="A36" s="433" t="str">
        <f>'COS and SG&amp;A'!A23</f>
        <v>COST OF SERVICE</v>
      </c>
      <c r="B36" s="434" t="str">
        <f>Settings!$C$6</f>
        <v>CAD</v>
      </c>
      <c r="C36" s="435"/>
      <c r="D36" s="435"/>
      <c r="E36" s="435"/>
      <c r="F36" s="435"/>
      <c r="G36" s="435"/>
      <c r="H36" s="435">
        <f>'COS and SG&amp;A'!H23</f>
        <v>0</v>
      </c>
      <c r="I36" s="435">
        <f>'COS and SG&amp;A'!I23</f>
        <v>0</v>
      </c>
      <c r="J36" s="435">
        <f>'COS and SG&amp;A'!J23</f>
        <v>0</v>
      </c>
      <c r="K36" s="435">
        <f>'COS and SG&amp;A'!K23</f>
        <v>0</v>
      </c>
      <c r="L36" s="435">
        <f>'COS and SG&amp;A'!L23</f>
        <v>0</v>
      </c>
      <c r="M36" s="435">
        <f>'COS and SG&amp;A'!M23</f>
        <v>0</v>
      </c>
      <c r="N36" s="435">
        <f>'COS and SG&amp;A'!N23</f>
        <v>0</v>
      </c>
      <c r="O36" s="435">
        <f>'COS and SG&amp;A'!O23</f>
        <v>0</v>
      </c>
      <c r="P36" s="435">
        <f>'COS and SG&amp;A'!P23</f>
        <v>0</v>
      </c>
      <c r="Q36" s="435">
        <f>'COS and SG&amp;A'!Q23</f>
        <v>0</v>
      </c>
      <c r="R36" s="435">
        <f>'COS and SG&amp;A'!R23</f>
        <v>0</v>
      </c>
      <c r="S36" s="435">
        <f>'COS and SG&amp;A'!S23</f>
        <v>0</v>
      </c>
      <c r="T36" s="435">
        <f>'COS and SG&amp;A'!T23</f>
        <v>0</v>
      </c>
      <c r="U36" s="435">
        <f>'COS and SG&amp;A'!U23</f>
        <v>0</v>
      </c>
      <c r="V36" s="435">
        <f>'COS and SG&amp;A'!V23</f>
        <v>0</v>
      </c>
      <c r="W36" s="435">
        <f>'COS and SG&amp;A'!W23</f>
        <v>0</v>
      </c>
      <c r="X36" s="435">
        <f>'COS and SG&amp;A'!X23</f>
        <v>0</v>
      </c>
      <c r="Y36" s="435">
        <f>'COS and SG&amp;A'!Y23</f>
        <v>0</v>
      </c>
      <c r="Z36" s="674">
        <f>'COS and SG&amp;A'!Z23</f>
        <v>-39998.0625</v>
      </c>
      <c r="AA36" s="674">
        <f>'COS and SG&amp;A'!AA23</f>
        <v>-40998.014062499999</v>
      </c>
      <c r="AB36" s="542"/>
      <c r="AC36" s="435"/>
      <c r="AD36" s="435"/>
      <c r="AE36" s="435"/>
    </row>
    <row r="37" spans="1:31" s="407" customFormat="1" ht="13.5" customHeight="1" outlineLevel="1" x14ac:dyDescent="0.15">
      <c r="A37" s="433" t="str">
        <f>'COS and SG&amp;A'!A24</f>
        <v>PAYROLL</v>
      </c>
      <c r="B37" s="434" t="str">
        <f>Settings!$C$6</f>
        <v>CAD</v>
      </c>
      <c r="C37" s="435">
        <f>'COS and SG&amp;A'!C24</f>
        <v>0</v>
      </c>
      <c r="D37" s="435">
        <f>'COS and SG&amp;A'!D24</f>
        <v>0</v>
      </c>
      <c r="E37" s="435">
        <f>'COS and SG&amp;A'!E24</f>
        <v>0</v>
      </c>
      <c r="F37" s="435">
        <f>'COS and SG&amp;A'!F24</f>
        <v>0</v>
      </c>
      <c r="G37" s="435">
        <f>'COS and SG&amp;A'!G24</f>
        <v>0</v>
      </c>
      <c r="H37" s="435">
        <f>'COS and SG&amp;A'!H24</f>
        <v>0</v>
      </c>
      <c r="I37" s="435">
        <f>'COS and SG&amp;A'!I24</f>
        <v>0</v>
      </c>
      <c r="J37" s="435">
        <f>'COS and SG&amp;A'!J24</f>
        <v>0</v>
      </c>
      <c r="K37" s="435">
        <f>'COS and SG&amp;A'!K24</f>
        <v>0</v>
      </c>
      <c r="L37" s="435">
        <f>'COS and SG&amp;A'!L24</f>
        <v>0</v>
      </c>
      <c r="M37" s="435">
        <f>'COS and SG&amp;A'!M24</f>
        <v>0</v>
      </c>
      <c r="N37" s="435">
        <f>'COS and SG&amp;A'!N24</f>
        <v>-5225</v>
      </c>
      <c r="O37" s="435">
        <f>'COS and SG&amp;A'!O24</f>
        <v>-5225</v>
      </c>
      <c r="P37" s="435">
        <f>'COS and SG&amp;A'!P24</f>
        <v>-5225</v>
      </c>
      <c r="Q37" s="435">
        <f>'COS and SG&amp;A'!Q24</f>
        <v>-5225</v>
      </c>
      <c r="R37" s="435">
        <f>'COS and SG&amp;A'!R24</f>
        <v>-5225</v>
      </c>
      <c r="S37" s="435">
        <f>'COS and SG&amp;A'!S24</f>
        <v>-10924.999999999998</v>
      </c>
      <c r="T37" s="435">
        <f>'COS and SG&amp;A'!T24</f>
        <v>-10924.999999999998</v>
      </c>
      <c r="U37" s="435">
        <f>'COS and SG&amp;A'!U24</f>
        <v>-10924.999999999998</v>
      </c>
      <c r="V37" s="435">
        <f>'COS and SG&amp;A'!V24</f>
        <v>-10924.999999999998</v>
      </c>
      <c r="W37" s="435">
        <f>'COS and SG&amp;A'!W24</f>
        <v>-10924.999999999998</v>
      </c>
      <c r="X37" s="435">
        <f>'COS and SG&amp;A'!X24</f>
        <v>-10924.999999999998</v>
      </c>
      <c r="Y37" s="435">
        <f>'COS and SG&amp;A'!Y24</f>
        <v>-10924.999999999998</v>
      </c>
      <c r="Z37" s="674">
        <f>'COS and SG&amp;A'!Z24</f>
        <v>-9975</v>
      </c>
      <c r="AA37" s="674">
        <f>'COS and SG&amp;A'!AA24</f>
        <v>-9975</v>
      </c>
      <c r="AB37" s="542"/>
      <c r="AC37" s="435">
        <f t="shared" ref="AC37:AE42" si="38">SUM(H37:T37)</f>
        <v>-47975</v>
      </c>
      <c r="AD37" s="435">
        <f t="shared" si="38"/>
        <v>-58900</v>
      </c>
      <c r="AE37" s="435">
        <f t="shared" si="38"/>
        <v>-69825</v>
      </c>
    </row>
    <row r="38" spans="1:31" s="407" customFormat="1" ht="13.5" customHeight="1" outlineLevel="1" x14ac:dyDescent="0.15">
      <c r="A38" s="433" t="str">
        <f>'COS and SG&amp;A'!A25</f>
        <v>MARKETING &amp; GROWTH</v>
      </c>
      <c r="B38" s="434" t="str">
        <f>Settings!$C$6</f>
        <v>CAD</v>
      </c>
      <c r="C38" s="435">
        <f>'COS and SG&amp;A'!C25</f>
        <v>0</v>
      </c>
      <c r="D38" s="435">
        <f>'COS and SG&amp;A'!D25</f>
        <v>0</v>
      </c>
      <c r="E38" s="435">
        <f>'COS and SG&amp;A'!E25</f>
        <v>0</v>
      </c>
      <c r="F38" s="435">
        <f>'COS and SG&amp;A'!F25</f>
        <v>0</v>
      </c>
      <c r="G38" s="435">
        <f>'COS and SG&amp;A'!G25</f>
        <v>0</v>
      </c>
      <c r="H38" s="435">
        <f>'COS and SG&amp;A'!H25</f>
        <v>0</v>
      </c>
      <c r="I38" s="435">
        <f>'COS and SG&amp;A'!I25</f>
        <v>0</v>
      </c>
      <c r="J38" s="435">
        <f>'COS and SG&amp;A'!J25</f>
        <v>0</v>
      </c>
      <c r="K38" s="435">
        <f>'COS and SG&amp;A'!K25</f>
        <v>0</v>
      </c>
      <c r="L38" s="435">
        <f>'COS and SG&amp;A'!L25</f>
        <v>0</v>
      </c>
      <c r="M38" s="435">
        <f>'COS and SG&amp;A'!M25</f>
        <v>0</v>
      </c>
      <c r="N38" s="435">
        <f>'COS and SG&amp;A'!N25</f>
        <v>0</v>
      </c>
      <c r="O38" s="435">
        <f>'COS and SG&amp;A'!O25</f>
        <v>0</v>
      </c>
      <c r="P38" s="435">
        <f>'COS and SG&amp;A'!P25</f>
        <v>0</v>
      </c>
      <c r="Q38" s="435">
        <f>'COS and SG&amp;A'!Q25</f>
        <v>0</v>
      </c>
      <c r="R38" s="435">
        <f>'COS and SG&amp;A'!R25</f>
        <v>0</v>
      </c>
      <c r="S38" s="435">
        <f>'COS and SG&amp;A'!S25</f>
        <v>0</v>
      </c>
      <c r="T38" s="435">
        <f>'COS and SG&amp;A'!T25</f>
        <v>-435</v>
      </c>
      <c r="U38" s="435">
        <f>'COS and SG&amp;A'!U25</f>
        <v>-764.43000000000006</v>
      </c>
      <c r="V38" s="435">
        <f>'COS and SG&amp;A'!V25</f>
        <v>-887.93</v>
      </c>
      <c r="W38" s="435">
        <f>'COS and SG&amp;A'!W25</f>
        <v>-1029.1500000000001</v>
      </c>
      <c r="X38" s="435">
        <f>'COS and SG&amp;A'!X25</f>
        <v>-2139.2600000000002</v>
      </c>
      <c r="Y38" s="435">
        <f>'COS and SG&amp;A'!Y25</f>
        <v>-3337.17</v>
      </c>
      <c r="Z38" s="674">
        <f>'COS and SG&amp;A'!Z25</f>
        <v>-3717</v>
      </c>
      <c r="AA38" s="674">
        <f>'COS and SG&amp;A'!AA25</f>
        <v>-3717</v>
      </c>
      <c r="AB38" s="542"/>
      <c r="AC38" s="435">
        <f t="shared" si="38"/>
        <v>-435</v>
      </c>
      <c r="AD38" s="435">
        <f t="shared" si="38"/>
        <v>-1199.43</v>
      </c>
      <c r="AE38" s="435">
        <f t="shared" si="38"/>
        <v>-2087.36</v>
      </c>
    </row>
    <row r="39" spans="1:31" s="407" customFormat="1" ht="13.5" customHeight="1" outlineLevel="1" x14ac:dyDescent="0.15">
      <c r="A39" s="433" t="str">
        <f>'COS and SG&amp;A'!A26</f>
        <v>ADVISORY &amp; PROF. SERVICES</v>
      </c>
      <c r="B39" s="434" t="str">
        <f>Settings!$C$6</f>
        <v>CAD</v>
      </c>
      <c r="C39" s="435">
        <f>'COS and SG&amp;A'!C26</f>
        <v>0</v>
      </c>
      <c r="D39" s="435">
        <f>'COS and SG&amp;A'!D26</f>
        <v>0</v>
      </c>
      <c r="E39" s="435">
        <f>'COS and SG&amp;A'!E26</f>
        <v>0</v>
      </c>
      <c r="F39" s="435">
        <f>'COS and SG&amp;A'!F26</f>
        <v>0</v>
      </c>
      <c r="G39" s="435">
        <f>'COS and SG&amp;A'!G26</f>
        <v>0</v>
      </c>
      <c r="H39" s="435">
        <f>'COS and SG&amp;A'!H26</f>
        <v>-300</v>
      </c>
      <c r="I39" s="435">
        <f>'COS and SG&amp;A'!I26</f>
        <v>-300</v>
      </c>
      <c r="J39" s="435">
        <f>'COS and SG&amp;A'!J26</f>
        <v>-300</v>
      </c>
      <c r="K39" s="435">
        <f>'COS and SG&amp;A'!K26</f>
        <v>-300</v>
      </c>
      <c r="L39" s="435">
        <f>'COS and SG&amp;A'!L26</f>
        <v>-300</v>
      </c>
      <c r="M39" s="435">
        <f>'COS and SG&amp;A'!M26</f>
        <v>-300</v>
      </c>
      <c r="N39" s="435">
        <f>'COS and SG&amp;A'!N26</f>
        <v>-300</v>
      </c>
      <c r="O39" s="435">
        <f>'COS and SG&amp;A'!O26</f>
        <v>-300</v>
      </c>
      <c r="P39" s="435">
        <f>'COS and SG&amp;A'!P26</f>
        <v>-300</v>
      </c>
      <c r="Q39" s="435">
        <f>'COS and SG&amp;A'!Q26</f>
        <v>-300</v>
      </c>
      <c r="R39" s="435">
        <f>'COS and SG&amp;A'!R26</f>
        <v>-300</v>
      </c>
      <c r="S39" s="435">
        <f>'COS and SG&amp;A'!S26</f>
        <v>-300</v>
      </c>
      <c r="T39" s="435">
        <f>'COS and SG&amp;A'!T26</f>
        <v>-300</v>
      </c>
      <c r="U39" s="435">
        <f>'COS and SG&amp;A'!U26</f>
        <v>-300</v>
      </c>
      <c r="V39" s="435">
        <f>'COS and SG&amp;A'!V26</f>
        <v>-300</v>
      </c>
      <c r="W39" s="435">
        <f>'COS and SG&amp;A'!W26</f>
        <v>-300</v>
      </c>
      <c r="X39" s="435">
        <f>'COS and SG&amp;A'!X26</f>
        <v>-300</v>
      </c>
      <c r="Y39" s="435">
        <f>'COS and SG&amp;A'!Y26</f>
        <v>-300</v>
      </c>
      <c r="Z39" s="674">
        <f>'COS and SG&amp;A'!Z26</f>
        <v>-300</v>
      </c>
      <c r="AA39" s="674">
        <f>'COS and SG&amp;A'!AA26</f>
        <v>-300</v>
      </c>
      <c r="AB39" s="542"/>
      <c r="AC39" s="435">
        <f t="shared" si="38"/>
        <v>-3900</v>
      </c>
      <c r="AD39" s="435">
        <f t="shared" si="38"/>
        <v>-3900</v>
      </c>
      <c r="AE39" s="435">
        <f t="shared" si="38"/>
        <v>-3900</v>
      </c>
    </row>
    <row r="40" spans="1:31" s="407" customFormat="1" ht="13.5" customHeight="1" outlineLevel="1" x14ac:dyDescent="0.15">
      <c r="A40" s="433" t="str">
        <f>'COS and SG&amp;A'!A27</f>
        <v>RENT</v>
      </c>
      <c r="B40" s="434" t="str">
        <f>Settings!$C$6</f>
        <v>CAD</v>
      </c>
      <c r="C40" s="435">
        <f>'COS and SG&amp;A'!C27</f>
        <v>0</v>
      </c>
      <c r="D40" s="435">
        <f>'COS and SG&amp;A'!D27</f>
        <v>0</v>
      </c>
      <c r="E40" s="435">
        <f>'COS and SG&amp;A'!E27</f>
        <v>0</v>
      </c>
      <c r="F40" s="435">
        <f>'COS and SG&amp;A'!F27</f>
        <v>0</v>
      </c>
      <c r="G40" s="435">
        <f>'COS and SG&amp;A'!G27</f>
        <v>0</v>
      </c>
      <c r="H40" s="435">
        <f>'COS and SG&amp;A'!H27</f>
        <v>0</v>
      </c>
      <c r="I40" s="435">
        <f>'COS and SG&amp;A'!I27</f>
        <v>0</v>
      </c>
      <c r="J40" s="435">
        <f>'COS and SG&amp;A'!J27</f>
        <v>0</v>
      </c>
      <c r="K40" s="435">
        <f>'COS and SG&amp;A'!K27</f>
        <v>0</v>
      </c>
      <c r="L40" s="435">
        <f>'COS and SG&amp;A'!L27</f>
        <v>0</v>
      </c>
      <c r="M40" s="435">
        <f>'COS and SG&amp;A'!M27</f>
        <v>0</v>
      </c>
      <c r="N40" s="435">
        <f>'COS and SG&amp;A'!N27</f>
        <v>0</v>
      </c>
      <c r="O40" s="435">
        <f>'COS and SG&amp;A'!O27</f>
        <v>0</v>
      </c>
      <c r="P40" s="435">
        <f>'COS and SG&amp;A'!P27</f>
        <v>0</v>
      </c>
      <c r="Q40" s="435">
        <f>'COS and SG&amp;A'!Q27</f>
        <v>0</v>
      </c>
      <c r="R40" s="435">
        <f>'COS and SG&amp;A'!R27</f>
        <v>0</v>
      </c>
      <c r="S40" s="435">
        <f>'COS and SG&amp;A'!S27</f>
        <v>0</v>
      </c>
      <c r="T40" s="435">
        <f>'COS and SG&amp;A'!T27</f>
        <v>0</v>
      </c>
      <c r="U40" s="435">
        <f>'COS and SG&amp;A'!U27</f>
        <v>0</v>
      </c>
      <c r="V40" s="435">
        <f>'COS and SG&amp;A'!V27</f>
        <v>0</v>
      </c>
      <c r="W40" s="435">
        <f>'COS and SG&amp;A'!W27</f>
        <v>0</v>
      </c>
      <c r="X40" s="435">
        <f>'COS and SG&amp;A'!X27</f>
        <v>0</v>
      </c>
      <c r="Y40" s="435">
        <f>'COS and SG&amp;A'!Y27</f>
        <v>0</v>
      </c>
      <c r="Z40" s="674">
        <f>'COS and SG&amp;A'!Z27</f>
        <v>0</v>
      </c>
      <c r="AA40" s="674">
        <f>'COS and SG&amp;A'!AA27</f>
        <v>0</v>
      </c>
      <c r="AB40" s="542"/>
      <c r="AC40" s="435">
        <f t="shared" si="38"/>
        <v>0</v>
      </c>
      <c r="AD40" s="435">
        <f t="shared" si="38"/>
        <v>0</v>
      </c>
      <c r="AE40" s="435">
        <f t="shared" si="38"/>
        <v>0</v>
      </c>
    </row>
    <row r="41" spans="1:31" s="407" customFormat="1" ht="13.5" customHeight="1" outlineLevel="1" x14ac:dyDescent="0.15">
      <c r="A41" s="433" t="str">
        <f>'COS and SG&amp;A'!A28</f>
        <v>SERVICE AGREEMENTS</v>
      </c>
      <c r="B41" s="434" t="str">
        <f>Settings!$C$6</f>
        <v>CAD</v>
      </c>
      <c r="C41" s="435">
        <f>'COS and SG&amp;A'!C28</f>
        <v>0</v>
      </c>
      <c r="D41" s="435">
        <f>'COS and SG&amp;A'!D28</f>
        <v>0</v>
      </c>
      <c r="E41" s="435">
        <f>'COS and SG&amp;A'!E28</f>
        <v>0</v>
      </c>
      <c r="F41" s="435">
        <f>'COS and SG&amp;A'!F28</f>
        <v>0</v>
      </c>
      <c r="G41" s="435">
        <f>'COS and SG&amp;A'!G28</f>
        <v>0</v>
      </c>
      <c r="H41" s="435">
        <f>'COS and SG&amp;A'!H28</f>
        <v>0</v>
      </c>
      <c r="I41" s="435">
        <f>'COS and SG&amp;A'!I28</f>
        <v>0</v>
      </c>
      <c r="J41" s="435">
        <f>'COS and SG&amp;A'!J28</f>
        <v>0</v>
      </c>
      <c r="K41" s="435">
        <f>'COS and SG&amp;A'!K28</f>
        <v>0</v>
      </c>
      <c r="L41" s="435">
        <f>'COS and SG&amp;A'!L28</f>
        <v>0</v>
      </c>
      <c r="M41" s="435">
        <f>'COS and SG&amp;A'!M28</f>
        <v>0</v>
      </c>
      <c r="N41" s="435">
        <f>'COS and SG&amp;A'!N28</f>
        <v>0</v>
      </c>
      <c r="O41" s="435">
        <f>'COS and SG&amp;A'!O28</f>
        <v>0</v>
      </c>
      <c r="P41" s="435">
        <f>'COS and SG&amp;A'!P28</f>
        <v>0</v>
      </c>
      <c r="Q41" s="435">
        <f>'COS and SG&amp;A'!Q28</f>
        <v>0</v>
      </c>
      <c r="R41" s="435">
        <f>'COS and SG&amp;A'!R28</f>
        <v>0</v>
      </c>
      <c r="S41" s="435">
        <f>'COS and SG&amp;A'!S28</f>
        <v>0</v>
      </c>
      <c r="T41" s="435">
        <f>'COS and SG&amp;A'!T28</f>
        <v>0</v>
      </c>
      <c r="U41" s="435">
        <f>'COS and SG&amp;A'!U28</f>
        <v>0</v>
      </c>
      <c r="V41" s="435">
        <f>'COS and SG&amp;A'!V28</f>
        <v>0</v>
      </c>
      <c r="W41" s="435">
        <f>'COS and SG&amp;A'!W28</f>
        <v>0</v>
      </c>
      <c r="X41" s="435">
        <f>'COS and SG&amp;A'!X28</f>
        <v>0</v>
      </c>
      <c r="Y41" s="435">
        <f>'COS and SG&amp;A'!Y28</f>
        <v>0</v>
      </c>
      <c r="Z41" s="674">
        <f>'COS and SG&amp;A'!Z28</f>
        <v>0</v>
      </c>
      <c r="AA41" s="674">
        <f>'COS and SG&amp;A'!AA28</f>
        <v>0</v>
      </c>
      <c r="AB41" s="542"/>
      <c r="AC41" s="435">
        <f t="shared" si="38"/>
        <v>0</v>
      </c>
      <c r="AD41" s="435">
        <f t="shared" si="38"/>
        <v>0</v>
      </c>
      <c r="AE41" s="435">
        <f t="shared" si="38"/>
        <v>0</v>
      </c>
    </row>
    <row r="42" spans="1:31" s="407" customFormat="1" ht="13.5" customHeight="1" outlineLevel="1" x14ac:dyDescent="0.15">
      <c r="A42" s="433" t="str">
        <f>'COS and SG&amp;A'!A29</f>
        <v>OTHER EXPENSES</v>
      </c>
      <c r="B42" s="434" t="str">
        <f>Settings!$C$6</f>
        <v>CAD</v>
      </c>
      <c r="C42" s="435">
        <f>'COS and SG&amp;A'!C29</f>
        <v>0</v>
      </c>
      <c r="D42" s="435">
        <f>'COS and SG&amp;A'!D29</f>
        <v>0</v>
      </c>
      <c r="E42" s="435">
        <f>'COS and SG&amp;A'!E29</f>
        <v>0</v>
      </c>
      <c r="F42" s="435">
        <f>'COS and SG&amp;A'!F29</f>
        <v>0</v>
      </c>
      <c r="G42" s="435">
        <f>'COS and SG&amp;A'!G29</f>
        <v>0</v>
      </c>
      <c r="H42" s="435">
        <f>'COS and SG&amp;A'!H29</f>
        <v>-439.88670000000002</v>
      </c>
      <c r="I42" s="435">
        <f>'COS and SG&amp;A'!I29</f>
        <v>-439.88670000000002</v>
      </c>
      <c r="J42" s="435">
        <f>'COS and SG&amp;A'!J29</f>
        <v>-439.88670000000002</v>
      </c>
      <c r="K42" s="435">
        <f>'COS and SG&amp;A'!K29</f>
        <v>-439.88670000000002</v>
      </c>
      <c r="L42" s="435">
        <f>'COS and SG&amp;A'!L29</f>
        <v>-439.88670000000002</v>
      </c>
      <c r="M42" s="435">
        <f>'COS and SG&amp;A'!M29</f>
        <v>-439.88670000000002</v>
      </c>
      <c r="N42" s="435">
        <f>'COS and SG&amp;A'!N29</f>
        <v>-439.88670000000002</v>
      </c>
      <c r="O42" s="435">
        <f>'COS and SG&amp;A'!O29</f>
        <v>-439.88670000000002</v>
      </c>
      <c r="P42" s="435">
        <f>'COS and SG&amp;A'!P29</f>
        <v>-439.88670000000002</v>
      </c>
      <c r="Q42" s="435">
        <f>'COS and SG&amp;A'!Q29</f>
        <v>-439.88670000000002</v>
      </c>
      <c r="R42" s="435">
        <f>'COS and SG&amp;A'!R29</f>
        <v>-439.88670000000002</v>
      </c>
      <c r="S42" s="435">
        <f>'COS and SG&amp;A'!S29</f>
        <v>-439.88670000000002</v>
      </c>
      <c r="T42" s="435">
        <f>'COS and SG&amp;A'!T29</f>
        <v>-439.88670000000002</v>
      </c>
      <c r="U42" s="435">
        <f>'COS and SG&amp;A'!U29</f>
        <v>-439.88670000000002</v>
      </c>
      <c r="V42" s="435">
        <f>'COS and SG&amp;A'!V29</f>
        <v>-439.88670000000002</v>
      </c>
      <c r="W42" s="435">
        <f>'COS and SG&amp;A'!W29</f>
        <v>-439.88670000000002</v>
      </c>
      <c r="X42" s="435">
        <f>'COS and SG&amp;A'!X29</f>
        <v>-439.88670000000002</v>
      </c>
      <c r="Y42" s="435">
        <f>'COS and SG&amp;A'!Y29</f>
        <v>-439.88670000000002</v>
      </c>
      <c r="Z42" s="674">
        <f>'COS and SG&amp;A'!Z29</f>
        <v>-439.88670000000002</v>
      </c>
      <c r="AA42" s="674">
        <f>'COS and SG&amp;A'!AA29</f>
        <v>-439.88670000000002</v>
      </c>
      <c r="AB42" s="542"/>
      <c r="AC42" s="435">
        <f t="shared" si="38"/>
        <v>-5718.5271000000002</v>
      </c>
      <c r="AD42" s="435">
        <f t="shared" si="38"/>
        <v>-5718.5271000000002</v>
      </c>
      <c r="AE42" s="435">
        <f t="shared" si="38"/>
        <v>-5718.5271000000002</v>
      </c>
    </row>
    <row r="43" spans="1:31" s="407" customFormat="1" ht="13.5" customHeight="1" x14ac:dyDescent="0.15">
      <c r="A43" s="425" t="s">
        <v>170</v>
      </c>
      <c r="B43" s="417" t="str">
        <f>Settings!$C$6</f>
        <v>CAD</v>
      </c>
      <c r="C43" s="426" t="e">
        <f>C32+C35</f>
        <v>#REF!</v>
      </c>
      <c r="D43" s="426" t="e">
        <f>D32+D35</f>
        <v>#REF!</v>
      </c>
      <c r="E43" s="426" t="e">
        <f>E32+E35</f>
        <v>#REF!</v>
      </c>
      <c r="F43" s="426" t="e">
        <f>F32+F35</f>
        <v>#REF!</v>
      </c>
      <c r="G43" s="426" t="e">
        <f>G32+G35</f>
        <v>#REF!</v>
      </c>
      <c r="H43" s="426">
        <f>H32+H35</f>
        <v>10279.4833</v>
      </c>
      <c r="I43" s="426">
        <f>I32+I35</f>
        <v>39442.493300000002</v>
      </c>
      <c r="J43" s="426">
        <f>J32+J35</f>
        <v>70619.988299999997</v>
      </c>
      <c r="K43" s="426">
        <f>K32+K35</f>
        <v>63773.414300000004</v>
      </c>
      <c r="L43" s="426">
        <f>L32+L35</f>
        <v>47823.030299999999</v>
      </c>
      <c r="M43" s="426">
        <f>M32+M35</f>
        <v>57932.529300000002</v>
      </c>
      <c r="N43" s="426">
        <f>N32+N35</f>
        <v>49393.097299999994</v>
      </c>
      <c r="O43" s="426">
        <f>O32+O35</f>
        <v>37288.263299999999</v>
      </c>
      <c r="P43" s="426">
        <f>P32+P35</f>
        <v>41070.853300000002</v>
      </c>
      <c r="Q43" s="426">
        <f>Q32+Q35</f>
        <v>78398.141300000003</v>
      </c>
      <c r="R43" s="426">
        <f>R32+R35</f>
        <v>88287.972299999994</v>
      </c>
      <c r="S43" s="426">
        <f>S32+S35</f>
        <v>75740.664300000004</v>
      </c>
      <c r="T43" s="426">
        <f>T32+T35</f>
        <v>94234.713300000003</v>
      </c>
      <c r="U43" s="426">
        <f>U32+U35</f>
        <v>118410.98330000001</v>
      </c>
      <c r="V43" s="426">
        <f>V32+V35</f>
        <v>33251.106737499998</v>
      </c>
      <c r="W43" s="426">
        <f>W32+W35</f>
        <v>-31.631699999996272</v>
      </c>
      <c r="X43" s="426">
        <f>X32+X35</f>
        <v>17238.676737500005</v>
      </c>
      <c r="Y43" s="426">
        <f>Y32+Y35</f>
        <v>134340.94330000001</v>
      </c>
      <c r="Z43" s="670">
        <f t="shared" ref="Z43:AA43" si="39">Z32+Z35</f>
        <v>105562.3008</v>
      </c>
      <c r="AA43" s="670">
        <f t="shared" si="39"/>
        <v>108562.15548749999</v>
      </c>
      <c r="AB43" s="541"/>
      <c r="AC43" s="426">
        <f>AC32+AC35</f>
        <v>1271619.1785624998</v>
      </c>
      <c r="AD43" s="426">
        <f>AD32+AD35</f>
        <v>376552.29940000002</v>
      </c>
      <c r="AE43" s="426">
        <f>AE32+AE35</f>
        <v>895066.87916250015</v>
      </c>
    </row>
    <row r="44" spans="1:31" ht="13.5" customHeight="1" x14ac:dyDescent="0.15">
      <c r="A44" s="84" t="s">
        <v>171</v>
      </c>
      <c r="B44" s="211" t="s">
        <v>107</v>
      </c>
      <c r="C44" s="428" t="str">
        <f t="shared" ref="C44:T44" si="40">IFERROR(MAX((C43/C$24),0),"-")</f>
        <v>-</v>
      </c>
      <c r="D44" s="428" t="str">
        <f t="shared" si="40"/>
        <v>-</v>
      </c>
      <c r="E44" s="428" t="str">
        <f t="shared" si="40"/>
        <v>-</v>
      </c>
      <c r="F44" s="428" t="str">
        <f t="shared" si="40"/>
        <v>-</v>
      </c>
      <c r="G44" s="428" t="str">
        <f t="shared" si="40"/>
        <v>-</v>
      </c>
      <c r="H44" s="428">
        <f t="shared" si="40"/>
        <v>0.93285580754616637</v>
      </c>
      <c r="I44" s="428">
        <f t="shared" si="40"/>
        <v>0.9815867875422013</v>
      </c>
      <c r="J44" s="428">
        <f t="shared" si="40"/>
        <v>0.98963161440515413</v>
      </c>
      <c r="K44" s="428">
        <f t="shared" si="40"/>
        <v>0.98853125342322812</v>
      </c>
      <c r="L44" s="428">
        <f t="shared" si="40"/>
        <v>0.98476436866426287</v>
      </c>
      <c r="M44" s="428">
        <f t="shared" si="40"/>
        <v>0.9873895307123538</v>
      </c>
      <c r="N44" s="428">
        <f t="shared" si="40"/>
        <v>0.89224884526141701</v>
      </c>
      <c r="O44" s="428">
        <f t="shared" si="40"/>
        <v>0.86209358855944596</v>
      </c>
      <c r="P44" s="428">
        <f t="shared" si="40"/>
        <v>0.87318395118265379</v>
      </c>
      <c r="Q44" s="428">
        <f t="shared" ref="Q44" si="41">IFERROR(MAX((Q43/Q$24),0),"-")</f>
        <v>0.92929501416189086</v>
      </c>
      <c r="R44" s="428">
        <f t="shared" si="40"/>
        <v>0.9367139971849554</v>
      </c>
      <c r="S44" s="428">
        <f t="shared" si="40"/>
        <v>0.86654295331883435</v>
      </c>
      <c r="T44" s="428">
        <f t="shared" si="40"/>
        <v>0.8862093175692578</v>
      </c>
      <c r="U44" s="428">
        <f t="shared" ref="U44:X44" si="42">IFERROR(MAX((U43/U$24),0),"-")</f>
        <v>0.9050039116388453</v>
      </c>
      <c r="V44" s="428">
        <f t="shared" si="42"/>
        <v>0.26223270297712931</v>
      </c>
      <c r="W44" s="428">
        <f t="shared" si="42"/>
        <v>0</v>
      </c>
      <c r="X44" s="428">
        <f t="shared" si="42"/>
        <v>0.15386331655790983</v>
      </c>
      <c r="Y44" s="428">
        <f t="shared" ref="Y44:Z44" si="43">IFERROR(MAX((Y43/Y$24),0),"-")</f>
        <v>0.89954630146709258</v>
      </c>
      <c r="Z44" s="671">
        <f t="shared" ref="Z44:AA44" si="44">IFERROR(MAX((Z43/Z$24),0),"-")</f>
        <v>0.65979633888516476</v>
      </c>
      <c r="AA44" s="671">
        <f t="shared" si="44"/>
        <v>0.66199642818064852</v>
      </c>
      <c r="AB44" s="551"/>
      <c r="AC44" s="428">
        <f>IFERROR(MAX((AC43/AC$24),0),"-")</f>
        <v>0.76236980726265835</v>
      </c>
      <c r="AD44" s="428">
        <f>IFERROR(MAX((AD43/AD$24),0),"-")</f>
        <v>0.95834002960485276</v>
      </c>
      <c r="AE44" s="428">
        <f>IFERROR(MAX((AE43/AE$24),0),"-")</f>
        <v>0.70197982473209564</v>
      </c>
    </row>
    <row r="45" spans="1:31" ht="4.5" customHeight="1" x14ac:dyDescent="0.15">
      <c r="A45" s="80"/>
      <c r="B45" s="211"/>
      <c r="C45" s="429"/>
      <c r="D45" s="429"/>
      <c r="E45" s="429"/>
      <c r="F45" s="429"/>
      <c r="G45" s="429"/>
      <c r="H45" s="429"/>
      <c r="I45" s="429"/>
      <c r="J45" s="429"/>
      <c r="K45" s="429"/>
      <c r="L45" s="429"/>
      <c r="M45" s="429"/>
      <c r="N45" s="429"/>
      <c r="O45" s="429"/>
      <c r="P45" s="429"/>
      <c r="Q45" s="429"/>
      <c r="R45" s="429"/>
      <c r="S45" s="429"/>
      <c r="T45" s="429"/>
      <c r="U45" s="429"/>
      <c r="V45" s="429"/>
      <c r="W45" s="429"/>
      <c r="X45" s="429"/>
      <c r="Y45" s="429"/>
      <c r="Z45" s="672"/>
      <c r="AA45" s="672"/>
      <c r="AB45" s="552"/>
      <c r="AC45" s="429"/>
      <c r="AD45" s="429"/>
      <c r="AE45" s="429"/>
    </row>
    <row r="46" spans="1:31" s="407" customFormat="1" ht="13.5" customHeight="1" x14ac:dyDescent="0.15">
      <c r="A46" s="406" t="s">
        <v>172</v>
      </c>
      <c r="B46" s="417" t="str">
        <f>Settings!$C$6</f>
        <v>CAD</v>
      </c>
      <c r="C46" s="418">
        <f>'WK+CAPEX'!C71</f>
        <v>0</v>
      </c>
      <c r="D46" s="418">
        <f>'WK+CAPEX'!D71</f>
        <v>0</v>
      </c>
      <c r="E46" s="418">
        <f>'WK+CAPEX'!E71</f>
        <v>0</v>
      </c>
      <c r="F46" s="418">
        <f>'WK+CAPEX'!F71</f>
        <v>0</v>
      </c>
      <c r="G46" s="418">
        <f>'WK+CAPEX'!G71</f>
        <v>0</v>
      </c>
      <c r="H46" s="418">
        <f>'WK+CAPEX'!H71</f>
        <v>0</v>
      </c>
      <c r="I46" s="418">
        <f>'WK+CAPEX'!I71</f>
        <v>0</v>
      </c>
      <c r="J46" s="418">
        <f>'WK+CAPEX'!J71</f>
        <v>0</v>
      </c>
      <c r="K46" s="418">
        <f>'WK+CAPEX'!K71</f>
        <v>0</v>
      </c>
      <c r="L46" s="418">
        <f>'WK+CAPEX'!L71</f>
        <v>0</v>
      </c>
      <c r="M46" s="418">
        <f>'WK+CAPEX'!M71</f>
        <v>0</v>
      </c>
      <c r="N46" s="418">
        <f>'WK+CAPEX'!N71</f>
        <v>0</v>
      </c>
      <c r="O46" s="418">
        <f>'WK+CAPEX'!O71</f>
        <v>0</v>
      </c>
      <c r="P46" s="418">
        <f>'WK+CAPEX'!P71</f>
        <v>0</v>
      </c>
      <c r="Q46" s="418">
        <f>'WK+CAPEX'!Q71</f>
        <v>0</v>
      </c>
      <c r="R46" s="418">
        <f>'WK+CAPEX'!R71</f>
        <v>0</v>
      </c>
      <c r="S46" s="418">
        <f>'WK+CAPEX'!S71</f>
        <v>0</v>
      </c>
      <c r="T46" s="418">
        <f>'WK+CAPEX'!T71</f>
        <v>0</v>
      </c>
      <c r="U46" s="418">
        <f>'WK+CAPEX'!U71</f>
        <v>0</v>
      </c>
      <c r="V46" s="418">
        <f>'WK+CAPEX'!V71</f>
        <v>0</v>
      </c>
      <c r="W46" s="418">
        <f>'WK+CAPEX'!W71</f>
        <v>0</v>
      </c>
      <c r="X46" s="418">
        <f>'WK+CAPEX'!X71</f>
        <v>0</v>
      </c>
      <c r="Y46" s="418">
        <f>'WK+CAPEX'!Y71</f>
        <v>0</v>
      </c>
      <c r="Z46" s="667">
        <f>'WK+CAPEX'!Z71</f>
        <v>0</v>
      </c>
      <c r="AA46" s="667">
        <f>'WK+CAPEX'!AA71</f>
        <v>0</v>
      </c>
      <c r="AB46" s="542"/>
      <c r="AC46" s="418"/>
      <c r="AD46" s="418"/>
      <c r="AE46" s="418"/>
    </row>
    <row r="47" spans="1:31" s="407" customFormat="1" ht="13.5" customHeight="1" x14ac:dyDescent="0.15">
      <c r="A47" s="425" t="s">
        <v>173</v>
      </c>
      <c r="B47" s="417" t="str">
        <f>Settings!$C$6</f>
        <v>CAD</v>
      </c>
      <c r="C47" s="444" t="e">
        <f>C43+C46</f>
        <v>#REF!</v>
      </c>
      <c r="D47" s="444" t="e">
        <f t="shared" ref="D47:N47" si="45">D43+D46</f>
        <v>#REF!</v>
      </c>
      <c r="E47" s="444" t="e">
        <f t="shared" si="45"/>
        <v>#REF!</v>
      </c>
      <c r="F47" s="444" t="e">
        <f t="shared" si="45"/>
        <v>#REF!</v>
      </c>
      <c r="G47" s="444" t="e">
        <f t="shared" si="45"/>
        <v>#REF!</v>
      </c>
      <c r="H47" s="444">
        <f t="shared" si="45"/>
        <v>10279.4833</v>
      </c>
      <c r="I47" s="444">
        <f t="shared" si="45"/>
        <v>39442.493300000002</v>
      </c>
      <c r="J47" s="444">
        <f t="shared" si="45"/>
        <v>70619.988299999997</v>
      </c>
      <c r="K47" s="444">
        <f t="shared" si="45"/>
        <v>63773.414300000004</v>
      </c>
      <c r="L47" s="444">
        <f t="shared" si="45"/>
        <v>47823.030299999999</v>
      </c>
      <c r="M47" s="444">
        <f t="shared" si="45"/>
        <v>57932.529300000002</v>
      </c>
      <c r="N47" s="444">
        <f t="shared" si="45"/>
        <v>49393.097299999994</v>
      </c>
      <c r="O47" s="444">
        <f t="shared" ref="O47:T47" si="46">O43+O46</f>
        <v>37288.263299999999</v>
      </c>
      <c r="P47" s="444">
        <f t="shared" si="46"/>
        <v>41070.853300000002</v>
      </c>
      <c r="Q47" s="444">
        <f t="shared" ref="Q47" si="47">Q43+Q46</f>
        <v>78398.141300000003</v>
      </c>
      <c r="R47" s="444">
        <f t="shared" si="46"/>
        <v>88287.972299999994</v>
      </c>
      <c r="S47" s="444">
        <f t="shared" si="46"/>
        <v>75740.664300000004</v>
      </c>
      <c r="T47" s="444">
        <f t="shared" si="46"/>
        <v>94234.713300000003</v>
      </c>
      <c r="U47" s="444">
        <f t="shared" ref="U47:X47" si="48">U43+U46</f>
        <v>118410.98330000001</v>
      </c>
      <c r="V47" s="444">
        <f t="shared" si="48"/>
        <v>33251.106737499998</v>
      </c>
      <c r="W47" s="444">
        <f t="shared" si="48"/>
        <v>-31.631699999996272</v>
      </c>
      <c r="X47" s="444">
        <f t="shared" si="48"/>
        <v>17238.676737500005</v>
      </c>
      <c r="Y47" s="444">
        <f t="shared" ref="Y47:Z47" si="49">Y43+Y46</f>
        <v>134340.94330000001</v>
      </c>
      <c r="Z47" s="675">
        <f t="shared" ref="Z47:AA47" si="50">Z43+Z46</f>
        <v>105562.3008</v>
      </c>
      <c r="AA47" s="675">
        <f t="shared" si="50"/>
        <v>108562.15548749999</v>
      </c>
      <c r="AB47" s="542"/>
      <c r="AC47" s="444">
        <f>AC43+AC46</f>
        <v>1271619.1785624998</v>
      </c>
      <c r="AD47" s="444">
        <f>AD43+AD46</f>
        <v>376552.29940000002</v>
      </c>
      <c r="AE47" s="444">
        <f>AE43+AE46</f>
        <v>895066.87916250015</v>
      </c>
    </row>
    <row r="48" spans="1:31" ht="13.5" customHeight="1" x14ac:dyDescent="0.15">
      <c r="A48" s="84" t="s">
        <v>174</v>
      </c>
      <c r="B48" s="211"/>
      <c r="C48" s="428" t="str">
        <f t="shared" ref="C48:T48" si="51">IFERROR(MAX((C47/C$24),0),"-")</f>
        <v>-</v>
      </c>
      <c r="D48" s="428" t="str">
        <f t="shared" si="51"/>
        <v>-</v>
      </c>
      <c r="E48" s="428" t="str">
        <f t="shared" si="51"/>
        <v>-</v>
      </c>
      <c r="F48" s="428" t="str">
        <f t="shared" si="51"/>
        <v>-</v>
      </c>
      <c r="G48" s="428" t="str">
        <f t="shared" si="51"/>
        <v>-</v>
      </c>
      <c r="H48" s="428">
        <f t="shared" si="51"/>
        <v>0.93285580754616637</v>
      </c>
      <c r="I48" s="428">
        <f t="shared" si="51"/>
        <v>0.9815867875422013</v>
      </c>
      <c r="J48" s="428">
        <f t="shared" si="51"/>
        <v>0.98963161440515413</v>
      </c>
      <c r="K48" s="428">
        <f t="shared" si="51"/>
        <v>0.98853125342322812</v>
      </c>
      <c r="L48" s="428">
        <f t="shared" si="51"/>
        <v>0.98476436866426287</v>
      </c>
      <c r="M48" s="428">
        <f t="shared" si="51"/>
        <v>0.9873895307123538</v>
      </c>
      <c r="N48" s="428">
        <f t="shared" si="51"/>
        <v>0.89224884526141701</v>
      </c>
      <c r="O48" s="428">
        <f t="shared" si="51"/>
        <v>0.86209358855944596</v>
      </c>
      <c r="P48" s="428">
        <f t="shared" si="51"/>
        <v>0.87318395118265379</v>
      </c>
      <c r="Q48" s="428">
        <f t="shared" ref="Q48" si="52">IFERROR(MAX((Q47/Q$24),0),"-")</f>
        <v>0.92929501416189086</v>
      </c>
      <c r="R48" s="428">
        <f t="shared" si="51"/>
        <v>0.9367139971849554</v>
      </c>
      <c r="S48" s="428">
        <f t="shared" si="51"/>
        <v>0.86654295331883435</v>
      </c>
      <c r="T48" s="428">
        <f t="shared" si="51"/>
        <v>0.8862093175692578</v>
      </c>
      <c r="U48" s="428">
        <f t="shared" ref="U48:X48" si="53">IFERROR(MAX((U47/U$24),0),"-")</f>
        <v>0.9050039116388453</v>
      </c>
      <c r="V48" s="428">
        <f t="shared" si="53"/>
        <v>0.26223270297712931</v>
      </c>
      <c r="W48" s="428">
        <f t="shared" si="53"/>
        <v>0</v>
      </c>
      <c r="X48" s="428">
        <f t="shared" si="53"/>
        <v>0.15386331655790983</v>
      </c>
      <c r="Y48" s="428">
        <f t="shared" ref="Y48:Z48" si="54">IFERROR(MAX((Y47/Y$24),0),"-")</f>
        <v>0.89954630146709258</v>
      </c>
      <c r="Z48" s="671">
        <f t="shared" ref="Z48:AA48" si="55">IFERROR(MAX((Z47/Z$24),0),"-")</f>
        <v>0.65979633888516476</v>
      </c>
      <c r="AA48" s="671">
        <f t="shared" si="55"/>
        <v>0.66199642818064852</v>
      </c>
      <c r="AB48" s="551"/>
      <c r="AC48" s="428">
        <f>IFERROR(MAX((AC47/AC$24),0),"-")</f>
        <v>0.76236980726265835</v>
      </c>
      <c r="AD48" s="428">
        <f>IFERROR(MAX((AD47/AD$24),0),"-")</f>
        <v>0.95834002960485276</v>
      </c>
      <c r="AE48" s="428">
        <f>IFERROR(MAX((AE47/AE$24),0),"-")</f>
        <v>0.70197982473209564</v>
      </c>
    </row>
    <row r="49" spans="1:31" ht="4.5" customHeight="1" x14ac:dyDescent="0.15">
      <c r="A49" s="80"/>
      <c r="B49" s="211"/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29"/>
      <c r="O49" s="429"/>
      <c r="P49" s="429"/>
      <c r="Q49" s="429"/>
      <c r="R49" s="429"/>
      <c r="S49" s="429"/>
      <c r="T49" s="429"/>
      <c r="U49" s="429"/>
      <c r="V49" s="429"/>
      <c r="W49" s="429"/>
      <c r="X49" s="429"/>
      <c r="Y49" s="429"/>
      <c r="Z49" s="672"/>
      <c r="AA49" s="672"/>
      <c r="AB49" s="552"/>
      <c r="AC49" s="429"/>
      <c r="AD49" s="429"/>
      <c r="AE49" s="429"/>
    </row>
    <row r="50" spans="1:31" s="407" customFormat="1" ht="13.5" customHeight="1" x14ac:dyDescent="0.15">
      <c r="A50" s="416" t="s">
        <v>175</v>
      </c>
      <c r="B50" s="417" t="str">
        <f>Settings!$C$6</f>
        <v>CAD</v>
      </c>
      <c r="C50" s="418">
        <f>C73*(Settings!$C$24/12)</f>
        <v>0</v>
      </c>
      <c r="D50" s="418">
        <f>D73*(Settings!$C$24/12)</f>
        <v>0</v>
      </c>
      <c r="E50" s="418">
        <f>E73*(Settings!$C$24/12)</f>
        <v>0</v>
      </c>
      <c r="F50" s="418">
        <f>F73*(Settings!$C$24/12)</f>
        <v>0</v>
      </c>
      <c r="G50" s="418">
        <f>G73*(Settings!$C$24/12)</f>
        <v>0</v>
      </c>
      <c r="H50" s="418">
        <f>H73*(Settings!$C$24/12)</f>
        <v>0</v>
      </c>
      <c r="I50" s="418">
        <f>I73*(Settings!$C$24/12)</f>
        <v>0</v>
      </c>
      <c r="J50" s="418">
        <f>J73*(Settings!$C$24/12)</f>
        <v>0</v>
      </c>
      <c r="K50" s="418">
        <f>K73*(Settings!$C$24/12)</f>
        <v>0</v>
      </c>
      <c r="L50" s="418">
        <f>L73*(Settings!$C$24/12)</f>
        <v>0</v>
      </c>
      <c r="M50" s="418">
        <f>M73*(Settings!$C$24/12)</f>
        <v>0</v>
      </c>
      <c r="N50" s="418">
        <f>N73*(Settings!$C$24/12)</f>
        <v>0</v>
      </c>
      <c r="O50" s="418">
        <f>O73*(Settings!$C$24/12)</f>
        <v>0</v>
      </c>
      <c r="P50" s="418">
        <f>P73*(Settings!$C$24/12)</f>
        <v>0</v>
      </c>
      <c r="Q50" s="418">
        <f>Q73*(Settings!$C$24/12)</f>
        <v>0</v>
      </c>
      <c r="R50" s="418">
        <f>R73*(Settings!$C$24/12)</f>
        <v>0</v>
      </c>
      <c r="S50" s="418">
        <f>S73*(Settings!$C$24/12)</f>
        <v>0</v>
      </c>
      <c r="T50" s="418">
        <f>T73*(Settings!$C$24/12)</f>
        <v>0</v>
      </c>
      <c r="U50" s="418">
        <f>U73*(Settings!$C$24/12)</f>
        <v>0</v>
      </c>
      <c r="V50" s="418">
        <f>V73*(Settings!$C$24/12)</f>
        <v>0</v>
      </c>
      <c r="W50" s="418">
        <f>W73*(Settings!$C$24/12)</f>
        <v>0</v>
      </c>
      <c r="X50" s="418">
        <f>X73*(Settings!$C$24/12)</f>
        <v>0</v>
      </c>
      <c r="Y50" s="418">
        <f>Y73*(Settings!$C$24/12)</f>
        <v>0</v>
      </c>
      <c r="Z50" s="667">
        <f>Z73*(Settings!$C$24/12)</f>
        <v>0</v>
      </c>
      <c r="AA50" s="667">
        <f>AA73*(Settings!$C$24/12)</f>
        <v>0</v>
      </c>
      <c r="AB50" s="542"/>
      <c r="AC50" s="418">
        <f>AC73*(Settings!$C$24/12)</f>
        <v>0</v>
      </c>
      <c r="AD50" s="418">
        <f>AD73*(Settings!$C$24/12)</f>
        <v>0</v>
      </c>
      <c r="AE50" s="418">
        <f>AE73*(Settings!$C$24/12)</f>
        <v>0</v>
      </c>
    </row>
    <row r="51" spans="1:31" ht="13.5" customHeight="1" x14ac:dyDescent="0.15">
      <c r="A51" s="206" t="s">
        <v>176</v>
      </c>
      <c r="B51" s="211" t="str">
        <f>Settings!$C$6</f>
        <v>CAD</v>
      </c>
      <c r="C51" s="436"/>
      <c r="D51" s="436"/>
      <c r="E51" s="436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676"/>
      <c r="AA51" s="676"/>
      <c r="AB51" s="543"/>
      <c r="AC51" s="436"/>
      <c r="AD51" s="436"/>
      <c r="AE51" s="436"/>
    </row>
    <row r="52" spans="1:31" s="407" customFormat="1" ht="13.5" customHeight="1" x14ac:dyDescent="0.15">
      <c r="A52" s="446" t="s">
        <v>177</v>
      </c>
      <c r="B52" s="417" t="str">
        <f>Settings!$C$6</f>
        <v>CAD</v>
      </c>
      <c r="C52" s="426" t="e">
        <f t="shared" ref="C52:T52" si="56">C47-C50-C51</f>
        <v>#REF!</v>
      </c>
      <c r="D52" s="426" t="e">
        <f t="shared" si="56"/>
        <v>#REF!</v>
      </c>
      <c r="E52" s="426" t="e">
        <f t="shared" si="56"/>
        <v>#REF!</v>
      </c>
      <c r="F52" s="426" t="e">
        <f t="shared" si="56"/>
        <v>#REF!</v>
      </c>
      <c r="G52" s="426" t="e">
        <f t="shared" si="56"/>
        <v>#REF!</v>
      </c>
      <c r="H52" s="426">
        <f t="shared" si="56"/>
        <v>10279.4833</v>
      </c>
      <c r="I52" s="426">
        <f t="shared" si="56"/>
        <v>39442.493300000002</v>
      </c>
      <c r="J52" s="426">
        <f t="shared" si="56"/>
        <v>70619.988299999997</v>
      </c>
      <c r="K52" s="426">
        <f t="shared" si="56"/>
        <v>63773.414300000004</v>
      </c>
      <c r="L52" s="426">
        <f t="shared" si="56"/>
        <v>47823.030299999999</v>
      </c>
      <c r="M52" s="426">
        <f t="shared" si="56"/>
        <v>57932.529300000002</v>
      </c>
      <c r="N52" s="426">
        <f t="shared" si="56"/>
        <v>49393.097299999994</v>
      </c>
      <c r="O52" s="426">
        <f t="shared" si="56"/>
        <v>37288.263299999999</v>
      </c>
      <c r="P52" s="426">
        <f t="shared" si="56"/>
        <v>41070.853300000002</v>
      </c>
      <c r="Q52" s="426">
        <f t="shared" ref="Q52" si="57">Q47-Q50-Q51</f>
        <v>78398.141300000003</v>
      </c>
      <c r="R52" s="426">
        <f t="shared" si="56"/>
        <v>88287.972299999994</v>
      </c>
      <c r="S52" s="426">
        <f t="shared" si="56"/>
        <v>75740.664300000004</v>
      </c>
      <c r="T52" s="426">
        <f t="shared" si="56"/>
        <v>94234.713300000003</v>
      </c>
      <c r="U52" s="426">
        <f t="shared" ref="U52:X52" si="58">U47-U50-U51</f>
        <v>118410.98330000001</v>
      </c>
      <c r="V52" s="426">
        <f t="shared" si="58"/>
        <v>33251.106737499998</v>
      </c>
      <c r="W52" s="426">
        <f t="shared" si="58"/>
        <v>-31.631699999996272</v>
      </c>
      <c r="X52" s="426">
        <f t="shared" si="58"/>
        <v>17238.676737500005</v>
      </c>
      <c r="Y52" s="426">
        <f t="shared" ref="Y52:Z52" si="59">Y47-Y50-Y51</f>
        <v>134340.94330000001</v>
      </c>
      <c r="Z52" s="670">
        <f t="shared" ref="Z52:AA52" si="60">Z47-Z50-Z51</f>
        <v>105562.3008</v>
      </c>
      <c r="AA52" s="670">
        <f t="shared" si="60"/>
        <v>108562.15548749999</v>
      </c>
      <c r="AB52" s="541"/>
      <c r="AC52" s="426">
        <f>AC47-AC50-AC51</f>
        <v>1271619.1785624998</v>
      </c>
      <c r="AD52" s="426">
        <f>AD47-AD50-AD51</f>
        <v>376552.29940000002</v>
      </c>
      <c r="AE52" s="426">
        <f>AE47-AE50-AE51</f>
        <v>895066.87916250015</v>
      </c>
    </row>
    <row r="53" spans="1:31" ht="13.5" customHeight="1" x14ac:dyDescent="0.15">
      <c r="A53" s="84" t="s">
        <v>178</v>
      </c>
      <c r="B53" s="211"/>
      <c r="C53" s="428" t="str">
        <f t="shared" ref="C53:T53" si="61">IFERROR(MAX((C52/C$24),0),"-")</f>
        <v>-</v>
      </c>
      <c r="D53" s="428" t="str">
        <f t="shared" si="61"/>
        <v>-</v>
      </c>
      <c r="E53" s="428" t="str">
        <f t="shared" si="61"/>
        <v>-</v>
      </c>
      <c r="F53" s="428" t="str">
        <f t="shared" si="61"/>
        <v>-</v>
      </c>
      <c r="G53" s="428" t="str">
        <f t="shared" si="61"/>
        <v>-</v>
      </c>
      <c r="H53" s="428">
        <f t="shared" si="61"/>
        <v>0.93285580754616637</v>
      </c>
      <c r="I53" s="428">
        <f t="shared" si="61"/>
        <v>0.9815867875422013</v>
      </c>
      <c r="J53" s="428">
        <f t="shared" si="61"/>
        <v>0.98963161440515413</v>
      </c>
      <c r="K53" s="428">
        <f t="shared" si="61"/>
        <v>0.98853125342322812</v>
      </c>
      <c r="L53" s="428">
        <f t="shared" si="61"/>
        <v>0.98476436866426287</v>
      </c>
      <c r="M53" s="428">
        <f t="shared" si="61"/>
        <v>0.9873895307123538</v>
      </c>
      <c r="N53" s="428">
        <f t="shared" si="61"/>
        <v>0.89224884526141701</v>
      </c>
      <c r="O53" s="428">
        <f t="shared" si="61"/>
        <v>0.86209358855944596</v>
      </c>
      <c r="P53" s="428">
        <f t="shared" si="61"/>
        <v>0.87318395118265379</v>
      </c>
      <c r="Q53" s="428">
        <f t="shared" ref="Q53" si="62">IFERROR(MAX((Q52/Q$24),0),"-")</f>
        <v>0.92929501416189086</v>
      </c>
      <c r="R53" s="428">
        <f t="shared" si="61"/>
        <v>0.9367139971849554</v>
      </c>
      <c r="S53" s="428">
        <f t="shared" si="61"/>
        <v>0.86654295331883435</v>
      </c>
      <c r="T53" s="428">
        <f t="shared" si="61"/>
        <v>0.8862093175692578</v>
      </c>
      <c r="U53" s="428">
        <f t="shared" ref="U53:X53" si="63">IFERROR(MAX((U52/U$24),0),"-")</f>
        <v>0.9050039116388453</v>
      </c>
      <c r="V53" s="428">
        <f t="shared" si="63"/>
        <v>0.26223270297712931</v>
      </c>
      <c r="W53" s="428">
        <f t="shared" si="63"/>
        <v>0</v>
      </c>
      <c r="X53" s="428">
        <f t="shared" si="63"/>
        <v>0.15386331655790983</v>
      </c>
      <c r="Y53" s="428">
        <f t="shared" ref="Y53:Z53" si="64">IFERROR(MAX((Y52/Y$24),0),"-")</f>
        <v>0.89954630146709258</v>
      </c>
      <c r="Z53" s="671">
        <f t="shared" ref="Z53:AA53" si="65">IFERROR(MAX((Z52/Z$24),0),"-")</f>
        <v>0.65979633888516476</v>
      </c>
      <c r="AA53" s="671">
        <f t="shared" si="65"/>
        <v>0.66199642818064852</v>
      </c>
      <c r="AB53" s="551"/>
      <c r="AC53" s="428">
        <f>IFERROR(MAX((AC52/AC$24),0),"-")</f>
        <v>0.76236980726265835</v>
      </c>
      <c r="AD53" s="428">
        <f>IFERROR(MAX((AD52/AD$24),0),"-")</f>
        <v>0.95834002960485276</v>
      </c>
      <c r="AE53" s="428">
        <f>IFERROR(MAX((AE52/AE$24),0),"-")</f>
        <v>0.70197982473209564</v>
      </c>
    </row>
    <row r="54" spans="1:31" ht="13.5" customHeight="1" x14ac:dyDescent="0.15">
      <c r="A54" s="80"/>
      <c r="B54" s="211"/>
      <c r="C54" s="436"/>
      <c r="D54" s="436"/>
      <c r="E54" s="436"/>
      <c r="F54" s="436"/>
      <c r="G54" s="436"/>
      <c r="H54" s="436"/>
      <c r="I54" s="436"/>
      <c r="J54" s="436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676"/>
      <c r="AA54" s="676"/>
      <c r="AB54" s="543"/>
      <c r="AC54" s="436"/>
      <c r="AD54" s="436"/>
      <c r="AE54" s="436"/>
    </row>
    <row r="55" spans="1:31" ht="13.5" customHeight="1" x14ac:dyDescent="0.15">
      <c r="A55" s="80"/>
      <c r="B55" s="211"/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676"/>
      <c r="AA55" s="676"/>
      <c r="AB55" s="543"/>
      <c r="AC55" s="436"/>
      <c r="AD55" s="436"/>
      <c r="AE55" s="436"/>
    </row>
    <row r="56" spans="1:31" ht="13.5" customHeight="1" thickBot="1" x14ac:dyDescent="0.2">
      <c r="A56" s="212" t="s">
        <v>179</v>
      </c>
      <c r="B56" s="213"/>
      <c r="C56" s="437"/>
      <c r="D56" s="437"/>
      <c r="E56" s="437"/>
      <c r="F56" s="437"/>
      <c r="G56" s="437"/>
      <c r="H56" s="437"/>
      <c r="I56" s="437"/>
      <c r="J56" s="437"/>
      <c r="K56" s="437"/>
      <c r="L56" s="437"/>
      <c r="M56" s="437"/>
      <c r="N56" s="437"/>
      <c r="O56" s="437"/>
      <c r="P56" s="437"/>
      <c r="Q56" s="437"/>
      <c r="R56" s="437"/>
      <c r="S56" s="437"/>
      <c r="T56" s="437"/>
      <c r="U56" s="437"/>
      <c r="V56" s="437"/>
      <c r="W56" s="437"/>
      <c r="X56" s="437"/>
      <c r="Y56" s="437"/>
      <c r="Z56" s="677"/>
      <c r="AA56" s="677"/>
      <c r="AB56" s="553"/>
      <c r="AC56" s="437"/>
      <c r="AD56" s="437"/>
      <c r="AE56" s="437"/>
    </row>
    <row r="57" spans="1:31" ht="4.5" customHeight="1" x14ac:dyDescent="0.15">
      <c r="A57" s="80"/>
      <c r="B57" s="211"/>
      <c r="C57" s="429"/>
      <c r="D57" s="429"/>
      <c r="E57" s="429"/>
      <c r="F57" s="429"/>
      <c r="G57" s="429"/>
      <c r="H57" s="429"/>
      <c r="I57" s="429"/>
      <c r="J57" s="429"/>
      <c r="K57" s="429"/>
      <c r="L57" s="429"/>
      <c r="M57" s="429"/>
      <c r="N57" s="429"/>
      <c r="O57" s="429"/>
      <c r="P57" s="429"/>
      <c r="Q57" s="429"/>
      <c r="R57" s="429"/>
      <c r="S57" s="429"/>
      <c r="T57" s="429"/>
      <c r="U57" s="429"/>
      <c r="V57" s="429"/>
      <c r="W57" s="429"/>
      <c r="X57" s="429"/>
      <c r="Y57" s="429"/>
      <c r="Z57" s="672"/>
      <c r="AA57" s="672"/>
      <c r="AB57" s="552"/>
      <c r="AC57" s="429"/>
      <c r="AD57" s="429"/>
      <c r="AE57" s="429"/>
    </row>
    <row r="58" spans="1:31" ht="13.5" customHeight="1" x14ac:dyDescent="0.15">
      <c r="A58" s="80" t="s">
        <v>180</v>
      </c>
      <c r="B58" s="211" t="str">
        <f>Settings!$C$6</f>
        <v>CAD</v>
      </c>
      <c r="C58" s="436">
        <f>'WK+CAPEX'!C20</f>
        <v>0</v>
      </c>
      <c r="D58" s="436">
        <f>'WK+CAPEX'!D20</f>
        <v>0</v>
      </c>
      <c r="E58" s="436">
        <f>'WK+CAPEX'!E20</f>
        <v>0</v>
      </c>
      <c r="F58" s="436">
        <f>'WK+CAPEX'!F20</f>
        <v>0</v>
      </c>
      <c r="G58" s="436">
        <f>'WK+CAPEX'!G20</f>
        <v>0</v>
      </c>
      <c r="H58" s="436">
        <f>'WK+CAPEX'!H20</f>
        <v>0</v>
      </c>
      <c r="I58" s="436">
        <f>'WK+CAPEX'!I20</f>
        <v>0</v>
      </c>
      <c r="J58" s="436">
        <f>'WK+CAPEX'!J20</f>
        <v>0</v>
      </c>
      <c r="K58" s="436">
        <f>'WK+CAPEX'!K20</f>
        <v>0</v>
      </c>
      <c r="L58" s="436">
        <f>'WK+CAPEX'!L20</f>
        <v>0</v>
      </c>
      <c r="M58" s="436">
        <f>'WK+CAPEX'!M20</f>
        <v>0</v>
      </c>
      <c r="N58" s="436">
        <f>'WK+CAPEX'!N20</f>
        <v>0</v>
      </c>
      <c r="O58" s="436">
        <f>'WK+CAPEX'!O20</f>
        <v>0</v>
      </c>
      <c r="P58" s="436">
        <f>'WK+CAPEX'!P20</f>
        <v>0</v>
      </c>
      <c r="Q58" s="436">
        <f>'WK+CAPEX'!Q20</f>
        <v>0</v>
      </c>
      <c r="R58" s="436">
        <f>'WK+CAPEX'!R20</f>
        <v>0</v>
      </c>
      <c r="S58" s="436">
        <f>'WK+CAPEX'!S20</f>
        <v>0</v>
      </c>
      <c r="T58" s="436">
        <f>'WK+CAPEX'!T20</f>
        <v>0</v>
      </c>
      <c r="U58" s="436">
        <f>'WK+CAPEX'!U20</f>
        <v>0</v>
      </c>
      <c r="V58" s="436">
        <f>'WK+CAPEX'!V20</f>
        <v>0</v>
      </c>
      <c r="W58" s="436">
        <f>'WK+CAPEX'!W20</f>
        <v>0</v>
      </c>
      <c r="X58" s="436">
        <f>'WK+CAPEX'!X20</f>
        <v>0</v>
      </c>
      <c r="Y58" s="436">
        <f>'WK+CAPEX'!Y20</f>
        <v>0</v>
      </c>
      <c r="Z58" s="676">
        <f>'WK+CAPEX'!Z20</f>
        <v>0</v>
      </c>
      <c r="AA58" s="676">
        <f>'WK+CAPEX'!AA20</f>
        <v>0</v>
      </c>
      <c r="AB58" s="543"/>
      <c r="AC58" s="436">
        <f>SUM(H58:T58)</f>
        <v>0</v>
      </c>
      <c r="AD58" s="436">
        <f>SUM(I58:U58)</f>
        <v>0</v>
      </c>
      <c r="AE58" s="436">
        <f>SUM(J58:V58)</f>
        <v>0</v>
      </c>
    </row>
    <row r="59" spans="1:31" s="407" customFormat="1" ht="13.5" customHeight="1" x14ac:dyDescent="0.15">
      <c r="A59" s="406" t="s">
        <v>181</v>
      </c>
      <c r="B59" s="417" t="str">
        <f>Settings!$C$6</f>
        <v>CAD</v>
      </c>
      <c r="C59" s="418" t="e">
        <f t="shared" ref="C59:T59" si="66">SUM(C84-SUM(C58,C60:C62,C69))</f>
        <v>#REF!</v>
      </c>
      <c r="D59" s="418" t="e">
        <f t="shared" si="66"/>
        <v>#REF!</v>
      </c>
      <c r="E59" s="418" t="e">
        <f t="shared" si="66"/>
        <v>#REF!</v>
      </c>
      <c r="F59" s="418" t="e">
        <f t="shared" si="66"/>
        <v>#REF!</v>
      </c>
      <c r="G59" s="418" t="e">
        <f t="shared" si="66"/>
        <v>#REF!</v>
      </c>
      <c r="H59" s="418">
        <f t="shared" si="66"/>
        <v>-3494.7292000000016</v>
      </c>
      <c r="I59" s="418">
        <f t="shared" si="66"/>
        <v>-505.99840000000404</v>
      </c>
      <c r="J59" s="418">
        <f t="shared" si="66"/>
        <v>31142.121149999992</v>
      </c>
      <c r="K59" s="418">
        <f t="shared" si="66"/>
        <v>103473.75294999999</v>
      </c>
      <c r="L59" s="418">
        <f t="shared" si="66"/>
        <v>171234.76325000002</v>
      </c>
      <c r="M59" s="418">
        <f t="shared" si="66"/>
        <v>216530.41880000001</v>
      </c>
      <c r="N59" s="418">
        <f t="shared" si="66"/>
        <v>270066.55610000005</v>
      </c>
      <c r="O59" s="418">
        <f t="shared" si="66"/>
        <v>322485.86190000002</v>
      </c>
      <c r="P59" s="418">
        <f t="shared" si="66"/>
        <v>356874.60770000005</v>
      </c>
      <c r="Q59" s="418">
        <f t="shared" si="66"/>
        <v>384298.72900000005</v>
      </c>
      <c r="R59" s="418">
        <f t="shared" si="66"/>
        <v>461478.73255000002</v>
      </c>
      <c r="S59" s="418">
        <f t="shared" si="66"/>
        <v>532067.57185000007</v>
      </c>
      <c r="T59" s="418">
        <f t="shared" si="66"/>
        <v>619529.8639</v>
      </c>
      <c r="U59" s="418">
        <f t="shared" ref="U59:X59" si="67">SUM(U84-SUM(U58,U60:U62,U69))</f>
        <v>699237.93219999992</v>
      </c>
      <c r="V59" s="418">
        <f t="shared" si="67"/>
        <v>732167.82393750001</v>
      </c>
      <c r="W59" s="418">
        <f t="shared" si="67"/>
        <v>880576.04598749999</v>
      </c>
      <c r="X59" s="418">
        <f t="shared" si="67"/>
        <v>757486.51397500001</v>
      </c>
      <c r="Y59" s="418">
        <f t="shared" ref="Y59:Z59" si="68">SUM(Y84-SUM(Y58,Y60:Y62,Y69))</f>
        <v>847294.98227500007</v>
      </c>
      <c r="Z59" s="667">
        <f t="shared" ref="Z59:AA59" si="69">SUM(Z84-SUM(Z58,Z60:Z62,Z69))</f>
        <v>963066.71057500015</v>
      </c>
      <c r="AA59" s="667">
        <f t="shared" si="69"/>
        <v>1066629.10825</v>
      </c>
      <c r="AB59" s="542"/>
      <c r="AC59" s="418">
        <f>+T59</f>
        <v>619529.8639</v>
      </c>
      <c r="AD59" s="418">
        <f>+U59</f>
        <v>699237.93219999992</v>
      </c>
      <c r="AE59" s="418">
        <f>+V59</f>
        <v>732167.82393750001</v>
      </c>
    </row>
    <row r="60" spans="1:31" ht="13.5" customHeight="1" x14ac:dyDescent="0.15">
      <c r="A60" s="438" t="s">
        <v>182</v>
      </c>
      <c r="B60" s="439" t="str">
        <f>Settings!$C$6</f>
        <v>CAD</v>
      </c>
      <c r="C60" s="440" t="e">
        <f>'WK+CAPEX'!C25</f>
        <v>#REF!</v>
      </c>
      <c r="D60" s="440" t="e">
        <f>'WK+CAPEX'!D25</f>
        <v>#REF!</v>
      </c>
      <c r="E60" s="440" t="e">
        <f>'WK+CAPEX'!E25</f>
        <v>#REF!</v>
      </c>
      <c r="F60" s="440" t="e">
        <f>'WK+CAPEX'!F25</f>
        <v>#REF!</v>
      </c>
      <c r="G60" s="440" t="e">
        <f>'WK+CAPEX'!G25</f>
        <v>#REF!</v>
      </c>
      <c r="H60" s="452">
        <f>+H25</f>
        <v>11019.37</v>
      </c>
      <c r="I60" s="452">
        <f t="shared" ref="I60:Y60" si="70">+I25</f>
        <v>40182.380000000005</v>
      </c>
      <c r="J60" s="452">
        <f t="shared" si="70"/>
        <v>71359.875</v>
      </c>
      <c r="K60" s="452">
        <f t="shared" si="70"/>
        <v>64513.301000000007</v>
      </c>
      <c r="L60" s="452">
        <f t="shared" si="70"/>
        <v>48562.917000000001</v>
      </c>
      <c r="M60" s="452">
        <f t="shared" si="70"/>
        <v>58672.416000000005</v>
      </c>
      <c r="N60" s="452">
        <f t="shared" si="70"/>
        <v>55357.983999999997</v>
      </c>
      <c r="O60" s="452">
        <f t="shared" si="70"/>
        <v>43253.15</v>
      </c>
      <c r="P60" s="452">
        <f t="shared" si="70"/>
        <v>47035.740000000005</v>
      </c>
      <c r="Q60" s="452">
        <f t="shared" si="70"/>
        <v>84363.028000000006</v>
      </c>
      <c r="R60" s="452">
        <f t="shared" si="70"/>
        <v>94252.858999999997</v>
      </c>
      <c r="S60" s="452">
        <f t="shared" si="70"/>
        <v>87405.551000000007</v>
      </c>
      <c r="T60" s="452">
        <f t="shared" si="70"/>
        <v>106334.6</v>
      </c>
      <c r="U60" s="452">
        <f t="shared" si="70"/>
        <v>130840.3</v>
      </c>
      <c r="V60" s="452">
        <f t="shared" si="70"/>
        <v>126800</v>
      </c>
      <c r="W60" s="452">
        <f t="shared" si="70"/>
        <v>12662.405000000001</v>
      </c>
      <c r="X60" s="452">
        <f t="shared" si="70"/>
        <v>112038.90000000001</v>
      </c>
      <c r="Y60" s="452">
        <f t="shared" si="70"/>
        <v>149343</v>
      </c>
      <c r="Z60" s="678">
        <f t="shared" ref="Z60:AA60" si="71">+Z25</f>
        <v>159992.25</v>
      </c>
      <c r="AA60" s="678">
        <f t="shared" si="71"/>
        <v>163992.05624999999</v>
      </c>
      <c r="AB60" s="543"/>
      <c r="AC60" s="440">
        <f>SUM(H60:T60)</f>
        <v>812313.17099999997</v>
      </c>
      <c r="AD60" s="440">
        <f>SUM(I60:U60)</f>
        <v>932134.10100000002</v>
      </c>
      <c r="AE60" s="440">
        <f>SUM(J60:V60)</f>
        <v>1018751.721</v>
      </c>
    </row>
    <row r="61" spans="1:31" ht="13.5" hidden="1" customHeight="1" x14ac:dyDescent="0.15">
      <c r="A61" s="80" t="s">
        <v>183</v>
      </c>
      <c r="B61" s="211" t="str">
        <f>Settings!$C$6</f>
        <v>CAD</v>
      </c>
      <c r="C61" s="436"/>
      <c r="D61" s="436"/>
      <c r="E61" s="436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676"/>
      <c r="AA61" s="676"/>
      <c r="AB61" s="543"/>
      <c r="AC61" s="436"/>
      <c r="AD61" s="436"/>
      <c r="AE61" s="436"/>
    </row>
    <row r="62" spans="1:31" ht="13.5" hidden="1" customHeight="1" x14ac:dyDescent="0.15">
      <c r="A62" s="80" t="s">
        <v>184</v>
      </c>
      <c r="B62" s="211" t="str">
        <f>Settings!$C$6</f>
        <v>CAD</v>
      </c>
      <c r="C62" s="436"/>
      <c r="D62" s="436"/>
      <c r="E62" s="436"/>
      <c r="F62" s="436"/>
      <c r="G62" s="436"/>
      <c r="H62" s="436"/>
      <c r="I62" s="436"/>
      <c r="J62" s="436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676"/>
      <c r="AA62" s="676"/>
      <c r="AB62" s="543"/>
      <c r="AC62" s="436"/>
      <c r="AD62" s="436"/>
      <c r="AE62" s="436"/>
    </row>
    <row r="63" spans="1:31" s="407" customFormat="1" ht="13.5" customHeight="1" x14ac:dyDescent="0.15">
      <c r="A63" s="447" t="s">
        <v>185</v>
      </c>
      <c r="B63" s="448" t="str">
        <f>Settings!$C$6</f>
        <v>CAD</v>
      </c>
      <c r="C63" s="449" t="e">
        <f t="shared" ref="C63:T63" si="72">SUM(C58:C62)</f>
        <v>#REF!</v>
      </c>
      <c r="D63" s="449" t="e">
        <f t="shared" si="72"/>
        <v>#REF!</v>
      </c>
      <c r="E63" s="449" t="e">
        <f t="shared" si="72"/>
        <v>#REF!</v>
      </c>
      <c r="F63" s="449" t="e">
        <f t="shared" si="72"/>
        <v>#REF!</v>
      </c>
      <c r="G63" s="449" t="e">
        <f t="shared" si="72"/>
        <v>#REF!</v>
      </c>
      <c r="H63" s="449">
        <f t="shared" si="72"/>
        <v>7524.6407999999992</v>
      </c>
      <c r="I63" s="449">
        <f t="shared" si="72"/>
        <v>39676.381600000001</v>
      </c>
      <c r="J63" s="449">
        <f t="shared" si="72"/>
        <v>102501.99614999999</v>
      </c>
      <c r="K63" s="449">
        <f t="shared" si="72"/>
        <v>167987.05395</v>
      </c>
      <c r="L63" s="449">
        <f t="shared" si="72"/>
        <v>219797.68025000003</v>
      </c>
      <c r="M63" s="449">
        <f t="shared" si="72"/>
        <v>275202.83480000001</v>
      </c>
      <c r="N63" s="449">
        <f t="shared" si="72"/>
        <v>325424.54010000004</v>
      </c>
      <c r="O63" s="449">
        <f t="shared" si="72"/>
        <v>365739.01190000004</v>
      </c>
      <c r="P63" s="449">
        <f t="shared" si="72"/>
        <v>403910.34770000004</v>
      </c>
      <c r="Q63" s="449">
        <f t="shared" si="72"/>
        <v>468661.75700000004</v>
      </c>
      <c r="R63" s="449">
        <f t="shared" si="72"/>
        <v>555731.59155000001</v>
      </c>
      <c r="S63" s="449">
        <f t="shared" si="72"/>
        <v>619473.12285000004</v>
      </c>
      <c r="T63" s="449">
        <f t="shared" si="72"/>
        <v>725864.46389999997</v>
      </c>
      <c r="U63" s="449">
        <f t="shared" ref="U63:X63" si="73">SUM(U58:U62)</f>
        <v>830078.23219999997</v>
      </c>
      <c r="V63" s="449">
        <f t="shared" si="73"/>
        <v>858967.82393750001</v>
      </c>
      <c r="W63" s="449">
        <f t="shared" si="73"/>
        <v>893238.45098750002</v>
      </c>
      <c r="X63" s="449">
        <f t="shared" si="73"/>
        <v>869525.41397500003</v>
      </c>
      <c r="Y63" s="449">
        <f t="shared" ref="Y63:Z63" si="74">SUM(Y58:Y62)</f>
        <v>996637.98227500007</v>
      </c>
      <c r="Z63" s="679">
        <f t="shared" ref="Z63:AA63" si="75">SUM(Z58:Z62)</f>
        <v>1123058.9605750002</v>
      </c>
      <c r="AA63" s="679">
        <f t="shared" si="75"/>
        <v>1230621.1645</v>
      </c>
      <c r="AB63" s="542"/>
      <c r="AC63" s="449">
        <f>SUM(AC58:AC62)</f>
        <v>1431843.0348999999</v>
      </c>
      <c r="AD63" s="449">
        <f>SUM(AD58:AD62)</f>
        <v>1631372.0331999999</v>
      </c>
      <c r="AE63" s="449">
        <f>SUM(AE58:AE62)</f>
        <v>1750919.5449375</v>
      </c>
    </row>
    <row r="64" spans="1:31" ht="10.5" customHeight="1" x14ac:dyDescent="0.15">
      <c r="A64" s="80"/>
      <c r="B64" s="211"/>
      <c r="C64" s="429"/>
      <c r="D64" s="429"/>
      <c r="E64" s="429"/>
      <c r="F64" s="429"/>
      <c r="G64" s="429"/>
      <c r="H64" s="429"/>
      <c r="I64" s="429"/>
      <c r="J64" s="429"/>
      <c r="K64" s="429"/>
      <c r="L64" s="429"/>
      <c r="M64" s="429"/>
      <c r="N64" s="429"/>
      <c r="O64" s="429"/>
      <c r="P64" s="429"/>
      <c r="Q64" s="429"/>
      <c r="R64" s="429"/>
      <c r="S64" s="429"/>
      <c r="T64" s="429"/>
      <c r="U64" s="429"/>
      <c r="V64" s="429"/>
      <c r="W64" s="429"/>
      <c r="X64" s="429"/>
      <c r="Y64" s="429"/>
      <c r="Z64" s="672"/>
      <c r="AA64" s="672"/>
      <c r="AB64" s="552"/>
      <c r="AC64" s="429"/>
      <c r="AD64" s="429"/>
      <c r="AE64" s="429"/>
    </row>
    <row r="65" spans="1:31" s="407" customFormat="1" ht="13.5" customHeight="1" x14ac:dyDescent="0.15">
      <c r="A65" s="450" t="s">
        <v>186</v>
      </c>
      <c r="B65" s="451" t="str">
        <f>Settings!$C$6</f>
        <v>CAD</v>
      </c>
      <c r="C65" s="452">
        <f>'WK+CAPEX'!C37</f>
        <v>0</v>
      </c>
      <c r="D65" s="452">
        <f>'WK+CAPEX'!D37</f>
        <v>0</v>
      </c>
      <c r="E65" s="452">
        <f>'WK+CAPEX'!E37</f>
        <v>0</v>
      </c>
      <c r="F65" s="452">
        <f>'WK+CAPEX'!F37</f>
        <v>0</v>
      </c>
      <c r="G65" s="452">
        <f>'WK+CAPEX'!G37</f>
        <v>0</v>
      </c>
      <c r="H65" s="452">
        <f>'WK+CAPEX'!H37</f>
        <v>0</v>
      </c>
      <c r="I65" s="452">
        <f>'WK+CAPEX'!I37</f>
        <v>0</v>
      </c>
      <c r="J65" s="452">
        <f>'WK+CAPEX'!J37</f>
        <v>0</v>
      </c>
      <c r="K65" s="452">
        <f>'WK+CAPEX'!K37</f>
        <v>0</v>
      </c>
      <c r="L65" s="452">
        <f>'WK+CAPEX'!L37</f>
        <v>0</v>
      </c>
      <c r="M65" s="452">
        <f>'WK+CAPEX'!M37</f>
        <v>0</v>
      </c>
      <c r="N65" s="452">
        <f>'WK+CAPEX'!N37</f>
        <v>0</v>
      </c>
      <c r="O65" s="452">
        <f>'WK+CAPEX'!O37</f>
        <v>0</v>
      </c>
      <c r="P65" s="452">
        <f>'WK+CAPEX'!P37</f>
        <v>0</v>
      </c>
      <c r="Q65" s="452">
        <f>'WK+CAPEX'!Q37</f>
        <v>0</v>
      </c>
      <c r="R65" s="452">
        <f>'WK+CAPEX'!R37</f>
        <v>0</v>
      </c>
      <c r="S65" s="452">
        <f>'WK+CAPEX'!S37</f>
        <v>0</v>
      </c>
      <c r="T65" s="452">
        <f>'WK+CAPEX'!T37</f>
        <v>0</v>
      </c>
      <c r="U65" s="452">
        <f>'WK+CAPEX'!U37</f>
        <v>0</v>
      </c>
      <c r="V65" s="452">
        <f>'WK+CAPEX'!V37</f>
        <v>0</v>
      </c>
      <c r="W65" s="452">
        <f>'WK+CAPEX'!W37</f>
        <v>0</v>
      </c>
      <c r="X65" s="452">
        <f>'WK+CAPEX'!X37</f>
        <v>0</v>
      </c>
      <c r="Y65" s="452">
        <f>'WK+CAPEX'!Y37</f>
        <v>0</v>
      </c>
      <c r="Z65" s="680">
        <f>'WK+CAPEX'!Z37</f>
        <v>0</v>
      </c>
      <c r="AA65" s="680">
        <f>'WK+CAPEX'!AA37</f>
        <v>0</v>
      </c>
      <c r="AB65" s="542"/>
      <c r="AC65" s="452">
        <f>SUM(H65:T65)</f>
        <v>0</v>
      </c>
      <c r="AD65" s="452">
        <f>SUM(I65:U65)</f>
        <v>0</v>
      </c>
      <c r="AE65" s="452">
        <f>SUM(J65:V65)</f>
        <v>0</v>
      </c>
    </row>
    <row r="66" spans="1:31" ht="13.5" customHeight="1" x14ac:dyDescent="0.15">
      <c r="A66" s="80" t="s">
        <v>187</v>
      </c>
      <c r="B66" s="211" t="str">
        <f>Settings!$C$6</f>
        <v>CAD</v>
      </c>
      <c r="C66" s="436"/>
      <c r="D66" s="436"/>
      <c r="E66" s="436"/>
      <c r="F66" s="436"/>
      <c r="G66" s="436"/>
      <c r="H66" s="436"/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676"/>
      <c r="AA66" s="676"/>
      <c r="AB66" s="543"/>
      <c r="AC66" s="436"/>
      <c r="AD66" s="436"/>
      <c r="AE66" s="436"/>
    </row>
    <row r="67" spans="1:31" ht="13.5" customHeight="1" x14ac:dyDescent="0.15">
      <c r="A67" s="80" t="s">
        <v>188</v>
      </c>
      <c r="B67" s="211" t="str">
        <f>Settings!$C$6</f>
        <v>CAD</v>
      </c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676"/>
      <c r="AA67" s="676"/>
      <c r="AB67" s="543"/>
      <c r="AC67" s="436"/>
      <c r="AD67" s="436"/>
      <c r="AE67" s="436"/>
    </row>
    <row r="68" spans="1:31" ht="13.5" customHeight="1" x14ac:dyDescent="0.15">
      <c r="A68" s="80" t="s">
        <v>189</v>
      </c>
      <c r="B68" s="211" t="str">
        <f>Settings!$C$6</f>
        <v>CAD</v>
      </c>
      <c r="C68" s="436"/>
      <c r="D68" s="436"/>
      <c r="E68" s="436"/>
      <c r="F68" s="436"/>
      <c r="G68" s="436"/>
      <c r="H68" s="436"/>
      <c r="I68" s="436"/>
      <c r="J68" s="436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676"/>
      <c r="AA68" s="676"/>
      <c r="AB68" s="543"/>
      <c r="AC68" s="436"/>
      <c r="AD68" s="436"/>
      <c r="AE68" s="436"/>
    </row>
    <row r="69" spans="1:31" s="407" customFormat="1" ht="13.5" customHeight="1" x14ac:dyDescent="0.15">
      <c r="A69" s="425" t="s">
        <v>190</v>
      </c>
      <c r="B69" s="417" t="str">
        <f>Settings!$C$6</f>
        <v>CAD</v>
      </c>
      <c r="C69" s="444">
        <f t="shared" ref="C69:T69" si="76">SUM(C65:C68)</f>
        <v>0</v>
      </c>
      <c r="D69" s="444">
        <f t="shared" si="76"/>
        <v>0</v>
      </c>
      <c r="E69" s="444">
        <f t="shared" si="76"/>
        <v>0</v>
      </c>
      <c r="F69" s="444">
        <f t="shared" si="76"/>
        <v>0</v>
      </c>
      <c r="G69" s="444">
        <f t="shared" si="76"/>
        <v>0</v>
      </c>
      <c r="H69" s="444">
        <f t="shared" si="76"/>
        <v>0</v>
      </c>
      <c r="I69" s="444">
        <f t="shared" si="76"/>
        <v>0</v>
      </c>
      <c r="J69" s="444">
        <f t="shared" si="76"/>
        <v>0</v>
      </c>
      <c r="K69" s="444">
        <f t="shared" si="76"/>
        <v>0</v>
      </c>
      <c r="L69" s="444">
        <f t="shared" si="76"/>
        <v>0</v>
      </c>
      <c r="M69" s="444">
        <f t="shared" si="76"/>
        <v>0</v>
      </c>
      <c r="N69" s="444">
        <f t="shared" si="76"/>
        <v>0</v>
      </c>
      <c r="O69" s="444">
        <f t="shared" si="76"/>
        <v>0</v>
      </c>
      <c r="P69" s="444">
        <f t="shared" si="76"/>
        <v>0</v>
      </c>
      <c r="Q69" s="444">
        <f t="shared" si="76"/>
        <v>0</v>
      </c>
      <c r="R69" s="444">
        <f t="shared" si="76"/>
        <v>0</v>
      </c>
      <c r="S69" s="444">
        <f t="shared" si="76"/>
        <v>0</v>
      </c>
      <c r="T69" s="444">
        <f t="shared" si="76"/>
        <v>0</v>
      </c>
      <c r="U69" s="444">
        <f t="shared" ref="U69:X69" si="77">SUM(U65:U68)</f>
        <v>0</v>
      </c>
      <c r="V69" s="444">
        <f t="shared" si="77"/>
        <v>0</v>
      </c>
      <c r="W69" s="444">
        <f t="shared" si="77"/>
        <v>0</v>
      </c>
      <c r="X69" s="444">
        <f t="shared" si="77"/>
        <v>0</v>
      </c>
      <c r="Y69" s="444">
        <f t="shared" ref="Y69:Z69" si="78">SUM(Y65:Y68)</f>
        <v>0</v>
      </c>
      <c r="Z69" s="675">
        <f t="shared" ref="Z69:AA69" si="79">SUM(Z65:Z68)</f>
        <v>0</v>
      </c>
      <c r="AA69" s="675">
        <f t="shared" si="79"/>
        <v>0</v>
      </c>
      <c r="AB69" s="542"/>
      <c r="AC69" s="444">
        <f>SUM(AC65:AC68)</f>
        <v>0</v>
      </c>
      <c r="AD69" s="444">
        <f>SUM(AD65:AD68)</f>
        <v>0</v>
      </c>
      <c r="AE69" s="444">
        <f>SUM(AE65:AE68)</f>
        <v>0</v>
      </c>
    </row>
    <row r="70" spans="1:31" ht="16.5" customHeight="1" x14ac:dyDescent="0.15">
      <c r="A70" s="80"/>
      <c r="B70" s="211" t="str">
        <f>Settings!$C$6</f>
        <v>CAD</v>
      </c>
      <c r="C70" s="429"/>
      <c r="D70" s="429"/>
      <c r="E70" s="429"/>
      <c r="F70" s="429"/>
      <c r="G70" s="429"/>
      <c r="H70" s="429"/>
      <c r="I70" s="429"/>
      <c r="J70" s="429"/>
      <c r="K70" s="429"/>
      <c r="L70" s="429"/>
      <c r="M70" s="429"/>
      <c r="N70" s="429"/>
      <c r="O70" s="429"/>
      <c r="P70" s="429"/>
      <c r="Q70" s="429"/>
      <c r="R70" s="429"/>
      <c r="S70" s="429"/>
      <c r="T70" s="429"/>
      <c r="U70" s="429"/>
      <c r="V70" s="429"/>
      <c r="W70" s="429"/>
      <c r="X70" s="429"/>
      <c r="Y70" s="429"/>
      <c r="Z70" s="672"/>
      <c r="AA70" s="672"/>
      <c r="AB70" s="552"/>
      <c r="AC70" s="429"/>
      <c r="AD70" s="429"/>
      <c r="AE70" s="429"/>
    </row>
    <row r="71" spans="1:31" s="407" customFormat="1" ht="13.5" customHeight="1" x14ac:dyDescent="0.15">
      <c r="A71" s="447" t="s">
        <v>191</v>
      </c>
      <c r="B71" s="448" t="str">
        <f>Settings!$C$6</f>
        <v>CAD</v>
      </c>
      <c r="C71" s="453" t="e">
        <f t="shared" ref="C71:T71" si="80">SUM(C63,C69)</f>
        <v>#REF!</v>
      </c>
      <c r="D71" s="453" t="e">
        <f t="shared" si="80"/>
        <v>#REF!</v>
      </c>
      <c r="E71" s="453" t="e">
        <f t="shared" si="80"/>
        <v>#REF!</v>
      </c>
      <c r="F71" s="453" t="e">
        <f t="shared" si="80"/>
        <v>#REF!</v>
      </c>
      <c r="G71" s="453" t="e">
        <f t="shared" si="80"/>
        <v>#REF!</v>
      </c>
      <c r="H71" s="453">
        <f t="shared" si="80"/>
        <v>7524.6407999999992</v>
      </c>
      <c r="I71" s="453">
        <f t="shared" si="80"/>
        <v>39676.381600000001</v>
      </c>
      <c r="J71" s="453">
        <f t="shared" si="80"/>
        <v>102501.99614999999</v>
      </c>
      <c r="K71" s="453">
        <f t="shared" si="80"/>
        <v>167987.05395</v>
      </c>
      <c r="L71" s="453">
        <f t="shared" si="80"/>
        <v>219797.68025000003</v>
      </c>
      <c r="M71" s="453">
        <f t="shared" si="80"/>
        <v>275202.83480000001</v>
      </c>
      <c r="N71" s="453">
        <f t="shared" si="80"/>
        <v>325424.54010000004</v>
      </c>
      <c r="O71" s="453">
        <f t="shared" si="80"/>
        <v>365739.01190000004</v>
      </c>
      <c r="P71" s="453">
        <f t="shared" si="80"/>
        <v>403910.34770000004</v>
      </c>
      <c r="Q71" s="453">
        <f t="shared" si="80"/>
        <v>468661.75700000004</v>
      </c>
      <c r="R71" s="453">
        <f t="shared" si="80"/>
        <v>555731.59155000001</v>
      </c>
      <c r="S71" s="453">
        <f t="shared" si="80"/>
        <v>619473.12285000004</v>
      </c>
      <c r="T71" s="453">
        <f t="shared" si="80"/>
        <v>725864.46389999997</v>
      </c>
      <c r="U71" s="453">
        <f t="shared" ref="U71:X71" si="81">SUM(U63,U69)</f>
        <v>830078.23219999997</v>
      </c>
      <c r="V71" s="453">
        <f t="shared" si="81"/>
        <v>858967.82393750001</v>
      </c>
      <c r="W71" s="453">
        <f t="shared" si="81"/>
        <v>893238.45098750002</v>
      </c>
      <c r="X71" s="453">
        <f t="shared" si="81"/>
        <v>869525.41397500003</v>
      </c>
      <c r="Y71" s="453">
        <f t="shared" ref="Y71:Z71" si="82">SUM(Y63,Y69)</f>
        <v>996637.98227500007</v>
      </c>
      <c r="Z71" s="681">
        <f t="shared" ref="Z71:AA71" si="83">SUM(Z63,Z69)</f>
        <v>1123058.9605750002</v>
      </c>
      <c r="AA71" s="681">
        <f t="shared" si="83"/>
        <v>1230621.1645</v>
      </c>
      <c r="AB71" s="541"/>
      <c r="AC71" s="453">
        <f>SUM(AC63,AC69)</f>
        <v>1431843.0348999999</v>
      </c>
      <c r="AD71" s="453">
        <f>SUM(AD63,AD69)</f>
        <v>1631372.0331999999</v>
      </c>
      <c r="AE71" s="453">
        <f>SUM(AE63,AE69)</f>
        <v>1750919.5449375</v>
      </c>
    </row>
    <row r="72" spans="1:31" s="407" customFormat="1" ht="13.5" customHeight="1" x14ac:dyDescent="0.15">
      <c r="A72" s="406"/>
      <c r="B72" s="417" t="str">
        <f>Settings!$C$6</f>
        <v>CAD</v>
      </c>
      <c r="C72" s="418"/>
      <c r="D72" s="418"/>
      <c r="E72" s="418"/>
      <c r="F72" s="418"/>
      <c r="G72" s="418"/>
      <c r="H72" s="418"/>
      <c r="I72" s="418"/>
      <c r="J72" s="418"/>
      <c r="K72" s="418"/>
      <c r="L72" s="418"/>
      <c r="M72" s="418"/>
      <c r="N72" s="418"/>
      <c r="O72" s="418"/>
      <c r="P72" s="418"/>
      <c r="Q72" s="418"/>
      <c r="R72" s="418"/>
      <c r="S72" s="418"/>
      <c r="T72" s="418"/>
      <c r="U72" s="418"/>
      <c r="V72" s="418"/>
      <c r="W72" s="418"/>
      <c r="X72" s="418"/>
      <c r="Y72" s="418"/>
      <c r="Z72" s="667"/>
      <c r="AA72" s="667"/>
      <c r="AB72" s="542"/>
      <c r="AC72" s="418"/>
      <c r="AD72" s="418"/>
      <c r="AE72" s="418"/>
    </row>
    <row r="73" spans="1:31" s="407" customFormat="1" ht="13.5" customHeight="1" x14ac:dyDescent="0.15">
      <c r="A73" s="406" t="s">
        <v>192</v>
      </c>
      <c r="B73" s="417" t="str">
        <f>Settings!$C$6</f>
        <v>CAD</v>
      </c>
      <c r="C73" s="418">
        <v>0</v>
      </c>
      <c r="D73" s="418">
        <f>C73+D91/(1-Settings!$C$23)-D91</f>
        <v>0</v>
      </c>
      <c r="E73" s="418">
        <f>D73+E91/(1-Settings!$C$23)-E91</f>
        <v>0</v>
      </c>
      <c r="F73" s="418">
        <f>E73+F91/(1-Settings!$C$23)-F91</f>
        <v>0</v>
      </c>
      <c r="G73" s="418">
        <f>F73+G91/(1-Settings!$C$23)-G91</f>
        <v>0</v>
      </c>
      <c r="H73" s="418">
        <f>G73+H91/(1-Settings!$C$23)-H91</f>
        <v>0</v>
      </c>
      <c r="I73" s="418">
        <f>H73+I91/(1-Settings!$C$23)-I91</f>
        <v>0</v>
      </c>
      <c r="J73" s="418">
        <f>I73+J91/(1-Settings!$C$23)-J91</f>
        <v>0</v>
      </c>
      <c r="K73" s="418">
        <f>J73+K91/(1-Settings!$C$23)-K91</f>
        <v>0</v>
      </c>
      <c r="L73" s="418">
        <f>K73+L91/(1-Settings!$C$23)-L91</f>
        <v>0</v>
      </c>
      <c r="M73" s="418">
        <f>L73+M91/(1-Settings!$C$23)-M91</f>
        <v>0</v>
      </c>
      <c r="N73" s="418">
        <f>M73+N91/(1-Settings!$C$23)-N91</f>
        <v>0</v>
      </c>
      <c r="O73" s="418">
        <f>N73+O91/(1-Settings!$C$23)-O91</f>
        <v>0</v>
      </c>
      <c r="P73" s="418">
        <f>O73+P91/(1-Settings!$C$23)-P91</f>
        <v>0</v>
      </c>
      <c r="Q73" s="418">
        <f>P73+Q91/(1-Settings!$C$23)-Q91</f>
        <v>0</v>
      </c>
      <c r="R73" s="418">
        <f>Q73+R91/(1-Settings!$C$23)-R91</f>
        <v>0</v>
      </c>
      <c r="S73" s="418">
        <f>R73+S91/(1-Settings!$C$23)-S91</f>
        <v>0</v>
      </c>
      <c r="T73" s="418">
        <f>S73+T91/(1-Settings!$C$23)-T91</f>
        <v>0</v>
      </c>
      <c r="U73" s="418">
        <f>T73+U91/(1-Settings!$C$23)-U91</f>
        <v>0</v>
      </c>
      <c r="V73" s="418">
        <f>U73+V91/(1-Settings!$C$23)-V91</f>
        <v>0</v>
      </c>
      <c r="W73" s="418">
        <f>V73+W91/(1-Settings!$C$23)-W91</f>
        <v>0</v>
      </c>
      <c r="X73" s="418">
        <f>W73+X91/(1-Settings!$C$23)-X91</f>
        <v>0</v>
      </c>
      <c r="Y73" s="418">
        <f>X73+Y91/(1-Settings!$C$23)-Y91</f>
        <v>0</v>
      </c>
      <c r="Z73" s="667">
        <f>Y73+Z91/(1-Settings!$C$23)-Z91</f>
        <v>0</v>
      </c>
      <c r="AA73" s="667">
        <f>Z73+AA91/(1-Settings!$C$23)-AA91</f>
        <v>0</v>
      </c>
      <c r="AB73" s="542"/>
      <c r="AC73" s="418">
        <f>T73+AC91/(1-Settings!$C$23)-AC91</f>
        <v>0</v>
      </c>
      <c r="AD73" s="418">
        <f>U73+AD91/(1-Settings!$C$23)-AD91</f>
        <v>0</v>
      </c>
      <c r="AE73" s="418">
        <f>V73+AE91/(1-Settings!$C$23)-AE91</f>
        <v>0</v>
      </c>
    </row>
    <row r="74" spans="1:31" ht="13.5" customHeight="1" x14ac:dyDescent="0.15">
      <c r="A74" s="438" t="s">
        <v>193</v>
      </c>
      <c r="B74" s="439" t="str">
        <f>Settings!$C$6</f>
        <v>CAD</v>
      </c>
      <c r="C74" s="440">
        <f>'WK+CAPEX'!C33</f>
        <v>0</v>
      </c>
      <c r="D74" s="440">
        <f>'WK+CAPEX'!D33</f>
        <v>0</v>
      </c>
      <c r="E74" s="440">
        <f>'WK+CAPEX'!E33</f>
        <v>0</v>
      </c>
      <c r="F74" s="440">
        <f>'WK+CAPEX'!F33</f>
        <v>0</v>
      </c>
      <c r="G74" s="440">
        <f>'WK+CAPEX'!G33</f>
        <v>0</v>
      </c>
      <c r="H74" s="690">
        <f>H17</f>
        <v>0</v>
      </c>
      <c r="I74" s="690">
        <f t="shared" ref="I74:AA74" si="84">I17</f>
        <v>0</v>
      </c>
      <c r="J74" s="690">
        <f t="shared" si="84"/>
        <v>0</v>
      </c>
      <c r="K74" s="690">
        <f t="shared" si="84"/>
        <v>0</v>
      </c>
      <c r="L74" s="690">
        <f t="shared" si="84"/>
        <v>0</v>
      </c>
      <c r="M74" s="690">
        <f t="shared" si="84"/>
        <v>0</v>
      </c>
      <c r="N74" s="690">
        <f t="shared" si="84"/>
        <v>0</v>
      </c>
      <c r="O74" s="690">
        <f t="shared" si="84"/>
        <v>0</v>
      </c>
      <c r="P74" s="452">
        <f t="shared" si="84"/>
        <v>-1953.87</v>
      </c>
      <c r="Q74" s="452">
        <f t="shared" si="84"/>
        <v>-6268.78</v>
      </c>
      <c r="R74" s="452">
        <f t="shared" si="84"/>
        <v>-5014.46</v>
      </c>
      <c r="S74" s="452">
        <f t="shared" si="84"/>
        <v>-18725.419999999998</v>
      </c>
      <c r="T74" s="452">
        <f t="shared" si="84"/>
        <v>-1836.53</v>
      </c>
      <c r="U74" s="452">
        <f t="shared" si="84"/>
        <v>-9907.32</v>
      </c>
      <c r="V74" s="452">
        <f t="shared" si="84"/>
        <v>-15278.91</v>
      </c>
      <c r="W74" s="452">
        <f t="shared" si="84"/>
        <v>-9511.0499999999993</v>
      </c>
      <c r="X74" s="452">
        <f t="shared" si="84"/>
        <v>-25618.639999999999</v>
      </c>
      <c r="Y74" s="452">
        <f t="shared" si="84"/>
        <v>-23520.99</v>
      </c>
      <c r="Z74" s="691">
        <f t="shared" ref="Z74:AA74" si="85">Z17</f>
        <v>0</v>
      </c>
      <c r="AA74" s="691">
        <f t="shared" si="85"/>
        <v>0</v>
      </c>
      <c r="AB74" s="543"/>
      <c r="AC74" s="440">
        <f>SUM(H74:T74)</f>
        <v>-33799.06</v>
      </c>
      <c r="AD74" s="440">
        <f>SUM(I74:U74)</f>
        <v>-43706.38</v>
      </c>
      <c r="AE74" s="440">
        <f>SUM(J74:V74)</f>
        <v>-58985.289999999994</v>
      </c>
    </row>
    <row r="75" spans="1:31" ht="13.5" customHeight="1" x14ac:dyDescent="0.15">
      <c r="A75" s="80" t="s">
        <v>239</v>
      </c>
      <c r="B75" s="211" t="str">
        <f>Settings!$C$6</f>
        <v>CAD</v>
      </c>
      <c r="C75" s="436"/>
      <c r="D75" s="436"/>
      <c r="E75" s="436"/>
      <c r="F75" s="436"/>
      <c r="G75" s="436"/>
      <c r="H75" s="418">
        <f>-H18</f>
        <v>-2754.8425000000002</v>
      </c>
      <c r="I75" s="418">
        <f t="shared" ref="I75:AA75" si="86">-I18</f>
        <v>-10045.595000000001</v>
      </c>
      <c r="J75" s="418">
        <f t="shared" si="86"/>
        <v>-17839.96875</v>
      </c>
      <c r="K75" s="418">
        <f t="shared" si="86"/>
        <v>-16128.325250000002</v>
      </c>
      <c r="L75" s="418">
        <f t="shared" si="86"/>
        <v>-12140.72925</v>
      </c>
      <c r="M75" s="418">
        <f t="shared" si="86"/>
        <v>-14668.104000000001</v>
      </c>
      <c r="N75" s="418">
        <f t="shared" si="86"/>
        <v>-13839.495999999999</v>
      </c>
      <c r="O75" s="418">
        <f t="shared" si="86"/>
        <v>-10813.2875</v>
      </c>
      <c r="P75" s="418">
        <f t="shared" si="86"/>
        <v>-11758.935000000001</v>
      </c>
      <c r="Q75" s="418">
        <f t="shared" si="86"/>
        <v>-21090.757000000001</v>
      </c>
      <c r="R75" s="418">
        <f t="shared" si="86"/>
        <v>-23563.214749999999</v>
      </c>
      <c r="S75" s="418">
        <f t="shared" si="86"/>
        <v>-21851.387750000002</v>
      </c>
      <c r="T75" s="418">
        <f t="shared" si="86"/>
        <v>-26583.65</v>
      </c>
      <c r="U75" s="418">
        <f t="shared" si="86"/>
        <v>-32710.075000000001</v>
      </c>
      <c r="V75" s="418">
        <f t="shared" si="86"/>
        <v>-31700</v>
      </c>
      <c r="W75" s="418">
        <f t="shared" si="86"/>
        <v>-3165.6012500000002</v>
      </c>
      <c r="X75" s="418">
        <f t="shared" si="86"/>
        <v>-28009.725000000002</v>
      </c>
      <c r="Y75" s="418">
        <f t="shared" si="86"/>
        <v>-37335.75</v>
      </c>
      <c r="Z75" s="682">
        <f t="shared" ref="Z75:AA75" si="87">-Z18</f>
        <v>-39998.0625</v>
      </c>
      <c r="AA75" s="682">
        <f t="shared" si="87"/>
        <v>-40998.014062499999</v>
      </c>
      <c r="AB75" s="543"/>
      <c r="AC75" s="418">
        <f>SUM(H75:T75)</f>
        <v>-203078.29274999999</v>
      </c>
      <c r="AD75" s="418">
        <f>SUM(I75:U75)</f>
        <v>-233033.52525000001</v>
      </c>
      <c r="AE75" s="418">
        <f>SUM(J75:V75)</f>
        <v>-254687.93025</v>
      </c>
    </row>
    <row r="76" spans="1:31" ht="13.5" customHeight="1" x14ac:dyDescent="0.15">
      <c r="A76" s="80" t="s">
        <v>194</v>
      </c>
      <c r="B76" s="211" t="str">
        <f>Settings!$C$6</f>
        <v>CAD</v>
      </c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676"/>
      <c r="AA76" s="676"/>
      <c r="AB76" s="543"/>
      <c r="AC76" s="436"/>
      <c r="AD76" s="436"/>
      <c r="AE76" s="436"/>
    </row>
    <row r="77" spans="1:31" s="407" customFormat="1" ht="13.5" customHeight="1" x14ac:dyDescent="0.15">
      <c r="A77" s="454" t="s">
        <v>195</v>
      </c>
      <c r="B77" s="451" t="str">
        <f>Settings!$C$6</f>
        <v>CAD</v>
      </c>
      <c r="C77" s="455">
        <f t="shared" ref="C77:T77" si="88">SUM(C73:C76)</f>
        <v>0</v>
      </c>
      <c r="D77" s="455">
        <f t="shared" si="88"/>
        <v>0</v>
      </c>
      <c r="E77" s="455">
        <f t="shared" si="88"/>
        <v>0</v>
      </c>
      <c r="F77" s="455">
        <f t="shared" si="88"/>
        <v>0</v>
      </c>
      <c r="G77" s="455">
        <f t="shared" si="88"/>
        <v>0</v>
      </c>
      <c r="H77" s="455">
        <f t="shared" si="88"/>
        <v>-2754.8425000000002</v>
      </c>
      <c r="I77" s="455">
        <f t="shared" si="88"/>
        <v>-10045.595000000001</v>
      </c>
      <c r="J77" s="455">
        <f t="shared" si="88"/>
        <v>-17839.96875</v>
      </c>
      <c r="K77" s="455">
        <f t="shared" si="88"/>
        <v>-16128.325250000002</v>
      </c>
      <c r="L77" s="455">
        <f t="shared" si="88"/>
        <v>-12140.72925</v>
      </c>
      <c r="M77" s="455">
        <f t="shared" si="88"/>
        <v>-14668.104000000001</v>
      </c>
      <c r="N77" s="455">
        <f t="shared" si="88"/>
        <v>-13839.495999999999</v>
      </c>
      <c r="O77" s="455">
        <f t="shared" si="88"/>
        <v>-10813.2875</v>
      </c>
      <c r="P77" s="455">
        <f t="shared" si="88"/>
        <v>-13712.805</v>
      </c>
      <c r="Q77" s="455">
        <f t="shared" si="88"/>
        <v>-27359.537</v>
      </c>
      <c r="R77" s="455">
        <f t="shared" si="88"/>
        <v>-28577.674749999998</v>
      </c>
      <c r="S77" s="455">
        <f t="shared" si="88"/>
        <v>-40576.80775</v>
      </c>
      <c r="T77" s="455">
        <f t="shared" si="88"/>
        <v>-28420.18</v>
      </c>
      <c r="U77" s="455">
        <f t="shared" ref="U77:X77" si="89">SUM(U73:U76)</f>
        <v>-42617.395000000004</v>
      </c>
      <c r="V77" s="455">
        <f t="shared" si="89"/>
        <v>-46978.91</v>
      </c>
      <c r="W77" s="455">
        <f t="shared" si="89"/>
        <v>-12676.651249999999</v>
      </c>
      <c r="X77" s="455">
        <f t="shared" si="89"/>
        <v>-53628.365000000005</v>
      </c>
      <c r="Y77" s="455">
        <f t="shared" ref="Y77:AA77" si="90">SUM(Y73:Y76)</f>
        <v>-60856.740000000005</v>
      </c>
      <c r="Z77" s="683">
        <f t="shared" ref="Z77:AA77" si="91">SUM(Z73:Z76)</f>
        <v>-39998.0625</v>
      </c>
      <c r="AA77" s="683">
        <f t="shared" si="91"/>
        <v>-40998.014062499999</v>
      </c>
      <c r="AB77" s="542"/>
      <c r="AC77" s="455">
        <f>SUM(AC73:AC76)</f>
        <v>-236877.35274999999</v>
      </c>
      <c r="AD77" s="455">
        <f>SUM(AD73:AD76)</f>
        <v>-276739.90525000001</v>
      </c>
      <c r="AE77" s="455">
        <f>SUM(AE73:AE76)</f>
        <v>-313673.22025000001</v>
      </c>
    </row>
    <row r="78" spans="1:31" ht="19.5" customHeight="1" x14ac:dyDescent="0.15">
      <c r="A78" s="80"/>
      <c r="B78" s="211" t="str">
        <f>Settings!$C$6</f>
        <v>CAD</v>
      </c>
      <c r="C78" s="429"/>
      <c r="D78" s="429"/>
      <c r="E78" s="429"/>
      <c r="F78" s="429"/>
      <c r="G78" s="429"/>
      <c r="H78" s="429"/>
      <c r="I78" s="429"/>
      <c r="J78" s="429"/>
      <c r="K78" s="429"/>
      <c r="L78" s="429"/>
      <c r="M78" s="429"/>
      <c r="N78" s="429"/>
      <c r="O78" s="429"/>
      <c r="P78" s="429"/>
      <c r="Q78" s="429"/>
      <c r="R78" s="429"/>
      <c r="S78" s="429"/>
      <c r="T78" s="429"/>
      <c r="U78" s="429"/>
      <c r="V78" s="429"/>
      <c r="W78" s="429"/>
      <c r="X78" s="429"/>
      <c r="Y78" s="429"/>
      <c r="Z78" s="672"/>
      <c r="AA78" s="672"/>
      <c r="AB78" s="552"/>
      <c r="AC78" s="429"/>
      <c r="AD78" s="429"/>
      <c r="AE78" s="429"/>
    </row>
    <row r="79" spans="1:31" s="407" customFormat="1" ht="13.5" customHeight="1" x14ac:dyDescent="0.15">
      <c r="A79" s="406" t="s">
        <v>196</v>
      </c>
      <c r="B79" s="417" t="str">
        <f>Settings!$C$6</f>
        <v>CAD</v>
      </c>
      <c r="C79" s="418">
        <f>C91</f>
        <v>0</v>
      </c>
      <c r="D79" s="418">
        <f t="shared" ref="D79:T79" si="92">C79+D91</f>
        <v>0</v>
      </c>
      <c r="E79" s="418">
        <f t="shared" si="92"/>
        <v>0</v>
      </c>
      <c r="F79" s="418">
        <f t="shared" si="92"/>
        <v>0</v>
      </c>
      <c r="G79" s="418">
        <f t="shared" si="92"/>
        <v>0</v>
      </c>
      <c r="H79" s="418">
        <f>G79+H91</f>
        <v>0</v>
      </c>
      <c r="I79" s="418">
        <f t="shared" si="92"/>
        <v>0</v>
      </c>
      <c r="J79" s="418">
        <f t="shared" si="92"/>
        <v>0</v>
      </c>
      <c r="K79" s="418">
        <f t="shared" si="92"/>
        <v>0</v>
      </c>
      <c r="L79" s="418">
        <f t="shared" si="92"/>
        <v>0</v>
      </c>
      <c r="M79" s="418">
        <f t="shared" si="92"/>
        <v>0</v>
      </c>
      <c r="N79" s="418">
        <f t="shared" si="92"/>
        <v>0</v>
      </c>
      <c r="O79" s="418">
        <f t="shared" si="92"/>
        <v>0</v>
      </c>
      <c r="P79" s="418">
        <f t="shared" si="92"/>
        <v>0</v>
      </c>
      <c r="Q79" s="418">
        <f t="shared" si="92"/>
        <v>0</v>
      </c>
      <c r="R79" s="418">
        <f t="shared" si="92"/>
        <v>0</v>
      </c>
      <c r="S79" s="418">
        <f t="shared" si="92"/>
        <v>0</v>
      </c>
      <c r="T79" s="418">
        <f t="shared" si="92"/>
        <v>0</v>
      </c>
      <c r="U79" s="418">
        <f t="shared" ref="U79" si="93">T79+U91</f>
        <v>0</v>
      </c>
      <c r="V79" s="418">
        <f t="shared" ref="V79" si="94">U79+V91</f>
        <v>0</v>
      </c>
      <c r="W79" s="418">
        <f t="shared" ref="W79" si="95">V79+W91</f>
        <v>0</v>
      </c>
      <c r="X79" s="418">
        <f t="shared" ref="X79" si="96">W79+X91</f>
        <v>0</v>
      </c>
      <c r="Y79" s="418">
        <f t="shared" ref="Y79:AA79" si="97">X79+Y91</f>
        <v>0</v>
      </c>
      <c r="Z79" s="667">
        <f t="shared" ref="Z79" si="98">Y79+Z91</f>
        <v>0</v>
      </c>
      <c r="AA79" s="667">
        <f t="shared" ref="AA79" si="99">Z79+AA91</f>
        <v>0</v>
      </c>
      <c r="AB79" s="542"/>
      <c r="AC79" s="418">
        <f>SUM(H79:T79)</f>
        <v>0</v>
      </c>
      <c r="AD79" s="418">
        <f>SUM(I79:U79)</f>
        <v>0</v>
      </c>
      <c r="AE79" s="418">
        <f>SUM(J79:V79)</f>
        <v>0</v>
      </c>
    </row>
    <row r="80" spans="1:31" s="407" customFormat="1" ht="13.5" customHeight="1" x14ac:dyDescent="0.15">
      <c r="A80" s="406" t="s">
        <v>197</v>
      </c>
      <c r="B80" s="417" t="str">
        <f>Settings!$C$6</f>
        <v>CAD</v>
      </c>
      <c r="C80" s="418" t="e">
        <f t="shared" ref="C80:T80" si="100">C52</f>
        <v>#REF!</v>
      </c>
      <c r="D80" s="418" t="e">
        <f t="shared" si="100"/>
        <v>#REF!</v>
      </c>
      <c r="E80" s="418" t="e">
        <f t="shared" si="100"/>
        <v>#REF!</v>
      </c>
      <c r="F80" s="418" t="e">
        <f t="shared" si="100"/>
        <v>#REF!</v>
      </c>
      <c r="G80" s="418" t="e">
        <f t="shared" si="100"/>
        <v>#REF!</v>
      </c>
      <c r="H80" s="418">
        <f t="shared" si="100"/>
        <v>10279.4833</v>
      </c>
      <c r="I80" s="418">
        <f t="shared" si="100"/>
        <v>39442.493300000002</v>
      </c>
      <c r="J80" s="418">
        <f t="shared" si="100"/>
        <v>70619.988299999997</v>
      </c>
      <c r="K80" s="418">
        <f t="shared" si="100"/>
        <v>63773.414300000004</v>
      </c>
      <c r="L80" s="418">
        <f t="shared" si="100"/>
        <v>47823.030299999999</v>
      </c>
      <c r="M80" s="418">
        <f t="shared" si="100"/>
        <v>57932.529300000002</v>
      </c>
      <c r="N80" s="418">
        <f t="shared" si="100"/>
        <v>49393.097299999994</v>
      </c>
      <c r="O80" s="418">
        <f t="shared" si="100"/>
        <v>37288.263299999999</v>
      </c>
      <c r="P80" s="418">
        <f t="shared" si="100"/>
        <v>41070.853300000002</v>
      </c>
      <c r="Q80" s="418">
        <f t="shared" si="100"/>
        <v>78398.141300000003</v>
      </c>
      <c r="R80" s="418">
        <f t="shared" si="100"/>
        <v>88287.972299999994</v>
      </c>
      <c r="S80" s="418">
        <f t="shared" si="100"/>
        <v>75740.664300000004</v>
      </c>
      <c r="T80" s="418">
        <f t="shared" si="100"/>
        <v>94234.713300000003</v>
      </c>
      <c r="U80" s="418">
        <f t="shared" ref="U80:X80" si="101">U52</f>
        <v>118410.98330000001</v>
      </c>
      <c r="V80" s="418">
        <f t="shared" si="101"/>
        <v>33251.106737499998</v>
      </c>
      <c r="W80" s="418">
        <f t="shared" si="101"/>
        <v>-31.631699999996272</v>
      </c>
      <c r="X80" s="418">
        <f t="shared" si="101"/>
        <v>17238.676737500005</v>
      </c>
      <c r="Y80" s="418">
        <f t="shared" ref="Y80:Z80" si="102">Y52</f>
        <v>134340.94330000001</v>
      </c>
      <c r="Z80" s="667">
        <f t="shared" ref="Z80:AA80" si="103">Z52</f>
        <v>105562.3008</v>
      </c>
      <c r="AA80" s="667">
        <f t="shared" si="103"/>
        <v>108562.15548749999</v>
      </c>
      <c r="AB80" s="542"/>
      <c r="AC80" s="418">
        <f>+T80</f>
        <v>94234.713300000003</v>
      </c>
      <c r="AD80" s="418">
        <f>+U80</f>
        <v>118410.98330000001</v>
      </c>
      <c r="AE80" s="418">
        <f>+V80</f>
        <v>33251.106737499998</v>
      </c>
    </row>
    <row r="81" spans="1:31" s="407" customFormat="1" ht="13.5" customHeight="1" x14ac:dyDescent="0.15">
      <c r="A81" s="406" t="s">
        <v>198</v>
      </c>
      <c r="B81" s="417" t="str">
        <f>Settings!$C$6</f>
        <v>CAD</v>
      </c>
      <c r="C81" s="418">
        <v>0</v>
      </c>
      <c r="D81" s="418" t="e">
        <f t="shared" ref="D81:T81" si="104">SUM(C80:C81)-D100</f>
        <v>#REF!</v>
      </c>
      <c r="E81" s="418" t="e">
        <f t="shared" si="104"/>
        <v>#REF!</v>
      </c>
      <c r="F81" s="418" t="e">
        <f t="shared" si="104"/>
        <v>#REF!</v>
      </c>
      <c r="G81" s="418" t="e">
        <f t="shared" si="104"/>
        <v>#REF!</v>
      </c>
      <c r="H81" s="418">
        <v>0</v>
      </c>
      <c r="I81" s="418">
        <f t="shared" si="104"/>
        <v>10279.4833</v>
      </c>
      <c r="J81" s="418">
        <f t="shared" si="104"/>
        <v>49721.976600000002</v>
      </c>
      <c r="K81" s="418">
        <f t="shared" si="104"/>
        <v>120341.96489999999</v>
      </c>
      <c r="L81" s="418">
        <f t="shared" si="104"/>
        <v>184115.3792</v>
      </c>
      <c r="M81" s="418">
        <f t="shared" si="104"/>
        <v>231938.40950000001</v>
      </c>
      <c r="N81" s="418">
        <f t="shared" si="104"/>
        <v>289870.9388</v>
      </c>
      <c r="O81" s="418">
        <f t="shared" si="104"/>
        <v>339264.03610000003</v>
      </c>
      <c r="P81" s="418">
        <f t="shared" si="104"/>
        <v>376552.29940000002</v>
      </c>
      <c r="Q81" s="418">
        <f t="shared" si="104"/>
        <v>417623.15270000004</v>
      </c>
      <c r="R81" s="418">
        <f t="shared" si="104"/>
        <v>496021.29400000005</v>
      </c>
      <c r="S81" s="418">
        <f t="shared" si="104"/>
        <v>584309.26630000002</v>
      </c>
      <c r="T81" s="418">
        <f t="shared" si="104"/>
        <v>660049.93060000008</v>
      </c>
      <c r="U81" s="418">
        <f t="shared" ref="U81" si="105">SUM(T80:T81)-U100</f>
        <v>754284.64390000002</v>
      </c>
      <c r="V81" s="418">
        <f t="shared" ref="V81" si="106">SUM(U80:U81)-V100</f>
        <v>872695.62719999999</v>
      </c>
      <c r="W81" s="418">
        <f t="shared" ref="W81" si="107">SUM(V80:V81)-W100</f>
        <v>905946.73393750004</v>
      </c>
      <c r="X81" s="418">
        <f t="shared" ref="X81" si="108">SUM(W80:W81)-X100</f>
        <v>905915.10223750002</v>
      </c>
      <c r="Y81" s="418">
        <f t="shared" ref="Y81:AA81" si="109">SUM(X80:X81)-Y100</f>
        <v>923153.77897500002</v>
      </c>
      <c r="Z81" s="667">
        <f t="shared" ref="Z81" si="110">SUM(Y80:Y81)-Z100</f>
        <v>1057494.7222750001</v>
      </c>
      <c r="AA81" s="667">
        <f t="shared" ref="AA81" si="111">SUM(Z80:Z81)-AA100</f>
        <v>1163057.0230750002</v>
      </c>
      <c r="AB81" s="542"/>
      <c r="AC81" s="418">
        <f>+T81</f>
        <v>660049.93060000008</v>
      </c>
      <c r="AD81" s="418">
        <f>+U81</f>
        <v>754284.64390000002</v>
      </c>
      <c r="AE81" s="418">
        <f>+V81</f>
        <v>872695.62719999999</v>
      </c>
    </row>
    <row r="82" spans="1:31" s="407" customFormat="1" ht="13.5" customHeight="1" x14ac:dyDescent="0.15">
      <c r="A82" s="425" t="s">
        <v>199</v>
      </c>
      <c r="B82" s="417" t="str">
        <f>Settings!$C$6</f>
        <v>CAD</v>
      </c>
      <c r="C82" s="444" t="e">
        <f t="shared" ref="C82:T82" si="112">SUM(C78:C81)</f>
        <v>#REF!</v>
      </c>
      <c r="D82" s="444" t="e">
        <f t="shared" si="112"/>
        <v>#REF!</v>
      </c>
      <c r="E82" s="444" t="e">
        <f t="shared" si="112"/>
        <v>#REF!</v>
      </c>
      <c r="F82" s="444" t="e">
        <f t="shared" si="112"/>
        <v>#REF!</v>
      </c>
      <c r="G82" s="444" t="e">
        <f t="shared" si="112"/>
        <v>#REF!</v>
      </c>
      <c r="H82" s="444">
        <f t="shared" si="112"/>
        <v>10279.4833</v>
      </c>
      <c r="I82" s="444">
        <f t="shared" si="112"/>
        <v>49721.976600000002</v>
      </c>
      <c r="J82" s="444">
        <f t="shared" si="112"/>
        <v>120341.96489999999</v>
      </c>
      <c r="K82" s="444">
        <f t="shared" si="112"/>
        <v>184115.3792</v>
      </c>
      <c r="L82" s="444">
        <f t="shared" si="112"/>
        <v>231938.40950000001</v>
      </c>
      <c r="M82" s="444">
        <f t="shared" si="112"/>
        <v>289870.9388</v>
      </c>
      <c r="N82" s="444">
        <f t="shared" si="112"/>
        <v>339264.03610000003</v>
      </c>
      <c r="O82" s="444">
        <f t="shared" si="112"/>
        <v>376552.29940000002</v>
      </c>
      <c r="P82" s="444">
        <f t="shared" si="112"/>
        <v>417623.15270000004</v>
      </c>
      <c r="Q82" s="444">
        <f t="shared" si="112"/>
        <v>496021.29400000005</v>
      </c>
      <c r="R82" s="444">
        <f t="shared" si="112"/>
        <v>584309.26630000002</v>
      </c>
      <c r="S82" s="444">
        <f t="shared" si="112"/>
        <v>660049.93060000008</v>
      </c>
      <c r="T82" s="444">
        <f t="shared" si="112"/>
        <v>754284.64390000002</v>
      </c>
      <c r="U82" s="444">
        <f t="shared" ref="U82:X82" si="113">SUM(U78:U81)</f>
        <v>872695.62719999999</v>
      </c>
      <c r="V82" s="444">
        <f t="shared" si="113"/>
        <v>905946.73393750004</v>
      </c>
      <c r="W82" s="444">
        <f t="shared" si="113"/>
        <v>905915.10223750002</v>
      </c>
      <c r="X82" s="444">
        <f t="shared" si="113"/>
        <v>923153.77897500002</v>
      </c>
      <c r="Y82" s="444">
        <f t="shared" ref="Y82:Z82" si="114">SUM(Y78:Y81)</f>
        <v>1057494.7222750001</v>
      </c>
      <c r="Z82" s="675">
        <f t="shared" ref="Z82:AA82" si="115">SUM(Z78:Z81)</f>
        <v>1163057.0230750002</v>
      </c>
      <c r="AA82" s="675">
        <f t="shared" si="115"/>
        <v>1271619.1785625</v>
      </c>
      <c r="AB82" s="542"/>
      <c r="AC82" s="444">
        <f>SUM(AC78:AC81)</f>
        <v>754284.64390000002</v>
      </c>
      <c r="AD82" s="444">
        <f>SUM(AD78:AD81)</f>
        <v>872695.62719999999</v>
      </c>
      <c r="AE82" s="444">
        <f>SUM(AE78:AE81)</f>
        <v>905946.73393750004</v>
      </c>
    </row>
    <row r="83" spans="1:31" ht="18" customHeight="1" x14ac:dyDescent="0.15">
      <c r="A83" s="80"/>
      <c r="B83" s="211" t="str">
        <f>Settings!$C$6</f>
        <v>CAD</v>
      </c>
      <c r="C83" s="429"/>
      <c r="D83" s="429"/>
      <c r="E83" s="429"/>
      <c r="F83" s="429"/>
      <c r="G83" s="429"/>
      <c r="H83" s="429"/>
      <c r="I83" s="429"/>
      <c r="J83" s="429"/>
      <c r="K83" s="429"/>
      <c r="L83" s="429"/>
      <c r="M83" s="429"/>
      <c r="N83" s="429"/>
      <c r="O83" s="429"/>
      <c r="P83" s="429"/>
      <c r="Q83" s="429"/>
      <c r="R83" s="429"/>
      <c r="S83" s="429"/>
      <c r="T83" s="429"/>
      <c r="U83" s="429"/>
      <c r="V83" s="429"/>
      <c r="W83" s="429"/>
      <c r="X83" s="429"/>
      <c r="Y83" s="429"/>
      <c r="Z83" s="672"/>
      <c r="AA83" s="672"/>
      <c r="AB83" s="552"/>
      <c r="AC83" s="429"/>
      <c r="AD83" s="429"/>
      <c r="AE83" s="429"/>
    </row>
    <row r="84" spans="1:31" s="407" customFormat="1" ht="13.5" customHeight="1" x14ac:dyDescent="0.15">
      <c r="A84" s="425" t="s">
        <v>200</v>
      </c>
      <c r="B84" s="417" t="str">
        <f>Settings!$C$6</f>
        <v>CAD</v>
      </c>
      <c r="C84" s="426" t="e">
        <f t="shared" ref="C84:T84" si="116">SUM(C77,C82)</f>
        <v>#REF!</v>
      </c>
      <c r="D84" s="426" t="e">
        <f t="shared" si="116"/>
        <v>#REF!</v>
      </c>
      <c r="E84" s="426" t="e">
        <f t="shared" si="116"/>
        <v>#REF!</v>
      </c>
      <c r="F84" s="426" t="e">
        <f t="shared" si="116"/>
        <v>#REF!</v>
      </c>
      <c r="G84" s="426" t="e">
        <f t="shared" si="116"/>
        <v>#REF!</v>
      </c>
      <c r="H84" s="426">
        <f t="shared" si="116"/>
        <v>7524.6407999999992</v>
      </c>
      <c r="I84" s="426">
        <f t="shared" si="116"/>
        <v>39676.381600000001</v>
      </c>
      <c r="J84" s="426">
        <f t="shared" si="116"/>
        <v>102501.99614999999</v>
      </c>
      <c r="K84" s="426">
        <f t="shared" si="116"/>
        <v>167987.05395</v>
      </c>
      <c r="L84" s="426">
        <f t="shared" si="116"/>
        <v>219797.68025</v>
      </c>
      <c r="M84" s="426">
        <f t="shared" si="116"/>
        <v>275202.83480000001</v>
      </c>
      <c r="N84" s="426">
        <f t="shared" si="116"/>
        <v>325424.54010000004</v>
      </c>
      <c r="O84" s="426">
        <f t="shared" si="116"/>
        <v>365739.01190000004</v>
      </c>
      <c r="P84" s="426">
        <f t="shared" si="116"/>
        <v>403910.34770000004</v>
      </c>
      <c r="Q84" s="426">
        <f t="shared" si="116"/>
        <v>468661.75700000004</v>
      </c>
      <c r="R84" s="426">
        <f t="shared" si="116"/>
        <v>555731.59155000001</v>
      </c>
      <c r="S84" s="426">
        <f t="shared" si="116"/>
        <v>619473.12285000004</v>
      </c>
      <c r="T84" s="426">
        <f t="shared" si="116"/>
        <v>725864.46389999997</v>
      </c>
      <c r="U84" s="426">
        <f t="shared" ref="U84:X84" si="117">SUM(U77,U82)</f>
        <v>830078.23219999997</v>
      </c>
      <c r="V84" s="426">
        <f t="shared" si="117"/>
        <v>858967.82393750001</v>
      </c>
      <c r="W84" s="426">
        <f t="shared" si="117"/>
        <v>893238.45098750002</v>
      </c>
      <c r="X84" s="426">
        <f t="shared" si="117"/>
        <v>869525.41397500003</v>
      </c>
      <c r="Y84" s="426">
        <f t="shared" ref="Y84:Z84" si="118">SUM(Y77,Y82)</f>
        <v>996637.98227500007</v>
      </c>
      <c r="Z84" s="670">
        <f t="shared" ref="Z84:AA84" si="119">SUM(Z77,Z82)</f>
        <v>1123058.9605750002</v>
      </c>
      <c r="AA84" s="670">
        <f t="shared" si="119"/>
        <v>1230621.1645</v>
      </c>
      <c r="AB84" s="541"/>
      <c r="AC84" s="426">
        <f>+AC82+AC77</f>
        <v>517407.29115000006</v>
      </c>
      <c r="AD84" s="426">
        <f>+AD82+AD77</f>
        <v>595955.72194999992</v>
      </c>
      <c r="AE84" s="426">
        <f>+AE82+AE77</f>
        <v>592273.51368750003</v>
      </c>
    </row>
    <row r="85" spans="1:31" ht="13.5" customHeight="1" x14ac:dyDescent="0.15">
      <c r="A85" s="86" t="s">
        <v>201</v>
      </c>
      <c r="B85" s="211"/>
      <c r="C85" s="441" t="e">
        <f t="shared" ref="C85:T85" si="120">C84-C71</f>
        <v>#REF!</v>
      </c>
      <c r="D85" s="441" t="e">
        <f t="shared" si="120"/>
        <v>#REF!</v>
      </c>
      <c r="E85" s="441" t="e">
        <f t="shared" si="120"/>
        <v>#REF!</v>
      </c>
      <c r="F85" s="441" t="e">
        <f t="shared" si="120"/>
        <v>#REF!</v>
      </c>
      <c r="G85" s="441" t="e">
        <f t="shared" si="120"/>
        <v>#REF!</v>
      </c>
      <c r="H85" s="441">
        <f t="shared" si="120"/>
        <v>0</v>
      </c>
      <c r="I85" s="441">
        <f t="shared" si="120"/>
        <v>0</v>
      </c>
      <c r="J85" s="441">
        <f t="shared" si="120"/>
        <v>0</v>
      </c>
      <c r="K85" s="441">
        <f t="shared" si="120"/>
        <v>0</v>
      </c>
      <c r="L85" s="441">
        <f t="shared" si="120"/>
        <v>0</v>
      </c>
      <c r="M85" s="441">
        <f t="shared" si="120"/>
        <v>0</v>
      </c>
      <c r="N85" s="441">
        <f t="shared" si="120"/>
        <v>0</v>
      </c>
      <c r="O85" s="441">
        <f t="shared" si="120"/>
        <v>0</v>
      </c>
      <c r="P85" s="441">
        <f t="shared" si="120"/>
        <v>0</v>
      </c>
      <c r="Q85" s="441">
        <f t="shared" si="120"/>
        <v>0</v>
      </c>
      <c r="R85" s="441">
        <f t="shared" si="120"/>
        <v>0</v>
      </c>
      <c r="S85" s="441">
        <f t="shared" si="120"/>
        <v>0</v>
      </c>
      <c r="T85" s="441">
        <f t="shared" si="120"/>
        <v>0</v>
      </c>
      <c r="U85" s="441">
        <f t="shared" ref="U85:X85" si="121">U84-U71</f>
        <v>0</v>
      </c>
      <c r="V85" s="441">
        <f t="shared" si="121"/>
        <v>0</v>
      </c>
      <c r="W85" s="441">
        <f t="shared" si="121"/>
        <v>0</v>
      </c>
      <c r="X85" s="441">
        <f t="shared" si="121"/>
        <v>0</v>
      </c>
      <c r="Y85" s="441">
        <f t="shared" ref="Y85:Z85" si="122">Y84-Y71</f>
        <v>0</v>
      </c>
      <c r="Z85" s="684">
        <f t="shared" ref="Z85:AA85" si="123">Z84-Z71</f>
        <v>0</v>
      </c>
      <c r="AA85" s="684">
        <f t="shared" si="123"/>
        <v>0</v>
      </c>
      <c r="AB85" s="554"/>
      <c r="AC85" s="441"/>
      <c r="AD85" s="441"/>
      <c r="AE85" s="441"/>
    </row>
    <row r="86" spans="1:31" ht="13.5" customHeight="1" x14ac:dyDescent="0.15">
      <c r="A86" s="80"/>
      <c r="B86" s="211"/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676"/>
      <c r="AA86" s="676"/>
      <c r="AB86" s="543"/>
      <c r="AC86" s="436"/>
      <c r="AD86" s="436"/>
      <c r="AE86" s="436"/>
    </row>
    <row r="87" spans="1:31" ht="13.5" customHeight="1" x14ac:dyDescent="0.15">
      <c r="A87" s="80"/>
      <c r="B87" s="211"/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676"/>
      <c r="AA87" s="676"/>
      <c r="AB87" s="543"/>
      <c r="AC87" s="436"/>
      <c r="AD87" s="436"/>
      <c r="AE87" s="436"/>
    </row>
    <row r="88" spans="1:31" ht="13.5" customHeight="1" thickBot="1" x14ac:dyDescent="0.2">
      <c r="A88" s="212" t="s">
        <v>202</v>
      </c>
      <c r="B88" s="213"/>
      <c r="C88" s="437"/>
      <c r="D88" s="437"/>
      <c r="E88" s="437"/>
      <c r="F88" s="437"/>
      <c r="G88" s="437"/>
      <c r="H88" s="437"/>
      <c r="I88" s="437"/>
      <c r="J88" s="437"/>
      <c r="K88" s="437"/>
      <c r="L88" s="437"/>
      <c r="M88" s="437"/>
      <c r="N88" s="437"/>
      <c r="O88" s="437"/>
      <c r="P88" s="437"/>
      <c r="Q88" s="437"/>
      <c r="R88" s="437"/>
      <c r="S88" s="437"/>
      <c r="T88" s="437"/>
      <c r="U88" s="437"/>
      <c r="V88" s="437"/>
      <c r="W88" s="437"/>
      <c r="X88" s="437"/>
      <c r="Y88" s="437"/>
      <c r="Z88" s="677"/>
      <c r="AA88" s="677"/>
      <c r="AB88" s="553"/>
      <c r="AC88" s="437"/>
      <c r="AD88" s="437"/>
      <c r="AE88" s="437"/>
    </row>
    <row r="89" spans="1:31" ht="15.75" customHeight="1" x14ac:dyDescent="0.15">
      <c r="A89" s="80"/>
      <c r="B89" s="211"/>
      <c r="C89" s="429"/>
      <c r="D89" s="429"/>
      <c r="E89" s="429"/>
      <c r="F89" s="429"/>
      <c r="G89" s="429"/>
      <c r="H89" s="429"/>
      <c r="I89" s="429"/>
      <c r="J89" s="429"/>
      <c r="K89" s="429"/>
      <c r="L89" s="429"/>
      <c r="M89" s="429"/>
      <c r="N89" s="429"/>
      <c r="O89" s="429"/>
      <c r="P89" s="429"/>
      <c r="Q89" s="429"/>
      <c r="R89" s="429"/>
      <c r="S89" s="429"/>
      <c r="T89" s="429"/>
      <c r="U89" s="429"/>
      <c r="V89" s="429"/>
      <c r="W89" s="429"/>
      <c r="X89" s="429"/>
      <c r="Y89" s="429"/>
      <c r="Z89" s="672"/>
      <c r="AA89" s="672"/>
      <c r="AB89" s="552"/>
      <c r="AC89" s="429"/>
      <c r="AD89" s="429"/>
      <c r="AE89" s="429"/>
    </row>
    <row r="90" spans="1:31" s="407" customFormat="1" ht="13.5" customHeight="1" x14ac:dyDescent="0.15">
      <c r="A90" s="406" t="s">
        <v>203</v>
      </c>
      <c r="B90" s="417" t="str">
        <f>Settings!$C$6</f>
        <v>CAD</v>
      </c>
      <c r="C90" s="418">
        <f>Settings!C11</f>
        <v>0</v>
      </c>
      <c r="D90" s="418" t="e">
        <f t="shared" ref="D90:T90" si="124">C101</f>
        <v>#REF!</v>
      </c>
      <c r="E90" s="418" t="e">
        <f t="shared" si="124"/>
        <v>#REF!</v>
      </c>
      <c r="F90" s="418" t="e">
        <f t="shared" si="124"/>
        <v>#REF!</v>
      </c>
      <c r="G90" s="418" t="e">
        <f t="shared" si="124"/>
        <v>#REF!</v>
      </c>
      <c r="H90" s="418">
        <v>0</v>
      </c>
      <c r="I90" s="418">
        <f t="shared" si="124"/>
        <v>10279.4833</v>
      </c>
      <c r="J90" s="418">
        <f t="shared" si="124"/>
        <v>49721.976600000002</v>
      </c>
      <c r="K90" s="418">
        <f t="shared" si="124"/>
        <v>120341.96489999999</v>
      </c>
      <c r="L90" s="418">
        <f t="shared" si="124"/>
        <v>184115.3792</v>
      </c>
      <c r="M90" s="418">
        <f t="shared" si="124"/>
        <v>231938.40950000001</v>
      </c>
      <c r="N90" s="418">
        <f t="shared" si="124"/>
        <v>289870.9388</v>
      </c>
      <c r="O90" s="418">
        <f t="shared" si="124"/>
        <v>339264.03610000003</v>
      </c>
      <c r="P90" s="418">
        <f t="shared" si="124"/>
        <v>376552.29940000002</v>
      </c>
      <c r="Q90" s="418">
        <f t="shared" si="124"/>
        <v>417623.15270000004</v>
      </c>
      <c r="R90" s="418">
        <f t="shared" si="124"/>
        <v>496021.29400000005</v>
      </c>
      <c r="S90" s="418">
        <f t="shared" si="124"/>
        <v>584309.26630000002</v>
      </c>
      <c r="T90" s="418">
        <f t="shared" si="124"/>
        <v>660049.93060000008</v>
      </c>
      <c r="U90" s="418">
        <f t="shared" ref="U90" si="125">T101</f>
        <v>754284.64390000002</v>
      </c>
      <c r="V90" s="418">
        <f t="shared" ref="V90" si="126">U101</f>
        <v>872695.62719999999</v>
      </c>
      <c r="W90" s="418">
        <f t="shared" ref="W90" si="127">V101</f>
        <v>905946.73393750004</v>
      </c>
      <c r="X90" s="418">
        <f t="shared" ref="X90" si="128">W101</f>
        <v>905915.10223750002</v>
      </c>
      <c r="Y90" s="418">
        <f t="shared" ref="Y90:AA90" si="129">X101</f>
        <v>923153.77897500002</v>
      </c>
      <c r="Z90" s="667">
        <f t="shared" ref="Z90" si="130">Y101</f>
        <v>1057494.7222750001</v>
      </c>
      <c r="AA90" s="667">
        <f t="shared" ref="AA90" si="131">Z101</f>
        <v>1163058.0230750002</v>
      </c>
      <c r="AB90" s="542"/>
      <c r="AC90" s="418">
        <f>+H90</f>
        <v>0</v>
      </c>
      <c r="AD90" s="418">
        <f>+I90</f>
        <v>10279.4833</v>
      </c>
      <c r="AE90" s="418">
        <f>+J90</f>
        <v>49721.976600000002</v>
      </c>
    </row>
    <row r="91" spans="1:31" s="407" customFormat="1" ht="13.5" customHeight="1" x14ac:dyDescent="0.15">
      <c r="A91" s="406" t="s">
        <v>204</v>
      </c>
      <c r="B91" s="417" t="str">
        <f>Settings!$C$6</f>
        <v>CAD</v>
      </c>
      <c r="C91" s="418">
        <f t="shared" ref="C91:T91" si="132">SUM(C93)</f>
        <v>0</v>
      </c>
      <c r="D91" s="418">
        <f t="shared" si="132"/>
        <v>0</v>
      </c>
      <c r="E91" s="418">
        <f t="shared" si="132"/>
        <v>0</v>
      </c>
      <c r="F91" s="418">
        <f t="shared" si="132"/>
        <v>0</v>
      </c>
      <c r="G91" s="418">
        <f t="shared" si="132"/>
        <v>0</v>
      </c>
      <c r="H91" s="418">
        <f t="shared" si="132"/>
        <v>0</v>
      </c>
      <c r="I91" s="418">
        <f t="shared" si="132"/>
        <v>0</v>
      </c>
      <c r="J91" s="418">
        <f t="shared" si="132"/>
        <v>0</v>
      </c>
      <c r="K91" s="418">
        <f t="shared" si="132"/>
        <v>0</v>
      </c>
      <c r="L91" s="418">
        <f t="shared" si="132"/>
        <v>0</v>
      </c>
      <c r="M91" s="418">
        <f t="shared" si="132"/>
        <v>0</v>
      </c>
      <c r="N91" s="418">
        <f t="shared" si="132"/>
        <v>0</v>
      </c>
      <c r="O91" s="418">
        <f t="shared" si="132"/>
        <v>0</v>
      </c>
      <c r="P91" s="418">
        <f t="shared" si="132"/>
        <v>0</v>
      </c>
      <c r="Q91" s="418">
        <f t="shared" si="132"/>
        <v>0</v>
      </c>
      <c r="R91" s="418">
        <f t="shared" si="132"/>
        <v>0</v>
      </c>
      <c r="S91" s="418">
        <f t="shared" si="132"/>
        <v>0</v>
      </c>
      <c r="T91" s="418">
        <f t="shared" si="132"/>
        <v>0</v>
      </c>
      <c r="U91" s="418">
        <f t="shared" ref="U91:X91" si="133">SUM(U93)</f>
        <v>0</v>
      </c>
      <c r="V91" s="418">
        <f t="shared" si="133"/>
        <v>0</v>
      </c>
      <c r="W91" s="418">
        <f t="shared" si="133"/>
        <v>0</v>
      </c>
      <c r="X91" s="418">
        <f t="shared" si="133"/>
        <v>0</v>
      </c>
      <c r="Y91" s="418">
        <f t="shared" ref="Y91:Z91" si="134">SUM(Y93)</f>
        <v>0</v>
      </c>
      <c r="Z91" s="667">
        <f t="shared" ref="Z91:AA91" si="135">SUM(Z93)</f>
        <v>0</v>
      </c>
      <c r="AA91" s="667">
        <f t="shared" si="135"/>
        <v>0</v>
      </c>
      <c r="AB91" s="542"/>
      <c r="AC91" s="418">
        <f>SUM(AC93)</f>
        <v>0</v>
      </c>
      <c r="AD91" s="418">
        <f>SUM(AD93)</f>
        <v>0</v>
      </c>
      <c r="AE91" s="418">
        <f>SUM(AE93)</f>
        <v>0</v>
      </c>
    </row>
    <row r="92" spans="1:31" ht="13.5" customHeight="1" outlineLevel="1" x14ac:dyDescent="0.15">
      <c r="A92" s="206" t="s">
        <v>205</v>
      </c>
      <c r="B92" s="211" t="s">
        <v>107</v>
      </c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685"/>
      <c r="AA92" s="685"/>
      <c r="AB92" s="555"/>
      <c r="AC92" s="442"/>
      <c r="AD92" s="442"/>
      <c r="AE92" s="442"/>
    </row>
    <row r="93" spans="1:31" s="407" customFormat="1" ht="13.5" customHeight="1" outlineLevel="1" x14ac:dyDescent="0.15">
      <c r="A93" s="416" t="s">
        <v>206</v>
      </c>
      <c r="B93" s="417" t="str">
        <f>Settings!$C$6</f>
        <v>CAD</v>
      </c>
      <c r="C93" s="418">
        <f>IF(C$6=Projections!$C$4,Projections!$C$5,0)</f>
        <v>0</v>
      </c>
      <c r="D93" s="418">
        <f>IF(D$6=Projections!$C$4,Projections!$C$5,0)</f>
        <v>0</v>
      </c>
      <c r="E93" s="418">
        <f>IF(E$6=Projections!$C$4,Projections!$C$5,0)</f>
        <v>0</v>
      </c>
      <c r="F93" s="418">
        <f>IF(F$6=Projections!$C$4,Projections!$C$5,0)</f>
        <v>0</v>
      </c>
      <c r="G93" s="418">
        <f>IF(G$6=Projections!$C$4,Projections!$C$5,0)</f>
        <v>0</v>
      </c>
      <c r="H93" s="418">
        <f>IF(H$6=Projections!$C$4,Projections!$C$5,0)</f>
        <v>0</v>
      </c>
      <c r="I93" s="418">
        <f>IF(I$6=Projections!$C$4,Projections!$C$5,0)</f>
        <v>0</v>
      </c>
      <c r="J93" s="418">
        <f>IF(J$6=Projections!$C$4,Projections!$C$5,0)</f>
        <v>0</v>
      </c>
      <c r="K93" s="418">
        <f>IF(K$6=Projections!$C$4,Projections!$C$5,0)</f>
        <v>0</v>
      </c>
      <c r="L93" s="418">
        <f>IF(L$6=Projections!$C$4,Projections!$C$5,0)</f>
        <v>0</v>
      </c>
      <c r="M93" s="418">
        <f>IF(M$6=Projections!$C$4,Projections!$C$5,0)</f>
        <v>0</v>
      </c>
      <c r="N93" s="418">
        <f>IF(N$6=Projections!$C$4,Projections!$C$5,0)</f>
        <v>0</v>
      </c>
      <c r="O93" s="418">
        <f>IF(O$6=Projections!$C$4,Projections!$C$5,0)</f>
        <v>0</v>
      </c>
      <c r="P93" s="418">
        <f>IF(P$6=Projections!$C$4,Projections!$C$5,0)</f>
        <v>0</v>
      </c>
      <c r="Q93" s="418">
        <f>IF(Q$6=Projections!$C$4,Projections!$C$5,0)</f>
        <v>0</v>
      </c>
      <c r="R93" s="418">
        <f>IF(R$6=Projections!$C$4,Projections!$C$5,0)</f>
        <v>0</v>
      </c>
      <c r="S93" s="418">
        <f>IF(S$6=Projections!$C$4,Projections!$C$5,0)</f>
        <v>0</v>
      </c>
      <c r="T93" s="418">
        <f>IF(T$6=Projections!$C$4,Projections!$C$5,0)</f>
        <v>0</v>
      </c>
      <c r="U93" s="418">
        <f>IF(U$6=Projections!$C$4,Projections!$C$5,0)</f>
        <v>0</v>
      </c>
      <c r="V93" s="418">
        <f>IF(V$6=Projections!$C$4,Projections!$C$5,0)</f>
        <v>0</v>
      </c>
      <c r="W93" s="418">
        <f>IF(W$6=Projections!$C$4,Projections!$C$5,0)</f>
        <v>0</v>
      </c>
      <c r="X93" s="418">
        <f>IF(X$6=Projections!$C$4,Projections!$C$5,0)</f>
        <v>0</v>
      </c>
      <c r="Y93" s="418">
        <f>IF(Y$6=Projections!$C$4,Projections!$C$5,0)</f>
        <v>0</v>
      </c>
      <c r="Z93" s="667">
        <f>IF(Z$6=Projections!$C$4,Projections!$C$5,0)</f>
        <v>0</v>
      </c>
      <c r="AA93" s="667">
        <f>IF(AA$6=Projections!$C$4,Projections!$C$5,0)</f>
        <v>0</v>
      </c>
      <c r="AB93" s="542"/>
      <c r="AC93" s="418">
        <f>IF(AC$6=Projections!$C$4,Projections!$C$5,0)</f>
        <v>0</v>
      </c>
      <c r="AD93" s="418">
        <f>IF(AD$6=Projections!$C$4,Projections!$C$5,0)</f>
        <v>0</v>
      </c>
      <c r="AE93" s="418">
        <f>IF(AE$6=Projections!$C$4,Projections!$C$5,0)</f>
        <v>0</v>
      </c>
    </row>
    <row r="94" spans="1:31" s="407" customFormat="1" ht="13.5" customHeight="1" x14ac:dyDescent="0.15">
      <c r="A94" s="406" t="s">
        <v>207</v>
      </c>
      <c r="B94" s="417" t="str">
        <f>Settings!$C$6</f>
        <v>CAD</v>
      </c>
      <c r="C94" s="418" t="e">
        <f t="shared" ref="C94:T94" si="136">C95+C96+C97-C98+C99-C100</f>
        <v>#REF!</v>
      </c>
      <c r="D94" s="418" t="e">
        <f t="shared" si="136"/>
        <v>#REF!</v>
      </c>
      <c r="E94" s="418" t="e">
        <f t="shared" si="136"/>
        <v>#REF!</v>
      </c>
      <c r="F94" s="418" t="e">
        <f t="shared" si="136"/>
        <v>#REF!</v>
      </c>
      <c r="G94" s="418" t="e">
        <f t="shared" si="136"/>
        <v>#REF!</v>
      </c>
      <c r="H94" s="418">
        <f t="shared" si="136"/>
        <v>10279.4833</v>
      </c>
      <c r="I94" s="418">
        <f t="shared" si="136"/>
        <v>39442.493300000002</v>
      </c>
      <c r="J94" s="418">
        <f t="shared" si="136"/>
        <v>70619.988299999997</v>
      </c>
      <c r="K94" s="418">
        <f t="shared" si="136"/>
        <v>63773.414300000004</v>
      </c>
      <c r="L94" s="418">
        <f t="shared" si="136"/>
        <v>47823.030299999999</v>
      </c>
      <c r="M94" s="418">
        <f t="shared" si="136"/>
        <v>57932.529300000002</v>
      </c>
      <c r="N94" s="418">
        <f t="shared" si="136"/>
        <v>49393.097299999994</v>
      </c>
      <c r="O94" s="418">
        <f t="shared" si="136"/>
        <v>37288.263299999999</v>
      </c>
      <c r="P94" s="418">
        <f t="shared" si="136"/>
        <v>41070.853300000002</v>
      </c>
      <c r="Q94" s="418">
        <f t="shared" si="136"/>
        <v>78398.141300000003</v>
      </c>
      <c r="R94" s="418">
        <f t="shared" si="136"/>
        <v>88287.972299999994</v>
      </c>
      <c r="S94" s="418">
        <f t="shared" si="136"/>
        <v>75740.664300000004</v>
      </c>
      <c r="T94" s="418">
        <f t="shared" si="136"/>
        <v>94234.713300000003</v>
      </c>
      <c r="U94" s="418">
        <f t="shared" ref="U94:X94" si="137">U95+U96+U97-U98+U99-U100</f>
        <v>118410.98330000001</v>
      </c>
      <c r="V94" s="418">
        <f t="shared" si="137"/>
        <v>33251.106737499998</v>
      </c>
      <c r="W94" s="418">
        <f t="shared" si="137"/>
        <v>-31.631699999996272</v>
      </c>
      <c r="X94" s="418">
        <f t="shared" si="137"/>
        <v>17238.676737500005</v>
      </c>
      <c r="Y94" s="418">
        <f t="shared" ref="Y94:Z94" si="138">Y95+Y96+Y97-Y98+Y99-Y100</f>
        <v>134340.94330000001</v>
      </c>
      <c r="Z94" s="667">
        <f t="shared" ref="Z94:AA94" si="139">Z95+Z96+Z97-Z98+Z99-Z100</f>
        <v>105563.3008</v>
      </c>
      <c r="AA94" s="667">
        <f t="shared" si="139"/>
        <v>108564.15548749999</v>
      </c>
      <c r="AB94" s="542"/>
      <c r="AC94" s="418">
        <f t="shared" ref="AC94:AE99" si="140">SUM(H94:T94)</f>
        <v>754284.64390000002</v>
      </c>
      <c r="AD94" s="418">
        <f t="shared" si="140"/>
        <v>862416.14389999979</v>
      </c>
      <c r="AE94" s="418">
        <f t="shared" si="140"/>
        <v>856224.75733749988</v>
      </c>
    </row>
    <row r="95" spans="1:31" s="407" customFormat="1" ht="13.5" customHeight="1" outlineLevel="1" x14ac:dyDescent="0.15">
      <c r="A95" s="416" t="s">
        <v>177</v>
      </c>
      <c r="B95" s="417" t="str">
        <f>Settings!$C$6</f>
        <v>CAD</v>
      </c>
      <c r="C95" s="418" t="e">
        <f t="shared" ref="C95:T95" si="141">C52</f>
        <v>#REF!</v>
      </c>
      <c r="D95" s="418" t="e">
        <f t="shared" si="141"/>
        <v>#REF!</v>
      </c>
      <c r="E95" s="418" t="e">
        <f t="shared" si="141"/>
        <v>#REF!</v>
      </c>
      <c r="F95" s="418" t="e">
        <f t="shared" si="141"/>
        <v>#REF!</v>
      </c>
      <c r="G95" s="418" t="e">
        <f t="shared" si="141"/>
        <v>#REF!</v>
      </c>
      <c r="H95" s="418">
        <f t="shared" si="141"/>
        <v>10279.4833</v>
      </c>
      <c r="I95" s="418">
        <f t="shared" si="141"/>
        <v>39442.493300000002</v>
      </c>
      <c r="J95" s="418">
        <f t="shared" si="141"/>
        <v>70619.988299999997</v>
      </c>
      <c r="K95" s="418">
        <f t="shared" si="141"/>
        <v>63773.414300000004</v>
      </c>
      <c r="L95" s="418">
        <f t="shared" si="141"/>
        <v>47823.030299999999</v>
      </c>
      <c r="M95" s="418">
        <f t="shared" si="141"/>
        <v>57932.529300000002</v>
      </c>
      <c r="N95" s="418">
        <f t="shared" si="141"/>
        <v>49393.097299999994</v>
      </c>
      <c r="O95" s="418">
        <f t="shared" si="141"/>
        <v>37288.263299999999</v>
      </c>
      <c r="P95" s="418">
        <f t="shared" si="141"/>
        <v>41070.853300000002</v>
      </c>
      <c r="Q95" s="418">
        <f t="shared" si="141"/>
        <v>78398.141300000003</v>
      </c>
      <c r="R95" s="418">
        <f t="shared" si="141"/>
        <v>88287.972299999994</v>
      </c>
      <c r="S95" s="418">
        <f t="shared" si="141"/>
        <v>75740.664300000004</v>
      </c>
      <c r="T95" s="418">
        <f t="shared" si="141"/>
        <v>94234.713300000003</v>
      </c>
      <c r="U95" s="418">
        <f t="shared" ref="U95:X95" si="142">U52</f>
        <v>118410.98330000001</v>
      </c>
      <c r="V95" s="418">
        <f t="shared" si="142"/>
        <v>33251.106737499998</v>
      </c>
      <c r="W95" s="418">
        <f t="shared" si="142"/>
        <v>-31.631699999996272</v>
      </c>
      <c r="X95" s="418">
        <f t="shared" si="142"/>
        <v>17238.676737500005</v>
      </c>
      <c r="Y95" s="418">
        <f t="shared" ref="Y95:Z95" si="143">Y52</f>
        <v>134340.94330000001</v>
      </c>
      <c r="Z95" s="667">
        <f t="shared" ref="Z95:AA95" si="144">Z52</f>
        <v>105562.3008</v>
      </c>
      <c r="AA95" s="667">
        <f t="shared" si="144"/>
        <v>108562.15548749999</v>
      </c>
      <c r="AB95" s="542"/>
      <c r="AC95" s="418">
        <f t="shared" si="140"/>
        <v>754284.64390000002</v>
      </c>
      <c r="AD95" s="418">
        <f t="shared" si="140"/>
        <v>862416.14389999979</v>
      </c>
      <c r="AE95" s="418">
        <f t="shared" si="140"/>
        <v>856224.75733749988</v>
      </c>
    </row>
    <row r="96" spans="1:31" s="407" customFormat="1" ht="13.5" customHeight="1" outlineLevel="1" x14ac:dyDescent="0.15">
      <c r="A96" s="416" t="s">
        <v>208</v>
      </c>
      <c r="B96" s="417" t="str">
        <f>Settings!$C$6</f>
        <v>CAD</v>
      </c>
      <c r="C96" s="418">
        <f t="shared" ref="C96:T96" si="145">C46</f>
        <v>0</v>
      </c>
      <c r="D96" s="418">
        <f t="shared" si="145"/>
        <v>0</v>
      </c>
      <c r="E96" s="418">
        <f t="shared" si="145"/>
        <v>0</v>
      </c>
      <c r="F96" s="418">
        <f t="shared" si="145"/>
        <v>0</v>
      </c>
      <c r="G96" s="418">
        <f t="shared" si="145"/>
        <v>0</v>
      </c>
      <c r="H96" s="418">
        <f t="shared" si="145"/>
        <v>0</v>
      </c>
      <c r="I96" s="418">
        <f t="shared" si="145"/>
        <v>0</v>
      </c>
      <c r="J96" s="418">
        <f t="shared" si="145"/>
        <v>0</v>
      </c>
      <c r="K96" s="418">
        <f t="shared" si="145"/>
        <v>0</v>
      </c>
      <c r="L96" s="418">
        <f t="shared" si="145"/>
        <v>0</v>
      </c>
      <c r="M96" s="418">
        <f t="shared" si="145"/>
        <v>0</v>
      </c>
      <c r="N96" s="418">
        <f t="shared" si="145"/>
        <v>0</v>
      </c>
      <c r="O96" s="418">
        <f t="shared" si="145"/>
        <v>0</v>
      </c>
      <c r="P96" s="418">
        <f t="shared" si="145"/>
        <v>0</v>
      </c>
      <c r="Q96" s="418">
        <f t="shared" si="145"/>
        <v>0</v>
      </c>
      <c r="R96" s="418">
        <f t="shared" si="145"/>
        <v>0</v>
      </c>
      <c r="S96" s="418">
        <f t="shared" si="145"/>
        <v>0</v>
      </c>
      <c r="T96" s="418">
        <f t="shared" si="145"/>
        <v>0</v>
      </c>
      <c r="U96" s="418">
        <f t="shared" ref="U96:X96" si="146">U46</f>
        <v>0</v>
      </c>
      <c r="V96" s="418">
        <f t="shared" si="146"/>
        <v>0</v>
      </c>
      <c r="W96" s="418">
        <f t="shared" si="146"/>
        <v>0</v>
      </c>
      <c r="X96" s="418">
        <f t="shared" si="146"/>
        <v>0</v>
      </c>
      <c r="Y96" s="418">
        <f t="shared" ref="Y96:Z96" si="147">Y46</f>
        <v>0</v>
      </c>
      <c r="Z96" s="667">
        <f t="shared" ref="Z96:AA96" si="148">Z46</f>
        <v>0</v>
      </c>
      <c r="AA96" s="667">
        <f t="shared" si="148"/>
        <v>0</v>
      </c>
      <c r="AB96" s="542"/>
      <c r="AC96" s="418">
        <f t="shared" si="140"/>
        <v>0</v>
      </c>
      <c r="AD96" s="418">
        <f t="shared" si="140"/>
        <v>0</v>
      </c>
      <c r="AE96" s="418">
        <f t="shared" si="140"/>
        <v>0</v>
      </c>
    </row>
    <row r="97" spans="1:31" s="407" customFormat="1" ht="13.5" customHeight="1" outlineLevel="1" x14ac:dyDescent="0.15">
      <c r="A97" s="416" t="s">
        <v>209</v>
      </c>
      <c r="B97" s="417" t="str">
        <f>Settings!$C$6</f>
        <v>CAD</v>
      </c>
      <c r="C97" s="418">
        <f>'WK+CAPEX'!C51</f>
        <v>0</v>
      </c>
      <c r="D97" s="418" t="e">
        <f>'WK+CAPEX'!D51</f>
        <v>#REF!</v>
      </c>
      <c r="E97" s="418" t="e">
        <f>'WK+CAPEX'!E51</f>
        <v>#REF!</v>
      </c>
      <c r="F97" s="418" t="e">
        <f>'WK+CAPEX'!F51</f>
        <v>#REF!</v>
      </c>
      <c r="G97" s="418" t="e">
        <f>'WK+CAPEX'!G51</f>
        <v>#REF!</v>
      </c>
      <c r="H97" s="418">
        <v>0</v>
      </c>
      <c r="I97" s="418">
        <v>0</v>
      </c>
      <c r="J97" s="418">
        <v>0</v>
      </c>
      <c r="K97" s="418">
        <v>0</v>
      </c>
      <c r="L97" s="418">
        <v>0</v>
      </c>
      <c r="M97" s="418">
        <v>0</v>
      </c>
      <c r="N97" s="418">
        <v>0</v>
      </c>
      <c r="O97" s="418">
        <v>0</v>
      </c>
      <c r="P97" s="418">
        <v>0</v>
      </c>
      <c r="Q97" s="418">
        <v>0</v>
      </c>
      <c r="R97" s="418">
        <v>0</v>
      </c>
      <c r="S97" s="418">
        <v>0</v>
      </c>
      <c r="T97" s="418">
        <v>0</v>
      </c>
      <c r="U97" s="418">
        <v>0</v>
      </c>
      <c r="V97" s="418">
        <v>0</v>
      </c>
      <c r="W97" s="418">
        <v>0</v>
      </c>
      <c r="X97" s="418">
        <v>0</v>
      </c>
      <c r="Y97" s="418">
        <v>0</v>
      </c>
      <c r="Z97" s="667">
        <v>1</v>
      </c>
      <c r="AA97" s="667">
        <v>2</v>
      </c>
      <c r="AB97" s="542"/>
      <c r="AC97" s="418">
        <f t="shared" si="140"/>
        <v>0</v>
      </c>
      <c r="AD97" s="418">
        <f t="shared" si="140"/>
        <v>0</v>
      </c>
      <c r="AE97" s="418">
        <f t="shared" si="140"/>
        <v>0</v>
      </c>
    </row>
    <row r="98" spans="1:31" s="407" customFormat="1" ht="13.5" customHeight="1" outlineLevel="1" x14ac:dyDescent="0.15">
      <c r="A98" s="416" t="s">
        <v>210</v>
      </c>
      <c r="B98" s="417" t="str">
        <f>Settings!$C$6</f>
        <v>CAD</v>
      </c>
      <c r="C98" s="418">
        <f>'WK+CAPEX'!C61</f>
        <v>0</v>
      </c>
      <c r="D98" s="418">
        <f>'WK+CAPEX'!D61</f>
        <v>0</v>
      </c>
      <c r="E98" s="418">
        <f>'WK+CAPEX'!E61</f>
        <v>0</v>
      </c>
      <c r="F98" s="418">
        <f>'WK+CAPEX'!F61</f>
        <v>0</v>
      </c>
      <c r="G98" s="418">
        <f>'WK+CAPEX'!G61</f>
        <v>0</v>
      </c>
      <c r="H98" s="418">
        <f>'WK+CAPEX'!H61</f>
        <v>0</v>
      </c>
      <c r="I98" s="418">
        <f>'WK+CAPEX'!I61</f>
        <v>0</v>
      </c>
      <c r="J98" s="418">
        <f>'WK+CAPEX'!J61</f>
        <v>0</v>
      </c>
      <c r="K98" s="418">
        <f>'WK+CAPEX'!K61</f>
        <v>0</v>
      </c>
      <c r="L98" s="418">
        <f>'WK+CAPEX'!L61</f>
        <v>0</v>
      </c>
      <c r="M98" s="418">
        <f>'WK+CAPEX'!M61</f>
        <v>0</v>
      </c>
      <c r="N98" s="418">
        <f>'WK+CAPEX'!N61</f>
        <v>0</v>
      </c>
      <c r="O98" s="418">
        <f>'WK+CAPEX'!O61</f>
        <v>0</v>
      </c>
      <c r="P98" s="418">
        <f>'WK+CAPEX'!P61</f>
        <v>0</v>
      </c>
      <c r="Q98" s="418">
        <f>'WK+CAPEX'!Q61</f>
        <v>0</v>
      </c>
      <c r="R98" s="418">
        <f>'WK+CAPEX'!R61</f>
        <v>0</v>
      </c>
      <c r="S98" s="418">
        <f>'WK+CAPEX'!S61</f>
        <v>0</v>
      </c>
      <c r="T98" s="418">
        <f>'WK+CAPEX'!T61</f>
        <v>0</v>
      </c>
      <c r="U98" s="418">
        <f>'WK+CAPEX'!U61</f>
        <v>0</v>
      </c>
      <c r="V98" s="418">
        <f>'WK+CAPEX'!V61</f>
        <v>0</v>
      </c>
      <c r="W98" s="418">
        <f>'WK+CAPEX'!W61</f>
        <v>0</v>
      </c>
      <c r="X98" s="418">
        <f>'WK+CAPEX'!X61</f>
        <v>0</v>
      </c>
      <c r="Y98" s="418">
        <f>'WK+CAPEX'!Y61</f>
        <v>0</v>
      </c>
      <c r="Z98" s="667">
        <f>'WK+CAPEX'!Z61</f>
        <v>0</v>
      </c>
      <c r="AA98" s="667">
        <f>'WK+CAPEX'!AA61</f>
        <v>0</v>
      </c>
      <c r="AB98" s="542"/>
      <c r="AC98" s="418">
        <f t="shared" si="140"/>
        <v>0</v>
      </c>
      <c r="AD98" s="418">
        <f t="shared" si="140"/>
        <v>0</v>
      </c>
      <c r="AE98" s="418">
        <f t="shared" si="140"/>
        <v>0</v>
      </c>
    </row>
    <row r="99" spans="1:31" s="407" customFormat="1" ht="13.5" customHeight="1" outlineLevel="1" x14ac:dyDescent="0.15">
      <c r="A99" s="416" t="s">
        <v>211</v>
      </c>
      <c r="B99" s="417" t="str">
        <f>Settings!$C$6</f>
        <v>CAD</v>
      </c>
      <c r="C99" s="418">
        <f>C73</f>
        <v>0</v>
      </c>
      <c r="D99" s="418">
        <f t="shared" ref="D99:T99" si="149">D73-C73</f>
        <v>0</v>
      </c>
      <c r="E99" s="418">
        <f t="shared" si="149"/>
        <v>0</v>
      </c>
      <c r="F99" s="418">
        <f t="shared" si="149"/>
        <v>0</v>
      </c>
      <c r="G99" s="418">
        <f t="shared" si="149"/>
        <v>0</v>
      </c>
      <c r="H99" s="418">
        <f t="shared" si="149"/>
        <v>0</v>
      </c>
      <c r="I99" s="418">
        <f t="shared" si="149"/>
        <v>0</v>
      </c>
      <c r="J99" s="418">
        <f t="shared" si="149"/>
        <v>0</v>
      </c>
      <c r="K99" s="418">
        <f t="shared" si="149"/>
        <v>0</v>
      </c>
      <c r="L99" s="418">
        <f t="shared" si="149"/>
        <v>0</v>
      </c>
      <c r="M99" s="418">
        <f t="shared" si="149"/>
        <v>0</v>
      </c>
      <c r="N99" s="418">
        <f t="shared" si="149"/>
        <v>0</v>
      </c>
      <c r="O99" s="418">
        <f t="shared" si="149"/>
        <v>0</v>
      </c>
      <c r="P99" s="418">
        <f t="shared" si="149"/>
        <v>0</v>
      </c>
      <c r="Q99" s="418">
        <f t="shared" si="149"/>
        <v>0</v>
      </c>
      <c r="R99" s="418">
        <f t="shared" si="149"/>
        <v>0</v>
      </c>
      <c r="S99" s="418">
        <f t="shared" si="149"/>
        <v>0</v>
      </c>
      <c r="T99" s="418">
        <f t="shared" si="149"/>
        <v>0</v>
      </c>
      <c r="U99" s="418">
        <f t="shared" ref="U99" si="150">U73-T73</f>
        <v>0</v>
      </c>
      <c r="V99" s="418">
        <f t="shared" ref="V99" si="151">V73-U73</f>
        <v>0</v>
      </c>
      <c r="W99" s="418">
        <f t="shared" ref="W99" si="152">W73-V73</f>
        <v>0</v>
      </c>
      <c r="X99" s="418">
        <f t="shared" ref="X99" si="153">X73-W73</f>
        <v>0</v>
      </c>
      <c r="Y99" s="418">
        <f t="shared" ref="Y99:AA99" si="154">Y73-X73</f>
        <v>0</v>
      </c>
      <c r="Z99" s="667">
        <f t="shared" ref="Z99" si="155">Z73-Y73</f>
        <v>0</v>
      </c>
      <c r="AA99" s="667">
        <f t="shared" ref="AA99" si="156">AA73-Z73</f>
        <v>0</v>
      </c>
      <c r="AB99" s="542"/>
      <c r="AC99" s="418">
        <f t="shared" si="140"/>
        <v>0</v>
      </c>
      <c r="AD99" s="418">
        <f t="shared" si="140"/>
        <v>0</v>
      </c>
      <c r="AE99" s="418">
        <f t="shared" si="140"/>
        <v>0</v>
      </c>
    </row>
    <row r="100" spans="1:31" s="407" customFormat="1" ht="13.5" customHeight="1" outlineLevel="1" x14ac:dyDescent="0.15">
      <c r="A100" s="456" t="s">
        <v>212</v>
      </c>
      <c r="B100" s="457" t="str">
        <f>Settings!$C$6</f>
        <v>CAD</v>
      </c>
      <c r="C100" s="458"/>
      <c r="D100" s="458"/>
      <c r="E100" s="458"/>
      <c r="F100" s="458"/>
      <c r="G100" s="458"/>
      <c r="H100" s="458"/>
      <c r="I100" s="458"/>
      <c r="J100" s="458"/>
      <c r="K100" s="458"/>
      <c r="L100" s="458"/>
      <c r="M100" s="458"/>
      <c r="N100" s="458"/>
      <c r="O100" s="458"/>
      <c r="P100" s="458"/>
      <c r="Q100" s="458"/>
      <c r="R100" s="458"/>
      <c r="S100" s="458"/>
      <c r="T100" s="458"/>
      <c r="U100" s="458"/>
      <c r="V100" s="458"/>
      <c r="W100" s="458"/>
      <c r="X100" s="458"/>
      <c r="Y100" s="458"/>
      <c r="Z100" s="686"/>
      <c r="AA100" s="686"/>
      <c r="AB100" s="542"/>
      <c r="AC100" s="458"/>
      <c r="AD100" s="458"/>
      <c r="AE100" s="458"/>
    </row>
    <row r="101" spans="1:31" s="407" customFormat="1" ht="13.5" customHeight="1" x14ac:dyDescent="0.15">
      <c r="A101" s="406" t="s">
        <v>213</v>
      </c>
      <c r="B101" s="417" t="str">
        <f>Settings!$C$6</f>
        <v>CAD</v>
      </c>
      <c r="C101" s="459" t="e">
        <f t="shared" ref="C101:T101" si="157">SUM(C90,C91,C94)</f>
        <v>#REF!</v>
      </c>
      <c r="D101" s="459" t="e">
        <f t="shared" si="157"/>
        <v>#REF!</v>
      </c>
      <c r="E101" s="459" t="e">
        <f t="shared" si="157"/>
        <v>#REF!</v>
      </c>
      <c r="F101" s="459" t="e">
        <f t="shared" si="157"/>
        <v>#REF!</v>
      </c>
      <c r="G101" s="459" t="e">
        <f t="shared" si="157"/>
        <v>#REF!</v>
      </c>
      <c r="H101" s="459">
        <f t="shared" si="157"/>
        <v>10279.4833</v>
      </c>
      <c r="I101" s="459">
        <f t="shared" si="157"/>
        <v>49721.976600000002</v>
      </c>
      <c r="J101" s="459">
        <f t="shared" si="157"/>
        <v>120341.96489999999</v>
      </c>
      <c r="K101" s="459">
        <f t="shared" si="157"/>
        <v>184115.3792</v>
      </c>
      <c r="L101" s="459">
        <f t="shared" si="157"/>
        <v>231938.40950000001</v>
      </c>
      <c r="M101" s="459">
        <f t="shared" si="157"/>
        <v>289870.9388</v>
      </c>
      <c r="N101" s="459">
        <f t="shared" si="157"/>
        <v>339264.03610000003</v>
      </c>
      <c r="O101" s="459">
        <f t="shared" si="157"/>
        <v>376552.29940000002</v>
      </c>
      <c r="P101" s="459">
        <f t="shared" si="157"/>
        <v>417623.15270000004</v>
      </c>
      <c r="Q101" s="459">
        <f t="shared" si="157"/>
        <v>496021.29400000005</v>
      </c>
      <c r="R101" s="459">
        <f t="shared" si="157"/>
        <v>584309.26630000002</v>
      </c>
      <c r="S101" s="459">
        <f t="shared" si="157"/>
        <v>660049.93060000008</v>
      </c>
      <c r="T101" s="459">
        <f t="shared" si="157"/>
        <v>754284.64390000002</v>
      </c>
      <c r="U101" s="459">
        <f t="shared" ref="U101:X101" si="158">SUM(U90,U91,U94)</f>
        <v>872695.62719999999</v>
      </c>
      <c r="V101" s="459">
        <f t="shared" si="158"/>
        <v>905946.73393750004</v>
      </c>
      <c r="W101" s="459">
        <f t="shared" si="158"/>
        <v>905915.10223750002</v>
      </c>
      <c r="X101" s="459">
        <f t="shared" si="158"/>
        <v>923153.77897500002</v>
      </c>
      <c r="Y101" s="459">
        <f t="shared" ref="Y101:Z101" si="159">SUM(Y90,Y91,Y94)</f>
        <v>1057494.7222750001</v>
      </c>
      <c r="Z101" s="687">
        <f t="shared" ref="Z101:AA101" si="160">SUM(Z90,Z91,Z94)</f>
        <v>1163058.0230750002</v>
      </c>
      <c r="AA101" s="687">
        <f t="shared" si="160"/>
        <v>1271622.1785625</v>
      </c>
      <c r="AB101" s="541"/>
      <c r="AC101" s="459">
        <f>SUM(AC90,AC91,AC94)</f>
        <v>754284.64390000002</v>
      </c>
      <c r="AD101" s="459">
        <f>SUM(AD90,AD91,AD94)</f>
        <v>872695.62719999976</v>
      </c>
      <c r="AE101" s="459">
        <f>SUM(AE90,AE91,AE94)</f>
        <v>905946.73393749993</v>
      </c>
    </row>
    <row r="102" spans="1:31" s="407" customFormat="1" ht="13.5" customHeight="1" x14ac:dyDescent="0.15">
      <c r="A102" s="406" t="s">
        <v>214</v>
      </c>
      <c r="B102" s="417" t="str">
        <f>Settings!$C$6</f>
        <v>CAD</v>
      </c>
      <c r="C102" s="460" t="e">
        <f>MIN(C101:T101)-Projections!C5</f>
        <v>#REF!</v>
      </c>
      <c r="D102" s="416"/>
      <c r="E102" s="416"/>
      <c r="F102" s="416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  <c r="W102" s="416"/>
      <c r="X102" s="416"/>
      <c r="Y102" s="416"/>
      <c r="Z102" s="647"/>
      <c r="AA102" s="647"/>
      <c r="AB102" s="556"/>
      <c r="AC102" s="416"/>
      <c r="AD102" s="416"/>
      <c r="AE102" s="416"/>
    </row>
    <row r="103" spans="1:31" ht="13.5" customHeight="1" x14ac:dyDescent="0.15">
      <c r="A103" s="206"/>
      <c r="B103" s="211"/>
      <c r="C103" s="195"/>
      <c r="D103" s="443">
        <f>SUM($C$98:D98)</f>
        <v>0</v>
      </c>
      <c r="E103" s="443">
        <f>SUM($C$98:E98)</f>
        <v>0</v>
      </c>
      <c r="F103" s="443">
        <f>SUM($C$98:F98)</f>
        <v>0</v>
      </c>
      <c r="G103" s="443">
        <f>SUM($C$98:G98)</f>
        <v>0</v>
      </c>
      <c r="H103" s="443">
        <f>SUM($C$98:H98)</f>
        <v>0</v>
      </c>
      <c r="I103" s="443">
        <f>SUM($C$98:I98)</f>
        <v>0</v>
      </c>
      <c r="J103" s="443">
        <f>SUM($C$98:J98)</f>
        <v>0</v>
      </c>
      <c r="K103" s="443">
        <f>SUM($C$98:K98)</f>
        <v>0</v>
      </c>
      <c r="L103" s="443">
        <f>SUM($C$98:L98)</f>
        <v>0</v>
      </c>
      <c r="M103" s="443">
        <f>SUM($C$98:M98)</f>
        <v>0</v>
      </c>
      <c r="N103" s="443">
        <f>SUM($C$98:N98)</f>
        <v>0</v>
      </c>
      <c r="O103" s="443">
        <f>SUM($C$98:O98)</f>
        <v>0</v>
      </c>
      <c r="P103" s="443">
        <f>SUM($C$98:P98)</f>
        <v>0</v>
      </c>
      <c r="Q103" s="443">
        <f>SUM($C$98:Q98)</f>
        <v>0</v>
      </c>
      <c r="R103" s="443">
        <f>SUM($C$98:R98)</f>
        <v>0</v>
      </c>
      <c r="S103" s="443">
        <f>SUM($C$98:S98)</f>
        <v>0</v>
      </c>
      <c r="T103" s="443">
        <f>SUM($C$98:T98)</f>
        <v>0</v>
      </c>
      <c r="U103" s="443">
        <f>SUM($C$98:U98)</f>
        <v>0</v>
      </c>
      <c r="V103" s="443">
        <f>SUM($C$98:V98)</f>
        <v>0</v>
      </c>
      <c r="W103" s="443">
        <f>SUM($C$98:W98)</f>
        <v>0</v>
      </c>
      <c r="X103" s="443">
        <f>SUM($C$98:X98)</f>
        <v>0</v>
      </c>
      <c r="Y103" s="443">
        <f>SUM($C$98:Y98)</f>
        <v>0</v>
      </c>
      <c r="Z103" s="688">
        <f>SUM($C$98:Z98)</f>
        <v>0</v>
      </c>
      <c r="AA103" s="688">
        <f>SUM($C$98:AA98)</f>
        <v>0</v>
      </c>
      <c r="AB103" s="557"/>
      <c r="AC103" s="443">
        <f>SUM($C$98:AC98)</f>
        <v>0</v>
      </c>
      <c r="AD103" s="443">
        <f>SUM($C$98:AD98)</f>
        <v>0</v>
      </c>
      <c r="AE103" s="443">
        <f>SUM($C$98:AE98)</f>
        <v>0</v>
      </c>
    </row>
    <row r="104" spans="1:31" ht="13.5" hidden="1" customHeight="1" thickBot="1" x14ac:dyDescent="0.2">
      <c r="A104" s="212" t="s">
        <v>215</v>
      </c>
      <c r="B104" s="213"/>
      <c r="C104" s="404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4"/>
      <c r="R104" s="404"/>
      <c r="S104" s="404"/>
      <c r="T104" s="404"/>
      <c r="U104" s="547"/>
      <c r="V104" s="547"/>
      <c r="W104" s="547"/>
      <c r="X104" s="547"/>
      <c r="Y104" s="547"/>
      <c r="Z104" s="547"/>
      <c r="AA104" s="547"/>
      <c r="AB104" s="547"/>
      <c r="AC104" s="404"/>
      <c r="AD104" s="404"/>
      <c r="AE104" s="404"/>
    </row>
    <row r="105" spans="1:31" ht="18" hidden="1" customHeight="1" x14ac:dyDescent="0.15">
      <c r="A105" s="80"/>
      <c r="B105" s="211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  <c r="AA105" s="206"/>
      <c r="AB105" s="544"/>
      <c r="AC105" s="206"/>
      <c r="AD105" s="206"/>
      <c r="AE105" s="206"/>
    </row>
    <row r="106" spans="1:31" s="407" customFormat="1" ht="13.5" hidden="1" customHeight="1" x14ac:dyDescent="0.15">
      <c r="A106" s="461" t="s">
        <v>173</v>
      </c>
      <c r="B106" s="462" t="str">
        <f>Settings!$C$6</f>
        <v>CAD</v>
      </c>
      <c r="C106" s="418" t="e">
        <f>C47</f>
        <v>#REF!</v>
      </c>
      <c r="D106" s="418" t="e">
        <f>D47</f>
        <v>#REF!</v>
      </c>
      <c r="E106" s="418" t="e">
        <f>E47</f>
        <v>#REF!</v>
      </c>
      <c r="F106" s="418" t="e">
        <f>F47</f>
        <v>#REF!</v>
      </c>
      <c r="G106" s="418" t="e">
        <f>G47</f>
        <v>#REF!</v>
      </c>
      <c r="H106" s="418">
        <f>H47</f>
        <v>10279.4833</v>
      </c>
      <c r="I106" s="418">
        <f>I47</f>
        <v>39442.493300000002</v>
      </c>
      <c r="J106" s="418">
        <f>J47</f>
        <v>70619.988299999997</v>
      </c>
      <c r="K106" s="418">
        <f>K47</f>
        <v>63773.414300000004</v>
      </c>
      <c r="L106" s="418">
        <f>L47</f>
        <v>47823.030299999999</v>
      </c>
      <c r="M106" s="418">
        <f>M47</f>
        <v>57932.529300000002</v>
      </c>
      <c r="N106" s="418">
        <f>N47</f>
        <v>49393.097299999994</v>
      </c>
      <c r="O106" s="418">
        <f>O47</f>
        <v>37288.263299999999</v>
      </c>
      <c r="P106" s="418">
        <f>P47</f>
        <v>41070.853300000002</v>
      </c>
      <c r="Q106" s="418">
        <f>Q47</f>
        <v>78398.141300000003</v>
      </c>
      <c r="R106" s="418">
        <f>R47</f>
        <v>88287.972299999994</v>
      </c>
      <c r="S106" s="418">
        <f>S47</f>
        <v>75740.664300000004</v>
      </c>
      <c r="T106" s="418">
        <f>T47</f>
        <v>94234.713300000003</v>
      </c>
      <c r="U106" s="418"/>
      <c r="V106" s="418"/>
      <c r="W106" s="418"/>
      <c r="X106" s="418"/>
      <c r="Y106" s="418"/>
      <c r="Z106" s="418"/>
      <c r="AA106" s="418"/>
      <c r="AB106" s="542"/>
      <c r="AC106" s="418">
        <f>AC47</f>
        <v>1271619.1785624998</v>
      </c>
      <c r="AD106" s="418">
        <f>AD47</f>
        <v>376552.29940000002</v>
      </c>
      <c r="AE106" s="418">
        <f>AE47</f>
        <v>895066.87916250015</v>
      </c>
    </row>
    <row r="107" spans="1:31" s="407" customFormat="1" ht="13.5" hidden="1" customHeight="1" x14ac:dyDescent="0.15">
      <c r="A107" s="463" t="s">
        <v>216</v>
      </c>
      <c r="B107" s="462" t="str">
        <f>Settings!$C$6</f>
        <v>CAD</v>
      </c>
      <c r="C107" s="418">
        <f>C51</f>
        <v>0</v>
      </c>
      <c r="D107" s="418">
        <f>D51</f>
        <v>0</v>
      </c>
      <c r="E107" s="418">
        <f>E51</f>
        <v>0</v>
      </c>
      <c r="F107" s="418">
        <f>F51</f>
        <v>0</v>
      </c>
      <c r="G107" s="418">
        <f>G51</f>
        <v>0</v>
      </c>
      <c r="H107" s="418">
        <f>H51</f>
        <v>0</v>
      </c>
      <c r="I107" s="418">
        <f>I51</f>
        <v>0</v>
      </c>
      <c r="J107" s="418">
        <f>J51</f>
        <v>0</v>
      </c>
      <c r="K107" s="418">
        <f>K51</f>
        <v>0</v>
      </c>
      <c r="L107" s="418">
        <f>L51</f>
        <v>0</v>
      </c>
      <c r="M107" s="418">
        <f>M51</f>
        <v>0</v>
      </c>
      <c r="N107" s="418">
        <f>N51</f>
        <v>0</v>
      </c>
      <c r="O107" s="418">
        <f>O51</f>
        <v>0</v>
      </c>
      <c r="P107" s="418">
        <f>P51</f>
        <v>0</v>
      </c>
      <c r="Q107" s="418">
        <f>Q51</f>
        <v>0</v>
      </c>
      <c r="R107" s="418">
        <f>R51</f>
        <v>0</v>
      </c>
      <c r="S107" s="418">
        <f>S51</f>
        <v>0</v>
      </c>
      <c r="T107" s="418">
        <f>T51</f>
        <v>0</v>
      </c>
      <c r="U107" s="418"/>
      <c r="V107" s="418"/>
      <c r="W107" s="418"/>
      <c r="X107" s="418"/>
      <c r="Y107" s="418"/>
      <c r="Z107" s="418"/>
      <c r="AA107" s="418"/>
      <c r="AB107" s="542"/>
      <c r="AC107" s="418">
        <f>AC51</f>
        <v>0</v>
      </c>
      <c r="AD107" s="418">
        <f>AD51</f>
        <v>0</v>
      </c>
      <c r="AE107" s="418">
        <f>AE51</f>
        <v>0</v>
      </c>
    </row>
    <row r="108" spans="1:31" s="407" customFormat="1" ht="13.5" hidden="1" customHeight="1" x14ac:dyDescent="0.15">
      <c r="A108" s="461" t="s">
        <v>217</v>
      </c>
      <c r="B108" s="462" t="str">
        <f>Settings!$C$6</f>
        <v>CAD</v>
      </c>
      <c r="C108" s="444" t="e">
        <f t="shared" ref="C108:T108" si="161">C106-C107</f>
        <v>#REF!</v>
      </c>
      <c r="D108" s="444" t="e">
        <f t="shared" si="161"/>
        <v>#REF!</v>
      </c>
      <c r="E108" s="444" t="e">
        <f t="shared" si="161"/>
        <v>#REF!</v>
      </c>
      <c r="F108" s="444" t="e">
        <f t="shared" si="161"/>
        <v>#REF!</v>
      </c>
      <c r="G108" s="444" t="e">
        <f t="shared" si="161"/>
        <v>#REF!</v>
      </c>
      <c r="H108" s="444">
        <f t="shared" si="161"/>
        <v>10279.4833</v>
      </c>
      <c r="I108" s="444">
        <f t="shared" si="161"/>
        <v>39442.493300000002</v>
      </c>
      <c r="J108" s="444">
        <f t="shared" si="161"/>
        <v>70619.988299999997</v>
      </c>
      <c r="K108" s="444">
        <f t="shared" si="161"/>
        <v>63773.414300000004</v>
      </c>
      <c r="L108" s="444">
        <f t="shared" si="161"/>
        <v>47823.030299999999</v>
      </c>
      <c r="M108" s="444">
        <f t="shared" si="161"/>
        <v>57932.529300000002</v>
      </c>
      <c r="N108" s="444">
        <f t="shared" si="161"/>
        <v>49393.097299999994</v>
      </c>
      <c r="O108" s="444">
        <f t="shared" si="161"/>
        <v>37288.263299999999</v>
      </c>
      <c r="P108" s="444">
        <f t="shared" si="161"/>
        <v>41070.853300000002</v>
      </c>
      <c r="Q108" s="444">
        <f t="shared" si="161"/>
        <v>78398.141300000003</v>
      </c>
      <c r="R108" s="444">
        <f t="shared" si="161"/>
        <v>88287.972299999994</v>
      </c>
      <c r="S108" s="444">
        <f t="shared" si="161"/>
        <v>75740.664300000004</v>
      </c>
      <c r="T108" s="444">
        <f t="shared" si="161"/>
        <v>94234.713300000003</v>
      </c>
      <c r="U108" s="533"/>
      <c r="V108" s="533"/>
      <c r="W108" s="533"/>
      <c r="X108" s="533"/>
      <c r="Y108" s="533"/>
      <c r="Z108" s="533"/>
      <c r="AA108" s="533"/>
      <c r="AB108" s="542"/>
      <c r="AC108" s="444">
        <f>AC106-AC107</f>
        <v>1271619.1785624998</v>
      </c>
      <c r="AD108" s="444">
        <f>AD106-AD107</f>
        <v>376552.29940000002</v>
      </c>
      <c r="AE108" s="444">
        <f>AE106-AE107</f>
        <v>895066.87916250015</v>
      </c>
    </row>
    <row r="109" spans="1:31" s="407" customFormat="1" ht="13.5" hidden="1" customHeight="1" x14ac:dyDescent="0.15">
      <c r="A109" s="461" t="s">
        <v>208</v>
      </c>
      <c r="B109" s="462" t="str">
        <f>Settings!$C$6</f>
        <v>CAD</v>
      </c>
      <c r="C109" s="418">
        <f>C46</f>
        <v>0</v>
      </c>
      <c r="D109" s="418">
        <f>D46</f>
        <v>0</v>
      </c>
      <c r="E109" s="418">
        <f>E46</f>
        <v>0</v>
      </c>
      <c r="F109" s="418">
        <f>F46</f>
        <v>0</v>
      </c>
      <c r="G109" s="418">
        <f>G46</f>
        <v>0</v>
      </c>
      <c r="H109" s="418">
        <f>H46</f>
        <v>0</v>
      </c>
      <c r="I109" s="418">
        <f>I46</f>
        <v>0</v>
      </c>
      <c r="J109" s="418">
        <f>J46</f>
        <v>0</v>
      </c>
      <c r="K109" s="418">
        <f>K46</f>
        <v>0</v>
      </c>
      <c r="L109" s="418">
        <f>L46</f>
        <v>0</v>
      </c>
      <c r="M109" s="418">
        <f>M46</f>
        <v>0</v>
      </c>
      <c r="N109" s="418">
        <f>N46</f>
        <v>0</v>
      </c>
      <c r="O109" s="418">
        <f>O46</f>
        <v>0</v>
      </c>
      <c r="P109" s="418">
        <f>P46</f>
        <v>0</v>
      </c>
      <c r="Q109" s="418">
        <f>Q46</f>
        <v>0</v>
      </c>
      <c r="R109" s="418">
        <f>R46</f>
        <v>0</v>
      </c>
      <c r="S109" s="418">
        <f>S46</f>
        <v>0</v>
      </c>
      <c r="T109" s="418">
        <f>T46</f>
        <v>0</v>
      </c>
      <c r="U109" s="418"/>
      <c r="V109" s="418"/>
      <c r="W109" s="418"/>
      <c r="X109" s="418"/>
      <c r="Y109" s="418"/>
      <c r="Z109" s="418"/>
      <c r="AA109" s="418"/>
      <c r="AB109" s="542"/>
      <c r="AC109" s="418">
        <f>AC46</f>
        <v>0</v>
      </c>
      <c r="AD109" s="418">
        <f>AD46</f>
        <v>0</v>
      </c>
      <c r="AE109" s="418">
        <f>AE46</f>
        <v>0</v>
      </c>
    </row>
    <row r="110" spans="1:31" s="407" customFormat="1" ht="13.5" hidden="1" customHeight="1" x14ac:dyDescent="0.15">
      <c r="A110" s="464" t="s">
        <v>218</v>
      </c>
      <c r="B110" s="462" t="str">
        <f>Settings!$C$6</f>
        <v>CAD</v>
      </c>
      <c r="C110" s="444" t="e">
        <f t="shared" ref="C110:T110" si="162">C108+C109</f>
        <v>#REF!</v>
      </c>
      <c r="D110" s="444" t="e">
        <f t="shared" si="162"/>
        <v>#REF!</v>
      </c>
      <c r="E110" s="444" t="e">
        <f t="shared" si="162"/>
        <v>#REF!</v>
      </c>
      <c r="F110" s="444" t="e">
        <f t="shared" si="162"/>
        <v>#REF!</v>
      </c>
      <c r="G110" s="444" t="e">
        <f t="shared" si="162"/>
        <v>#REF!</v>
      </c>
      <c r="H110" s="444">
        <f t="shared" si="162"/>
        <v>10279.4833</v>
      </c>
      <c r="I110" s="444">
        <f t="shared" si="162"/>
        <v>39442.493300000002</v>
      </c>
      <c r="J110" s="444">
        <f t="shared" si="162"/>
        <v>70619.988299999997</v>
      </c>
      <c r="K110" s="444">
        <f t="shared" si="162"/>
        <v>63773.414300000004</v>
      </c>
      <c r="L110" s="444">
        <f t="shared" si="162"/>
        <v>47823.030299999999</v>
      </c>
      <c r="M110" s="444">
        <f t="shared" si="162"/>
        <v>57932.529300000002</v>
      </c>
      <c r="N110" s="444">
        <f t="shared" si="162"/>
        <v>49393.097299999994</v>
      </c>
      <c r="O110" s="444">
        <f t="shared" si="162"/>
        <v>37288.263299999999</v>
      </c>
      <c r="P110" s="444">
        <f t="shared" si="162"/>
        <v>41070.853300000002</v>
      </c>
      <c r="Q110" s="444">
        <f t="shared" si="162"/>
        <v>78398.141300000003</v>
      </c>
      <c r="R110" s="444">
        <f t="shared" si="162"/>
        <v>88287.972299999994</v>
      </c>
      <c r="S110" s="444">
        <f t="shared" si="162"/>
        <v>75740.664300000004</v>
      </c>
      <c r="T110" s="444">
        <f t="shared" si="162"/>
        <v>94234.713300000003</v>
      </c>
      <c r="U110" s="533"/>
      <c r="V110" s="533"/>
      <c r="W110" s="533"/>
      <c r="X110" s="533"/>
      <c r="Y110" s="533"/>
      <c r="Z110" s="533"/>
      <c r="AA110" s="533"/>
      <c r="AB110" s="542"/>
      <c r="AC110" s="444">
        <f>AC108+AC109</f>
        <v>1271619.1785624998</v>
      </c>
      <c r="AD110" s="444">
        <f>AD108+AD109</f>
        <v>376552.29940000002</v>
      </c>
      <c r="AE110" s="444">
        <f>AE108+AE109</f>
        <v>895066.87916250015</v>
      </c>
    </row>
    <row r="111" spans="1:31" s="407" customFormat="1" ht="13.5" hidden="1" customHeight="1" x14ac:dyDescent="0.15">
      <c r="A111" s="461" t="s">
        <v>219</v>
      </c>
      <c r="B111" s="462" t="str">
        <f>Settings!$C$6</f>
        <v>CAD</v>
      </c>
      <c r="C111" s="418">
        <f>C97</f>
        <v>0</v>
      </c>
      <c r="D111" s="418" t="e">
        <f>D97</f>
        <v>#REF!</v>
      </c>
      <c r="E111" s="418" t="e">
        <f>E97</f>
        <v>#REF!</v>
      </c>
      <c r="F111" s="418" t="e">
        <f>F97</f>
        <v>#REF!</v>
      </c>
      <c r="G111" s="418" t="e">
        <f>G97</f>
        <v>#REF!</v>
      </c>
      <c r="H111" s="418">
        <f>H97</f>
        <v>0</v>
      </c>
      <c r="I111" s="418">
        <f>I97</f>
        <v>0</v>
      </c>
      <c r="J111" s="418">
        <f>J97</f>
        <v>0</v>
      </c>
      <c r="K111" s="418">
        <f>K97</f>
        <v>0</v>
      </c>
      <c r="L111" s="418">
        <f>L97</f>
        <v>0</v>
      </c>
      <c r="M111" s="418">
        <f>M97</f>
        <v>0</v>
      </c>
      <c r="N111" s="418">
        <f>N97</f>
        <v>0</v>
      </c>
      <c r="O111" s="418">
        <f>O97</f>
        <v>0</v>
      </c>
      <c r="P111" s="418">
        <f>P97</f>
        <v>0</v>
      </c>
      <c r="Q111" s="418">
        <f>Q97</f>
        <v>0</v>
      </c>
      <c r="R111" s="418">
        <f>R97</f>
        <v>0</v>
      </c>
      <c r="S111" s="418">
        <f>S97</f>
        <v>0</v>
      </c>
      <c r="T111" s="418">
        <f>T97</f>
        <v>0</v>
      </c>
      <c r="U111" s="418"/>
      <c r="V111" s="418"/>
      <c r="W111" s="418"/>
      <c r="X111" s="418"/>
      <c r="Y111" s="418"/>
      <c r="Z111" s="418"/>
      <c r="AA111" s="418"/>
      <c r="AB111" s="542"/>
      <c r="AC111" s="418">
        <f>AC97</f>
        <v>0</v>
      </c>
      <c r="AD111" s="418">
        <f>AD97</f>
        <v>0</v>
      </c>
      <c r="AE111" s="418">
        <f>AE97</f>
        <v>0</v>
      </c>
    </row>
    <row r="112" spans="1:31" s="407" customFormat="1" ht="13.5" hidden="1" customHeight="1" x14ac:dyDescent="0.15">
      <c r="A112" s="461" t="s">
        <v>210</v>
      </c>
      <c r="B112" s="462" t="str">
        <f>Settings!$C$6</f>
        <v>CAD</v>
      </c>
      <c r="C112" s="418">
        <f>C98</f>
        <v>0</v>
      </c>
      <c r="D112" s="418">
        <f>D98</f>
        <v>0</v>
      </c>
      <c r="E112" s="418">
        <f>E98</f>
        <v>0</v>
      </c>
      <c r="F112" s="418">
        <f>F98</f>
        <v>0</v>
      </c>
      <c r="G112" s="418">
        <f>G98</f>
        <v>0</v>
      </c>
      <c r="H112" s="418">
        <f>H98</f>
        <v>0</v>
      </c>
      <c r="I112" s="418">
        <f>I98</f>
        <v>0</v>
      </c>
      <c r="J112" s="418">
        <f>J98</f>
        <v>0</v>
      </c>
      <c r="K112" s="418">
        <f>K98</f>
        <v>0</v>
      </c>
      <c r="L112" s="418">
        <f>L98</f>
        <v>0</v>
      </c>
      <c r="M112" s="418">
        <f>M98</f>
        <v>0</v>
      </c>
      <c r="N112" s="418">
        <f>N98</f>
        <v>0</v>
      </c>
      <c r="O112" s="418">
        <f>O98</f>
        <v>0</v>
      </c>
      <c r="P112" s="418">
        <f>P98</f>
        <v>0</v>
      </c>
      <c r="Q112" s="418">
        <f>Q98</f>
        <v>0</v>
      </c>
      <c r="R112" s="418">
        <f>R98</f>
        <v>0</v>
      </c>
      <c r="S112" s="418">
        <f>S98</f>
        <v>0</v>
      </c>
      <c r="T112" s="418">
        <f>T98</f>
        <v>0</v>
      </c>
      <c r="U112" s="418"/>
      <c r="V112" s="418"/>
      <c r="W112" s="418"/>
      <c r="X112" s="418"/>
      <c r="Y112" s="418"/>
      <c r="Z112" s="418"/>
      <c r="AA112" s="418"/>
      <c r="AB112" s="542"/>
      <c r="AC112" s="418">
        <f>AC98</f>
        <v>0</v>
      </c>
      <c r="AD112" s="418">
        <f>AD98</f>
        <v>0</v>
      </c>
      <c r="AE112" s="418">
        <f>AE98</f>
        <v>0</v>
      </c>
    </row>
    <row r="113" spans="1:31" s="407" customFormat="1" ht="13.5" hidden="1" customHeight="1" x14ac:dyDescent="0.15">
      <c r="A113" s="465" t="s">
        <v>220</v>
      </c>
      <c r="B113" s="462" t="str">
        <f>Settings!$C$6</f>
        <v>CAD</v>
      </c>
      <c r="C113" s="426" t="e">
        <f t="shared" ref="C113:T113" si="163">C110+C111-C112</f>
        <v>#REF!</v>
      </c>
      <c r="D113" s="426" t="e">
        <f t="shared" si="163"/>
        <v>#REF!</v>
      </c>
      <c r="E113" s="426" t="e">
        <f t="shared" si="163"/>
        <v>#REF!</v>
      </c>
      <c r="F113" s="426" t="e">
        <f t="shared" si="163"/>
        <v>#REF!</v>
      </c>
      <c r="G113" s="426" t="e">
        <f t="shared" si="163"/>
        <v>#REF!</v>
      </c>
      <c r="H113" s="426">
        <f t="shared" si="163"/>
        <v>10279.4833</v>
      </c>
      <c r="I113" s="426">
        <f t="shared" si="163"/>
        <v>39442.493300000002</v>
      </c>
      <c r="J113" s="426">
        <f t="shared" si="163"/>
        <v>70619.988299999997</v>
      </c>
      <c r="K113" s="426">
        <f t="shared" si="163"/>
        <v>63773.414300000004</v>
      </c>
      <c r="L113" s="426">
        <f t="shared" si="163"/>
        <v>47823.030299999999</v>
      </c>
      <c r="M113" s="426">
        <f t="shared" si="163"/>
        <v>57932.529300000002</v>
      </c>
      <c r="N113" s="426">
        <f t="shared" si="163"/>
        <v>49393.097299999994</v>
      </c>
      <c r="O113" s="426">
        <f t="shared" si="163"/>
        <v>37288.263299999999</v>
      </c>
      <c r="P113" s="426">
        <f t="shared" si="163"/>
        <v>41070.853300000002</v>
      </c>
      <c r="Q113" s="426">
        <f t="shared" si="163"/>
        <v>78398.141300000003</v>
      </c>
      <c r="R113" s="426">
        <f t="shared" si="163"/>
        <v>88287.972299999994</v>
      </c>
      <c r="S113" s="426">
        <f t="shared" si="163"/>
        <v>75740.664300000004</v>
      </c>
      <c r="T113" s="426">
        <f t="shared" si="163"/>
        <v>94234.713300000003</v>
      </c>
      <c r="U113" s="587"/>
      <c r="V113" s="587"/>
      <c r="W113" s="587"/>
      <c r="X113" s="587"/>
      <c r="Y113" s="587"/>
      <c r="Z113" s="587"/>
      <c r="AA113" s="587"/>
      <c r="AB113" s="541"/>
      <c r="AC113" s="426">
        <f>AC110+AC111-AC112</f>
        <v>1271619.1785624998</v>
      </c>
      <c r="AD113" s="426">
        <f>AD110+AD111-AD112</f>
        <v>376552.29940000002</v>
      </c>
      <c r="AE113" s="426">
        <f>AE110+AE111-AE112</f>
        <v>895066.87916250015</v>
      </c>
    </row>
    <row r="114" spans="1:31" ht="13.5" customHeight="1" x14ac:dyDescent="0.15">
      <c r="A114" s="80"/>
      <c r="B114" s="211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559"/>
      <c r="AC114" s="215"/>
      <c r="AD114" s="215"/>
      <c r="AE114" s="215"/>
    </row>
    <row r="115" spans="1:31" ht="13.5" customHeight="1" x14ac:dyDescent="0.15">
      <c r="A115" s="80"/>
      <c r="B115" s="211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559"/>
      <c r="AC115" s="215"/>
      <c r="AD115" s="215"/>
      <c r="AE115" s="215"/>
    </row>
    <row r="116" spans="1:31" ht="13.5" customHeight="1" x14ac:dyDescent="0.15">
      <c r="A116" s="80"/>
      <c r="B116" s="211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559"/>
      <c r="AC116" s="215"/>
      <c r="AD116" s="215"/>
      <c r="AE116" s="215"/>
    </row>
    <row r="117" spans="1:31" ht="13.5" customHeight="1" x14ac:dyDescent="0.15">
      <c r="A117" s="80"/>
      <c r="B117" s="211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559"/>
      <c r="AC117" s="215"/>
      <c r="AD117" s="215"/>
      <c r="AE117" s="215"/>
    </row>
    <row r="118" spans="1:31" ht="13.5" customHeight="1" x14ac:dyDescent="0.15">
      <c r="A118" s="80"/>
      <c r="B118" s="211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  <c r="AB118" s="559"/>
      <c r="AC118" s="215"/>
      <c r="AD118" s="215"/>
      <c r="AE118" s="215"/>
    </row>
    <row r="119" spans="1:31" ht="13.5" customHeight="1" x14ac:dyDescent="0.15">
      <c r="A119" s="80"/>
      <c r="B119" s="211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559"/>
      <c r="AC119" s="215"/>
      <c r="AD119" s="215"/>
      <c r="AE119" s="215"/>
    </row>
    <row r="120" spans="1:31" ht="13.5" customHeight="1" x14ac:dyDescent="0.15">
      <c r="A120" s="80"/>
      <c r="B120" s="211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559"/>
      <c r="AC120" s="215"/>
      <c r="AD120" s="215"/>
      <c r="AE120" s="215"/>
    </row>
    <row r="121" spans="1:31" ht="13.5" customHeight="1" x14ac:dyDescent="0.15">
      <c r="A121" s="80"/>
      <c r="B121" s="211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559"/>
      <c r="AC121" s="215"/>
      <c r="AD121" s="215"/>
      <c r="AE121" s="215"/>
    </row>
    <row r="122" spans="1:31" ht="13.5" customHeight="1" x14ac:dyDescent="0.15">
      <c r="A122" s="80"/>
      <c r="B122" s="211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559"/>
      <c r="AC122" s="215"/>
      <c r="AD122" s="215"/>
      <c r="AE122" s="215"/>
    </row>
    <row r="123" spans="1:31" ht="13.5" customHeight="1" x14ac:dyDescent="0.15">
      <c r="A123" s="80"/>
      <c r="B123" s="211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559"/>
      <c r="AC123" s="215"/>
      <c r="AD123" s="215"/>
      <c r="AE123" s="215"/>
    </row>
    <row r="124" spans="1:31" ht="13.5" customHeight="1" x14ac:dyDescent="0.15">
      <c r="A124" s="80"/>
      <c r="B124" s="211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559"/>
      <c r="AC124" s="215"/>
      <c r="AD124" s="215"/>
      <c r="AE124" s="215"/>
    </row>
    <row r="125" spans="1:31" ht="13.5" customHeight="1" x14ac:dyDescent="0.15">
      <c r="A125" s="80"/>
      <c r="B125" s="211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559"/>
      <c r="AC125" s="215"/>
      <c r="AD125" s="215"/>
      <c r="AE125" s="215"/>
    </row>
    <row r="126" spans="1:31" ht="13.5" customHeight="1" x14ac:dyDescent="0.15">
      <c r="A126" s="80"/>
      <c r="B126" s="211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  <c r="AB126" s="559"/>
      <c r="AC126" s="215"/>
      <c r="AD126" s="215"/>
      <c r="AE126" s="215"/>
    </row>
    <row r="127" spans="1:31" ht="13.5" customHeight="1" x14ac:dyDescent="0.15">
      <c r="A127" s="80"/>
      <c r="B127" s="211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559"/>
      <c r="AC127" s="215"/>
      <c r="AD127" s="215"/>
      <c r="AE127" s="215"/>
    </row>
    <row r="128" spans="1:31" ht="13.5" customHeight="1" x14ac:dyDescent="0.15">
      <c r="A128" s="80"/>
      <c r="B128" s="211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559"/>
      <c r="AC128" s="215"/>
      <c r="AD128" s="215"/>
      <c r="AE128" s="215"/>
    </row>
    <row r="129" spans="1:31" ht="13.5" customHeight="1" x14ac:dyDescent="0.15">
      <c r="A129" s="80"/>
      <c r="B129" s="211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559"/>
      <c r="AC129" s="215"/>
      <c r="AD129" s="215"/>
      <c r="AE129" s="215"/>
    </row>
    <row r="130" spans="1:31" ht="13.5" customHeight="1" x14ac:dyDescent="0.15">
      <c r="A130" s="80"/>
      <c r="B130" s="211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559"/>
      <c r="AC130" s="215"/>
      <c r="AD130" s="215"/>
      <c r="AE130" s="215"/>
    </row>
    <row r="131" spans="1:31" ht="13.5" customHeight="1" x14ac:dyDescent="0.15">
      <c r="A131" s="80"/>
      <c r="B131" s="211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559"/>
      <c r="AC131" s="215"/>
      <c r="AD131" s="215"/>
      <c r="AE131" s="215"/>
    </row>
    <row r="132" spans="1:31" ht="13.5" customHeight="1" x14ac:dyDescent="0.15">
      <c r="A132" s="80"/>
      <c r="B132" s="211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559"/>
      <c r="AC132" s="215"/>
      <c r="AD132" s="215"/>
      <c r="AE132" s="215"/>
    </row>
    <row r="133" spans="1:31" ht="13.5" customHeight="1" x14ac:dyDescent="0.15">
      <c r="A133" s="80"/>
      <c r="B133" s="211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  <c r="AB133" s="559"/>
      <c r="AC133" s="215"/>
      <c r="AD133" s="215"/>
      <c r="AE133" s="215"/>
    </row>
    <row r="134" spans="1:31" ht="13.5" customHeight="1" x14ac:dyDescent="0.15">
      <c r="A134" s="80"/>
      <c r="B134" s="211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  <c r="AB134" s="559"/>
      <c r="AC134" s="215"/>
      <c r="AD134" s="215"/>
      <c r="AE134" s="215"/>
    </row>
    <row r="135" spans="1:31" ht="13.5" customHeight="1" x14ac:dyDescent="0.15">
      <c r="A135" s="80"/>
      <c r="B135" s="211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  <c r="AB135" s="559"/>
      <c r="AC135" s="215"/>
      <c r="AD135" s="215"/>
      <c r="AE135" s="215"/>
    </row>
    <row r="136" spans="1:31" ht="13.5" customHeight="1" x14ac:dyDescent="0.15">
      <c r="A136" s="80"/>
      <c r="B136" s="211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559"/>
      <c r="AC136" s="215"/>
      <c r="AD136" s="215"/>
      <c r="AE136" s="215"/>
    </row>
    <row r="137" spans="1:31" ht="13.5" customHeight="1" x14ac:dyDescent="0.15">
      <c r="A137" s="80"/>
      <c r="B137" s="211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559"/>
      <c r="AC137" s="215"/>
      <c r="AD137" s="215"/>
      <c r="AE137" s="215"/>
    </row>
    <row r="138" spans="1:31" ht="13.5" customHeight="1" x14ac:dyDescent="0.15">
      <c r="A138" s="80"/>
      <c r="B138" s="211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  <c r="AB138" s="559"/>
      <c r="AC138" s="215"/>
      <c r="AD138" s="215"/>
      <c r="AE138" s="215"/>
    </row>
    <row r="139" spans="1:31" ht="13.5" customHeight="1" x14ac:dyDescent="0.15">
      <c r="A139" s="80"/>
      <c r="B139" s="211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  <c r="AA139" s="215"/>
      <c r="AB139" s="559"/>
      <c r="AC139" s="215"/>
      <c r="AD139" s="215"/>
      <c r="AE139" s="215"/>
    </row>
    <row r="140" spans="1:31" ht="13.5" customHeight="1" x14ac:dyDescent="0.15">
      <c r="A140" s="80"/>
      <c r="B140" s="211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  <c r="AB140" s="559"/>
      <c r="AC140" s="215"/>
      <c r="AD140" s="215"/>
      <c r="AE140" s="215"/>
    </row>
    <row r="141" spans="1:31" ht="13.5" customHeight="1" x14ac:dyDescent="0.15">
      <c r="A141" s="80"/>
      <c r="B141" s="211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  <c r="AB141" s="559"/>
      <c r="AC141" s="215"/>
      <c r="AD141" s="215"/>
      <c r="AE141" s="215"/>
    </row>
    <row r="142" spans="1:31" ht="13.5" customHeight="1" x14ac:dyDescent="0.15">
      <c r="A142" s="80"/>
      <c r="B142" s="211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559"/>
      <c r="AC142" s="215"/>
      <c r="AD142" s="215"/>
      <c r="AE142" s="215"/>
    </row>
    <row r="143" spans="1:31" ht="13.5" customHeight="1" x14ac:dyDescent="0.15">
      <c r="A143" s="80"/>
      <c r="B143" s="211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559"/>
      <c r="AC143" s="215"/>
      <c r="AD143" s="215"/>
      <c r="AE143" s="215"/>
    </row>
    <row r="144" spans="1:31" ht="13.5" customHeight="1" x14ac:dyDescent="0.15">
      <c r="A144" s="80"/>
      <c r="B144" s="211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  <c r="AB144" s="559"/>
      <c r="AC144" s="215"/>
      <c r="AD144" s="215"/>
      <c r="AE144" s="215"/>
    </row>
    <row r="145" spans="1:31" ht="13.5" customHeight="1" x14ac:dyDescent="0.15">
      <c r="A145" s="80"/>
      <c r="B145" s="211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559"/>
      <c r="AC145" s="215"/>
      <c r="AD145" s="215"/>
      <c r="AE145" s="215"/>
    </row>
    <row r="146" spans="1:31" ht="13.5" customHeight="1" x14ac:dyDescent="0.15">
      <c r="A146" s="80"/>
      <c r="B146" s="211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  <c r="AB146" s="559"/>
      <c r="AC146" s="215"/>
      <c r="AD146" s="215"/>
      <c r="AE146" s="215"/>
    </row>
    <row r="147" spans="1:31" ht="13.5" customHeight="1" x14ac:dyDescent="0.15">
      <c r="A147" s="80"/>
      <c r="B147" s="211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  <c r="AB147" s="559"/>
      <c r="AC147" s="215"/>
      <c r="AD147" s="215"/>
      <c r="AE147" s="215"/>
    </row>
    <row r="148" spans="1:31" ht="13.5" customHeight="1" x14ac:dyDescent="0.15">
      <c r="A148" s="80"/>
      <c r="B148" s="211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  <c r="AB148" s="559"/>
      <c r="AC148" s="215"/>
      <c r="AD148" s="215"/>
      <c r="AE148" s="215"/>
    </row>
    <row r="149" spans="1:31" ht="13.5" customHeight="1" x14ac:dyDescent="0.15">
      <c r="A149" s="80"/>
      <c r="B149" s="211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  <c r="AB149" s="559"/>
      <c r="AC149" s="215"/>
      <c r="AD149" s="215"/>
      <c r="AE149" s="215"/>
    </row>
    <row r="150" spans="1:31" ht="13.5" customHeight="1" x14ac:dyDescent="0.15">
      <c r="A150" s="80"/>
      <c r="B150" s="211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  <c r="AB150" s="559"/>
      <c r="AC150" s="215"/>
      <c r="AD150" s="215"/>
      <c r="AE150" s="215"/>
    </row>
    <row r="151" spans="1:31" ht="13.5" customHeight="1" x14ac:dyDescent="0.15">
      <c r="A151" s="80"/>
      <c r="B151" s="211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  <c r="AB151" s="559"/>
      <c r="AC151" s="215"/>
      <c r="AD151" s="215"/>
      <c r="AE151" s="215"/>
    </row>
    <row r="152" spans="1:31" ht="13.5" customHeight="1" x14ac:dyDescent="0.15">
      <c r="A152" s="80"/>
      <c r="B152" s="211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  <c r="AB152" s="559"/>
      <c r="AC152" s="215"/>
      <c r="AD152" s="215"/>
      <c r="AE152" s="215"/>
    </row>
    <row r="153" spans="1:31" ht="13.5" customHeight="1" x14ac:dyDescent="0.15">
      <c r="A153" s="80"/>
      <c r="B153" s="211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  <c r="AB153" s="559"/>
      <c r="AC153" s="215"/>
      <c r="AD153" s="215"/>
      <c r="AE153" s="215"/>
    </row>
    <row r="154" spans="1:31" ht="13.5" customHeight="1" x14ac:dyDescent="0.15">
      <c r="A154" s="80"/>
      <c r="B154" s="211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559"/>
      <c r="AC154" s="215"/>
      <c r="AD154" s="215"/>
      <c r="AE154" s="215"/>
    </row>
    <row r="155" spans="1:31" ht="13.5" customHeight="1" x14ac:dyDescent="0.15">
      <c r="A155" s="80"/>
      <c r="B155" s="211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  <c r="AB155" s="559"/>
      <c r="AC155" s="215"/>
      <c r="AD155" s="215"/>
      <c r="AE155" s="215"/>
    </row>
    <row r="156" spans="1:31" ht="13.5" customHeight="1" x14ac:dyDescent="0.15">
      <c r="A156" s="80"/>
      <c r="B156" s="211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  <c r="AB156" s="559"/>
      <c r="AC156" s="215"/>
      <c r="AD156" s="215"/>
      <c r="AE156" s="215"/>
    </row>
    <row r="157" spans="1:31" ht="13.5" customHeight="1" x14ac:dyDescent="0.15">
      <c r="A157" s="80"/>
      <c r="B157" s="211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  <c r="AB157" s="559"/>
      <c r="AC157" s="215"/>
      <c r="AD157" s="215"/>
      <c r="AE157" s="215"/>
    </row>
    <row r="158" spans="1:31" ht="13.5" customHeight="1" x14ac:dyDescent="0.15">
      <c r="A158" s="80"/>
      <c r="B158" s="211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  <c r="AB158" s="559"/>
      <c r="AC158" s="215"/>
      <c r="AD158" s="215"/>
      <c r="AE158" s="215"/>
    </row>
    <row r="159" spans="1:31" ht="13.5" customHeight="1" x14ac:dyDescent="0.15">
      <c r="A159" s="80"/>
      <c r="B159" s="211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  <c r="AB159" s="559"/>
      <c r="AC159" s="215"/>
      <c r="AD159" s="215"/>
      <c r="AE159" s="215"/>
    </row>
    <row r="160" spans="1:31" ht="13.5" customHeight="1" x14ac:dyDescent="0.15">
      <c r="A160" s="80"/>
      <c r="B160" s="211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  <c r="AB160" s="559"/>
      <c r="AC160" s="215"/>
      <c r="AD160" s="215"/>
      <c r="AE160" s="215"/>
    </row>
    <row r="161" spans="1:31" ht="13.5" customHeight="1" x14ac:dyDescent="0.15">
      <c r="A161" s="80"/>
      <c r="B161" s="211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  <c r="AB161" s="559"/>
      <c r="AC161" s="215"/>
      <c r="AD161" s="215"/>
      <c r="AE161" s="215"/>
    </row>
    <row r="162" spans="1:31" ht="13.5" customHeight="1" x14ac:dyDescent="0.15">
      <c r="A162" s="80"/>
      <c r="B162" s="211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  <c r="AB162" s="559"/>
      <c r="AC162" s="215"/>
      <c r="AD162" s="215"/>
      <c r="AE162" s="215"/>
    </row>
    <row r="163" spans="1:31" ht="13.5" customHeight="1" x14ac:dyDescent="0.15">
      <c r="A163" s="80"/>
      <c r="B163" s="211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  <c r="AA163" s="215"/>
      <c r="AB163" s="559"/>
      <c r="AC163" s="215"/>
      <c r="AD163" s="215"/>
      <c r="AE163" s="215"/>
    </row>
    <row r="164" spans="1:31" ht="13.5" customHeight="1" x14ac:dyDescent="0.15">
      <c r="A164" s="80"/>
      <c r="B164" s="211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  <c r="AA164" s="215"/>
      <c r="AB164" s="559"/>
      <c r="AC164" s="215"/>
      <c r="AD164" s="215"/>
      <c r="AE164" s="215"/>
    </row>
    <row r="165" spans="1:31" ht="13.5" customHeight="1" x14ac:dyDescent="0.15">
      <c r="A165" s="80"/>
      <c r="B165" s="211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  <c r="AB165" s="559"/>
      <c r="AC165" s="215"/>
      <c r="AD165" s="215"/>
      <c r="AE165" s="215"/>
    </row>
    <row r="166" spans="1:31" ht="13.5" customHeight="1" x14ac:dyDescent="0.15">
      <c r="A166" s="80"/>
      <c r="B166" s="211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  <c r="AA166" s="215"/>
      <c r="AB166" s="559"/>
      <c r="AC166" s="215"/>
      <c r="AD166" s="215"/>
      <c r="AE166" s="215"/>
    </row>
    <row r="167" spans="1:31" ht="13.5" customHeight="1" x14ac:dyDescent="0.15">
      <c r="A167" s="80"/>
      <c r="B167" s="211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  <c r="AA167" s="215"/>
      <c r="AB167" s="559"/>
      <c r="AC167" s="215"/>
      <c r="AD167" s="215"/>
      <c r="AE167" s="215"/>
    </row>
    <row r="168" spans="1:31" ht="13.5" customHeight="1" x14ac:dyDescent="0.15">
      <c r="A168" s="80"/>
      <c r="B168" s="211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  <c r="AA168" s="215"/>
      <c r="AB168" s="559"/>
      <c r="AC168" s="215"/>
      <c r="AD168" s="215"/>
      <c r="AE168" s="215"/>
    </row>
    <row r="169" spans="1:31" ht="13.5" customHeight="1" x14ac:dyDescent="0.15">
      <c r="A169" s="80"/>
      <c r="B169" s="211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  <c r="AA169" s="215"/>
      <c r="AB169" s="559"/>
      <c r="AC169" s="215"/>
      <c r="AD169" s="215"/>
      <c r="AE169" s="215"/>
    </row>
    <row r="170" spans="1:31" ht="13.5" customHeight="1" x14ac:dyDescent="0.15">
      <c r="A170" s="80"/>
      <c r="B170" s="211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  <c r="AA170" s="215"/>
      <c r="AB170" s="559"/>
      <c r="AC170" s="215"/>
      <c r="AD170" s="215"/>
      <c r="AE170" s="215"/>
    </row>
    <row r="171" spans="1:31" ht="13.5" customHeight="1" x14ac:dyDescent="0.15">
      <c r="A171" s="80"/>
      <c r="B171" s="211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  <c r="AB171" s="559"/>
      <c r="AC171" s="215"/>
      <c r="AD171" s="215"/>
      <c r="AE171" s="215"/>
    </row>
    <row r="172" spans="1:31" ht="13.5" customHeight="1" x14ac:dyDescent="0.15">
      <c r="A172" s="80"/>
      <c r="B172" s="211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  <c r="AA172" s="215"/>
      <c r="AB172" s="559"/>
      <c r="AC172" s="215"/>
      <c r="AD172" s="215"/>
      <c r="AE172" s="215"/>
    </row>
    <row r="173" spans="1:31" ht="13.5" customHeight="1" x14ac:dyDescent="0.15">
      <c r="A173" s="80"/>
      <c r="B173" s="211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  <c r="AB173" s="559"/>
      <c r="AC173" s="215"/>
      <c r="AD173" s="215"/>
      <c r="AE173" s="215"/>
    </row>
    <row r="174" spans="1:31" ht="13.5" customHeight="1" x14ac:dyDescent="0.15">
      <c r="A174" s="80"/>
      <c r="B174" s="211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  <c r="AA174" s="215"/>
      <c r="AB174" s="559"/>
      <c r="AC174" s="215"/>
      <c r="AD174" s="215"/>
      <c r="AE174" s="215"/>
    </row>
    <row r="175" spans="1:31" ht="13.5" customHeight="1" x14ac:dyDescent="0.15">
      <c r="A175" s="80"/>
      <c r="B175" s="211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  <c r="AA175" s="215"/>
      <c r="AB175" s="559"/>
      <c r="AC175" s="215"/>
      <c r="AD175" s="215"/>
      <c r="AE175" s="215"/>
    </row>
    <row r="176" spans="1:31" ht="13.5" customHeight="1" x14ac:dyDescent="0.15">
      <c r="A176" s="80"/>
      <c r="B176" s="211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  <c r="AB176" s="559"/>
      <c r="AC176" s="215"/>
      <c r="AD176" s="215"/>
      <c r="AE176" s="215"/>
    </row>
    <row r="177" spans="1:31" ht="13.5" customHeight="1" x14ac:dyDescent="0.15">
      <c r="A177" s="80"/>
      <c r="B177" s="211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  <c r="AA177" s="215"/>
      <c r="AB177" s="559"/>
      <c r="AC177" s="215"/>
      <c r="AD177" s="215"/>
      <c r="AE177" s="215"/>
    </row>
    <row r="178" spans="1:31" ht="13.5" customHeight="1" x14ac:dyDescent="0.15">
      <c r="A178" s="80"/>
      <c r="B178" s="211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  <c r="AB178" s="559"/>
      <c r="AC178" s="215"/>
      <c r="AD178" s="215"/>
      <c r="AE178" s="215"/>
    </row>
    <row r="179" spans="1:31" ht="13.5" customHeight="1" x14ac:dyDescent="0.15">
      <c r="A179" s="80"/>
      <c r="B179" s="211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  <c r="AA179" s="215"/>
      <c r="AB179" s="559"/>
      <c r="AC179" s="215"/>
      <c r="AD179" s="215"/>
      <c r="AE179" s="215"/>
    </row>
    <row r="180" spans="1:31" ht="13.5" customHeight="1" x14ac:dyDescent="0.15">
      <c r="A180" s="80"/>
      <c r="B180" s="211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559"/>
      <c r="AC180" s="215"/>
      <c r="AD180" s="215"/>
      <c r="AE180" s="215"/>
    </row>
    <row r="181" spans="1:31" ht="13.5" customHeight="1" x14ac:dyDescent="0.15">
      <c r="A181" s="80"/>
      <c r="B181" s="211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559"/>
      <c r="AC181" s="215"/>
      <c r="AD181" s="215"/>
      <c r="AE181" s="215"/>
    </row>
    <row r="182" spans="1:31" ht="13.5" customHeight="1" x14ac:dyDescent="0.15">
      <c r="A182" s="80"/>
      <c r="B182" s="211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  <c r="AA182" s="215"/>
      <c r="AB182" s="559"/>
      <c r="AC182" s="215"/>
      <c r="AD182" s="215"/>
      <c r="AE182" s="215"/>
    </row>
    <row r="183" spans="1:31" ht="13.5" customHeight="1" x14ac:dyDescent="0.15">
      <c r="A183" s="80"/>
      <c r="B183" s="211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  <c r="AA183" s="215"/>
      <c r="AB183" s="559"/>
      <c r="AC183" s="215"/>
      <c r="AD183" s="215"/>
      <c r="AE183" s="215"/>
    </row>
    <row r="184" spans="1:31" ht="13.5" customHeight="1" x14ac:dyDescent="0.15">
      <c r="A184" s="80"/>
      <c r="B184" s="211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  <c r="AB184" s="559"/>
      <c r="AC184" s="215"/>
      <c r="AD184" s="215"/>
      <c r="AE184" s="215"/>
    </row>
    <row r="185" spans="1:31" ht="13.5" customHeight="1" x14ac:dyDescent="0.15">
      <c r="A185" s="80"/>
      <c r="B185" s="211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  <c r="AA185" s="215"/>
      <c r="AB185" s="559"/>
      <c r="AC185" s="215"/>
      <c r="AD185" s="215"/>
      <c r="AE185" s="215"/>
    </row>
    <row r="186" spans="1:31" ht="13.5" customHeight="1" x14ac:dyDescent="0.15">
      <c r="A186" s="80"/>
      <c r="B186" s="211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  <c r="AB186" s="559"/>
      <c r="AC186" s="215"/>
      <c r="AD186" s="215"/>
      <c r="AE186" s="215"/>
    </row>
    <row r="187" spans="1:31" ht="13.5" customHeight="1" x14ac:dyDescent="0.15">
      <c r="A187" s="80"/>
      <c r="B187" s="211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  <c r="AB187" s="559"/>
      <c r="AC187" s="215"/>
      <c r="AD187" s="215"/>
      <c r="AE187" s="215"/>
    </row>
    <row r="188" spans="1:31" ht="13.5" customHeight="1" x14ac:dyDescent="0.15">
      <c r="A188" s="80"/>
      <c r="B188" s="211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559"/>
      <c r="AC188" s="215"/>
      <c r="AD188" s="215"/>
      <c r="AE188" s="215"/>
    </row>
    <row r="189" spans="1:31" ht="13.5" customHeight="1" x14ac:dyDescent="0.15">
      <c r="A189" s="80"/>
      <c r="B189" s="211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  <c r="AA189" s="215"/>
      <c r="AB189" s="559"/>
      <c r="AC189" s="215"/>
      <c r="AD189" s="215"/>
      <c r="AE189" s="215"/>
    </row>
    <row r="190" spans="1:31" ht="13.5" customHeight="1" x14ac:dyDescent="0.15">
      <c r="A190" s="80"/>
      <c r="B190" s="211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  <c r="AA190" s="215"/>
      <c r="AB190" s="559"/>
      <c r="AC190" s="215"/>
      <c r="AD190" s="215"/>
      <c r="AE190" s="215"/>
    </row>
    <row r="191" spans="1:31" ht="13.5" customHeight="1" x14ac:dyDescent="0.15">
      <c r="A191" s="80"/>
      <c r="B191" s="211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  <c r="AA191" s="215"/>
      <c r="AB191" s="559"/>
      <c r="AC191" s="215"/>
      <c r="AD191" s="215"/>
      <c r="AE191" s="215"/>
    </row>
    <row r="192" spans="1:31" ht="13.5" customHeight="1" x14ac:dyDescent="0.15">
      <c r="A192" s="80"/>
      <c r="B192" s="211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  <c r="AA192" s="215"/>
      <c r="AB192" s="559"/>
      <c r="AC192" s="215"/>
      <c r="AD192" s="215"/>
      <c r="AE192" s="215"/>
    </row>
    <row r="193" spans="1:31" ht="13.5" customHeight="1" x14ac:dyDescent="0.15">
      <c r="A193" s="80"/>
      <c r="B193" s="211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  <c r="AB193" s="559"/>
      <c r="AC193" s="215"/>
      <c r="AD193" s="215"/>
      <c r="AE193" s="215"/>
    </row>
    <row r="194" spans="1:31" ht="13.5" customHeight="1" x14ac:dyDescent="0.15">
      <c r="A194" s="80"/>
      <c r="B194" s="211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  <c r="AB194" s="559"/>
      <c r="AC194" s="215"/>
      <c r="AD194" s="215"/>
      <c r="AE194" s="215"/>
    </row>
    <row r="195" spans="1:31" ht="13.5" customHeight="1" x14ac:dyDescent="0.15">
      <c r="A195" s="80"/>
      <c r="B195" s="211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  <c r="AB195" s="559"/>
      <c r="AC195" s="215"/>
      <c r="AD195" s="215"/>
      <c r="AE195" s="215"/>
    </row>
    <row r="196" spans="1:31" ht="13.5" customHeight="1" x14ac:dyDescent="0.15">
      <c r="A196" s="80"/>
      <c r="B196" s="211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  <c r="AB196" s="559"/>
      <c r="AC196" s="215"/>
      <c r="AD196" s="215"/>
      <c r="AE196" s="215"/>
    </row>
    <row r="197" spans="1:31" ht="13.5" customHeight="1" x14ac:dyDescent="0.15">
      <c r="A197" s="80"/>
      <c r="B197" s="211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  <c r="AB197" s="559"/>
      <c r="AC197" s="215"/>
      <c r="AD197" s="215"/>
      <c r="AE197" s="215"/>
    </row>
    <row r="198" spans="1:31" ht="13.5" customHeight="1" x14ac:dyDescent="0.15">
      <c r="A198" s="80"/>
      <c r="B198" s="211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  <c r="AB198" s="559"/>
      <c r="AC198" s="215"/>
      <c r="AD198" s="215"/>
      <c r="AE198" s="215"/>
    </row>
    <row r="199" spans="1:31" ht="13.5" customHeight="1" x14ac:dyDescent="0.15">
      <c r="A199" s="80"/>
      <c r="B199" s="211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  <c r="AA199" s="215"/>
      <c r="AB199" s="559"/>
      <c r="AC199" s="215"/>
      <c r="AD199" s="215"/>
      <c r="AE199" s="215"/>
    </row>
    <row r="200" spans="1:31" ht="13.5" customHeight="1" x14ac:dyDescent="0.15">
      <c r="A200" s="80"/>
      <c r="B200" s="211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  <c r="AB200" s="559"/>
      <c r="AC200" s="215"/>
      <c r="AD200" s="215"/>
      <c r="AE200" s="215"/>
    </row>
    <row r="201" spans="1:31" ht="13.5" customHeight="1" x14ac:dyDescent="0.15">
      <c r="A201" s="80"/>
      <c r="B201" s="211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  <c r="AB201" s="559"/>
      <c r="AC201" s="215"/>
      <c r="AD201" s="215"/>
      <c r="AE201" s="215"/>
    </row>
    <row r="202" spans="1:31" ht="13.5" customHeight="1" x14ac:dyDescent="0.15">
      <c r="A202" s="80"/>
      <c r="B202" s="211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  <c r="AB202" s="559"/>
      <c r="AC202" s="215"/>
      <c r="AD202" s="215"/>
      <c r="AE202" s="215"/>
    </row>
    <row r="203" spans="1:31" ht="13.5" customHeight="1" x14ac:dyDescent="0.15">
      <c r="A203" s="80"/>
      <c r="B203" s="211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  <c r="AB203" s="559"/>
      <c r="AC203" s="215"/>
      <c r="AD203" s="215"/>
      <c r="AE203" s="215"/>
    </row>
    <row r="204" spans="1:31" ht="13.5" customHeight="1" x14ac:dyDescent="0.15">
      <c r="A204" s="80"/>
      <c r="B204" s="211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  <c r="AB204" s="559"/>
      <c r="AC204" s="215"/>
      <c r="AD204" s="215"/>
      <c r="AE204" s="215"/>
    </row>
    <row r="205" spans="1:31" ht="13.5" customHeight="1" x14ac:dyDescent="0.15">
      <c r="A205" s="80"/>
      <c r="B205" s="211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  <c r="AA205" s="215"/>
      <c r="AB205" s="559"/>
      <c r="AC205" s="215"/>
      <c r="AD205" s="215"/>
      <c r="AE205" s="215"/>
    </row>
    <row r="206" spans="1:31" ht="13.5" customHeight="1" x14ac:dyDescent="0.15">
      <c r="A206" s="80"/>
      <c r="B206" s="211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  <c r="AA206" s="215"/>
      <c r="AB206" s="559"/>
      <c r="AC206" s="215"/>
      <c r="AD206" s="215"/>
      <c r="AE206" s="215"/>
    </row>
    <row r="207" spans="1:31" ht="13.5" customHeight="1" x14ac:dyDescent="0.15">
      <c r="A207" s="80"/>
      <c r="B207" s="211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  <c r="AA207" s="215"/>
      <c r="AB207" s="559"/>
      <c r="AC207" s="215"/>
      <c r="AD207" s="215"/>
      <c r="AE207" s="215"/>
    </row>
    <row r="208" spans="1:31" ht="13.5" customHeight="1" x14ac:dyDescent="0.15">
      <c r="A208" s="80"/>
      <c r="B208" s="211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  <c r="AA208" s="215"/>
      <c r="AB208" s="559"/>
      <c r="AC208" s="215"/>
      <c r="AD208" s="215"/>
      <c r="AE208" s="215"/>
    </row>
    <row r="209" spans="1:31" ht="13.5" customHeight="1" x14ac:dyDescent="0.15">
      <c r="A209" s="80"/>
      <c r="B209" s="211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  <c r="AA209" s="215"/>
      <c r="AB209" s="559"/>
      <c r="AC209" s="215"/>
      <c r="AD209" s="215"/>
      <c r="AE209" s="215"/>
    </row>
    <row r="210" spans="1:31" ht="13.5" customHeight="1" x14ac:dyDescent="0.15">
      <c r="A210" s="80"/>
      <c r="B210" s="211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  <c r="AB210" s="559"/>
      <c r="AC210" s="215"/>
      <c r="AD210" s="215"/>
      <c r="AE210" s="215"/>
    </row>
    <row r="211" spans="1:31" ht="13.5" customHeight="1" x14ac:dyDescent="0.15">
      <c r="A211" s="80"/>
      <c r="B211" s="211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  <c r="AB211" s="559"/>
      <c r="AC211" s="215"/>
      <c r="AD211" s="215"/>
      <c r="AE211" s="215"/>
    </row>
    <row r="212" spans="1:31" ht="13.5" customHeight="1" x14ac:dyDescent="0.15">
      <c r="A212" s="80"/>
      <c r="B212" s="211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  <c r="AB212" s="559"/>
      <c r="AC212" s="215"/>
      <c r="AD212" s="215"/>
      <c r="AE212" s="215"/>
    </row>
    <row r="213" spans="1:31" ht="13.5" customHeight="1" x14ac:dyDescent="0.15">
      <c r="A213" s="80"/>
      <c r="B213" s="211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  <c r="AB213" s="559"/>
      <c r="AC213" s="215"/>
      <c r="AD213" s="215"/>
      <c r="AE213" s="215"/>
    </row>
    <row r="214" spans="1:31" ht="13.5" customHeight="1" x14ac:dyDescent="0.15">
      <c r="A214" s="80"/>
      <c r="B214" s="211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  <c r="AA214" s="215"/>
      <c r="AB214" s="559"/>
      <c r="AC214" s="215"/>
      <c r="AD214" s="215"/>
      <c r="AE214" s="215"/>
    </row>
    <row r="215" spans="1:31" ht="13.5" customHeight="1" x14ac:dyDescent="0.15">
      <c r="A215" s="80"/>
      <c r="B215" s="211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  <c r="AA215" s="215"/>
      <c r="AB215" s="559"/>
      <c r="AC215" s="215"/>
      <c r="AD215" s="215"/>
      <c r="AE215" s="215"/>
    </row>
    <row r="216" spans="1:31" ht="13.5" customHeight="1" x14ac:dyDescent="0.15">
      <c r="A216" s="80"/>
      <c r="B216" s="211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  <c r="AB216" s="559"/>
      <c r="AC216" s="215"/>
      <c r="AD216" s="215"/>
      <c r="AE216" s="215"/>
    </row>
    <row r="217" spans="1:31" ht="13.5" customHeight="1" x14ac:dyDescent="0.15">
      <c r="A217" s="80"/>
      <c r="B217" s="211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  <c r="AA217" s="206"/>
      <c r="AB217" s="544"/>
      <c r="AC217" s="206"/>
      <c r="AD217" s="206"/>
      <c r="AE217" s="206"/>
    </row>
    <row r="218" spans="1:31" ht="13.5" customHeight="1" x14ac:dyDescent="0.15">
      <c r="A218" s="80"/>
      <c r="B218" s="211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  <c r="AA218" s="206"/>
      <c r="AB218" s="544"/>
      <c r="AC218" s="206"/>
      <c r="AD218" s="206"/>
      <c r="AE218" s="206"/>
    </row>
    <row r="219" spans="1:31" ht="13.5" customHeight="1" x14ac:dyDescent="0.15">
      <c r="A219" s="80"/>
      <c r="B219" s="211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  <c r="AA219" s="206"/>
      <c r="AB219" s="544"/>
      <c r="AC219" s="206"/>
      <c r="AD219" s="206"/>
      <c r="AE219" s="206"/>
    </row>
    <row r="220" spans="1:31" ht="13.5" customHeight="1" x14ac:dyDescent="0.15">
      <c r="A220" s="80"/>
      <c r="B220" s="211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  <c r="AA220" s="206"/>
      <c r="AB220" s="544"/>
      <c r="AC220" s="206"/>
      <c r="AD220" s="206"/>
      <c r="AE220" s="206"/>
    </row>
    <row r="221" spans="1:31" ht="13.5" customHeight="1" x14ac:dyDescent="0.15">
      <c r="A221" s="80"/>
      <c r="B221" s="211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  <c r="AA221" s="206"/>
      <c r="AB221" s="544"/>
      <c r="AC221" s="206"/>
      <c r="AD221" s="206"/>
      <c r="AE221" s="206"/>
    </row>
    <row r="222" spans="1:31" ht="13.5" customHeight="1" x14ac:dyDescent="0.15">
      <c r="A222" s="80"/>
      <c r="B222" s="211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  <c r="AA222" s="206"/>
      <c r="AB222" s="544"/>
      <c r="AC222" s="206"/>
      <c r="AD222" s="206"/>
      <c r="AE222" s="206"/>
    </row>
    <row r="223" spans="1:31" ht="13.5" customHeight="1" x14ac:dyDescent="0.15">
      <c r="A223" s="80"/>
      <c r="B223" s="211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  <c r="AA223" s="206"/>
      <c r="AB223" s="544"/>
      <c r="AC223" s="206"/>
      <c r="AD223" s="206"/>
      <c r="AE223" s="206"/>
    </row>
    <row r="224" spans="1:31" ht="13.5" customHeight="1" x14ac:dyDescent="0.15">
      <c r="A224" s="80"/>
      <c r="B224" s="211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  <c r="AA224" s="206"/>
      <c r="AB224" s="544"/>
      <c r="AC224" s="206"/>
      <c r="AD224" s="206"/>
      <c r="AE224" s="206"/>
    </row>
    <row r="225" spans="1:31" ht="13.5" customHeight="1" x14ac:dyDescent="0.15">
      <c r="A225" s="80"/>
      <c r="B225" s="211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544"/>
      <c r="AC225" s="206"/>
      <c r="AD225" s="206"/>
      <c r="AE225" s="206"/>
    </row>
    <row r="226" spans="1:31" ht="13.5" customHeight="1" x14ac:dyDescent="0.15">
      <c r="A226" s="80"/>
      <c r="B226" s="211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544"/>
      <c r="AC226" s="206"/>
      <c r="AD226" s="206"/>
      <c r="AE226" s="206"/>
    </row>
    <row r="227" spans="1:31" ht="13.5" customHeight="1" x14ac:dyDescent="0.15">
      <c r="A227" s="80"/>
      <c r="B227" s="211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  <c r="AA227" s="206"/>
      <c r="AB227" s="544"/>
      <c r="AC227" s="206"/>
      <c r="AD227" s="206"/>
      <c r="AE227" s="206"/>
    </row>
    <row r="228" spans="1:31" ht="13.5" customHeight="1" x14ac:dyDescent="0.15">
      <c r="A228" s="80"/>
      <c r="B228" s="211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  <c r="AA228" s="206"/>
      <c r="AB228" s="544"/>
      <c r="AC228" s="206"/>
      <c r="AD228" s="206"/>
      <c r="AE228" s="206"/>
    </row>
    <row r="229" spans="1:31" ht="13.5" customHeight="1" x14ac:dyDescent="0.15">
      <c r="A229" s="80"/>
      <c r="B229" s="211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  <c r="AA229" s="206"/>
      <c r="AB229" s="544"/>
      <c r="AC229" s="206"/>
      <c r="AD229" s="206"/>
      <c r="AE229" s="206"/>
    </row>
    <row r="230" spans="1:31" ht="13.5" customHeight="1" x14ac:dyDescent="0.15">
      <c r="A230" s="80"/>
      <c r="B230" s="211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  <c r="AA230" s="206"/>
      <c r="AB230" s="544"/>
      <c r="AC230" s="206"/>
      <c r="AD230" s="206"/>
      <c r="AE230" s="206"/>
    </row>
    <row r="231" spans="1:31" ht="13.5" customHeight="1" x14ac:dyDescent="0.15">
      <c r="A231" s="80"/>
      <c r="B231" s="211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  <c r="AA231" s="206"/>
      <c r="AB231" s="544"/>
      <c r="AC231" s="206"/>
      <c r="AD231" s="206"/>
      <c r="AE231" s="206"/>
    </row>
    <row r="232" spans="1:31" ht="13.5" customHeight="1" x14ac:dyDescent="0.15">
      <c r="A232" s="80"/>
      <c r="B232" s="211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  <c r="AA232" s="206"/>
      <c r="AB232" s="544"/>
      <c r="AC232" s="206"/>
      <c r="AD232" s="206"/>
      <c r="AE232" s="206"/>
    </row>
    <row r="233" spans="1:31" ht="13.5" customHeight="1" x14ac:dyDescent="0.15">
      <c r="A233" s="80"/>
      <c r="B233" s="211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  <c r="AA233" s="206"/>
      <c r="AB233" s="544"/>
      <c r="AC233" s="206"/>
      <c r="AD233" s="206"/>
      <c r="AE233" s="206"/>
    </row>
    <row r="234" spans="1:31" ht="13.5" customHeight="1" x14ac:dyDescent="0.15">
      <c r="A234" s="80"/>
      <c r="B234" s="211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  <c r="AA234" s="206"/>
      <c r="AB234" s="544"/>
      <c r="AC234" s="206"/>
      <c r="AD234" s="206"/>
      <c r="AE234" s="206"/>
    </row>
    <row r="235" spans="1:31" ht="13.5" customHeight="1" x14ac:dyDescent="0.15">
      <c r="A235" s="80"/>
      <c r="B235" s="211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  <c r="AA235" s="206"/>
      <c r="AB235" s="544"/>
      <c r="AC235" s="206"/>
      <c r="AD235" s="206"/>
      <c r="AE235" s="206"/>
    </row>
    <row r="236" spans="1:31" ht="13.5" customHeight="1" x14ac:dyDescent="0.15">
      <c r="A236" s="80"/>
      <c r="B236" s="211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  <c r="AA236" s="206"/>
      <c r="AB236" s="544"/>
      <c r="AC236" s="206"/>
      <c r="AD236" s="206"/>
      <c r="AE236" s="206"/>
    </row>
    <row r="237" spans="1:31" ht="13.5" customHeight="1" x14ac:dyDescent="0.15">
      <c r="A237" s="80"/>
      <c r="B237" s="211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  <c r="AA237" s="206"/>
      <c r="AB237" s="544"/>
      <c r="AC237" s="206"/>
      <c r="AD237" s="206"/>
      <c r="AE237" s="206"/>
    </row>
    <row r="238" spans="1:31" ht="13.5" customHeight="1" x14ac:dyDescent="0.15">
      <c r="A238" s="80"/>
      <c r="B238" s="211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  <c r="AA238" s="206"/>
      <c r="AB238" s="544"/>
      <c r="AC238" s="206"/>
      <c r="AD238" s="206"/>
      <c r="AE238" s="206"/>
    </row>
    <row r="239" spans="1:31" ht="13.5" customHeight="1" x14ac:dyDescent="0.15">
      <c r="A239" s="80"/>
      <c r="B239" s="211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  <c r="AA239" s="206"/>
      <c r="AB239" s="544"/>
      <c r="AC239" s="206"/>
      <c r="AD239" s="206"/>
      <c r="AE239" s="206"/>
    </row>
    <row r="240" spans="1:31" ht="13.5" customHeight="1" x14ac:dyDescent="0.15">
      <c r="A240" s="80"/>
      <c r="B240" s="211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  <c r="AB240" s="544"/>
      <c r="AC240" s="206"/>
      <c r="AD240" s="206"/>
      <c r="AE240" s="206"/>
    </row>
    <row r="241" spans="1:31" ht="13.5" customHeight="1" x14ac:dyDescent="0.15">
      <c r="A241" s="80"/>
      <c r="B241" s="211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  <c r="AA241" s="206"/>
      <c r="AB241" s="544"/>
      <c r="AC241" s="206"/>
      <c r="AD241" s="206"/>
      <c r="AE241" s="206"/>
    </row>
    <row r="242" spans="1:31" ht="13.5" customHeight="1" x14ac:dyDescent="0.15">
      <c r="A242" s="80"/>
      <c r="B242" s="211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  <c r="AB242" s="544"/>
      <c r="AC242" s="206"/>
      <c r="AD242" s="206"/>
      <c r="AE242" s="206"/>
    </row>
    <row r="243" spans="1:31" ht="13.5" customHeight="1" x14ac:dyDescent="0.15">
      <c r="A243" s="80"/>
      <c r="B243" s="211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  <c r="AB243" s="544"/>
      <c r="AC243" s="206"/>
      <c r="AD243" s="206"/>
      <c r="AE243" s="206"/>
    </row>
    <row r="244" spans="1:31" ht="13.5" customHeight="1" x14ac:dyDescent="0.15">
      <c r="A244" s="80"/>
      <c r="B244" s="211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  <c r="AA244" s="206"/>
      <c r="AB244" s="544"/>
      <c r="AC244" s="206"/>
      <c r="AD244" s="206"/>
      <c r="AE244" s="206"/>
    </row>
    <row r="245" spans="1:31" ht="13.5" customHeight="1" x14ac:dyDescent="0.15">
      <c r="A245" s="80"/>
      <c r="B245" s="211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  <c r="AA245" s="206"/>
      <c r="AB245" s="544"/>
      <c r="AC245" s="206"/>
      <c r="AD245" s="206"/>
      <c r="AE245" s="206"/>
    </row>
    <row r="246" spans="1:31" ht="13.5" customHeight="1" x14ac:dyDescent="0.15">
      <c r="A246" s="80"/>
      <c r="B246" s="211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  <c r="AA246" s="206"/>
      <c r="AB246" s="544"/>
      <c r="AC246" s="206"/>
      <c r="AD246" s="206"/>
      <c r="AE246" s="206"/>
    </row>
    <row r="247" spans="1:31" ht="13.5" customHeight="1" x14ac:dyDescent="0.15">
      <c r="A247" s="80"/>
      <c r="B247" s="211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  <c r="AB247" s="544"/>
      <c r="AC247" s="206"/>
      <c r="AD247" s="206"/>
      <c r="AE247" s="206"/>
    </row>
    <row r="248" spans="1:31" ht="13.5" customHeight="1" x14ac:dyDescent="0.15">
      <c r="A248" s="80"/>
      <c r="B248" s="211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  <c r="AB248" s="544"/>
      <c r="AC248" s="206"/>
      <c r="AD248" s="206"/>
      <c r="AE248" s="206"/>
    </row>
    <row r="249" spans="1:31" ht="13.5" customHeight="1" x14ac:dyDescent="0.15">
      <c r="A249" s="80"/>
      <c r="B249" s="211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  <c r="AB249" s="544"/>
      <c r="AC249" s="206"/>
      <c r="AD249" s="206"/>
      <c r="AE249" s="206"/>
    </row>
    <row r="250" spans="1:31" ht="13.5" customHeight="1" x14ac:dyDescent="0.15">
      <c r="A250" s="80"/>
      <c r="B250" s="211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  <c r="AA250" s="206"/>
      <c r="AB250" s="544"/>
      <c r="AC250" s="206"/>
      <c r="AD250" s="206"/>
      <c r="AE250" s="206"/>
    </row>
    <row r="251" spans="1:31" ht="13.5" customHeight="1" x14ac:dyDescent="0.15">
      <c r="A251" s="80"/>
      <c r="B251" s="211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  <c r="AA251" s="206"/>
      <c r="AB251" s="544"/>
      <c r="AC251" s="206"/>
      <c r="AD251" s="206"/>
      <c r="AE251" s="206"/>
    </row>
    <row r="252" spans="1:31" ht="13.5" customHeight="1" x14ac:dyDescent="0.15">
      <c r="A252" s="80"/>
      <c r="B252" s="211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  <c r="AA252" s="206"/>
      <c r="AB252" s="544"/>
      <c r="AC252" s="206"/>
      <c r="AD252" s="206"/>
      <c r="AE252" s="206"/>
    </row>
    <row r="253" spans="1:31" ht="13.5" customHeight="1" x14ac:dyDescent="0.15">
      <c r="A253" s="80"/>
      <c r="B253" s="211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  <c r="AA253" s="206"/>
      <c r="AB253" s="544"/>
      <c r="AC253" s="206"/>
      <c r="AD253" s="206"/>
      <c r="AE253" s="206"/>
    </row>
    <row r="254" spans="1:31" ht="13.5" customHeight="1" x14ac:dyDescent="0.15">
      <c r="A254" s="80"/>
      <c r="B254" s="211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  <c r="AA254" s="206"/>
      <c r="AB254" s="544"/>
      <c r="AC254" s="206"/>
      <c r="AD254" s="206"/>
      <c r="AE254" s="206"/>
    </row>
    <row r="255" spans="1:31" ht="13.5" customHeight="1" x14ac:dyDescent="0.15">
      <c r="A255" s="80"/>
      <c r="B255" s="211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  <c r="AA255" s="206"/>
      <c r="AB255" s="544"/>
      <c r="AC255" s="206"/>
      <c r="AD255" s="206"/>
      <c r="AE255" s="206"/>
    </row>
    <row r="256" spans="1:31" ht="13.5" customHeight="1" x14ac:dyDescent="0.15">
      <c r="A256" s="80"/>
      <c r="B256" s="211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  <c r="AA256" s="206"/>
      <c r="AB256" s="544"/>
      <c r="AC256" s="206"/>
      <c r="AD256" s="206"/>
      <c r="AE256" s="206"/>
    </row>
    <row r="257" spans="1:31" ht="13.5" customHeight="1" x14ac:dyDescent="0.15">
      <c r="A257" s="80"/>
      <c r="B257" s="211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  <c r="AA257" s="206"/>
      <c r="AB257" s="544"/>
      <c r="AC257" s="206"/>
      <c r="AD257" s="206"/>
      <c r="AE257" s="206"/>
    </row>
    <row r="258" spans="1:31" ht="13.5" customHeight="1" x14ac:dyDescent="0.15">
      <c r="A258" s="80"/>
      <c r="B258" s="211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  <c r="AA258" s="206"/>
      <c r="AB258" s="544"/>
      <c r="AC258" s="206"/>
      <c r="AD258" s="206"/>
      <c r="AE258" s="206"/>
    </row>
    <row r="259" spans="1:31" ht="13.5" customHeight="1" x14ac:dyDescent="0.15">
      <c r="A259" s="80"/>
      <c r="B259" s="211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544"/>
      <c r="AC259" s="206"/>
      <c r="AD259" s="206"/>
      <c r="AE259" s="206"/>
    </row>
    <row r="260" spans="1:31" ht="13.5" customHeight="1" x14ac:dyDescent="0.15">
      <c r="A260" s="80"/>
      <c r="B260" s="211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  <c r="AA260" s="206"/>
      <c r="AB260" s="544"/>
      <c r="AC260" s="206"/>
      <c r="AD260" s="206"/>
      <c r="AE260" s="206"/>
    </row>
    <row r="261" spans="1:31" ht="13.5" customHeight="1" x14ac:dyDescent="0.15">
      <c r="A261" s="80"/>
      <c r="B261" s="211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  <c r="AA261" s="206"/>
      <c r="AB261" s="544"/>
      <c r="AC261" s="206"/>
      <c r="AD261" s="206"/>
      <c r="AE261" s="206"/>
    </row>
    <row r="262" spans="1:31" ht="13.5" customHeight="1" x14ac:dyDescent="0.15">
      <c r="A262" s="80"/>
      <c r="B262" s="211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  <c r="AA262" s="206"/>
      <c r="AB262" s="544"/>
      <c r="AC262" s="206"/>
      <c r="AD262" s="206"/>
      <c r="AE262" s="206"/>
    </row>
    <row r="263" spans="1:31" ht="13.5" customHeight="1" x14ac:dyDescent="0.15">
      <c r="A263" s="80"/>
      <c r="B263" s="211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  <c r="AA263" s="206"/>
      <c r="AB263" s="544"/>
      <c r="AC263" s="206"/>
      <c r="AD263" s="206"/>
      <c r="AE263" s="206"/>
    </row>
    <row r="264" spans="1:31" ht="13.5" customHeight="1" x14ac:dyDescent="0.15">
      <c r="A264" s="80"/>
      <c r="B264" s="211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  <c r="AA264" s="206"/>
      <c r="AB264" s="544"/>
      <c r="AC264" s="206"/>
      <c r="AD264" s="206"/>
      <c r="AE264" s="206"/>
    </row>
    <row r="265" spans="1:31" ht="13.5" customHeight="1" x14ac:dyDescent="0.15">
      <c r="A265" s="80"/>
      <c r="B265" s="211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  <c r="AA265" s="206"/>
      <c r="AB265" s="544"/>
      <c r="AC265" s="206"/>
      <c r="AD265" s="206"/>
      <c r="AE265" s="206"/>
    </row>
    <row r="266" spans="1:31" ht="13.5" customHeight="1" x14ac:dyDescent="0.15">
      <c r="A266" s="80"/>
      <c r="B266" s="211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  <c r="AA266" s="206"/>
      <c r="AB266" s="544"/>
      <c r="AC266" s="206"/>
      <c r="AD266" s="206"/>
      <c r="AE266" s="206"/>
    </row>
    <row r="267" spans="1:31" ht="13.5" customHeight="1" x14ac:dyDescent="0.15">
      <c r="A267" s="80"/>
      <c r="B267" s="211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  <c r="AA267" s="206"/>
      <c r="AB267" s="544"/>
      <c r="AC267" s="206"/>
      <c r="AD267" s="206"/>
      <c r="AE267" s="206"/>
    </row>
    <row r="268" spans="1:31" ht="13.5" customHeight="1" x14ac:dyDescent="0.15">
      <c r="A268" s="80"/>
      <c r="B268" s="211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  <c r="AA268" s="206"/>
      <c r="AB268" s="544"/>
      <c r="AC268" s="206"/>
      <c r="AD268" s="206"/>
      <c r="AE268" s="206"/>
    </row>
    <row r="269" spans="1:31" ht="13.5" customHeight="1" x14ac:dyDescent="0.15">
      <c r="A269" s="80"/>
      <c r="B269" s="211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  <c r="AA269" s="206"/>
      <c r="AB269" s="544"/>
      <c r="AC269" s="206"/>
      <c r="AD269" s="206"/>
      <c r="AE269" s="206"/>
    </row>
    <row r="270" spans="1:31" ht="13.5" customHeight="1" x14ac:dyDescent="0.15">
      <c r="A270" s="80"/>
      <c r="B270" s="211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544"/>
      <c r="AC270" s="206"/>
      <c r="AD270" s="206"/>
      <c r="AE270" s="206"/>
    </row>
    <row r="271" spans="1:31" ht="13.5" customHeight="1" x14ac:dyDescent="0.15">
      <c r="A271" s="80"/>
      <c r="B271" s="211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  <c r="AA271" s="206"/>
      <c r="AB271" s="544"/>
      <c r="AC271" s="206"/>
      <c r="AD271" s="206"/>
      <c r="AE271" s="206"/>
    </row>
    <row r="272" spans="1:31" ht="13.5" customHeight="1" x14ac:dyDescent="0.15">
      <c r="A272" s="80"/>
      <c r="B272" s="211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544"/>
      <c r="AC272" s="206"/>
      <c r="AD272" s="206"/>
      <c r="AE272" s="206"/>
    </row>
    <row r="273" spans="1:31" ht="13.5" customHeight="1" x14ac:dyDescent="0.15">
      <c r="A273" s="80"/>
      <c r="B273" s="211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  <c r="AA273" s="206"/>
      <c r="AB273" s="544"/>
      <c r="AC273" s="206"/>
      <c r="AD273" s="206"/>
      <c r="AE273" s="206"/>
    </row>
    <row r="274" spans="1:31" ht="13.5" customHeight="1" x14ac:dyDescent="0.15">
      <c r="A274" s="80"/>
      <c r="B274" s="211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  <c r="AA274" s="206"/>
      <c r="AB274" s="544"/>
      <c r="AC274" s="206"/>
      <c r="AD274" s="206"/>
      <c r="AE274" s="206"/>
    </row>
    <row r="275" spans="1:31" ht="13.5" customHeight="1" x14ac:dyDescent="0.15">
      <c r="A275" s="80"/>
      <c r="B275" s="211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  <c r="AA275" s="206"/>
      <c r="AB275" s="544"/>
      <c r="AC275" s="206"/>
      <c r="AD275" s="206"/>
      <c r="AE275" s="206"/>
    </row>
    <row r="276" spans="1:31" ht="13.5" customHeight="1" x14ac:dyDescent="0.15">
      <c r="A276" s="80"/>
      <c r="B276" s="211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  <c r="AA276" s="206"/>
      <c r="AB276" s="544"/>
      <c r="AC276" s="206"/>
      <c r="AD276" s="206"/>
      <c r="AE276" s="206"/>
    </row>
    <row r="277" spans="1:31" ht="13.5" customHeight="1" x14ac:dyDescent="0.15">
      <c r="A277" s="80"/>
      <c r="B277" s="211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  <c r="AA277" s="206"/>
      <c r="AB277" s="544"/>
      <c r="AC277" s="206"/>
      <c r="AD277" s="206"/>
      <c r="AE277" s="206"/>
    </row>
    <row r="278" spans="1:31" ht="13.5" customHeight="1" x14ac:dyDescent="0.15">
      <c r="A278" s="80"/>
      <c r="B278" s="211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  <c r="AA278" s="206"/>
      <c r="AB278" s="544"/>
      <c r="AC278" s="206"/>
      <c r="AD278" s="206"/>
      <c r="AE278" s="206"/>
    </row>
    <row r="279" spans="1:31" ht="13.5" customHeight="1" x14ac:dyDescent="0.15">
      <c r="A279" s="80"/>
      <c r="B279" s="211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  <c r="AA279" s="206"/>
      <c r="AB279" s="544"/>
      <c r="AC279" s="206"/>
      <c r="AD279" s="206"/>
      <c r="AE279" s="206"/>
    </row>
    <row r="280" spans="1:31" ht="13.5" customHeight="1" x14ac:dyDescent="0.15">
      <c r="A280" s="80"/>
      <c r="B280" s="211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  <c r="AA280" s="206"/>
      <c r="AB280" s="544"/>
      <c r="AC280" s="206"/>
      <c r="AD280" s="206"/>
      <c r="AE280" s="206"/>
    </row>
    <row r="281" spans="1:31" ht="13.5" customHeight="1" x14ac:dyDescent="0.15">
      <c r="A281" s="80"/>
      <c r="B281" s="211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  <c r="AA281" s="206"/>
      <c r="AB281" s="544"/>
      <c r="AC281" s="206"/>
      <c r="AD281" s="206"/>
      <c r="AE281" s="206"/>
    </row>
    <row r="282" spans="1:31" ht="13.5" customHeight="1" x14ac:dyDescent="0.15">
      <c r="A282" s="80"/>
      <c r="B282" s="211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  <c r="AA282" s="206"/>
      <c r="AB282" s="544"/>
      <c r="AC282" s="206"/>
      <c r="AD282" s="206"/>
      <c r="AE282" s="206"/>
    </row>
    <row r="283" spans="1:31" ht="13.5" customHeight="1" x14ac:dyDescent="0.15">
      <c r="A283" s="80"/>
      <c r="B283" s="211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  <c r="AA283" s="206"/>
      <c r="AB283" s="544"/>
      <c r="AC283" s="206"/>
      <c r="AD283" s="206"/>
      <c r="AE283" s="206"/>
    </row>
    <row r="284" spans="1:31" ht="13.5" customHeight="1" x14ac:dyDescent="0.15">
      <c r="A284" s="80"/>
      <c r="B284" s="211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  <c r="AA284" s="206"/>
      <c r="AB284" s="544"/>
      <c r="AC284" s="206"/>
      <c r="AD284" s="206"/>
      <c r="AE284" s="206"/>
    </row>
    <row r="285" spans="1:31" ht="13.5" customHeight="1" x14ac:dyDescent="0.15">
      <c r="A285" s="80"/>
      <c r="B285" s="211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  <c r="AA285" s="206"/>
      <c r="AB285" s="544"/>
      <c r="AC285" s="206"/>
      <c r="AD285" s="206"/>
      <c r="AE285" s="206"/>
    </row>
    <row r="286" spans="1:31" ht="13.5" customHeight="1" x14ac:dyDescent="0.15">
      <c r="A286" s="80"/>
      <c r="B286" s="211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  <c r="AA286" s="206"/>
      <c r="AB286" s="544"/>
      <c r="AC286" s="206"/>
      <c r="AD286" s="206"/>
      <c r="AE286" s="206"/>
    </row>
    <row r="287" spans="1:31" ht="13.5" customHeight="1" x14ac:dyDescent="0.15">
      <c r="A287" s="80"/>
      <c r="B287" s="211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  <c r="AA287" s="206"/>
      <c r="AB287" s="544"/>
      <c r="AC287" s="206"/>
      <c r="AD287" s="206"/>
      <c r="AE287" s="206"/>
    </row>
    <row r="288" spans="1:31" ht="13.5" customHeight="1" x14ac:dyDescent="0.15">
      <c r="A288" s="80"/>
      <c r="B288" s="211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  <c r="AA288" s="206"/>
      <c r="AB288" s="544"/>
      <c r="AC288" s="206"/>
      <c r="AD288" s="206"/>
      <c r="AE288" s="206"/>
    </row>
    <row r="289" spans="1:31" ht="13.5" customHeight="1" x14ac:dyDescent="0.15">
      <c r="A289" s="80"/>
      <c r="B289" s="211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  <c r="AA289" s="206"/>
      <c r="AB289" s="544"/>
      <c r="AC289" s="206"/>
      <c r="AD289" s="206"/>
      <c r="AE289" s="206"/>
    </row>
    <row r="290" spans="1:31" ht="13.5" customHeight="1" x14ac:dyDescent="0.15">
      <c r="A290" s="80"/>
      <c r="B290" s="211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  <c r="AA290" s="206"/>
      <c r="AB290" s="544"/>
      <c r="AC290" s="206"/>
      <c r="AD290" s="206"/>
      <c r="AE290" s="206"/>
    </row>
    <row r="291" spans="1:31" ht="13.5" customHeight="1" x14ac:dyDescent="0.15">
      <c r="A291" s="80"/>
      <c r="B291" s="211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  <c r="AA291" s="206"/>
      <c r="AB291" s="544"/>
      <c r="AC291" s="206"/>
      <c r="AD291" s="206"/>
      <c r="AE291" s="206"/>
    </row>
    <row r="292" spans="1:31" ht="13.5" customHeight="1" x14ac:dyDescent="0.15">
      <c r="A292" s="80"/>
      <c r="B292" s="211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  <c r="AA292" s="206"/>
      <c r="AB292" s="544"/>
      <c r="AC292" s="206"/>
      <c r="AD292" s="206"/>
      <c r="AE292" s="206"/>
    </row>
    <row r="293" spans="1:31" ht="13.5" customHeight="1" x14ac:dyDescent="0.15">
      <c r="A293" s="80"/>
      <c r="B293" s="211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  <c r="AA293" s="206"/>
      <c r="AB293" s="544"/>
      <c r="AC293" s="206"/>
      <c r="AD293" s="206"/>
      <c r="AE293" s="206"/>
    </row>
    <row r="294" spans="1:31" ht="13.5" customHeight="1" x14ac:dyDescent="0.15">
      <c r="A294" s="80"/>
      <c r="B294" s="211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  <c r="AA294" s="206"/>
      <c r="AB294" s="544"/>
      <c r="AC294" s="206"/>
      <c r="AD294" s="206"/>
      <c r="AE294" s="206"/>
    </row>
    <row r="295" spans="1:31" ht="13.5" customHeight="1" x14ac:dyDescent="0.15">
      <c r="A295" s="80"/>
      <c r="B295" s="211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  <c r="AA295" s="206"/>
      <c r="AB295" s="544"/>
      <c r="AC295" s="206"/>
      <c r="AD295" s="206"/>
      <c r="AE295" s="206"/>
    </row>
    <row r="296" spans="1:31" ht="13.5" customHeight="1" x14ac:dyDescent="0.15">
      <c r="A296" s="80"/>
      <c r="B296" s="211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  <c r="AA296" s="206"/>
      <c r="AB296" s="544"/>
      <c r="AC296" s="206"/>
      <c r="AD296" s="206"/>
      <c r="AE296" s="206"/>
    </row>
    <row r="297" spans="1:31" ht="13.5" customHeight="1" x14ac:dyDescent="0.15">
      <c r="A297" s="80"/>
      <c r="B297" s="211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  <c r="AA297" s="206"/>
      <c r="AB297" s="544"/>
      <c r="AC297" s="206"/>
      <c r="AD297" s="206"/>
      <c r="AE297" s="206"/>
    </row>
    <row r="298" spans="1:31" ht="13.5" customHeight="1" x14ac:dyDescent="0.15">
      <c r="A298" s="80"/>
      <c r="B298" s="211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  <c r="AA298" s="206"/>
      <c r="AB298" s="544"/>
      <c r="AC298" s="206"/>
      <c r="AD298" s="206"/>
      <c r="AE298" s="206"/>
    </row>
    <row r="299" spans="1:31" ht="13.5" customHeight="1" x14ac:dyDescent="0.15">
      <c r="A299" s="80"/>
      <c r="B299" s="211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  <c r="AA299" s="206"/>
      <c r="AB299" s="544"/>
      <c r="AC299" s="206"/>
      <c r="AD299" s="206"/>
      <c r="AE299" s="206"/>
    </row>
    <row r="300" spans="1:31" ht="13.5" customHeight="1" x14ac:dyDescent="0.15">
      <c r="A300" s="80"/>
      <c r="B300" s="211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  <c r="AA300" s="206"/>
      <c r="AB300" s="544"/>
      <c r="AC300" s="206"/>
      <c r="AD300" s="206"/>
      <c r="AE300" s="206"/>
    </row>
    <row r="301" spans="1:31" ht="13.5" customHeight="1" x14ac:dyDescent="0.15">
      <c r="A301" s="80"/>
      <c r="B301" s="211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  <c r="AA301" s="206"/>
      <c r="AB301" s="544"/>
      <c r="AC301" s="206"/>
      <c r="AD301" s="206"/>
      <c r="AE301" s="206"/>
    </row>
    <row r="302" spans="1:31" ht="13.5" customHeight="1" x14ac:dyDescent="0.15">
      <c r="A302" s="80"/>
      <c r="B302" s="211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  <c r="AA302" s="206"/>
      <c r="AB302" s="544"/>
      <c r="AC302" s="206"/>
      <c r="AD302" s="206"/>
      <c r="AE302" s="206"/>
    </row>
    <row r="303" spans="1:31" ht="13.5" customHeight="1" x14ac:dyDescent="0.15">
      <c r="A303" s="80"/>
      <c r="B303" s="211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  <c r="AA303" s="206"/>
      <c r="AB303" s="544"/>
      <c r="AC303" s="206"/>
      <c r="AD303" s="206"/>
      <c r="AE303" s="206"/>
    </row>
    <row r="304" spans="1:31" ht="13.5" customHeight="1" x14ac:dyDescent="0.15">
      <c r="A304" s="80"/>
      <c r="B304" s="211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  <c r="AA304" s="206"/>
      <c r="AB304" s="544"/>
      <c r="AC304" s="206"/>
      <c r="AD304" s="206"/>
      <c r="AE304" s="206"/>
    </row>
    <row r="305" spans="1:31" ht="13.5" customHeight="1" x14ac:dyDescent="0.15">
      <c r="A305" s="80"/>
      <c r="B305" s="211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  <c r="AA305" s="206"/>
      <c r="AB305" s="544"/>
      <c r="AC305" s="206"/>
      <c r="AD305" s="206"/>
      <c r="AE305" s="206"/>
    </row>
    <row r="306" spans="1:31" ht="13.5" customHeight="1" x14ac:dyDescent="0.15">
      <c r="A306" s="80"/>
      <c r="B306" s="211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  <c r="AA306" s="206"/>
      <c r="AB306" s="544"/>
      <c r="AC306" s="206"/>
      <c r="AD306" s="206"/>
      <c r="AE306" s="206"/>
    </row>
    <row r="307" spans="1:31" ht="13.5" customHeight="1" x14ac:dyDescent="0.15">
      <c r="A307" s="80"/>
      <c r="B307" s="211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  <c r="AA307" s="206"/>
      <c r="AB307" s="544"/>
      <c r="AC307" s="206"/>
      <c r="AD307" s="206"/>
      <c r="AE307" s="206"/>
    </row>
    <row r="308" spans="1:31" ht="13.5" customHeight="1" x14ac:dyDescent="0.15">
      <c r="A308" s="80"/>
      <c r="B308" s="211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  <c r="AA308" s="206"/>
      <c r="AB308" s="544"/>
      <c r="AC308" s="206"/>
      <c r="AD308" s="206"/>
      <c r="AE308" s="206"/>
    </row>
    <row r="309" spans="1:31" ht="13.5" customHeight="1" x14ac:dyDescent="0.15">
      <c r="A309" s="80"/>
      <c r="B309" s="211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  <c r="AA309" s="206"/>
      <c r="AB309" s="544"/>
      <c r="AC309" s="206"/>
      <c r="AD309" s="206"/>
      <c r="AE309" s="206"/>
    </row>
    <row r="310" spans="1:31" ht="13.5" customHeight="1" x14ac:dyDescent="0.15">
      <c r="A310" s="80"/>
      <c r="B310" s="211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  <c r="AA310" s="206"/>
      <c r="AB310" s="544"/>
      <c r="AC310" s="206"/>
      <c r="AD310" s="206"/>
      <c r="AE310" s="206"/>
    </row>
    <row r="311" spans="1:31" ht="13.5" customHeight="1" x14ac:dyDescent="0.15">
      <c r="A311" s="80"/>
      <c r="B311" s="211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  <c r="AA311" s="206"/>
      <c r="AB311" s="544"/>
      <c r="AC311" s="206"/>
      <c r="AD311" s="206"/>
      <c r="AE311" s="206"/>
    </row>
    <row r="312" spans="1:31" ht="13.5" customHeight="1" x14ac:dyDescent="0.15">
      <c r="A312" s="80"/>
      <c r="B312" s="211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  <c r="AA312" s="206"/>
      <c r="AB312" s="544"/>
      <c r="AC312" s="206"/>
      <c r="AD312" s="206"/>
      <c r="AE312" s="206"/>
    </row>
    <row r="313" spans="1:31" ht="13.5" customHeight="1" x14ac:dyDescent="0.15">
      <c r="A313" s="80"/>
      <c r="B313" s="211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  <c r="AA313" s="206"/>
      <c r="AB313" s="544"/>
      <c r="AC313" s="206"/>
      <c r="AD313" s="206"/>
      <c r="AE313" s="206"/>
    </row>
    <row r="314" spans="1:31" ht="13.5" customHeight="1" x14ac:dyDescent="0.15">
      <c r="A314" s="80"/>
      <c r="B314" s="211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  <c r="AA314" s="206"/>
      <c r="AB314" s="544"/>
      <c r="AC314" s="206"/>
      <c r="AD314" s="206"/>
      <c r="AE314" s="206"/>
    </row>
    <row r="315" spans="1:31" ht="13.5" customHeight="1" x14ac:dyDescent="0.15">
      <c r="A315" s="80"/>
      <c r="B315" s="211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  <c r="AA315" s="206"/>
      <c r="AB315" s="544"/>
      <c r="AC315" s="206"/>
      <c r="AD315" s="206"/>
      <c r="AE315" s="206"/>
    </row>
    <row r="316" spans="1:31" ht="13.5" customHeight="1" x14ac:dyDescent="0.15">
      <c r="A316" s="80"/>
      <c r="B316" s="211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  <c r="AA316" s="206"/>
      <c r="AB316" s="544"/>
      <c r="AC316" s="206"/>
      <c r="AD316" s="206"/>
      <c r="AE316" s="206"/>
    </row>
    <row r="317" spans="1:31" ht="13.5" customHeight="1" x14ac:dyDescent="0.15">
      <c r="A317" s="80"/>
      <c r="B317" s="211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  <c r="AA317" s="206"/>
      <c r="AB317" s="544"/>
      <c r="AC317" s="206"/>
      <c r="AD317" s="206"/>
      <c r="AE317" s="206"/>
    </row>
    <row r="318" spans="1:31" ht="13.5" customHeight="1" x14ac:dyDescent="0.15">
      <c r="A318" s="80"/>
      <c r="B318" s="211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  <c r="AA318" s="206"/>
      <c r="AB318" s="544"/>
      <c r="AC318" s="206"/>
      <c r="AD318" s="206"/>
      <c r="AE318" s="206"/>
    </row>
    <row r="319" spans="1:31" ht="13.5" customHeight="1" x14ac:dyDescent="0.15">
      <c r="A319" s="80"/>
      <c r="B319" s="211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  <c r="AA319" s="206"/>
      <c r="AB319" s="544"/>
      <c r="AC319" s="206"/>
      <c r="AD319" s="206"/>
      <c r="AE319" s="206"/>
    </row>
    <row r="320" spans="1:31" ht="13.5" customHeight="1" x14ac:dyDescent="0.15">
      <c r="A320" s="80"/>
      <c r="B320" s="211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  <c r="AA320" s="206"/>
      <c r="AB320" s="544"/>
      <c r="AC320" s="206"/>
      <c r="AD320" s="206"/>
      <c r="AE320" s="206"/>
    </row>
    <row r="321" spans="1:31" ht="13.5" customHeight="1" x14ac:dyDescent="0.15">
      <c r="A321" s="80"/>
      <c r="B321" s="211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  <c r="AA321" s="206"/>
      <c r="AB321" s="544"/>
      <c r="AC321" s="206"/>
      <c r="AD321" s="206"/>
      <c r="AE321" s="206"/>
    </row>
    <row r="322" spans="1:31" ht="13.5" customHeight="1" x14ac:dyDescent="0.15">
      <c r="A322" s="80"/>
      <c r="B322" s="211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  <c r="AA322" s="206"/>
      <c r="AB322" s="544"/>
      <c r="AC322" s="206"/>
      <c r="AD322" s="206"/>
      <c r="AE322" s="206"/>
    </row>
    <row r="323" spans="1:31" ht="13.5" customHeight="1" x14ac:dyDescent="0.15">
      <c r="A323" s="80"/>
      <c r="B323" s="211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  <c r="AA323" s="206"/>
      <c r="AB323" s="544"/>
      <c r="AC323" s="206"/>
      <c r="AD323" s="206"/>
      <c r="AE323" s="206"/>
    </row>
    <row r="324" spans="1:31" ht="13.5" customHeight="1" x14ac:dyDescent="0.15">
      <c r="A324" s="80"/>
      <c r="B324" s="211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  <c r="AA324" s="206"/>
      <c r="AB324" s="544"/>
      <c r="AC324" s="206"/>
      <c r="AD324" s="206"/>
      <c r="AE324" s="206"/>
    </row>
    <row r="325" spans="1:31" ht="13.5" customHeight="1" x14ac:dyDescent="0.15">
      <c r="A325" s="80"/>
      <c r="B325" s="211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  <c r="AA325" s="206"/>
      <c r="AB325" s="544"/>
      <c r="AC325" s="206"/>
      <c r="AD325" s="206"/>
      <c r="AE325" s="206"/>
    </row>
    <row r="326" spans="1:31" ht="13.5" customHeight="1" x14ac:dyDescent="0.15">
      <c r="A326" s="80"/>
      <c r="B326" s="211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  <c r="AA326" s="206"/>
      <c r="AB326" s="544"/>
      <c r="AC326" s="206"/>
      <c r="AD326" s="206"/>
      <c r="AE326" s="206"/>
    </row>
    <row r="327" spans="1:31" ht="13.5" customHeight="1" x14ac:dyDescent="0.15">
      <c r="A327" s="80"/>
      <c r="B327" s="211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  <c r="AA327" s="206"/>
      <c r="AB327" s="544"/>
      <c r="AC327" s="206"/>
      <c r="AD327" s="206"/>
      <c r="AE327" s="206"/>
    </row>
    <row r="328" spans="1:31" ht="13.5" customHeight="1" x14ac:dyDescent="0.15">
      <c r="A328" s="80"/>
      <c r="B328" s="211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  <c r="AA328" s="206"/>
      <c r="AB328" s="544"/>
      <c r="AC328" s="206"/>
      <c r="AD328" s="206"/>
      <c r="AE328" s="206"/>
    </row>
    <row r="329" spans="1:31" ht="13.5" customHeight="1" x14ac:dyDescent="0.15">
      <c r="A329" s="80"/>
      <c r="B329" s="211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  <c r="AA329" s="206"/>
      <c r="AB329" s="544"/>
      <c r="AC329" s="206"/>
      <c r="AD329" s="206"/>
      <c r="AE329" s="206"/>
    </row>
    <row r="330" spans="1:31" ht="13.5" customHeight="1" x14ac:dyDescent="0.15">
      <c r="A330" s="80"/>
      <c r="B330" s="211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  <c r="AA330" s="206"/>
      <c r="AB330" s="544"/>
      <c r="AC330" s="206"/>
      <c r="AD330" s="206"/>
      <c r="AE330" s="206"/>
    </row>
    <row r="331" spans="1:31" ht="13.5" customHeight="1" x14ac:dyDescent="0.15">
      <c r="A331" s="80"/>
      <c r="B331" s="211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  <c r="AA331" s="206"/>
      <c r="AB331" s="544"/>
      <c r="AC331" s="206"/>
      <c r="AD331" s="206"/>
      <c r="AE331" s="206"/>
    </row>
    <row r="332" spans="1:31" ht="13.5" customHeight="1" x14ac:dyDescent="0.15">
      <c r="A332" s="80"/>
      <c r="B332" s="211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  <c r="AA332" s="206"/>
      <c r="AB332" s="544"/>
      <c r="AC332" s="206"/>
      <c r="AD332" s="206"/>
      <c r="AE332" s="206"/>
    </row>
    <row r="333" spans="1:31" ht="13.5" customHeight="1" x14ac:dyDescent="0.15">
      <c r="A333" s="80"/>
      <c r="B333" s="211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  <c r="AA333" s="206"/>
      <c r="AB333" s="544"/>
      <c r="AC333" s="206"/>
      <c r="AD333" s="206"/>
      <c r="AE333" s="206"/>
    </row>
    <row r="334" spans="1:31" ht="13.5" customHeight="1" x14ac:dyDescent="0.15">
      <c r="A334" s="80"/>
      <c r="B334" s="211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  <c r="AA334" s="206"/>
      <c r="AB334" s="544"/>
      <c r="AC334" s="206"/>
      <c r="AD334" s="206"/>
      <c r="AE334" s="206"/>
    </row>
    <row r="335" spans="1:31" ht="13.5" customHeight="1" x14ac:dyDescent="0.15">
      <c r="A335" s="80"/>
      <c r="B335" s="211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  <c r="AA335" s="206"/>
      <c r="AB335" s="544"/>
      <c r="AC335" s="206"/>
      <c r="AD335" s="206"/>
      <c r="AE335" s="206"/>
    </row>
    <row r="336" spans="1:31" ht="13.5" customHeight="1" x14ac:dyDescent="0.15">
      <c r="A336" s="80"/>
      <c r="B336" s="211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  <c r="AA336" s="206"/>
      <c r="AB336" s="544"/>
      <c r="AC336" s="206"/>
      <c r="AD336" s="206"/>
      <c r="AE336" s="206"/>
    </row>
    <row r="337" spans="1:31" ht="13.5" customHeight="1" x14ac:dyDescent="0.15">
      <c r="A337" s="80"/>
      <c r="B337" s="211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  <c r="AA337" s="206"/>
      <c r="AB337" s="544"/>
      <c r="AC337" s="206"/>
      <c r="AD337" s="206"/>
      <c r="AE337" s="206"/>
    </row>
    <row r="338" spans="1:31" ht="13.5" customHeight="1" x14ac:dyDescent="0.15">
      <c r="A338" s="80"/>
      <c r="B338" s="211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  <c r="AA338" s="206"/>
      <c r="AB338" s="544"/>
      <c r="AC338" s="206"/>
      <c r="AD338" s="206"/>
      <c r="AE338" s="206"/>
    </row>
    <row r="339" spans="1:31" ht="13.5" customHeight="1" x14ac:dyDescent="0.15">
      <c r="A339" s="80"/>
      <c r="B339" s="211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  <c r="AA339" s="206"/>
      <c r="AB339" s="544"/>
      <c r="AC339" s="206"/>
      <c r="AD339" s="206"/>
      <c r="AE339" s="206"/>
    </row>
    <row r="340" spans="1:31" ht="13.5" customHeight="1" x14ac:dyDescent="0.15">
      <c r="A340" s="80"/>
      <c r="B340" s="211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  <c r="AA340" s="206"/>
      <c r="AB340" s="544"/>
      <c r="AC340" s="206"/>
      <c r="AD340" s="206"/>
      <c r="AE340" s="206"/>
    </row>
    <row r="341" spans="1:31" ht="13.5" customHeight="1" x14ac:dyDescent="0.15">
      <c r="A341" s="80"/>
      <c r="B341" s="211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  <c r="AA341" s="206"/>
      <c r="AB341" s="544"/>
      <c r="AC341" s="206"/>
      <c r="AD341" s="206"/>
      <c r="AE341" s="206"/>
    </row>
    <row r="342" spans="1:31" ht="13.5" customHeight="1" x14ac:dyDescent="0.15">
      <c r="A342" s="80"/>
      <c r="B342" s="211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  <c r="AA342" s="206"/>
      <c r="AB342" s="544"/>
      <c r="AC342" s="206"/>
      <c r="AD342" s="206"/>
      <c r="AE342" s="206"/>
    </row>
    <row r="343" spans="1:31" ht="13.5" customHeight="1" x14ac:dyDescent="0.15">
      <c r="A343" s="80"/>
      <c r="B343" s="211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544"/>
      <c r="AC343" s="206"/>
      <c r="AD343" s="206"/>
      <c r="AE343" s="206"/>
    </row>
    <row r="344" spans="1:31" ht="13.5" customHeight="1" x14ac:dyDescent="0.15">
      <c r="A344" s="80"/>
      <c r="B344" s="211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544"/>
      <c r="AC344" s="206"/>
      <c r="AD344" s="206"/>
      <c r="AE344" s="206"/>
    </row>
    <row r="345" spans="1:31" ht="13.5" customHeight="1" x14ac:dyDescent="0.15">
      <c r="A345" s="80"/>
      <c r="B345" s="211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  <c r="AA345" s="206"/>
      <c r="AB345" s="544"/>
      <c r="AC345" s="206"/>
      <c r="AD345" s="206"/>
      <c r="AE345" s="206"/>
    </row>
    <row r="346" spans="1:31" ht="13.5" customHeight="1" x14ac:dyDescent="0.15">
      <c r="A346" s="80"/>
      <c r="B346" s="211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  <c r="AA346" s="206"/>
      <c r="AB346" s="544"/>
      <c r="AC346" s="206"/>
      <c r="AD346" s="206"/>
      <c r="AE346" s="206"/>
    </row>
    <row r="347" spans="1:31" ht="13.5" customHeight="1" x14ac:dyDescent="0.15">
      <c r="A347" s="80"/>
      <c r="B347" s="211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  <c r="AA347" s="206"/>
      <c r="AB347" s="544"/>
      <c r="AC347" s="206"/>
      <c r="AD347" s="206"/>
      <c r="AE347" s="206"/>
    </row>
    <row r="348" spans="1:31" ht="13.5" customHeight="1" x14ac:dyDescent="0.15">
      <c r="A348" s="80"/>
      <c r="B348" s="211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  <c r="AA348" s="206"/>
      <c r="AB348" s="544"/>
      <c r="AC348" s="206"/>
      <c r="AD348" s="206"/>
      <c r="AE348" s="206"/>
    </row>
    <row r="349" spans="1:31" ht="13.5" customHeight="1" x14ac:dyDescent="0.15">
      <c r="A349" s="80"/>
      <c r="B349" s="211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  <c r="AA349" s="206"/>
      <c r="AB349" s="544"/>
      <c r="AC349" s="206"/>
      <c r="AD349" s="206"/>
      <c r="AE349" s="206"/>
    </row>
    <row r="350" spans="1:31" ht="13.5" customHeight="1" x14ac:dyDescent="0.15">
      <c r="A350" s="80"/>
      <c r="B350" s="211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  <c r="AA350" s="206"/>
      <c r="AB350" s="544"/>
      <c r="AC350" s="206"/>
      <c r="AD350" s="206"/>
      <c r="AE350" s="206"/>
    </row>
    <row r="351" spans="1:31" ht="13.5" customHeight="1" x14ac:dyDescent="0.15">
      <c r="A351" s="80"/>
      <c r="B351" s="211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544"/>
      <c r="AC351" s="206"/>
      <c r="AD351" s="206"/>
      <c r="AE351" s="206"/>
    </row>
    <row r="352" spans="1:31" ht="13.5" customHeight="1" x14ac:dyDescent="0.15">
      <c r="A352" s="80"/>
      <c r="B352" s="211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  <c r="AA352" s="206"/>
      <c r="AB352" s="544"/>
      <c r="AC352" s="206"/>
      <c r="AD352" s="206"/>
      <c r="AE352" s="206"/>
    </row>
    <row r="353" spans="1:31" ht="13.5" customHeight="1" x14ac:dyDescent="0.15">
      <c r="A353" s="80"/>
      <c r="B353" s="211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  <c r="AA353" s="206"/>
      <c r="AB353" s="544"/>
      <c r="AC353" s="206"/>
      <c r="AD353" s="206"/>
      <c r="AE353" s="206"/>
    </row>
    <row r="354" spans="1:31" ht="13.5" customHeight="1" x14ac:dyDescent="0.15">
      <c r="A354" s="80"/>
      <c r="B354" s="211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  <c r="AA354" s="206"/>
      <c r="AB354" s="544"/>
      <c r="AC354" s="206"/>
      <c r="AD354" s="206"/>
      <c r="AE354" s="206"/>
    </row>
    <row r="355" spans="1:31" ht="13.5" customHeight="1" x14ac:dyDescent="0.15">
      <c r="A355" s="80"/>
      <c r="B355" s="211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  <c r="AA355" s="206"/>
      <c r="AB355" s="544"/>
      <c r="AC355" s="206"/>
      <c r="AD355" s="206"/>
      <c r="AE355" s="206"/>
    </row>
    <row r="356" spans="1:31" ht="13.5" customHeight="1" x14ac:dyDescent="0.15">
      <c r="A356" s="80"/>
      <c r="B356" s="211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  <c r="AA356" s="206"/>
      <c r="AB356" s="544"/>
      <c r="AC356" s="206"/>
      <c r="AD356" s="206"/>
      <c r="AE356" s="206"/>
    </row>
    <row r="357" spans="1:31" ht="13.5" customHeight="1" x14ac:dyDescent="0.15">
      <c r="A357" s="80"/>
      <c r="B357" s="211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544"/>
      <c r="AC357" s="206"/>
      <c r="AD357" s="206"/>
      <c r="AE357" s="206"/>
    </row>
    <row r="358" spans="1:31" ht="13.5" customHeight="1" x14ac:dyDescent="0.15">
      <c r="A358" s="80"/>
      <c r="B358" s="211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  <c r="AA358" s="206"/>
      <c r="AB358" s="544"/>
      <c r="AC358" s="206"/>
      <c r="AD358" s="206"/>
      <c r="AE358" s="206"/>
    </row>
    <row r="359" spans="1:31" ht="13.5" customHeight="1" x14ac:dyDescent="0.15">
      <c r="A359" s="80"/>
      <c r="B359" s="211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  <c r="AA359" s="206"/>
      <c r="AB359" s="544"/>
      <c r="AC359" s="206"/>
      <c r="AD359" s="206"/>
      <c r="AE359" s="206"/>
    </row>
    <row r="360" spans="1:31" ht="13.5" customHeight="1" x14ac:dyDescent="0.15">
      <c r="A360" s="80"/>
      <c r="B360" s="211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  <c r="AA360" s="206"/>
      <c r="AB360" s="544"/>
      <c r="AC360" s="206"/>
      <c r="AD360" s="206"/>
      <c r="AE360" s="206"/>
    </row>
    <row r="361" spans="1:31" ht="13.5" customHeight="1" x14ac:dyDescent="0.15">
      <c r="A361" s="80"/>
      <c r="B361" s="211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  <c r="AA361" s="206"/>
      <c r="AB361" s="544"/>
      <c r="AC361" s="206"/>
      <c r="AD361" s="206"/>
      <c r="AE361" s="206"/>
    </row>
    <row r="362" spans="1:31" ht="13.5" customHeight="1" x14ac:dyDescent="0.15">
      <c r="A362" s="80"/>
      <c r="B362" s="211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  <c r="AA362" s="206"/>
      <c r="AB362" s="544"/>
      <c r="AC362" s="206"/>
      <c r="AD362" s="206"/>
      <c r="AE362" s="206"/>
    </row>
    <row r="363" spans="1:31" ht="13.5" customHeight="1" x14ac:dyDescent="0.15">
      <c r="A363" s="80"/>
      <c r="B363" s="211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  <c r="AA363" s="206"/>
      <c r="AB363" s="544"/>
      <c r="AC363" s="206"/>
      <c r="AD363" s="206"/>
      <c r="AE363" s="206"/>
    </row>
    <row r="364" spans="1:31" ht="13.5" customHeight="1" x14ac:dyDescent="0.15">
      <c r="A364" s="80"/>
      <c r="B364" s="211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  <c r="AA364" s="206"/>
      <c r="AB364" s="544"/>
      <c r="AC364" s="206"/>
      <c r="AD364" s="206"/>
      <c r="AE364" s="206"/>
    </row>
    <row r="365" spans="1:31" ht="13.5" customHeight="1" x14ac:dyDescent="0.15">
      <c r="A365" s="80"/>
      <c r="B365" s="211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  <c r="AA365" s="206"/>
      <c r="AB365" s="544"/>
      <c r="AC365" s="206"/>
      <c r="AD365" s="206"/>
      <c r="AE365" s="206"/>
    </row>
    <row r="366" spans="1:31" ht="13.5" customHeight="1" x14ac:dyDescent="0.15">
      <c r="A366" s="80"/>
      <c r="B366" s="211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  <c r="AA366" s="206"/>
      <c r="AB366" s="544"/>
      <c r="AC366" s="206"/>
      <c r="AD366" s="206"/>
      <c r="AE366" s="206"/>
    </row>
    <row r="367" spans="1:31" ht="13.5" customHeight="1" x14ac:dyDescent="0.15">
      <c r="A367" s="80"/>
      <c r="B367" s="211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  <c r="AA367" s="206"/>
      <c r="AB367" s="544"/>
      <c r="AC367" s="206"/>
      <c r="AD367" s="206"/>
      <c r="AE367" s="206"/>
    </row>
    <row r="368" spans="1:31" ht="13.5" customHeight="1" x14ac:dyDescent="0.15">
      <c r="A368" s="80"/>
      <c r="B368" s="211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  <c r="AA368" s="206"/>
      <c r="AB368" s="544"/>
      <c r="AC368" s="206"/>
      <c r="AD368" s="206"/>
      <c r="AE368" s="206"/>
    </row>
    <row r="369" spans="1:31" ht="13.5" customHeight="1" x14ac:dyDescent="0.15">
      <c r="A369" s="80"/>
      <c r="B369" s="211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  <c r="AA369" s="206"/>
      <c r="AB369" s="544"/>
      <c r="AC369" s="206"/>
      <c r="AD369" s="206"/>
      <c r="AE369" s="206"/>
    </row>
    <row r="370" spans="1:31" ht="13.5" customHeight="1" x14ac:dyDescent="0.15">
      <c r="A370" s="80"/>
      <c r="B370" s="211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  <c r="AA370" s="206"/>
      <c r="AB370" s="544"/>
      <c r="AC370" s="206"/>
      <c r="AD370" s="206"/>
      <c r="AE370" s="206"/>
    </row>
    <row r="371" spans="1:31" ht="13.5" customHeight="1" x14ac:dyDescent="0.15">
      <c r="A371" s="80"/>
      <c r="B371" s="211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  <c r="AA371" s="206"/>
      <c r="AB371" s="544"/>
      <c r="AC371" s="206"/>
      <c r="AD371" s="206"/>
      <c r="AE371" s="206"/>
    </row>
    <row r="372" spans="1:31" ht="13.5" customHeight="1" x14ac:dyDescent="0.15">
      <c r="A372" s="80"/>
      <c r="B372" s="211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  <c r="AA372" s="206"/>
      <c r="AB372" s="544"/>
      <c r="AC372" s="206"/>
      <c r="AD372" s="206"/>
      <c r="AE372" s="206"/>
    </row>
    <row r="373" spans="1:31" ht="13.5" customHeight="1" x14ac:dyDescent="0.15">
      <c r="A373" s="80"/>
      <c r="B373" s="211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  <c r="AA373" s="206"/>
      <c r="AB373" s="544"/>
      <c r="AC373" s="206"/>
      <c r="AD373" s="206"/>
      <c r="AE373" s="206"/>
    </row>
    <row r="374" spans="1:31" ht="13.5" customHeight="1" x14ac:dyDescent="0.15">
      <c r="A374" s="80"/>
      <c r="B374" s="211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  <c r="AA374" s="206"/>
      <c r="AB374" s="544"/>
      <c r="AC374" s="206"/>
      <c r="AD374" s="206"/>
      <c r="AE374" s="206"/>
    </row>
    <row r="375" spans="1:31" ht="13.5" customHeight="1" x14ac:dyDescent="0.15">
      <c r="A375" s="80"/>
      <c r="B375" s="211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  <c r="AA375" s="206"/>
      <c r="AB375" s="544"/>
      <c r="AC375" s="206"/>
      <c r="AD375" s="206"/>
      <c r="AE375" s="206"/>
    </row>
    <row r="376" spans="1:31" ht="13.5" customHeight="1" x14ac:dyDescent="0.15">
      <c r="A376" s="80"/>
      <c r="B376" s="211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  <c r="AA376" s="206"/>
      <c r="AB376" s="544"/>
      <c r="AC376" s="206"/>
      <c r="AD376" s="206"/>
      <c r="AE376" s="206"/>
    </row>
    <row r="377" spans="1:31" ht="13.5" customHeight="1" x14ac:dyDescent="0.15">
      <c r="A377" s="80"/>
      <c r="B377" s="211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  <c r="AA377" s="206"/>
      <c r="AB377" s="544"/>
      <c r="AC377" s="206"/>
      <c r="AD377" s="206"/>
      <c r="AE377" s="206"/>
    </row>
    <row r="378" spans="1:31" ht="13.5" customHeight="1" x14ac:dyDescent="0.15">
      <c r="A378" s="80"/>
      <c r="B378" s="211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  <c r="AA378" s="206"/>
      <c r="AB378" s="544"/>
      <c r="AC378" s="206"/>
      <c r="AD378" s="206"/>
      <c r="AE378" s="206"/>
    </row>
    <row r="379" spans="1:31" ht="13.5" customHeight="1" x14ac:dyDescent="0.15">
      <c r="A379" s="80"/>
      <c r="B379" s="211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  <c r="AA379" s="206"/>
      <c r="AB379" s="544"/>
      <c r="AC379" s="206"/>
      <c r="AD379" s="206"/>
      <c r="AE379" s="206"/>
    </row>
    <row r="380" spans="1:31" ht="13.5" customHeight="1" x14ac:dyDescent="0.15">
      <c r="A380" s="80"/>
      <c r="B380" s="211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  <c r="AA380" s="206"/>
      <c r="AB380" s="544"/>
      <c r="AC380" s="206"/>
      <c r="AD380" s="206"/>
      <c r="AE380" s="206"/>
    </row>
    <row r="381" spans="1:31" ht="13.5" customHeight="1" x14ac:dyDescent="0.15">
      <c r="A381" s="80"/>
      <c r="B381" s="211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  <c r="AA381" s="206"/>
      <c r="AB381" s="544"/>
      <c r="AC381" s="206"/>
      <c r="AD381" s="206"/>
      <c r="AE381" s="206"/>
    </row>
    <row r="382" spans="1:31" ht="13.5" customHeight="1" x14ac:dyDescent="0.15">
      <c r="A382" s="80"/>
      <c r="B382" s="211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  <c r="AA382" s="206"/>
      <c r="AB382" s="544"/>
      <c r="AC382" s="206"/>
      <c r="AD382" s="206"/>
      <c r="AE382" s="206"/>
    </row>
    <row r="383" spans="1:31" ht="13.5" customHeight="1" x14ac:dyDescent="0.15">
      <c r="A383" s="80"/>
      <c r="B383" s="211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  <c r="AA383" s="206"/>
      <c r="AB383" s="544"/>
      <c r="AC383" s="206"/>
      <c r="AD383" s="206"/>
      <c r="AE383" s="206"/>
    </row>
    <row r="384" spans="1:31" ht="13.5" customHeight="1" x14ac:dyDescent="0.15">
      <c r="A384" s="80"/>
      <c r="B384" s="211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  <c r="AA384" s="206"/>
      <c r="AB384" s="544"/>
      <c r="AC384" s="206"/>
      <c r="AD384" s="206"/>
      <c r="AE384" s="206"/>
    </row>
    <row r="385" spans="1:31" ht="13.5" customHeight="1" x14ac:dyDescent="0.15">
      <c r="A385" s="80"/>
      <c r="B385" s="211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  <c r="AA385" s="206"/>
      <c r="AB385" s="544"/>
      <c r="AC385" s="206"/>
      <c r="AD385" s="206"/>
      <c r="AE385" s="206"/>
    </row>
    <row r="386" spans="1:31" ht="13.5" customHeight="1" x14ac:dyDescent="0.15">
      <c r="A386" s="80"/>
      <c r="B386" s="211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  <c r="AA386" s="206"/>
      <c r="AB386" s="544"/>
      <c r="AC386" s="206"/>
      <c r="AD386" s="206"/>
      <c r="AE386" s="206"/>
    </row>
    <row r="387" spans="1:31" ht="13.5" customHeight="1" x14ac:dyDescent="0.15">
      <c r="A387" s="80"/>
      <c r="B387" s="211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  <c r="AA387" s="206"/>
      <c r="AB387" s="544"/>
      <c r="AC387" s="206"/>
      <c r="AD387" s="206"/>
      <c r="AE387" s="206"/>
    </row>
    <row r="388" spans="1:31" ht="13.5" customHeight="1" x14ac:dyDescent="0.15">
      <c r="A388" s="80"/>
      <c r="B388" s="211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  <c r="AA388" s="206"/>
      <c r="AB388" s="544"/>
      <c r="AC388" s="206"/>
      <c r="AD388" s="206"/>
      <c r="AE388" s="206"/>
    </row>
    <row r="389" spans="1:31" ht="13.5" customHeight="1" x14ac:dyDescent="0.15">
      <c r="A389" s="80"/>
      <c r="B389" s="211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  <c r="AA389" s="206"/>
      <c r="AB389" s="544"/>
      <c r="AC389" s="206"/>
      <c r="AD389" s="206"/>
      <c r="AE389" s="206"/>
    </row>
    <row r="390" spans="1:31" ht="13.5" customHeight="1" x14ac:dyDescent="0.15">
      <c r="A390" s="80"/>
      <c r="B390" s="211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  <c r="AA390" s="206"/>
      <c r="AB390" s="544"/>
      <c r="AC390" s="206"/>
      <c r="AD390" s="206"/>
      <c r="AE390" s="206"/>
    </row>
    <row r="391" spans="1:31" ht="13.5" customHeight="1" x14ac:dyDescent="0.15">
      <c r="A391" s="80"/>
      <c r="B391" s="211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544"/>
      <c r="AC391" s="206"/>
      <c r="AD391" s="206"/>
      <c r="AE391" s="206"/>
    </row>
    <row r="392" spans="1:31" ht="13.5" customHeight="1" x14ac:dyDescent="0.15">
      <c r="A392" s="80"/>
      <c r="B392" s="211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  <c r="AA392" s="206"/>
      <c r="AB392" s="544"/>
      <c r="AC392" s="206"/>
      <c r="AD392" s="206"/>
      <c r="AE392" s="206"/>
    </row>
    <row r="393" spans="1:31" ht="13.5" customHeight="1" x14ac:dyDescent="0.15">
      <c r="A393" s="80"/>
      <c r="B393" s="211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  <c r="AA393" s="206"/>
      <c r="AB393" s="544"/>
      <c r="AC393" s="206"/>
      <c r="AD393" s="206"/>
      <c r="AE393" s="206"/>
    </row>
    <row r="394" spans="1:31" ht="13.5" customHeight="1" x14ac:dyDescent="0.15">
      <c r="A394" s="80"/>
      <c r="B394" s="211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  <c r="AA394" s="206"/>
      <c r="AB394" s="544"/>
      <c r="AC394" s="206"/>
      <c r="AD394" s="206"/>
      <c r="AE394" s="206"/>
    </row>
    <row r="395" spans="1:31" ht="13.5" customHeight="1" x14ac:dyDescent="0.15">
      <c r="A395" s="80"/>
      <c r="B395" s="211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  <c r="AA395" s="206"/>
      <c r="AB395" s="544"/>
      <c r="AC395" s="206"/>
      <c r="AD395" s="206"/>
      <c r="AE395" s="206"/>
    </row>
    <row r="396" spans="1:31" ht="13.5" customHeight="1" x14ac:dyDescent="0.15">
      <c r="A396" s="80"/>
      <c r="B396" s="211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  <c r="AA396" s="206"/>
      <c r="AB396" s="544"/>
      <c r="AC396" s="206"/>
      <c r="AD396" s="206"/>
      <c r="AE396" s="206"/>
    </row>
    <row r="397" spans="1:31" ht="13.5" customHeight="1" x14ac:dyDescent="0.15">
      <c r="A397" s="80"/>
      <c r="B397" s="211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  <c r="AA397" s="206"/>
      <c r="AB397" s="544"/>
      <c r="AC397" s="206"/>
      <c r="AD397" s="206"/>
      <c r="AE397" s="206"/>
    </row>
    <row r="398" spans="1:31" ht="13.5" customHeight="1" x14ac:dyDescent="0.15">
      <c r="A398" s="80"/>
      <c r="B398" s="211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  <c r="AA398" s="206"/>
      <c r="AB398" s="544"/>
      <c r="AC398" s="206"/>
      <c r="AD398" s="206"/>
      <c r="AE398" s="206"/>
    </row>
    <row r="399" spans="1:31" ht="13.5" customHeight="1" x14ac:dyDescent="0.15">
      <c r="A399" s="80"/>
      <c r="B399" s="211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  <c r="AA399" s="206"/>
      <c r="AB399" s="544"/>
      <c r="AC399" s="206"/>
      <c r="AD399" s="206"/>
      <c r="AE399" s="206"/>
    </row>
    <row r="400" spans="1:31" ht="13.5" customHeight="1" x14ac:dyDescent="0.15">
      <c r="A400" s="80"/>
      <c r="B400" s="211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  <c r="AA400" s="206"/>
      <c r="AB400" s="544"/>
      <c r="AC400" s="206"/>
      <c r="AD400" s="206"/>
      <c r="AE400" s="206"/>
    </row>
    <row r="401" spans="1:31" ht="13.5" customHeight="1" x14ac:dyDescent="0.15">
      <c r="A401" s="80"/>
      <c r="B401" s="211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  <c r="AA401" s="206"/>
      <c r="AB401" s="544"/>
      <c r="AC401" s="206"/>
      <c r="AD401" s="206"/>
      <c r="AE401" s="206"/>
    </row>
    <row r="402" spans="1:31" ht="13.5" customHeight="1" x14ac:dyDescent="0.15">
      <c r="A402" s="80"/>
      <c r="B402" s="211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  <c r="AA402" s="206"/>
      <c r="AB402" s="544"/>
      <c r="AC402" s="206"/>
      <c r="AD402" s="206"/>
      <c r="AE402" s="206"/>
    </row>
    <row r="403" spans="1:31" ht="13.5" customHeight="1" x14ac:dyDescent="0.15">
      <c r="A403" s="80"/>
      <c r="B403" s="211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  <c r="AA403" s="206"/>
      <c r="AB403" s="544"/>
      <c r="AC403" s="206"/>
      <c r="AD403" s="206"/>
      <c r="AE403" s="206"/>
    </row>
    <row r="404" spans="1:31" ht="13.5" customHeight="1" x14ac:dyDescent="0.15">
      <c r="A404" s="80"/>
      <c r="B404" s="211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  <c r="AA404" s="206"/>
      <c r="AB404" s="544"/>
      <c r="AC404" s="206"/>
      <c r="AD404" s="206"/>
      <c r="AE404" s="206"/>
    </row>
    <row r="405" spans="1:31" ht="13.5" customHeight="1" x14ac:dyDescent="0.15">
      <c r="A405" s="80"/>
      <c r="B405" s="211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544"/>
      <c r="AC405" s="206"/>
      <c r="AD405" s="206"/>
      <c r="AE405" s="206"/>
    </row>
    <row r="406" spans="1:31" ht="13.5" customHeight="1" x14ac:dyDescent="0.15">
      <c r="A406" s="80"/>
      <c r="B406" s="211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  <c r="AA406" s="206"/>
      <c r="AB406" s="544"/>
      <c r="AC406" s="206"/>
      <c r="AD406" s="206"/>
      <c r="AE406" s="206"/>
    </row>
    <row r="407" spans="1:31" ht="13.5" customHeight="1" x14ac:dyDescent="0.15">
      <c r="A407" s="80"/>
      <c r="B407" s="211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  <c r="AA407" s="206"/>
      <c r="AB407" s="544"/>
      <c r="AC407" s="206"/>
      <c r="AD407" s="206"/>
      <c r="AE407" s="206"/>
    </row>
    <row r="408" spans="1:31" ht="13.5" customHeight="1" x14ac:dyDescent="0.15">
      <c r="A408" s="80"/>
      <c r="B408" s="211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  <c r="AA408" s="206"/>
      <c r="AB408" s="544"/>
      <c r="AC408" s="206"/>
      <c r="AD408" s="206"/>
      <c r="AE408" s="206"/>
    </row>
    <row r="409" spans="1:31" ht="13.5" customHeight="1" x14ac:dyDescent="0.15">
      <c r="A409" s="80"/>
      <c r="B409" s="211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  <c r="AA409" s="206"/>
      <c r="AB409" s="544"/>
      <c r="AC409" s="206"/>
      <c r="AD409" s="206"/>
      <c r="AE409" s="206"/>
    </row>
    <row r="410" spans="1:31" ht="13.5" customHeight="1" x14ac:dyDescent="0.15">
      <c r="A410" s="80"/>
      <c r="B410" s="211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  <c r="AA410" s="206"/>
      <c r="AB410" s="544"/>
      <c r="AC410" s="206"/>
      <c r="AD410" s="206"/>
      <c r="AE410" s="206"/>
    </row>
    <row r="411" spans="1:31" ht="13.5" customHeight="1" x14ac:dyDescent="0.15">
      <c r="A411" s="80"/>
      <c r="B411" s="211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  <c r="AA411" s="206"/>
      <c r="AB411" s="544"/>
      <c r="AC411" s="206"/>
      <c r="AD411" s="206"/>
      <c r="AE411" s="206"/>
    </row>
    <row r="412" spans="1:31" ht="13.5" customHeight="1" x14ac:dyDescent="0.15">
      <c r="A412" s="80"/>
      <c r="B412" s="211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  <c r="AA412" s="206"/>
      <c r="AB412" s="544"/>
      <c r="AC412" s="206"/>
      <c r="AD412" s="206"/>
      <c r="AE412" s="206"/>
    </row>
    <row r="413" spans="1:31" ht="13.5" customHeight="1" x14ac:dyDescent="0.15">
      <c r="A413" s="80"/>
      <c r="B413" s="211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  <c r="AA413" s="206"/>
      <c r="AB413" s="544"/>
      <c r="AC413" s="206"/>
      <c r="AD413" s="206"/>
      <c r="AE413" s="206"/>
    </row>
    <row r="414" spans="1:31" ht="13.5" customHeight="1" x14ac:dyDescent="0.15">
      <c r="A414" s="80"/>
      <c r="B414" s="211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  <c r="AA414" s="206"/>
      <c r="AB414" s="544"/>
      <c r="AC414" s="206"/>
      <c r="AD414" s="206"/>
      <c r="AE414" s="206"/>
    </row>
    <row r="415" spans="1:31" ht="13.5" customHeight="1" x14ac:dyDescent="0.15">
      <c r="A415" s="80"/>
      <c r="B415" s="211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  <c r="AA415" s="206"/>
      <c r="AB415" s="544"/>
      <c r="AC415" s="206"/>
      <c r="AD415" s="206"/>
      <c r="AE415" s="206"/>
    </row>
    <row r="416" spans="1:31" ht="13.5" customHeight="1" x14ac:dyDescent="0.15">
      <c r="A416" s="80"/>
      <c r="B416" s="211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  <c r="AA416" s="206"/>
      <c r="AB416" s="544"/>
      <c r="AC416" s="206"/>
      <c r="AD416" s="206"/>
      <c r="AE416" s="206"/>
    </row>
    <row r="417" spans="1:31" ht="13.5" customHeight="1" x14ac:dyDescent="0.15">
      <c r="A417" s="80"/>
      <c r="B417" s="211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  <c r="AA417" s="206"/>
      <c r="AB417" s="544"/>
      <c r="AC417" s="206"/>
      <c r="AD417" s="206"/>
      <c r="AE417" s="206"/>
    </row>
    <row r="418" spans="1:31" ht="13.5" customHeight="1" x14ac:dyDescent="0.15">
      <c r="A418" s="80"/>
      <c r="B418" s="211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  <c r="AA418" s="206"/>
      <c r="AB418" s="544"/>
      <c r="AC418" s="206"/>
      <c r="AD418" s="206"/>
      <c r="AE418" s="206"/>
    </row>
    <row r="419" spans="1:31" ht="13.5" customHeight="1" x14ac:dyDescent="0.15">
      <c r="A419" s="80"/>
      <c r="B419" s="211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  <c r="AA419" s="206"/>
      <c r="AB419" s="544"/>
      <c r="AC419" s="206"/>
      <c r="AD419" s="206"/>
      <c r="AE419" s="206"/>
    </row>
    <row r="420" spans="1:31" ht="13.5" customHeight="1" x14ac:dyDescent="0.15">
      <c r="A420" s="80"/>
      <c r="B420" s="211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  <c r="AA420" s="206"/>
      <c r="AB420" s="544"/>
      <c r="AC420" s="206"/>
      <c r="AD420" s="206"/>
      <c r="AE420" s="206"/>
    </row>
    <row r="421" spans="1:31" ht="13.5" customHeight="1" x14ac:dyDescent="0.15">
      <c r="A421" s="80"/>
      <c r="B421" s="211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  <c r="AA421" s="206"/>
      <c r="AB421" s="544"/>
      <c r="AC421" s="206"/>
      <c r="AD421" s="206"/>
      <c r="AE421" s="206"/>
    </row>
    <row r="422" spans="1:31" ht="13.5" customHeight="1" x14ac:dyDescent="0.15">
      <c r="A422" s="80"/>
      <c r="B422" s="211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  <c r="AA422" s="206"/>
      <c r="AB422" s="544"/>
      <c r="AC422" s="206"/>
      <c r="AD422" s="206"/>
      <c r="AE422" s="206"/>
    </row>
    <row r="423" spans="1:31" ht="13.5" customHeight="1" x14ac:dyDescent="0.15">
      <c r="A423" s="80"/>
      <c r="B423" s="211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  <c r="AA423" s="206"/>
      <c r="AB423" s="544"/>
      <c r="AC423" s="206"/>
      <c r="AD423" s="206"/>
      <c r="AE423" s="206"/>
    </row>
    <row r="424" spans="1:31" ht="13.5" customHeight="1" x14ac:dyDescent="0.15">
      <c r="A424" s="80"/>
      <c r="B424" s="211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  <c r="AA424" s="206"/>
      <c r="AB424" s="544"/>
      <c r="AC424" s="206"/>
      <c r="AD424" s="206"/>
      <c r="AE424" s="206"/>
    </row>
    <row r="425" spans="1:31" ht="13.5" customHeight="1" x14ac:dyDescent="0.15">
      <c r="A425" s="80"/>
      <c r="B425" s="211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  <c r="AA425" s="206"/>
      <c r="AB425" s="544"/>
      <c r="AC425" s="206"/>
      <c r="AD425" s="206"/>
      <c r="AE425" s="206"/>
    </row>
    <row r="426" spans="1:31" ht="13.5" customHeight="1" x14ac:dyDescent="0.15">
      <c r="A426" s="80"/>
      <c r="B426" s="211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  <c r="AA426" s="206"/>
      <c r="AB426" s="544"/>
      <c r="AC426" s="206"/>
      <c r="AD426" s="206"/>
      <c r="AE426" s="206"/>
    </row>
    <row r="427" spans="1:31" ht="13.5" customHeight="1" x14ac:dyDescent="0.15">
      <c r="A427" s="80"/>
      <c r="B427" s="211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  <c r="AA427" s="206"/>
      <c r="AB427" s="544"/>
      <c r="AC427" s="206"/>
      <c r="AD427" s="206"/>
      <c r="AE427" s="206"/>
    </row>
    <row r="428" spans="1:31" ht="13.5" customHeight="1" x14ac:dyDescent="0.15">
      <c r="A428" s="80"/>
      <c r="B428" s="211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  <c r="AA428" s="206"/>
      <c r="AB428" s="544"/>
      <c r="AC428" s="206"/>
      <c r="AD428" s="206"/>
      <c r="AE428" s="206"/>
    </row>
    <row r="429" spans="1:31" ht="13.5" customHeight="1" x14ac:dyDescent="0.15">
      <c r="A429" s="80"/>
      <c r="B429" s="211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  <c r="AA429" s="206"/>
      <c r="AB429" s="544"/>
      <c r="AC429" s="206"/>
      <c r="AD429" s="206"/>
      <c r="AE429" s="206"/>
    </row>
    <row r="430" spans="1:31" ht="13.5" customHeight="1" x14ac:dyDescent="0.15">
      <c r="A430" s="80"/>
      <c r="B430" s="211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  <c r="AA430" s="206"/>
      <c r="AB430" s="544"/>
      <c r="AC430" s="206"/>
      <c r="AD430" s="206"/>
      <c r="AE430" s="206"/>
    </row>
    <row r="431" spans="1:31" ht="13.5" customHeight="1" x14ac:dyDescent="0.15">
      <c r="A431" s="80"/>
      <c r="B431" s="211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  <c r="AA431" s="206"/>
      <c r="AB431" s="544"/>
      <c r="AC431" s="206"/>
      <c r="AD431" s="206"/>
      <c r="AE431" s="206"/>
    </row>
    <row r="432" spans="1:31" ht="13.5" customHeight="1" x14ac:dyDescent="0.15">
      <c r="A432" s="80"/>
      <c r="B432" s="211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  <c r="AA432" s="206"/>
      <c r="AB432" s="544"/>
      <c r="AC432" s="206"/>
      <c r="AD432" s="206"/>
      <c r="AE432" s="206"/>
    </row>
    <row r="433" spans="1:31" ht="13.5" customHeight="1" x14ac:dyDescent="0.15">
      <c r="A433" s="80"/>
      <c r="B433" s="211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  <c r="AA433" s="206"/>
      <c r="AB433" s="544"/>
      <c r="AC433" s="206"/>
      <c r="AD433" s="206"/>
      <c r="AE433" s="206"/>
    </row>
    <row r="434" spans="1:31" ht="13.5" customHeight="1" x14ac:dyDescent="0.15">
      <c r="A434" s="80"/>
      <c r="B434" s="211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  <c r="AA434" s="206"/>
      <c r="AB434" s="544"/>
      <c r="AC434" s="206"/>
      <c r="AD434" s="206"/>
      <c r="AE434" s="206"/>
    </row>
    <row r="435" spans="1:31" ht="13.5" customHeight="1" x14ac:dyDescent="0.15">
      <c r="A435" s="80"/>
      <c r="B435" s="211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  <c r="AA435" s="206"/>
      <c r="AB435" s="544"/>
      <c r="AC435" s="206"/>
      <c r="AD435" s="206"/>
      <c r="AE435" s="206"/>
    </row>
    <row r="436" spans="1:31" ht="13.5" customHeight="1" x14ac:dyDescent="0.15">
      <c r="A436" s="80"/>
      <c r="B436" s="211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  <c r="AA436" s="206"/>
      <c r="AB436" s="544"/>
      <c r="AC436" s="206"/>
      <c r="AD436" s="206"/>
      <c r="AE436" s="206"/>
    </row>
    <row r="437" spans="1:31" ht="13.5" customHeight="1" x14ac:dyDescent="0.15">
      <c r="A437" s="80"/>
      <c r="B437" s="211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  <c r="AA437" s="206"/>
      <c r="AB437" s="544"/>
      <c r="AC437" s="206"/>
      <c r="AD437" s="206"/>
      <c r="AE437" s="206"/>
    </row>
    <row r="438" spans="1:31" ht="13.5" customHeight="1" x14ac:dyDescent="0.15">
      <c r="A438" s="80"/>
      <c r="B438" s="211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  <c r="AA438" s="206"/>
      <c r="AB438" s="544"/>
      <c r="AC438" s="206"/>
      <c r="AD438" s="206"/>
      <c r="AE438" s="206"/>
    </row>
    <row r="439" spans="1:31" ht="13.5" customHeight="1" x14ac:dyDescent="0.15">
      <c r="A439" s="80"/>
      <c r="B439" s="211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  <c r="AA439" s="206"/>
      <c r="AB439" s="544"/>
      <c r="AC439" s="206"/>
      <c r="AD439" s="206"/>
      <c r="AE439" s="206"/>
    </row>
    <row r="440" spans="1:31" ht="13.5" customHeight="1" x14ac:dyDescent="0.15">
      <c r="A440" s="80"/>
      <c r="B440" s="211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  <c r="AA440" s="206"/>
      <c r="AB440" s="544"/>
      <c r="AC440" s="206"/>
      <c r="AD440" s="206"/>
      <c r="AE440" s="206"/>
    </row>
    <row r="441" spans="1:31" ht="13.5" customHeight="1" x14ac:dyDescent="0.15">
      <c r="A441" s="80"/>
      <c r="B441" s="211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  <c r="AA441" s="206"/>
      <c r="AB441" s="544"/>
      <c r="AC441" s="206"/>
      <c r="AD441" s="206"/>
      <c r="AE441" s="206"/>
    </row>
    <row r="442" spans="1:31" ht="13.5" customHeight="1" x14ac:dyDescent="0.15">
      <c r="A442" s="80"/>
      <c r="B442" s="211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  <c r="AA442" s="206"/>
      <c r="AB442" s="544"/>
      <c r="AC442" s="206"/>
      <c r="AD442" s="206"/>
      <c r="AE442" s="206"/>
    </row>
    <row r="443" spans="1:31" ht="13.5" customHeight="1" x14ac:dyDescent="0.15">
      <c r="A443" s="80"/>
      <c r="B443" s="211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  <c r="AA443" s="206"/>
      <c r="AB443" s="544"/>
      <c r="AC443" s="206"/>
      <c r="AD443" s="206"/>
      <c r="AE443" s="206"/>
    </row>
    <row r="444" spans="1:31" ht="13.5" customHeight="1" x14ac:dyDescent="0.15">
      <c r="A444" s="80"/>
      <c r="B444" s="211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  <c r="AA444" s="206"/>
      <c r="AB444" s="544"/>
      <c r="AC444" s="206"/>
      <c r="AD444" s="206"/>
      <c r="AE444" s="206"/>
    </row>
    <row r="445" spans="1:31" ht="13.5" customHeight="1" x14ac:dyDescent="0.15">
      <c r="A445" s="80"/>
      <c r="B445" s="211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  <c r="AA445" s="206"/>
      <c r="AB445" s="544"/>
      <c r="AC445" s="206"/>
      <c r="AD445" s="206"/>
      <c r="AE445" s="206"/>
    </row>
    <row r="446" spans="1:31" ht="13.5" customHeight="1" x14ac:dyDescent="0.15">
      <c r="A446" s="80"/>
      <c r="B446" s="211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  <c r="AA446" s="206"/>
      <c r="AB446" s="544"/>
      <c r="AC446" s="206"/>
      <c r="AD446" s="206"/>
      <c r="AE446" s="206"/>
    </row>
    <row r="447" spans="1:31" ht="13.5" customHeight="1" x14ac:dyDescent="0.15">
      <c r="A447" s="80"/>
      <c r="B447" s="211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  <c r="AA447" s="206"/>
      <c r="AB447" s="544"/>
      <c r="AC447" s="206"/>
      <c r="AD447" s="206"/>
      <c r="AE447" s="206"/>
    </row>
    <row r="448" spans="1:31" ht="13.5" customHeight="1" x14ac:dyDescent="0.15">
      <c r="A448" s="80"/>
      <c r="B448" s="211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  <c r="AA448" s="206"/>
      <c r="AB448" s="544"/>
      <c r="AC448" s="206"/>
      <c r="AD448" s="206"/>
      <c r="AE448" s="206"/>
    </row>
    <row r="449" spans="1:31" ht="13.5" customHeight="1" x14ac:dyDescent="0.15">
      <c r="A449" s="80"/>
      <c r="B449" s="211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  <c r="AA449" s="206"/>
      <c r="AB449" s="544"/>
      <c r="AC449" s="206"/>
      <c r="AD449" s="206"/>
      <c r="AE449" s="206"/>
    </row>
    <row r="450" spans="1:31" ht="13.5" customHeight="1" x14ac:dyDescent="0.15">
      <c r="A450" s="80"/>
      <c r="B450" s="211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  <c r="AA450" s="206"/>
      <c r="AB450" s="544"/>
      <c r="AC450" s="206"/>
      <c r="AD450" s="206"/>
      <c r="AE450" s="206"/>
    </row>
    <row r="451" spans="1:31" ht="13.5" customHeight="1" x14ac:dyDescent="0.15">
      <c r="A451" s="80"/>
      <c r="B451" s="211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  <c r="AA451" s="206"/>
      <c r="AB451" s="544"/>
      <c r="AC451" s="206"/>
      <c r="AD451" s="206"/>
      <c r="AE451" s="206"/>
    </row>
    <row r="452" spans="1:31" ht="13.5" customHeight="1" x14ac:dyDescent="0.15">
      <c r="A452" s="80"/>
      <c r="B452" s="211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  <c r="AA452" s="206"/>
      <c r="AB452" s="544"/>
      <c r="AC452" s="206"/>
      <c r="AD452" s="206"/>
      <c r="AE452" s="206"/>
    </row>
    <row r="453" spans="1:31" ht="13.5" customHeight="1" x14ac:dyDescent="0.15">
      <c r="A453" s="80"/>
      <c r="B453" s="211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  <c r="AA453" s="206"/>
      <c r="AB453" s="544"/>
      <c r="AC453" s="206"/>
      <c r="AD453" s="206"/>
      <c r="AE453" s="206"/>
    </row>
    <row r="454" spans="1:31" ht="13.5" customHeight="1" x14ac:dyDescent="0.15">
      <c r="A454" s="80"/>
      <c r="B454" s="211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  <c r="AA454" s="206"/>
      <c r="AB454" s="544"/>
      <c r="AC454" s="206"/>
      <c r="AD454" s="206"/>
      <c r="AE454" s="206"/>
    </row>
    <row r="455" spans="1:31" ht="13.5" customHeight="1" x14ac:dyDescent="0.15">
      <c r="A455" s="80"/>
      <c r="B455" s="211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  <c r="AA455" s="206"/>
      <c r="AB455" s="544"/>
      <c r="AC455" s="206"/>
      <c r="AD455" s="206"/>
      <c r="AE455" s="206"/>
    </row>
    <row r="456" spans="1:31" ht="13.5" customHeight="1" x14ac:dyDescent="0.15">
      <c r="A456" s="80"/>
      <c r="B456" s="211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  <c r="AA456" s="206"/>
      <c r="AB456" s="544"/>
      <c r="AC456" s="206"/>
      <c r="AD456" s="206"/>
      <c r="AE456" s="206"/>
    </row>
    <row r="457" spans="1:31" ht="13.5" customHeight="1" x14ac:dyDescent="0.15">
      <c r="A457" s="80"/>
      <c r="B457" s="211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  <c r="AA457" s="206"/>
      <c r="AB457" s="544"/>
      <c r="AC457" s="206"/>
      <c r="AD457" s="206"/>
      <c r="AE457" s="206"/>
    </row>
    <row r="458" spans="1:31" ht="13.5" customHeight="1" x14ac:dyDescent="0.15">
      <c r="A458" s="80"/>
      <c r="B458" s="211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  <c r="AA458" s="206"/>
      <c r="AB458" s="544"/>
      <c r="AC458" s="206"/>
      <c r="AD458" s="206"/>
      <c r="AE458" s="206"/>
    </row>
    <row r="459" spans="1:31" ht="13.5" customHeight="1" x14ac:dyDescent="0.15">
      <c r="A459" s="80"/>
      <c r="B459" s="211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  <c r="AA459" s="206"/>
      <c r="AB459" s="544"/>
      <c r="AC459" s="206"/>
      <c r="AD459" s="206"/>
      <c r="AE459" s="206"/>
    </row>
    <row r="460" spans="1:31" ht="13.5" customHeight="1" x14ac:dyDescent="0.15">
      <c r="A460" s="80"/>
      <c r="B460" s="211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  <c r="AA460" s="206"/>
      <c r="AB460" s="544"/>
      <c r="AC460" s="206"/>
      <c r="AD460" s="206"/>
      <c r="AE460" s="206"/>
    </row>
    <row r="461" spans="1:31" ht="13.5" customHeight="1" x14ac:dyDescent="0.15">
      <c r="A461" s="80"/>
      <c r="B461" s="211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  <c r="AA461" s="206"/>
      <c r="AB461" s="544"/>
      <c r="AC461" s="206"/>
      <c r="AD461" s="206"/>
      <c r="AE461" s="206"/>
    </row>
    <row r="462" spans="1:31" ht="13.5" customHeight="1" x14ac:dyDescent="0.15">
      <c r="A462" s="80"/>
      <c r="B462" s="211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  <c r="AA462" s="206"/>
      <c r="AB462" s="544"/>
      <c r="AC462" s="206"/>
      <c r="AD462" s="206"/>
      <c r="AE462" s="206"/>
    </row>
    <row r="463" spans="1:31" ht="13.5" customHeight="1" x14ac:dyDescent="0.15">
      <c r="A463" s="80"/>
      <c r="B463" s="211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  <c r="AA463" s="206"/>
      <c r="AB463" s="544"/>
      <c r="AC463" s="206"/>
      <c r="AD463" s="206"/>
      <c r="AE463" s="206"/>
    </row>
    <row r="464" spans="1:31" ht="13.5" customHeight="1" x14ac:dyDescent="0.15">
      <c r="A464" s="80"/>
      <c r="B464" s="211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  <c r="AA464" s="206"/>
      <c r="AB464" s="544"/>
      <c r="AC464" s="206"/>
      <c r="AD464" s="206"/>
      <c r="AE464" s="206"/>
    </row>
    <row r="465" spans="1:31" ht="13.5" customHeight="1" x14ac:dyDescent="0.15">
      <c r="A465" s="80"/>
      <c r="B465" s="211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  <c r="AA465" s="206"/>
      <c r="AB465" s="544"/>
      <c r="AC465" s="206"/>
      <c r="AD465" s="206"/>
      <c r="AE465" s="206"/>
    </row>
    <row r="466" spans="1:31" ht="13.5" customHeight="1" x14ac:dyDescent="0.15">
      <c r="A466" s="80"/>
      <c r="B466" s="211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  <c r="AA466" s="206"/>
      <c r="AB466" s="544"/>
      <c r="AC466" s="206"/>
      <c r="AD466" s="206"/>
      <c r="AE466" s="206"/>
    </row>
    <row r="467" spans="1:31" ht="13.5" customHeight="1" x14ac:dyDescent="0.15">
      <c r="A467" s="80"/>
      <c r="B467" s="211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  <c r="AA467" s="206"/>
      <c r="AB467" s="544"/>
      <c r="AC467" s="206"/>
      <c r="AD467" s="206"/>
      <c r="AE467" s="206"/>
    </row>
    <row r="468" spans="1:31" ht="13.5" customHeight="1" x14ac:dyDescent="0.15">
      <c r="A468" s="80"/>
      <c r="B468" s="211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  <c r="AA468" s="206"/>
      <c r="AB468" s="544"/>
      <c r="AC468" s="206"/>
      <c r="AD468" s="206"/>
      <c r="AE468" s="206"/>
    </row>
    <row r="469" spans="1:31" ht="13.5" customHeight="1" x14ac:dyDescent="0.15">
      <c r="A469" s="80"/>
      <c r="B469" s="211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  <c r="AA469" s="206"/>
      <c r="AB469" s="544"/>
      <c r="AC469" s="206"/>
      <c r="AD469" s="206"/>
      <c r="AE469" s="206"/>
    </row>
    <row r="470" spans="1:31" ht="13.5" customHeight="1" x14ac:dyDescent="0.15">
      <c r="A470" s="80"/>
      <c r="B470" s="211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  <c r="AA470" s="206"/>
      <c r="AB470" s="544"/>
      <c r="AC470" s="206"/>
      <c r="AD470" s="206"/>
      <c r="AE470" s="206"/>
    </row>
    <row r="471" spans="1:31" ht="13.5" customHeight="1" x14ac:dyDescent="0.15">
      <c r="A471" s="80"/>
      <c r="B471" s="211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  <c r="AA471" s="206"/>
      <c r="AB471" s="544"/>
      <c r="AC471" s="206"/>
      <c r="AD471" s="206"/>
      <c r="AE471" s="206"/>
    </row>
    <row r="472" spans="1:31" ht="13.5" customHeight="1" x14ac:dyDescent="0.15">
      <c r="A472" s="80"/>
      <c r="B472" s="211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  <c r="AA472" s="206"/>
      <c r="AB472" s="544"/>
      <c r="AC472" s="206"/>
      <c r="AD472" s="206"/>
      <c r="AE472" s="206"/>
    </row>
    <row r="473" spans="1:31" ht="13.5" customHeight="1" x14ac:dyDescent="0.15">
      <c r="A473" s="80"/>
      <c r="B473" s="211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  <c r="AA473" s="206"/>
      <c r="AB473" s="544"/>
      <c r="AC473" s="206"/>
      <c r="AD473" s="206"/>
      <c r="AE473" s="206"/>
    </row>
    <row r="474" spans="1:31" ht="13.5" customHeight="1" x14ac:dyDescent="0.15">
      <c r="A474" s="80"/>
      <c r="B474" s="211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  <c r="AA474" s="206"/>
      <c r="AB474" s="544"/>
      <c r="AC474" s="206"/>
      <c r="AD474" s="206"/>
      <c r="AE474" s="206"/>
    </row>
    <row r="475" spans="1:31" ht="13.5" customHeight="1" x14ac:dyDescent="0.15">
      <c r="A475" s="80"/>
      <c r="B475" s="211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  <c r="AA475" s="206"/>
      <c r="AB475" s="544"/>
      <c r="AC475" s="206"/>
      <c r="AD475" s="206"/>
      <c r="AE475" s="206"/>
    </row>
    <row r="476" spans="1:31" ht="13.5" customHeight="1" x14ac:dyDescent="0.15">
      <c r="A476" s="80"/>
      <c r="B476" s="211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  <c r="AA476" s="206"/>
      <c r="AB476" s="544"/>
      <c r="AC476" s="206"/>
      <c r="AD476" s="206"/>
      <c r="AE476" s="206"/>
    </row>
    <row r="477" spans="1:31" ht="13.5" customHeight="1" x14ac:dyDescent="0.15">
      <c r="A477" s="80"/>
      <c r="B477" s="211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  <c r="AA477" s="206"/>
      <c r="AB477" s="544"/>
      <c r="AC477" s="206"/>
      <c r="AD477" s="206"/>
      <c r="AE477" s="206"/>
    </row>
    <row r="478" spans="1:31" ht="13.5" customHeight="1" x14ac:dyDescent="0.15">
      <c r="A478" s="80"/>
      <c r="B478" s="211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  <c r="AA478" s="206"/>
      <c r="AB478" s="544"/>
      <c r="AC478" s="206"/>
      <c r="AD478" s="206"/>
      <c r="AE478" s="206"/>
    </row>
    <row r="479" spans="1:31" ht="13.5" customHeight="1" x14ac:dyDescent="0.15">
      <c r="A479" s="80"/>
      <c r="B479" s="211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  <c r="AA479" s="206"/>
      <c r="AB479" s="544"/>
      <c r="AC479" s="206"/>
      <c r="AD479" s="206"/>
      <c r="AE479" s="206"/>
    </row>
    <row r="480" spans="1:31" ht="13.5" customHeight="1" x14ac:dyDescent="0.15">
      <c r="A480" s="80"/>
      <c r="B480" s="211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  <c r="AA480" s="206"/>
      <c r="AB480" s="544"/>
      <c r="AC480" s="206"/>
      <c r="AD480" s="206"/>
      <c r="AE480" s="206"/>
    </row>
    <row r="481" spans="1:31" ht="13.5" customHeight="1" x14ac:dyDescent="0.15">
      <c r="A481" s="80"/>
      <c r="B481" s="211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  <c r="AA481" s="206"/>
      <c r="AB481" s="544"/>
      <c r="AC481" s="206"/>
      <c r="AD481" s="206"/>
      <c r="AE481" s="206"/>
    </row>
    <row r="482" spans="1:31" ht="13.5" customHeight="1" x14ac:dyDescent="0.15">
      <c r="A482" s="80"/>
      <c r="B482" s="211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  <c r="AA482" s="206"/>
      <c r="AB482" s="544"/>
      <c r="AC482" s="206"/>
      <c r="AD482" s="206"/>
      <c r="AE482" s="206"/>
    </row>
    <row r="483" spans="1:31" ht="13.5" customHeight="1" x14ac:dyDescent="0.15">
      <c r="A483" s="80"/>
      <c r="B483" s="211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  <c r="AA483" s="206"/>
      <c r="AB483" s="544"/>
      <c r="AC483" s="206"/>
      <c r="AD483" s="206"/>
      <c r="AE483" s="206"/>
    </row>
    <row r="484" spans="1:31" ht="13.5" customHeight="1" x14ac:dyDescent="0.15">
      <c r="A484" s="80"/>
      <c r="B484" s="211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  <c r="AA484" s="206"/>
      <c r="AB484" s="544"/>
      <c r="AC484" s="206"/>
      <c r="AD484" s="206"/>
      <c r="AE484" s="206"/>
    </row>
    <row r="485" spans="1:31" ht="13.5" customHeight="1" x14ac:dyDescent="0.15">
      <c r="A485" s="80"/>
      <c r="B485" s="211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  <c r="AA485" s="206"/>
      <c r="AB485" s="544"/>
      <c r="AC485" s="206"/>
      <c r="AD485" s="206"/>
      <c r="AE485" s="206"/>
    </row>
    <row r="486" spans="1:31" ht="13.5" customHeight="1" x14ac:dyDescent="0.15">
      <c r="A486" s="80"/>
      <c r="B486" s="211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  <c r="AA486" s="206"/>
      <c r="AB486" s="544"/>
      <c r="AC486" s="206"/>
      <c r="AD486" s="206"/>
      <c r="AE486" s="206"/>
    </row>
    <row r="487" spans="1:31" ht="13.5" customHeight="1" x14ac:dyDescent="0.15">
      <c r="A487" s="80"/>
      <c r="B487" s="211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  <c r="AA487" s="206"/>
      <c r="AB487" s="544"/>
      <c r="AC487" s="206"/>
      <c r="AD487" s="206"/>
      <c r="AE487" s="206"/>
    </row>
    <row r="488" spans="1:31" ht="13.5" customHeight="1" x14ac:dyDescent="0.15">
      <c r="A488" s="80"/>
      <c r="B488" s="211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  <c r="AA488" s="206"/>
      <c r="AB488" s="544"/>
      <c r="AC488" s="206"/>
      <c r="AD488" s="206"/>
      <c r="AE488" s="206"/>
    </row>
    <row r="489" spans="1:31" ht="13.5" customHeight="1" x14ac:dyDescent="0.15">
      <c r="A489" s="80"/>
      <c r="B489" s="211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  <c r="AA489" s="206"/>
      <c r="AB489" s="544"/>
      <c r="AC489" s="206"/>
      <c r="AD489" s="206"/>
      <c r="AE489" s="206"/>
    </row>
    <row r="490" spans="1:31" ht="13.5" customHeight="1" x14ac:dyDescent="0.15">
      <c r="A490" s="80"/>
      <c r="B490" s="211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  <c r="AA490" s="206"/>
      <c r="AB490" s="544"/>
      <c r="AC490" s="206"/>
      <c r="AD490" s="206"/>
      <c r="AE490" s="206"/>
    </row>
    <row r="491" spans="1:31" ht="13.5" customHeight="1" x14ac:dyDescent="0.15">
      <c r="A491" s="80"/>
      <c r="B491" s="211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  <c r="AA491" s="206"/>
      <c r="AB491" s="544"/>
      <c r="AC491" s="206"/>
      <c r="AD491" s="206"/>
      <c r="AE491" s="206"/>
    </row>
    <row r="492" spans="1:31" ht="13.5" customHeight="1" x14ac:dyDescent="0.15">
      <c r="A492" s="80"/>
      <c r="B492" s="211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  <c r="AA492" s="206"/>
      <c r="AB492" s="544"/>
      <c r="AC492" s="206"/>
      <c r="AD492" s="206"/>
      <c r="AE492" s="206"/>
    </row>
    <row r="493" spans="1:31" ht="13.5" customHeight="1" x14ac:dyDescent="0.15">
      <c r="A493" s="80"/>
      <c r="B493" s="211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  <c r="AA493" s="206"/>
      <c r="AB493" s="544"/>
      <c r="AC493" s="206"/>
      <c r="AD493" s="206"/>
      <c r="AE493" s="206"/>
    </row>
    <row r="494" spans="1:31" ht="13.5" customHeight="1" x14ac:dyDescent="0.15">
      <c r="A494" s="80"/>
      <c r="B494" s="211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  <c r="AA494" s="206"/>
      <c r="AB494" s="544"/>
      <c r="AC494" s="206"/>
      <c r="AD494" s="206"/>
      <c r="AE494" s="206"/>
    </row>
    <row r="495" spans="1:31" ht="13.5" customHeight="1" x14ac:dyDescent="0.15">
      <c r="A495" s="80"/>
      <c r="B495" s="211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  <c r="AA495" s="206"/>
      <c r="AB495" s="544"/>
      <c r="AC495" s="206"/>
      <c r="AD495" s="206"/>
      <c r="AE495" s="206"/>
    </row>
    <row r="496" spans="1:31" ht="13.5" customHeight="1" x14ac:dyDescent="0.15">
      <c r="A496" s="80"/>
      <c r="B496" s="211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  <c r="AA496" s="206"/>
      <c r="AB496" s="544"/>
      <c r="AC496" s="206"/>
      <c r="AD496" s="206"/>
      <c r="AE496" s="206"/>
    </row>
    <row r="497" spans="1:31" ht="13.5" customHeight="1" x14ac:dyDescent="0.15">
      <c r="A497" s="80"/>
      <c r="B497" s="211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  <c r="AA497" s="206"/>
      <c r="AB497" s="544"/>
      <c r="AC497" s="206"/>
      <c r="AD497" s="206"/>
      <c r="AE497" s="206"/>
    </row>
    <row r="498" spans="1:31" ht="13.5" customHeight="1" x14ac:dyDescent="0.15">
      <c r="A498" s="80"/>
      <c r="B498" s="211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  <c r="AA498" s="206"/>
      <c r="AB498" s="544"/>
      <c r="AC498" s="206"/>
      <c r="AD498" s="206"/>
      <c r="AE498" s="206"/>
    </row>
    <row r="499" spans="1:31" ht="13.5" customHeight="1" x14ac:dyDescent="0.15">
      <c r="A499" s="80"/>
      <c r="B499" s="211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  <c r="AA499" s="206"/>
      <c r="AB499" s="544"/>
      <c r="AC499" s="206"/>
      <c r="AD499" s="206"/>
      <c r="AE499" s="206"/>
    </row>
    <row r="500" spans="1:31" ht="13.5" customHeight="1" x14ac:dyDescent="0.15">
      <c r="A500" s="80"/>
      <c r="B500" s="211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  <c r="AA500" s="206"/>
      <c r="AB500" s="544"/>
      <c r="AC500" s="206"/>
      <c r="AD500" s="206"/>
      <c r="AE500" s="206"/>
    </row>
    <row r="501" spans="1:31" ht="13.5" customHeight="1" x14ac:dyDescent="0.15">
      <c r="A501" s="80"/>
      <c r="B501" s="211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  <c r="AA501" s="206"/>
      <c r="AB501" s="544"/>
      <c r="AC501" s="206"/>
      <c r="AD501" s="206"/>
      <c r="AE501" s="206"/>
    </row>
    <row r="502" spans="1:31" ht="13.5" customHeight="1" x14ac:dyDescent="0.15">
      <c r="A502" s="80"/>
      <c r="B502" s="211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  <c r="AA502" s="206"/>
      <c r="AB502" s="544"/>
      <c r="AC502" s="206"/>
      <c r="AD502" s="206"/>
      <c r="AE502" s="206"/>
    </row>
    <row r="503" spans="1:31" ht="13.5" customHeight="1" x14ac:dyDescent="0.15">
      <c r="A503" s="80"/>
      <c r="B503" s="211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  <c r="AA503" s="206"/>
      <c r="AB503" s="544"/>
      <c r="AC503" s="206"/>
      <c r="AD503" s="206"/>
      <c r="AE503" s="206"/>
    </row>
    <row r="504" spans="1:31" ht="13.5" customHeight="1" x14ac:dyDescent="0.15">
      <c r="A504" s="80"/>
      <c r="B504" s="211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  <c r="AA504" s="206"/>
      <c r="AB504" s="544"/>
      <c r="AC504" s="206"/>
      <c r="AD504" s="206"/>
      <c r="AE504" s="206"/>
    </row>
    <row r="505" spans="1:31" ht="13.5" customHeight="1" x14ac:dyDescent="0.15">
      <c r="A505" s="80"/>
      <c r="B505" s="211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  <c r="AA505" s="206"/>
      <c r="AB505" s="544"/>
      <c r="AC505" s="206"/>
      <c r="AD505" s="206"/>
      <c r="AE505" s="206"/>
    </row>
    <row r="506" spans="1:31" ht="13.5" customHeight="1" x14ac:dyDescent="0.15">
      <c r="A506" s="80"/>
      <c r="B506" s="211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  <c r="AA506" s="206"/>
      <c r="AB506" s="544"/>
      <c r="AC506" s="206"/>
      <c r="AD506" s="206"/>
      <c r="AE506" s="206"/>
    </row>
    <row r="507" spans="1:31" ht="13.5" customHeight="1" x14ac:dyDescent="0.15">
      <c r="A507" s="80"/>
      <c r="B507" s="211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  <c r="AA507" s="206"/>
      <c r="AB507" s="544"/>
      <c r="AC507" s="206"/>
      <c r="AD507" s="206"/>
      <c r="AE507" s="206"/>
    </row>
    <row r="508" spans="1:31" ht="13.5" customHeight="1" x14ac:dyDescent="0.15">
      <c r="A508" s="80"/>
      <c r="B508" s="211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  <c r="AA508" s="206"/>
      <c r="AB508" s="544"/>
      <c r="AC508" s="206"/>
      <c r="AD508" s="206"/>
      <c r="AE508" s="206"/>
    </row>
    <row r="509" spans="1:31" ht="13.5" customHeight="1" x14ac:dyDescent="0.15">
      <c r="A509" s="80"/>
      <c r="B509" s="211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  <c r="AA509" s="206"/>
      <c r="AB509" s="544"/>
      <c r="AC509" s="206"/>
      <c r="AD509" s="206"/>
      <c r="AE509" s="206"/>
    </row>
    <row r="510" spans="1:31" ht="13.5" customHeight="1" x14ac:dyDescent="0.15">
      <c r="A510" s="80"/>
      <c r="B510" s="211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  <c r="AA510" s="206"/>
      <c r="AB510" s="544"/>
      <c r="AC510" s="206"/>
      <c r="AD510" s="206"/>
      <c r="AE510" s="206"/>
    </row>
    <row r="511" spans="1:31" ht="13.5" customHeight="1" x14ac:dyDescent="0.15">
      <c r="A511" s="80"/>
      <c r="B511" s="211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  <c r="AA511" s="206"/>
      <c r="AB511" s="544"/>
      <c r="AC511" s="206"/>
      <c r="AD511" s="206"/>
      <c r="AE511" s="206"/>
    </row>
    <row r="512" spans="1:31" ht="13.5" customHeight="1" x14ac:dyDescent="0.15">
      <c r="A512" s="80"/>
      <c r="B512" s="211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  <c r="AA512" s="206"/>
      <c r="AB512" s="544"/>
      <c r="AC512" s="206"/>
      <c r="AD512" s="206"/>
      <c r="AE512" s="206"/>
    </row>
    <row r="513" spans="1:31" ht="13.5" customHeight="1" x14ac:dyDescent="0.15">
      <c r="A513" s="80"/>
      <c r="B513" s="211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  <c r="AA513" s="206"/>
      <c r="AB513" s="544"/>
      <c r="AC513" s="206"/>
      <c r="AD513" s="206"/>
      <c r="AE513" s="206"/>
    </row>
    <row r="514" spans="1:31" ht="13.5" customHeight="1" x14ac:dyDescent="0.15">
      <c r="A514" s="80"/>
      <c r="B514" s="211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  <c r="AA514" s="206"/>
      <c r="AB514" s="544"/>
      <c r="AC514" s="206"/>
      <c r="AD514" s="206"/>
      <c r="AE514" s="206"/>
    </row>
    <row r="515" spans="1:31" ht="13.5" customHeight="1" x14ac:dyDescent="0.15">
      <c r="A515" s="80"/>
      <c r="B515" s="211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  <c r="AA515" s="206"/>
      <c r="AB515" s="544"/>
      <c r="AC515" s="206"/>
      <c r="AD515" s="206"/>
      <c r="AE515" s="206"/>
    </row>
    <row r="516" spans="1:31" ht="13.5" customHeight="1" x14ac:dyDescent="0.15">
      <c r="A516" s="80"/>
      <c r="B516" s="211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  <c r="AA516" s="206"/>
      <c r="AB516" s="544"/>
      <c r="AC516" s="206"/>
      <c r="AD516" s="206"/>
      <c r="AE516" s="206"/>
    </row>
    <row r="517" spans="1:31" ht="13.5" customHeight="1" x14ac:dyDescent="0.15">
      <c r="A517" s="80"/>
      <c r="B517" s="211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  <c r="AA517" s="206"/>
      <c r="AB517" s="544"/>
      <c r="AC517" s="206"/>
      <c r="AD517" s="206"/>
      <c r="AE517" s="206"/>
    </row>
    <row r="518" spans="1:31" ht="13.5" customHeight="1" x14ac:dyDescent="0.15">
      <c r="A518" s="80"/>
      <c r="B518" s="211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  <c r="AA518" s="206"/>
      <c r="AB518" s="544"/>
      <c r="AC518" s="206"/>
      <c r="AD518" s="206"/>
      <c r="AE518" s="206"/>
    </row>
    <row r="519" spans="1:31" ht="13.5" customHeight="1" x14ac:dyDescent="0.15">
      <c r="A519" s="80"/>
      <c r="B519" s="211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  <c r="AA519" s="206"/>
      <c r="AB519" s="544"/>
      <c r="AC519" s="206"/>
      <c r="AD519" s="206"/>
      <c r="AE519" s="206"/>
    </row>
    <row r="520" spans="1:31" ht="13.5" customHeight="1" x14ac:dyDescent="0.15">
      <c r="A520" s="80"/>
      <c r="B520" s="211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  <c r="AA520" s="206"/>
      <c r="AB520" s="544"/>
      <c r="AC520" s="206"/>
      <c r="AD520" s="206"/>
      <c r="AE520" s="206"/>
    </row>
    <row r="521" spans="1:31" ht="13.5" customHeight="1" x14ac:dyDescent="0.15">
      <c r="A521" s="80"/>
      <c r="B521" s="211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  <c r="AA521" s="206"/>
      <c r="AB521" s="544"/>
      <c r="AC521" s="206"/>
      <c r="AD521" s="206"/>
      <c r="AE521" s="206"/>
    </row>
    <row r="522" spans="1:31" ht="13.5" customHeight="1" x14ac:dyDescent="0.15">
      <c r="A522" s="80"/>
      <c r="B522" s="211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  <c r="AA522" s="206"/>
      <c r="AB522" s="544"/>
      <c r="AC522" s="206"/>
      <c r="AD522" s="206"/>
      <c r="AE522" s="206"/>
    </row>
    <row r="523" spans="1:31" ht="13.5" customHeight="1" x14ac:dyDescent="0.15">
      <c r="A523" s="80"/>
      <c r="B523" s="211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  <c r="AA523" s="206"/>
      <c r="AB523" s="544"/>
      <c r="AC523" s="206"/>
      <c r="AD523" s="206"/>
      <c r="AE523" s="206"/>
    </row>
    <row r="524" spans="1:31" ht="13.5" customHeight="1" x14ac:dyDescent="0.15">
      <c r="A524" s="80"/>
      <c r="B524" s="211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  <c r="AA524" s="206"/>
      <c r="AB524" s="544"/>
      <c r="AC524" s="206"/>
      <c r="AD524" s="206"/>
      <c r="AE524" s="206"/>
    </row>
    <row r="525" spans="1:31" ht="13.5" customHeight="1" x14ac:dyDescent="0.15">
      <c r="A525" s="80"/>
      <c r="B525" s="211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  <c r="AA525" s="206"/>
      <c r="AB525" s="544"/>
      <c r="AC525" s="206"/>
      <c r="AD525" s="206"/>
      <c r="AE525" s="206"/>
    </row>
    <row r="526" spans="1:31" ht="13.5" customHeight="1" x14ac:dyDescent="0.15">
      <c r="A526" s="80"/>
      <c r="B526" s="211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  <c r="AA526" s="206"/>
      <c r="AB526" s="544"/>
      <c r="AC526" s="206"/>
      <c r="AD526" s="206"/>
      <c r="AE526" s="206"/>
    </row>
    <row r="527" spans="1:31" ht="13.5" customHeight="1" x14ac:dyDescent="0.15">
      <c r="A527" s="80"/>
      <c r="B527" s="211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  <c r="AA527" s="206"/>
      <c r="AB527" s="544"/>
      <c r="AC527" s="206"/>
      <c r="AD527" s="206"/>
      <c r="AE527" s="206"/>
    </row>
    <row r="528" spans="1:31" ht="13.5" customHeight="1" x14ac:dyDescent="0.15">
      <c r="A528" s="80"/>
      <c r="B528" s="211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  <c r="AA528" s="206"/>
      <c r="AB528" s="544"/>
      <c r="AC528" s="206"/>
      <c r="AD528" s="206"/>
      <c r="AE528" s="206"/>
    </row>
    <row r="529" spans="1:31" ht="13.5" customHeight="1" x14ac:dyDescent="0.15">
      <c r="A529" s="80"/>
      <c r="B529" s="211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  <c r="AA529" s="206"/>
      <c r="AB529" s="544"/>
      <c r="AC529" s="206"/>
      <c r="AD529" s="206"/>
      <c r="AE529" s="206"/>
    </row>
    <row r="530" spans="1:31" ht="13.5" customHeight="1" x14ac:dyDescent="0.15">
      <c r="A530" s="80"/>
      <c r="B530" s="211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  <c r="AA530" s="206"/>
      <c r="AB530" s="544"/>
      <c r="AC530" s="206"/>
      <c r="AD530" s="206"/>
      <c r="AE530" s="206"/>
    </row>
    <row r="531" spans="1:31" ht="13.5" customHeight="1" x14ac:dyDescent="0.15">
      <c r="A531" s="80"/>
      <c r="B531" s="211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  <c r="AA531" s="206"/>
      <c r="AB531" s="544"/>
      <c r="AC531" s="206"/>
      <c r="AD531" s="206"/>
      <c r="AE531" s="206"/>
    </row>
    <row r="532" spans="1:31" ht="13.5" customHeight="1" x14ac:dyDescent="0.15">
      <c r="A532" s="80"/>
      <c r="B532" s="211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  <c r="AA532" s="206"/>
      <c r="AB532" s="544"/>
      <c r="AC532" s="206"/>
      <c r="AD532" s="206"/>
      <c r="AE532" s="206"/>
    </row>
    <row r="533" spans="1:31" ht="13.5" customHeight="1" x14ac:dyDescent="0.15">
      <c r="A533" s="80"/>
      <c r="B533" s="211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  <c r="AA533" s="206"/>
      <c r="AB533" s="544"/>
      <c r="AC533" s="206"/>
      <c r="AD533" s="206"/>
      <c r="AE533" s="206"/>
    </row>
    <row r="534" spans="1:31" ht="13.5" customHeight="1" x14ac:dyDescent="0.15">
      <c r="A534" s="80"/>
      <c r="B534" s="211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  <c r="AA534" s="206"/>
      <c r="AB534" s="544"/>
      <c r="AC534" s="206"/>
      <c r="AD534" s="206"/>
      <c r="AE534" s="206"/>
    </row>
    <row r="535" spans="1:31" ht="13.5" customHeight="1" x14ac:dyDescent="0.15">
      <c r="A535" s="80"/>
      <c r="B535" s="211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  <c r="AA535" s="206"/>
      <c r="AB535" s="544"/>
      <c r="AC535" s="206"/>
      <c r="AD535" s="206"/>
      <c r="AE535" s="206"/>
    </row>
    <row r="536" spans="1:31" ht="13.5" customHeight="1" x14ac:dyDescent="0.15">
      <c r="A536" s="80"/>
      <c r="B536" s="211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  <c r="AA536" s="206"/>
      <c r="AB536" s="544"/>
      <c r="AC536" s="206"/>
      <c r="AD536" s="206"/>
      <c r="AE536" s="206"/>
    </row>
    <row r="537" spans="1:31" ht="13.5" customHeight="1" x14ac:dyDescent="0.15">
      <c r="A537" s="80"/>
      <c r="B537" s="211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  <c r="AA537" s="206"/>
      <c r="AB537" s="544"/>
      <c r="AC537" s="206"/>
      <c r="AD537" s="206"/>
      <c r="AE537" s="206"/>
    </row>
    <row r="538" spans="1:31" ht="13.5" customHeight="1" x14ac:dyDescent="0.15">
      <c r="A538" s="80"/>
      <c r="B538" s="211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  <c r="AA538" s="206"/>
      <c r="AB538" s="544"/>
      <c r="AC538" s="206"/>
      <c r="AD538" s="206"/>
      <c r="AE538" s="206"/>
    </row>
    <row r="539" spans="1:31" ht="13.5" customHeight="1" x14ac:dyDescent="0.15">
      <c r="A539" s="80"/>
      <c r="B539" s="211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  <c r="AA539" s="206"/>
      <c r="AB539" s="544"/>
      <c r="AC539" s="206"/>
      <c r="AD539" s="206"/>
      <c r="AE539" s="206"/>
    </row>
    <row r="540" spans="1:31" ht="13.5" customHeight="1" x14ac:dyDescent="0.15">
      <c r="A540" s="80"/>
      <c r="B540" s="211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  <c r="AA540" s="206"/>
      <c r="AB540" s="544"/>
      <c r="AC540" s="206"/>
      <c r="AD540" s="206"/>
      <c r="AE540" s="206"/>
    </row>
    <row r="541" spans="1:31" ht="13.5" customHeight="1" x14ac:dyDescent="0.15">
      <c r="A541" s="80"/>
      <c r="B541" s="211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  <c r="AA541" s="206"/>
      <c r="AB541" s="544"/>
      <c r="AC541" s="206"/>
      <c r="AD541" s="206"/>
      <c r="AE541" s="206"/>
    </row>
    <row r="542" spans="1:31" ht="13.5" customHeight="1" x14ac:dyDescent="0.15">
      <c r="A542" s="80"/>
      <c r="B542" s="211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  <c r="AA542" s="206"/>
      <c r="AB542" s="544"/>
      <c r="AC542" s="206"/>
      <c r="AD542" s="206"/>
      <c r="AE542" s="206"/>
    </row>
    <row r="543" spans="1:31" ht="13.5" customHeight="1" x14ac:dyDescent="0.15">
      <c r="A543" s="80"/>
      <c r="B543" s="211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  <c r="AA543" s="206"/>
      <c r="AB543" s="544"/>
      <c r="AC543" s="206"/>
      <c r="AD543" s="206"/>
      <c r="AE543" s="206"/>
    </row>
    <row r="544" spans="1:31" ht="13.5" customHeight="1" x14ac:dyDescent="0.15">
      <c r="A544" s="80"/>
      <c r="B544" s="211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  <c r="AA544" s="206"/>
      <c r="AB544" s="544"/>
      <c r="AC544" s="206"/>
      <c r="AD544" s="206"/>
      <c r="AE544" s="206"/>
    </row>
    <row r="545" spans="1:31" ht="13.5" customHeight="1" x14ac:dyDescent="0.15">
      <c r="A545" s="80"/>
      <c r="B545" s="211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  <c r="AA545" s="206"/>
      <c r="AB545" s="544"/>
      <c r="AC545" s="206"/>
      <c r="AD545" s="206"/>
      <c r="AE545" s="206"/>
    </row>
    <row r="546" spans="1:31" ht="13.5" customHeight="1" x14ac:dyDescent="0.15">
      <c r="A546" s="80"/>
      <c r="B546" s="211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  <c r="AA546" s="206"/>
      <c r="AB546" s="544"/>
      <c r="AC546" s="206"/>
      <c r="AD546" s="206"/>
      <c r="AE546" s="206"/>
    </row>
    <row r="547" spans="1:31" ht="13.5" customHeight="1" x14ac:dyDescent="0.15">
      <c r="A547" s="80"/>
      <c r="B547" s="211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  <c r="AA547" s="206"/>
      <c r="AB547" s="544"/>
      <c r="AC547" s="206"/>
      <c r="AD547" s="206"/>
      <c r="AE547" s="206"/>
    </row>
    <row r="548" spans="1:31" ht="13.5" customHeight="1" x14ac:dyDescent="0.15">
      <c r="A548" s="80"/>
      <c r="B548" s="211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  <c r="AA548" s="206"/>
      <c r="AB548" s="544"/>
      <c r="AC548" s="206"/>
      <c r="AD548" s="206"/>
      <c r="AE548" s="206"/>
    </row>
    <row r="549" spans="1:31" ht="13.5" customHeight="1" x14ac:dyDescent="0.15">
      <c r="A549" s="80"/>
      <c r="B549" s="211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  <c r="AA549" s="206"/>
      <c r="AB549" s="544"/>
      <c r="AC549" s="206"/>
      <c r="AD549" s="206"/>
      <c r="AE549" s="206"/>
    </row>
    <row r="550" spans="1:31" ht="13.5" customHeight="1" x14ac:dyDescent="0.15">
      <c r="A550" s="80"/>
      <c r="B550" s="211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  <c r="AA550" s="206"/>
      <c r="AB550" s="544"/>
      <c r="AC550" s="206"/>
      <c r="AD550" s="206"/>
      <c r="AE550" s="206"/>
    </row>
    <row r="551" spans="1:31" ht="13.5" customHeight="1" x14ac:dyDescent="0.15">
      <c r="A551" s="80"/>
      <c r="B551" s="211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  <c r="AA551" s="206"/>
      <c r="AB551" s="544"/>
      <c r="AC551" s="206"/>
      <c r="AD551" s="206"/>
      <c r="AE551" s="206"/>
    </row>
    <row r="552" spans="1:31" ht="13.5" customHeight="1" x14ac:dyDescent="0.15">
      <c r="A552" s="80"/>
      <c r="B552" s="211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  <c r="AA552" s="206"/>
      <c r="AB552" s="544"/>
      <c r="AC552" s="206"/>
      <c r="AD552" s="206"/>
      <c r="AE552" s="206"/>
    </row>
    <row r="553" spans="1:31" ht="13.5" customHeight="1" x14ac:dyDescent="0.15">
      <c r="A553" s="80"/>
      <c r="B553" s="211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  <c r="AA553" s="206"/>
      <c r="AB553" s="544"/>
      <c r="AC553" s="206"/>
      <c r="AD553" s="206"/>
      <c r="AE553" s="206"/>
    </row>
    <row r="554" spans="1:31" ht="13.5" customHeight="1" x14ac:dyDescent="0.15">
      <c r="A554" s="80"/>
      <c r="B554" s="211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  <c r="AA554" s="206"/>
      <c r="AB554" s="544"/>
      <c r="AC554" s="206"/>
      <c r="AD554" s="206"/>
      <c r="AE554" s="206"/>
    </row>
    <row r="555" spans="1:31" ht="13.5" customHeight="1" x14ac:dyDescent="0.15">
      <c r="A555" s="80"/>
      <c r="B555" s="211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  <c r="AA555" s="206"/>
      <c r="AB555" s="544"/>
      <c r="AC555" s="206"/>
      <c r="AD555" s="206"/>
      <c r="AE555" s="206"/>
    </row>
    <row r="556" spans="1:31" ht="13.5" customHeight="1" x14ac:dyDescent="0.15">
      <c r="A556" s="80"/>
      <c r="B556" s="211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  <c r="AA556" s="206"/>
      <c r="AB556" s="544"/>
      <c r="AC556" s="206"/>
      <c r="AD556" s="206"/>
      <c r="AE556" s="206"/>
    </row>
    <row r="557" spans="1:31" ht="13.5" customHeight="1" x14ac:dyDescent="0.15">
      <c r="A557" s="80"/>
      <c r="B557" s="211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  <c r="AA557" s="206"/>
      <c r="AB557" s="544"/>
      <c r="AC557" s="206"/>
      <c r="AD557" s="206"/>
      <c r="AE557" s="206"/>
    </row>
    <row r="558" spans="1:31" ht="13.5" customHeight="1" x14ac:dyDescent="0.15">
      <c r="A558" s="80"/>
      <c r="B558" s="211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  <c r="AA558" s="206"/>
      <c r="AB558" s="544"/>
      <c r="AC558" s="206"/>
      <c r="AD558" s="206"/>
      <c r="AE558" s="206"/>
    </row>
    <row r="559" spans="1:31" ht="13.5" customHeight="1" x14ac:dyDescent="0.15">
      <c r="A559" s="80"/>
      <c r="B559" s="211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  <c r="AA559" s="206"/>
      <c r="AB559" s="544"/>
      <c r="AC559" s="206"/>
      <c r="AD559" s="206"/>
      <c r="AE559" s="206"/>
    </row>
    <row r="560" spans="1:31" ht="13.5" customHeight="1" x14ac:dyDescent="0.15">
      <c r="A560" s="80"/>
      <c r="B560" s="211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  <c r="AA560" s="206"/>
      <c r="AB560" s="544"/>
      <c r="AC560" s="206"/>
      <c r="AD560" s="206"/>
      <c r="AE560" s="206"/>
    </row>
    <row r="561" spans="1:31" ht="13.5" customHeight="1" x14ac:dyDescent="0.15">
      <c r="A561" s="80"/>
      <c r="B561" s="211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  <c r="AA561" s="206"/>
      <c r="AB561" s="544"/>
      <c r="AC561" s="206"/>
      <c r="AD561" s="206"/>
      <c r="AE561" s="206"/>
    </row>
    <row r="562" spans="1:31" ht="13.5" customHeight="1" x14ac:dyDescent="0.15">
      <c r="A562" s="80"/>
      <c r="B562" s="211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  <c r="AA562" s="206"/>
      <c r="AB562" s="544"/>
      <c r="AC562" s="206"/>
      <c r="AD562" s="206"/>
      <c r="AE562" s="206"/>
    </row>
    <row r="563" spans="1:31" ht="13.5" customHeight="1" x14ac:dyDescent="0.15">
      <c r="A563" s="80"/>
      <c r="B563" s="211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  <c r="AA563" s="206"/>
      <c r="AB563" s="544"/>
      <c r="AC563" s="206"/>
      <c r="AD563" s="206"/>
      <c r="AE563" s="206"/>
    </row>
    <row r="564" spans="1:31" ht="13.5" customHeight="1" x14ac:dyDescent="0.15">
      <c r="A564" s="80"/>
      <c r="B564" s="211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  <c r="AA564" s="206"/>
      <c r="AB564" s="544"/>
      <c r="AC564" s="206"/>
      <c r="AD564" s="206"/>
      <c r="AE564" s="206"/>
    </row>
    <row r="565" spans="1:31" ht="13.5" customHeight="1" x14ac:dyDescent="0.15">
      <c r="A565" s="80"/>
      <c r="B565" s="211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  <c r="AA565" s="206"/>
      <c r="AB565" s="544"/>
      <c r="AC565" s="206"/>
      <c r="AD565" s="206"/>
      <c r="AE565" s="206"/>
    </row>
    <row r="566" spans="1:31" ht="13.5" customHeight="1" x14ac:dyDescent="0.15">
      <c r="A566" s="80"/>
      <c r="B566" s="211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  <c r="AA566" s="206"/>
      <c r="AB566" s="544"/>
      <c r="AC566" s="206"/>
      <c r="AD566" s="206"/>
      <c r="AE566" s="206"/>
    </row>
    <row r="567" spans="1:31" ht="13.5" customHeight="1" x14ac:dyDescent="0.15">
      <c r="A567" s="80"/>
      <c r="B567" s="211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  <c r="AA567" s="206"/>
      <c r="AB567" s="544"/>
      <c r="AC567" s="206"/>
      <c r="AD567" s="206"/>
      <c r="AE567" s="206"/>
    </row>
    <row r="568" spans="1:31" ht="13.5" customHeight="1" x14ac:dyDescent="0.15">
      <c r="A568" s="80"/>
      <c r="B568" s="211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  <c r="AA568" s="206"/>
      <c r="AB568" s="544"/>
      <c r="AC568" s="206"/>
      <c r="AD568" s="206"/>
      <c r="AE568" s="206"/>
    </row>
    <row r="569" spans="1:31" ht="13.5" customHeight="1" x14ac:dyDescent="0.15">
      <c r="A569" s="80"/>
      <c r="B569" s="211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  <c r="AA569" s="206"/>
      <c r="AB569" s="544"/>
      <c r="AC569" s="206"/>
      <c r="AD569" s="206"/>
      <c r="AE569" s="206"/>
    </row>
    <row r="570" spans="1:31" ht="13.5" customHeight="1" x14ac:dyDescent="0.15">
      <c r="A570" s="80"/>
      <c r="B570" s="211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  <c r="AA570" s="206"/>
      <c r="AB570" s="544"/>
      <c r="AC570" s="206"/>
      <c r="AD570" s="206"/>
      <c r="AE570" s="206"/>
    </row>
    <row r="571" spans="1:31" ht="13.5" customHeight="1" x14ac:dyDescent="0.15">
      <c r="A571" s="80"/>
      <c r="B571" s="211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  <c r="AA571" s="206"/>
      <c r="AB571" s="544"/>
      <c r="AC571" s="206"/>
      <c r="AD571" s="206"/>
      <c r="AE571" s="206"/>
    </row>
    <row r="572" spans="1:31" ht="13.5" customHeight="1" x14ac:dyDescent="0.15">
      <c r="A572" s="80"/>
      <c r="B572" s="211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  <c r="AA572" s="206"/>
      <c r="AB572" s="544"/>
      <c r="AC572" s="206"/>
      <c r="AD572" s="206"/>
      <c r="AE572" s="206"/>
    </row>
    <row r="573" spans="1:31" ht="13.5" customHeight="1" x14ac:dyDescent="0.15">
      <c r="A573" s="80"/>
      <c r="B573" s="211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  <c r="AA573" s="206"/>
      <c r="AB573" s="544"/>
      <c r="AC573" s="206"/>
      <c r="AD573" s="206"/>
      <c r="AE573" s="206"/>
    </row>
    <row r="574" spans="1:31" ht="13.5" customHeight="1" x14ac:dyDescent="0.15">
      <c r="A574" s="80"/>
      <c r="B574" s="211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  <c r="AA574" s="206"/>
      <c r="AB574" s="544"/>
      <c r="AC574" s="206"/>
      <c r="AD574" s="206"/>
      <c r="AE574" s="206"/>
    </row>
    <row r="575" spans="1:31" ht="13.5" customHeight="1" x14ac:dyDescent="0.15">
      <c r="A575" s="80"/>
      <c r="B575" s="211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  <c r="AA575" s="206"/>
      <c r="AB575" s="544"/>
      <c r="AC575" s="206"/>
      <c r="AD575" s="206"/>
      <c r="AE575" s="206"/>
    </row>
    <row r="576" spans="1:31" ht="13.5" customHeight="1" x14ac:dyDescent="0.15">
      <c r="A576" s="80"/>
      <c r="B576" s="211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  <c r="AA576" s="206"/>
      <c r="AB576" s="544"/>
      <c r="AC576" s="206"/>
      <c r="AD576" s="206"/>
      <c r="AE576" s="206"/>
    </row>
    <row r="577" spans="1:31" ht="13.5" customHeight="1" x14ac:dyDescent="0.15">
      <c r="A577" s="80"/>
      <c r="B577" s="211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  <c r="AA577" s="206"/>
      <c r="AB577" s="544"/>
      <c r="AC577" s="206"/>
      <c r="AD577" s="206"/>
      <c r="AE577" s="206"/>
    </row>
    <row r="578" spans="1:31" ht="13.5" customHeight="1" x14ac:dyDescent="0.15">
      <c r="A578" s="80"/>
      <c r="B578" s="211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  <c r="AA578" s="206"/>
      <c r="AB578" s="544"/>
      <c r="AC578" s="206"/>
      <c r="AD578" s="206"/>
      <c r="AE578" s="206"/>
    </row>
    <row r="579" spans="1:31" ht="13.5" customHeight="1" x14ac:dyDescent="0.15">
      <c r="A579" s="80"/>
      <c r="B579" s="211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  <c r="AA579" s="206"/>
      <c r="AB579" s="544"/>
      <c r="AC579" s="206"/>
      <c r="AD579" s="206"/>
      <c r="AE579" s="206"/>
    </row>
    <row r="580" spans="1:31" ht="13.5" customHeight="1" x14ac:dyDescent="0.15">
      <c r="A580" s="80"/>
      <c r="B580" s="211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  <c r="AA580" s="206"/>
      <c r="AB580" s="544"/>
      <c r="AC580" s="206"/>
      <c r="AD580" s="206"/>
      <c r="AE580" s="206"/>
    </row>
    <row r="581" spans="1:31" ht="13.5" customHeight="1" x14ac:dyDescent="0.15">
      <c r="A581" s="80"/>
      <c r="B581" s="211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  <c r="AA581" s="206"/>
      <c r="AB581" s="544"/>
      <c r="AC581" s="206"/>
      <c r="AD581" s="206"/>
      <c r="AE581" s="206"/>
    </row>
    <row r="582" spans="1:31" ht="13.5" customHeight="1" x14ac:dyDescent="0.15">
      <c r="A582" s="80"/>
      <c r="B582" s="211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  <c r="AA582" s="206"/>
      <c r="AB582" s="544"/>
      <c r="AC582" s="206"/>
      <c r="AD582" s="206"/>
      <c r="AE582" s="206"/>
    </row>
    <row r="583" spans="1:31" ht="13.5" customHeight="1" x14ac:dyDescent="0.15">
      <c r="A583" s="80"/>
      <c r="B583" s="211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  <c r="AA583" s="206"/>
      <c r="AB583" s="544"/>
      <c r="AC583" s="206"/>
      <c r="AD583" s="206"/>
      <c r="AE583" s="206"/>
    </row>
    <row r="584" spans="1:31" ht="13.5" customHeight="1" x14ac:dyDescent="0.15">
      <c r="A584" s="80"/>
      <c r="B584" s="211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  <c r="AA584" s="206"/>
      <c r="AB584" s="544"/>
      <c r="AC584" s="206"/>
      <c r="AD584" s="206"/>
      <c r="AE584" s="206"/>
    </row>
    <row r="585" spans="1:31" ht="13.5" customHeight="1" x14ac:dyDescent="0.15">
      <c r="A585" s="80"/>
      <c r="B585" s="211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  <c r="AA585" s="206"/>
      <c r="AB585" s="544"/>
      <c r="AC585" s="206"/>
      <c r="AD585" s="206"/>
      <c r="AE585" s="206"/>
    </row>
    <row r="586" spans="1:31" ht="13.5" customHeight="1" x14ac:dyDescent="0.15">
      <c r="A586" s="80"/>
      <c r="B586" s="211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  <c r="AA586" s="206"/>
      <c r="AB586" s="544"/>
      <c r="AC586" s="206"/>
      <c r="AD586" s="206"/>
      <c r="AE586" s="206"/>
    </row>
    <row r="587" spans="1:31" ht="13.5" customHeight="1" x14ac:dyDescent="0.15">
      <c r="A587" s="80"/>
      <c r="B587" s="211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  <c r="AA587" s="206"/>
      <c r="AB587" s="544"/>
      <c r="AC587" s="206"/>
      <c r="AD587" s="206"/>
      <c r="AE587" s="206"/>
    </row>
    <row r="588" spans="1:31" ht="13.5" customHeight="1" x14ac:dyDescent="0.15">
      <c r="A588" s="80"/>
      <c r="B588" s="211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  <c r="AA588" s="206"/>
      <c r="AB588" s="544"/>
      <c r="AC588" s="206"/>
      <c r="AD588" s="206"/>
      <c r="AE588" s="206"/>
    </row>
    <row r="589" spans="1:31" ht="13.5" customHeight="1" x14ac:dyDescent="0.15">
      <c r="A589" s="80"/>
      <c r="B589" s="211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  <c r="AA589" s="206"/>
      <c r="AB589" s="544"/>
      <c r="AC589" s="206"/>
      <c r="AD589" s="206"/>
      <c r="AE589" s="206"/>
    </row>
    <row r="590" spans="1:31" ht="13.5" customHeight="1" x14ac:dyDescent="0.15">
      <c r="A590" s="80"/>
      <c r="B590" s="211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  <c r="AA590" s="206"/>
      <c r="AB590" s="544"/>
      <c r="AC590" s="206"/>
      <c r="AD590" s="206"/>
      <c r="AE590" s="206"/>
    </row>
    <row r="591" spans="1:31" ht="13.5" customHeight="1" x14ac:dyDescent="0.15">
      <c r="A591" s="80"/>
      <c r="B591" s="211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  <c r="AA591" s="206"/>
      <c r="AB591" s="544"/>
      <c r="AC591" s="206"/>
      <c r="AD591" s="206"/>
      <c r="AE591" s="206"/>
    </row>
    <row r="592" spans="1:31" ht="13.5" customHeight="1" x14ac:dyDescent="0.15">
      <c r="A592" s="80"/>
      <c r="B592" s="211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  <c r="AA592" s="206"/>
      <c r="AB592" s="544"/>
      <c r="AC592" s="206"/>
      <c r="AD592" s="206"/>
      <c r="AE592" s="206"/>
    </row>
    <row r="593" spans="1:31" ht="13.5" customHeight="1" x14ac:dyDescent="0.15">
      <c r="A593" s="80"/>
      <c r="B593" s="211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  <c r="AA593" s="206"/>
      <c r="AB593" s="544"/>
      <c r="AC593" s="206"/>
      <c r="AD593" s="206"/>
      <c r="AE593" s="206"/>
    </row>
    <row r="594" spans="1:31" ht="13.5" customHeight="1" x14ac:dyDescent="0.15">
      <c r="A594" s="80"/>
      <c r="B594" s="211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  <c r="AA594" s="206"/>
      <c r="AB594" s="544"/>
      <c r="AC594" s="206"/>
      <c r="AD594" s="206"/>
      <c r="AE594" s="206"/>
    </row>
    <row r="595" spans="1:31" ht="13.5" customHeight="1" x14ac:dyDescent="0.15">
      <c r="A595" s="80"/>
      <c r="B595" s="211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  <c r="AA595" s="206"/>
      <c r="AB595" s="544"/>
      <c r="AC595" s="206"/>
      <c r="AD595" s="206"/>
      <c r="AE595" s="206"/>
    </row>
    <row r="596" spans="1:31" ht="13.5" customHeight="1" x14ac:dyDescent="0.15">
      <c r="A596" s="80"/>
      <c r="B596" s="211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  <c r="AA596" s="206"/>
      <c r="AB596" s="544"/>
      <c r="AC596" s="206"/>
      <c r="AD596" s="206"/>
      <c r="AE596" s="206"/>
    </row>
    <row r="597" spans="1:31" ht="13.5" customHeight="1" x14ac:dyDescent="0.15">
      <c r="A597" s="80"/>
      <c r="B597" s="211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  <c r="AA597" s="206"/>
      <c r="AB597" s="544"/>
      <c r="AC597" s="206"/>
      <c r="AD597" s="206"/>
      <c r="AE597" s="206"/>
    </row>
    <row r="598" spans="1:31" ht="13.5" customHeight="1" x14ac:dyDescent="0.15">
      <c r="A598" s="80"/>
      <c r="B598" s="211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  <c r="AA598" s="206"/>
      <c r="AB598" s="544"/>
      <c r="AC598" s="206"/>
      <c r="AD598" s="206"/>
      <c r="AE598" s="206"/>
    </row>
    <row r="599" spans="1:31" ht="13.5" customHeight="1" x14ac:dyDescent="0.15">
      <c r="A599" s="80"/>
      <c r="B599" s="211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  <c r="AA599" s="206"/>
      <c r="AB599" s="544"/>
      <c r="AC599" s="206"/>
      <c r="AD599" s="206"/>
      <c r="AE599" s="206"/>
    </row>
    <row r="600" spans="1:31" ht="13.5" customHeight="1" x14ac:dyDescent="0.15">
      <c r="A600" s="80"/>
      <c r="B600" s="211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  <c r="AA600" s="206"/>
      <c r="AB600" s="544"/>
      <c r="AC600" s="206"/>
      <c r="AD600" s="206"/>
      <c r="AE600" s="206"/>
    </row>
    <row r="601" spans="1:31" ht="13.5" customHeight="1" x14ac:dyDescent="0.15">
      <c r="A601" s="80"/>
      <c r="B601" s="211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  <c r="AA601" s="206"/>
      <c r="AB601" s="544"/>
      <c r="AC601" s="206"/>
      <c r="AD601" s="206"/>
      <c r="AE601" s="206"/>
    </row>
    <row r="602" spans="1:31" ht="13.5" customHeight="1" x14ac:dyDescent="0.15">
      <c r="A602" s="80"/>
      <c r="B602" s="211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  <c r="AA602" s="206"/>
      <c r="AB602" s="544"/>
      <c r="AC602" s="206"/>
      <c r="AD602" s="206"/>
      <c r="AE602" s="206"/>
    </row>
    <row r="603" spans="1:31" ht="13.5" customHeight="1" x14ac:dyDescent="0.15">
      <c r="A603" s="80"/>
      <c r="B603" s="211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  <c r="AA603" s="206"/>
      <c r="AB603" s="544"/>
      <c r="AC603" s="206"/>
      <c r="AD603" s="206"/>
      <c r="AE603" s="206"/>
    </row>
    <row r="604" spans="1:31" ht="13.5" customHeight="1" x14ac:dyDescent="0.15">
      <c r="A604" s="80"/>
      <c r="B604" s="211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  <c r="AA604" s="206"/>
      <c r="AB604" s="544"/>
      <c r="AC604" s="206"/>
      <c r="AD604" s="206"/>
      <c r="AE604" s="206"/>
    </row>
    <row r="605" spans="1:31" ht="13.5" customHeight="1" x14ac:dyDescent="0.15">
      <c r="A605" s="80"/>
      <c r="B605" s="211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  <c r="AA605" s="206"/>
      <c r="AB605" s="544"/>
      <c r="AC605" s="206"/>
      <c r="AD605" s="206"/>
      <c r="AE605" s="206"/>
    </row>
    <row r="606" spans="1:31" ht="13.5" customHeight="1" x14ac:dyDescent="0.15">
      <c r="A606" s="80"/>
      <c r="B606" s="211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  <c r="AA606" s="206"/>
      <c r="AB606" s="544"/>
      <c r="AC606" s="206"/>
      <c r="AD606" s="206"/>
      <c r="AE606" s="206"/>
    </row>
    <row r="607" spans="1:31" ht="13.5" customHeight="1" x14ac:dyDescent="0.15">
      <c r="A607" s="80"/>
      <c r="B607" s="211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  <c r="AA607" s="206"/>
      <c r="AB607" s="544"/>
      <c r="AC607" s="206"/>
      <c r="AD607" s="206"/>
      <c r="AE607" s="206"/>
    </row>
    <row r="608" spans="1:31" ht="13.5" customHeight="1" x14ac:dyDescent="0.15">
      <c r="A608" s="80"/>
      <c r="B608" s="211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  <c r="AA608" s="206"/>
      <c r="AB608" s="544"/>
      <c r="AC608" s="206"/>
      <c r="AD608" s="206"/>
      <c r="AE608" s="206"/>
    </row>
    <row r="609" spans="1:31" ht="13.5" customHeight="1" x14ac:dyDescent="0.15">
      <c r="A609" s="80"/>
      <c r="B609" s="211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  <c r="AA609" s="206"/>
      <c r="AB609" s="544"/>
      <c r="AC609" s="206"/>
      <c r="AD609" s="206"/>
      <c r="AE609" s="206"/>
    </row>
    <row r="610" spans="1:31" ht="13.5" customHeight="1" x14ac:dyDescent="0.15">
      <c r="A610" s="80"/>
      <c r="B610" s="211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  <c r="AA610" s="206"/>
      <c r="AB610" s="544"/>
      <c r="AC610" s="206"/>
      <c r="AD610" s="206"/>
      <c r="AE610" s="206"/>
    </row>
    <row r="611" spans="1:31" ht="13.5" customHeight="1" x14ac:dyDescent="0.15">
      <c r="A611" s="80"/>
      <c r="B611" s="211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  <c r="AA611" s="206"/>
      <c r="AB611" s="544"/>
      <c r="AC611" s="206"/>
      <c r="AD611" s="206"/>
      <c r="AE611" s="206"/>
    </row>
    <row r="612" spans="1:31" ht="13.5" customHeight="1" x14ac:dyDescent="0.15">
      <c r="A612" s="80"/>
      <c r="B612" s="211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  <c r="AA612" s="206"/>
      <c r="AB612" s="544"/>
      <c r="AC612" s="206"/>
      <c r="AD612" s="206"/>
      <c r="AE612" s="206"/>
    </row>
    <row r="613" spans="1:31" ht="13.5" customHeight="1" x14ac:dyDescent="0.15">
      <c r="A613" s="80"/>
      <c r="B613" s="211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  <c r="AA613" s="206"/>
      <c r="AB613" s="544"/>
      <c r="AC613" s="206"/>
      <c r="AD613" s="206"/>
      <c r="AE613" s="206"/>
    </row>
    <row r="614" spans="1:31" ht="13.5" customHeight="1" x14ac:dyDescent="0.15">
      <c r="A614" s="80"/>
      <c r="B614" s="211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  <c r="AA614" s="206"/>
      <c r="AB614" s="544"/>
      <c r="AC614" s="206"/>
      <c r="AD614" s="206"/>
      <c r="AE614" s="206"/>
    </row>
    <row r="615" spans="1:31" ht="13.5" customHeight="1" x14ac:dyDescent="0.15">
      <c r="A615" s="80"/>
      <c r="B615" s="211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  <c r="AA615" s="206"/>
      <c r="AB615" s="544"/>
      <c r="AC615" s="206"/>
      <c r="AD615" s="206"/>
      <c r="AE615" s="206"/>
    </row>
    <row r="616" spans="1:31" ht="13.5" customHeight="1" x14ac:dyDescent="0.15">
      <c r="A616" s="80"/>
      <c r="B616" s="211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  <c r="AA616" s="206"/>
      <c r="AB616" s="544"/>
      <c r="AC616" s="206"/>
      <c r="AD616" s="206"/>
      <c r="AE616" s="206"/>
    </row>
    <row r="617" spans="1:31" ht="13.5" customHeight="1" x14ac:dyDescent="0.15">
      <c r="A617" s="80"/>
      <c r="B617" s="211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  <c r="AA617" s="206"/>
      <c r="AB617" s="544"/>
      <c r="AC617" s="206"/>
      <c r="AD617" s="206"/>
      <c r="AE617" s="206"/>
    </row>
    <row r="618" spans="1:31" ht="13.5" customHeight="1" x14ac:dyDescent="0.15">
      <c r="A618" s="80"/>
      <c r="B618" s="211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  <c r="AA618" s="206"/>
      <c r="AB618" s="544"/>
      <c r="AC618" s="206"/>
      <c r="AD618" s="206"/>
      <c r="AE618" s="206"/>
    </row>
    <row r="619" spans="1:31" ht="13.5" customHeight="1" x14ac:dyDescent="0.15">
      <c r="A619" s="80"/>
      <c r="B619" s="211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  <c r="AA619" s="206"/>
      <c r="AB619" s="544"/>
      <c r="AC619" s="206"/>
      <c r="AD619" s="206"/>
      <c r="AE619" s="206"/>
    </row>
    <row r="620" spans="1:31" ht="13.5" customHeight="1" x14ac:dyDescent="0.15">
      <c r="A620" s="80"/>
      <c r="B620" s="211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  <c r="AA620" s="206"/>
      <c r="AB620" s="544"/>
      <c r="AC620" s="206"/>
      <c r="AD620" s="206"/>
      <c r="AE620" s="206"/>
    </row>
    <row r="621" spans="1:31" ht="13.5" customHeight="1" x14ac:dyDescent="0.15">
      <c r="A621" s="80"/>
      <c r="B621" s="211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  <c r="AA621" s="206"/>
      <c r="AB621" s="544"/>
      <c r="AC621" s="206"/>
      <c r="AD621" s="206"/>
      <c r="AE621" s="206"/>
    </row>
    <row r="622" spans="1:31" ht="13.5" customHeight="1" x14ac:dyDescent="0.15">
      <c r="A622" s="80"/>
      <c r="B622" s="211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  <c r="AA622" s="206"/>
      <c r="AB622" s="544"/>
      <c r="AC622" s="206"/>
      <c r="AD622" s="206"/>
      <c r="AE622" s="206"/>
    </row>
    <row r="623" spans="1:31" ht="13.5" customHeight="1" x14ac:dyDescent="0.15">
      <c r="A623" s="80"/>
      <c r="B623" s="211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  <c r="AA623" s="206"/>
      <c r="AB623" s="544"/>
      <c r="AC623" s="206"/>
      <c r="AD623" s="206"/>
      <c r="AE623" s="206"/>
    </row>
    <row r="624" spans="1:31" ht="13.5" customHeight="1" x14ac:dyDescent="0.15">
      <c r="A624" s="80"/>
      <c r="B624" s="211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  <c r="AA624" s="206"/>
      <c r="AB624" s="544"/>
      <c r="AC624" s="206"/>
      <c r="AD624" s="206"/>
      <c r="AE624" s="206"/>
    </row>
    <row r="625" spans="1:31" ht="13.5" customHeight="1" x14ac:dyDescent="0.15">
      <c r="A625" s="80"/>
      <c r="B625" s="211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  <c r="AA625" s="206"/>
      <c r="AB625" s="544"/>
      <c r="AC625" s="206"/>
      <c r="AD625" s="206"/>
      <c r="AE625" s="206"/>
    </row>
    <row r="626" spans="1:31" ht="13.5" customHeight="1" x14ac:dyDescent="0.15">
      <c r="A626" s="80"/>
      <c r="B626" s="211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  <c r="AA626" s="206"/>
      <c r="AB626" s="544"/>
      <c r="AC626" s="206"/>
      <c r="AD626" s="206"/>
      <c r="AE626" s="206"/>
    </row>
    <row r="627" spans="1:31" ht="13.5" customHeight="1" x14ac:dyDescent="0.15">
      <c r="A627" s="80"/>
      <c r="B627" s="211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  <c r="AA627" s="206"/>
      <c r="AB627" s="544"/>
      <c r="AC627" s="206"/>
      <c r="AD627" s="206"/>
      <c r="AE627" s="206"/>
    </row>
    <row r="628" spans="1:31" ht="13.5" customHeight="1" x14ac:dyDescent="0.15">
      <c r="A628" s="80"/>
      <c r="B628" s="211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  <c r="AA628" s="206"/>
      <c r="AB628" s="544"/>
      <c r="AC628" s="206"/>
      <c r="AD628" s="206"/>
      <c r="AE628" s="206"/>
    </row>
    <row r="629" spans="1:31" ht="13.5" customHeight="1" x14ac:dyDescent="0.15">
      <c r="A629" s="80"/>
      <c r="B629" s="211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  <c r="AA629" s="206"/>
      <c r="AB629" s="544"/>
      <c r="AC629" s="206"/>
      <c r="AD629" s="206"/>
      <c r="AE629" s="206"/>
    </row>
    <row r="630" spans="1:31" ht="13.5" customHeight="1" x14ac:dyDescent="0.15">
      <c r="A630" s="80"/>
      <c r="B630" s="211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  <c r="AA630" s="206"/>
      <c r="AB630" s="544"/>
      <c r="AC630" s="206"/>
      <c r="AD630" s="206"/>
      <c r="AE630" s="206"/>
    </row>
    <row r="631" spans="1:31" ht="13.5" customHeight="1" x14ac:dyDescent="0.15">
      <c r="A631" s="80"/>
      <c r="B631" s="211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  <c r="AA631" s="206"/>
      <c r="AB631" s="544"/>
      <c r="AC631" s="206"/>
      <c r="AD631" s="206"/>
      <c r="AE631" s="206"/>
    </row>
    <row r="632" spans="1:31" ht="13.5" customHeight="1" x14ac:dyDescent="0.15">
      <c r="A632" s="80"/>
      <c r="B632" s="211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  <c r="AA632" s="206"/>
      <c r="AB632" s="544"/>
      <c r="AC632" s="206"/>
      <c r="AD632" s="206"/>
      <c r="AE632" s="206"/>
    </row>
    <row r="633" spans="1:31" ht="13.5" customHeight="1" x14ac:dyDescent="0.15">
      <c r="A633" s="80"/>
      <c r="B633" s="211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  <c r="AA633" s="206"/>
      <c r="AB633" s="544"/>
      <c r="AC633" s="206"/>
      <c r="AD633" s="206"/>
      <c r="AE633" s="206"/>
    </row>
    <row r="634" spans="1:31" ht="13.5" customHeight="1" x14ac:dyDescent="0.15">
      <c r="A634" s="80"/>
      <c r="B634" s="211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  <c r="AA634" s="206"/>
      <c r="AB634" s="544"/>
      <c r="AC634" s="206"/>
      <c r="AD634" s="206"/>
      <c r="AE634" s="206"/>
    </row>
    <row r="635" spans="1:31" ht="13.5" customHeight="1" x14ac:dyDescent="0.15">
      <c r="A635" s="80"/>
      <c r="B635" s="211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  <c r="AA635" s="206"/>
      <c r="AB635" s="544"/>
      <c r="AC635" s="206"/>
      <c r="AD635" s="206"/>
      <c r="AE635" s="206"/>
    </row>
    <row r="636" spans="1:31" ht="13.5" customHeight="1" x14ac:dyDescent="0.15">
      <c r="A636" s="80"/>
      <c r="B636" s="211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  <c r="AA636" s="206"/>
      <c r="AB636" s="544"/>
      <c r="AC636" s="206"/>
      <c r="AD636" s="206"/>
      <c r="AE636" s="206"/>
    </row>
    <row r="637" spans="1:31" ht="13.5" customHeight="1" x14ac:dyDescent="0.15">
      <c r="A637" s="80"/>
      <c r="B637" s="211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  <c r="AA637" s="206"/>
      <c r="AB637" s="544"/>
      <c r="AC637" s="206"/>
      <c r="AD637" s="206"/>
      <c r="AE637" s="206"/>
    </row>
    <row r="638" spans="1:31" ht="13.5" customHeight="1" x14ac:dyDescent="0.15">
      <c r="A638" s="80"/>
      <c r="B638" s="211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  <c r="AA638" s="206"/>
      <c r="AB638" s="544"/>
      <c r="AC638" s="206"/>
      <c r="AD638" s="206"/>
      <c r="AE638" s="206"/>
    </row>
    <row r="639" spans="1:31" ht="13.5" customHeight="1" x14ac:dyDescent="0.15">
      <c r="A639" s="80"/>
      <c r="B639" s="211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  <c r="AA639" s="206"/>
      <c r="AB639" s="544"/>
      <c r="AC639" s="206"/>
      <c r="AD639" s="206"/>
      <c r="AE639" s="206"/>
    </row>
    <row r="640" spans="1:31" ht="13.5" customHeight="1" x14ac:dyDescent="0.15">
      <c r="A640" s="80"/>
      <c r="B640" s="211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  <c r="AA640" s="206"/>
      <c r="AB640" s="544"/>
      <c r="AC640" s="206"/>
      <c r="AD640" s="206"/>
      <c r="AE640" s="206"/>
    </row>
    <row r="641" spans="1:31" ht="13.5" customHeight="1" x14ac:dyDescent="0.15">
      <c r="A641" s="80"/>
      <c r="B641" s="211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  <c r="AA641" s="206"/>
      <c r="AB641" s="544"/>
      <c r="AC641" s="206"/>
      <c r="AD641" s="206"/>
      <c r="AE641" s="206"/>
    </row>
    <row r="642" spans="1:31" ht="13.5" customHeight="1" x14ac:dyDescent="0.15">
      <c r="A642" s="80"/>
      <c r="B642" s="211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  <c r="AA642" s="206"/>
      <c r="AB642" s="544"/>
      <c r="AC642" s="206"/>
      <c r="AD642" s="206"/>
      <c r="AE642" s="206"/>
    </row>
    <row r="643" spans="1:31" ht="13.5" customHeight="1" x14ac:dyDescent="0.15">
      <c r="A643" s="80"/>
      <c r="B643" s="211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  <c r="AA643" s="206"/>
      <c r="AB643" s="544"/>
      <c r="AC643" s="206"/>
      <c r="AD643" s="206"/>
      <c r="AE643" s="206"/>
    </row>
    <row r="644" spans="1:31" ht="13.5" customHeight="1" x14ac:dyDescent="0.15">
      <c r="A644" s="80"/>
      <c r="B644" s="211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  <c r="AA644" s="206"/>
      <c r="AB644" s="544"/>
      <c r="AC644" s="206"/>
      <c r="AD644" s="206"/>
      <c r="AE644" s="206"/>
    </row>
    <row r="645" spans="1:31" ht="13.5" customHeight="1" x14ac:dyDescent="0.15">
      <c r="A645" s="80"/>
      <c r="B645" s="211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  <c r="AA645" s="206"/>
      <c r="AB645" s="544"/>
      <c r="AC645" s="206"/>
      <c r="AD645" s="206"/>
      <c r="AE645" s="206"/>
    </row>
    <row r="646" spans="1:31" ht="13.5" customHeight="1" x14ac:dyDescent="0.15">
      <c r="A646" s="80"/>
      <c r="B646" s="211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  <c r="AA646" s="206"/>
      <c r="AB646" s="544"/>
      <c r="AC646" s="206"/>
      <c r="AD646" s="206"/>
      <c r="AE646" s="206"/>
    </row>
    <row r="647" spans="1:31" ht="13.5" customHeight="1" x14ac:dyDescent="0.15">
      <c r="A647" s="80"/>
      <c r="B647" s="211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  <c r="AA647" s="206"/>
      <c r="AB647" s="544"/>
      <c r="AC647" s="206"/>
      <c r="AD647" s="206"/>
      <c r="AE647" s="206"/>
    </row>
    <row r="648" spans="1:31" ht="13.5" customHeight="1" x14ac:dyDescent="0.15">
      <c r="A648" s="80"/>
      <c r="B648" s="211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  <c r="AA648" s="206"/>
      <c r="AB648" s="544"/>
      <c r="AC648" s="206"/>
      <c r="AD648" s="206"/>
      <c r="AE648" s="206"/>
    </row>
    <row r="649" spans="1:31" ht="13.5" customHeight="1" x14ac:dyDescent="0.15">
      <c r="A649" s="80"/>
      <c r="B649" s="211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  <c r="AA649" s="206"/>
      <c r="AB649" s="544"/>
      <c r="AC649" s="206"/>
      <c r="AD649" s="206"/>
      <c r="AE649" s="206"/>
    </row>
    <row r="650" spans="1:31" ht="13.5" customHeight="1" x14ac:dyDescent="0.15">
      <c r="A650" s="80"/>
      <c r="B650" s="211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  <c r="AA650" s="206"/>
      <c r="AB650" s="544"/>
      <c r="AC650" s="206"/>
      <c r="AD650" s="206"/>
      <c r="AE650" s="206"/>
    </row>
    <row r="651" spans="1:31" ht="13.5" customHeight="1" x14ac:dyDescent="0.15">
      <c r="A651" s="80"/>
      <c r="B651" s="211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  <c r="AA651" s="206"/>
      <c r="AB651" s="544"/>
      <c r="AC651" s="206"/>
      <c r="AD651" s="206"/>
      <c r="AE651" s="206"/>
    </row>
    <row r="652" spans="1:31" ht="13.5" customHeight="1" x14ac:dyDescent="0.15">
      <c r="A652" s="80"/>
      <c r="B652" s="211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  <c r="AA652" s="206"/>
      <c r="AB652" s="544"/>
      <c r="AC652" s="206"/>
      <c r="AD652" s="206"/>
      <c r="AE652" s="206"/>
    </row>
    <row r="653" spans="1:31" ht="13.5" customHeight="1" x14ac:dyDescent="0.15">
      <c r="A653" s="80"/>
      <c r="B653" s="211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  <c r="AA653" s="206"/>
      <c r="AB653" s="544"/>
      <c r="AC653" s="206"/>
      <c r="AD653" s="206"/>
      <c r="AE653" s="206"/>
    </row>
    <row r="654" spans="1:31" ht="13.5" customHeight="1" x14ac:dyDescent="0.15">
      <c r="A654" s="80"/>
      <c r="B654" s="211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  <c r="AA654" s="206"/>
      <c r="AB654" s="544"/>
      <c r="AC654" s="206"/>
      <c r="AD654" s="206"/>
      <c r="AE654" s="206"/>
    </row>
    <row r="655" spans="1:31" ht="13.5" customHeight="1" x14ac:dyDescent="0.15">
      <c r="A655" s="80"/>
      <c r="B655" s="211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  <c r="AA655" s="206"/>
      <c r="AB655" s="544"/>
      <c r="AC655" s="206"/>
      <c r="AD655" s="206"/>
      <c r="AE655" s="206"/>
    </row>
    <row r="656" spans="1:31" ht="13.5" customHeight="1" x14ac:dyDescent="0.15">
      <c r="A656" s="80"/>
      <c r="B656" s="211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  <c r="AA656" s="206"/>
      <c r="AB656" s="544"/>
      <c r="AC656" s="206"/>
      <c r="AD656" s="206"/>
      <c r="AE656" s="206"/>
    </row>
    <row r="657" spans="1:31" ht="13.5" customHeight="1" x14ac:dyDescent="0.15">
      <c r="A657" s="80"/>
      <c r="B657" s="211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  <c r="AA657" s="206"/>
      <c r="AB657" s="544"/>
      <c r="AC657" s="206"/>
      <c r="AD657" s="206"/>
      <c r="AE657" s="206"/>
    </row>
    <row r="658" spans="1:31" ht="13.5" customHeight="1" x14ac:dyDescent="0.15">
      <c r="A658" s="80"/>
      <c r="B658" s="211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  <c r="AA658" s="206"/>
      <c r="AB658" s="544"/>
      <c r="AC658" s="206"/>
      <c r="AD658" s="206"/>
      <c r="AE658" s="206"/>
    </row>
    <row r="659" spans="1:31" ht="13.5" customHeight="1" x14ac:dyDescent="0.15">
      <c r="A659" s="80"/>
      <c r="B659" s="211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  <c r="AA659" s="206"/>
      <c r="AB659" s="544"/>
      <c r="AC659" s="206"/>
      <c r="AD659" s="206"/>
      <c r="AE659" s="206"/>
    </row>
    <row r="660" spans="1:31" ht="13.5" customHeight="1" x14ac:dyDescent="0.15">
      <c r="A660" s="80"/>
      <c r="B660" s="211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  <c r="AA660" s="206"/>
      <c r="AB660" s="544"/>
      <c r="AC660" s="206"/>
      <c r="AD660" s="206"/>
      <c r="AE660" s="206"/>
    </row>
    <row r="661" spans="1:31" ht="13.5" customHeight="1" x14ac:dyDescent="0.15">
      <c r="A661" s="80"/>
      <c r="B661" s="211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  <c r="AA661" s="206"/>
      <c r="AB661" s="544"/>
      <c r="AC661" s="206"/>
      <c r="AD661" s="206"/>
      <c r="AE661" s="206"/>
    </row>
    <row r="662" spans="1:31" ht="13.5" customHeight="1" x14ac:dyDescent="0.15">
      <c r="A662" s="80"/>
      <c r="B662" s="211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  <c r="AA662" s="206"/>
      <c r="AB662" s="544"/>
      <c r="AC662" s="206"/>
      <c r="AD662" s="206"/>
      <c r="AE662" s="206"/>
    </row>
    <row r="663" spans="1:31" ht="13.5" customHeight="1" x14ac:dyDescent="0.15">
      <c r="A663" s="80"/>
      <c r="B663" s="211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  <c r="AA663" s="206"/>
      <c r="AB663" s="544"/>
      <c r="AC663" s="206"/>
      <c r="AD663" s="206"/>
      <c r="AE663" s="206"/>
    </row>
    <row r="664" spans="1:31" ht="13.5" customHeight="1" x14ac:dyDescent="0.15">
      <c r="A664" s="80"/>
      <c r="B664" s="211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  <c r="AA664" s="206"/>
      <c r="AB664" s="544"/>
      <c r="AC664" s="206"/>
      <c r="AD664" s="206"/>
      <c r="AE664" s="206"/>
    </row>
    <row r="665" spans="1:31" ht="13.5" customHeight="1" x14ac:dyDescent="0.15">
      <c r="A665" s="80"/>
      <c r="B665" s="211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  <c r="AA665" s="206"/>
      <c r="AB665" s="544"/>
      <c r="AC665" s="206"/>
      <c r="AD665" s="206"/>
      <c r="AE665" s="206"/>
    </row>
    <row r="666" spans="1:31" ht="13.5" customHeight="1" x14ac:dyDescent="0.15">
      <c r="A666" s="80"/>
      <c r="B666" s="211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  <c r="AA666" s="206"/>
      <c r="AB666" s="544"/>
      <c r="AC666" s="206"/>
      <c r="AD666" s="206"/>
      <c r="AE666" s="206"/>
    </row>
    <row r="667" spans="1:31" ht="13.5" customHeight="1" x14ac:dyDescent="0.15">
      <c r="A667" s="80"/>
      <c r="B667" s="211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  <c r="AA667" s="206"/>
      <c r="AB667" s="544"/>
      <c r="AC667" s="206"/>
      <c r="AD667" s="206"/>
      <c r="AE667" s="206"/>
    </row>
    <row r="668" spans="1:31" ht="13.5" customHeight="1" x14ac:dyDescent="0.15">
      <c r="A668" s="80"/>
      <c r="B668" s="211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  <c r="AA668" s="206"/>
      <c r="AB668" s="544"/>
      <c r="AC668" s="206"/>
      <c r="AD668" s="206"/>
      <c r="AE668" s="206"/>
    </row>
    <row r="669" spans="1:31" ht="13.5" customHeight="1" x14ac:dyDescent="0.15">
      <c r="A669" s="80"/>
      <c r="B669" s="211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  <c r="AA669" s="206"/>
      <c r="AB669" s="544"/>
      <c r="AC669" s="206"/>
      <c r="AD669" s="206"/>
      <c r="AE669" s="206"/>
    </row>
    <row r="670" spans="1:31" ht="13.5" customHeight="1" x14ac:dyDescent="0.15">
      <c r="A670" s="80"/>
      <c r="B670" s="211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  <c r="AA670" s="206"/>
      <c r="AB670" s="544"/>
      <c r="AC670" s="206"/>
      <c r="AD670" s="206"/>
      <c r="AE670" s="206"/>
    </row>
    <row r="671" spans="1:31" ht="13.5" customHeight="1" x14ac:dyDescent="0.15">
      <c r="A671" s="80"/>
      <c r="B671" s="211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  <c r="AA671" s="206"/>
      <c r="AB671" s="544"/>
      <c r="AC671" s="206"/>
      <c r="AD671" s="206"/>
      <c r="AE671" s="206"/>
    </row>
    <row r="672" spans="1:31" ht="13.5" customHeight="1" x14ac:dyDescent="0.15">
      <c r="A672" s="80"/>
      <c r="B672" s="211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  <c r="AA672" s="206"/>
      <c r="AB672" s="544"/>
      <c r="AC672" s="206"/>
      <c r="AD672" s="206"/>
      <c r="AE672" s="206"/>
    </row>
    <row r="673" spans="1:31" ht="13.5" customHeight="1" x14ac:dyDescent="0.15">
      <c r="A673" s="80"/>
      <c r="B673" s="211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  <c r="AA673" s="206"/>
      <c r="AB673" s="544"/>
      <c r="AC673" s="206"/>
      <c r="AD673" s="206"/>
      <c r="AE673" s="206"/>
    </row>
    <row r="674" spans="1:31" ht="13.5" customHeight="1" x14ac:dyDescent="0.15">
      <c r="A674" s="80"/>
      <c r="B674" s="211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  <c r="AA674" s="206"/>
      <c r="AB674" s="544"/>
      <c r="AC674" s="206"/>
      <c r="AD674" s="206"/>
      <c r="AE674" s="206"/>
    </row>
    <row r="675" spans="1:31" ht="13.5" customHeight="1" x14ac:dyDescent="0.15">
      <c r="A675" s="80"/>
      <c r="B675" s="211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  <c r="AA675" s="206"/>
      <c r="AB675" s="544"/>
      <c r="AC675" s="206"/>
      <c r="AD675" s="206"/>
      <c r="AE675" s="206"/>
    </row>
    <row r="676" spans="1:31" ht="13.5" customHeight="1" x14ac:dyDescent="0.15">
      <c r="A676" s="80"/>
      <c r="B676" s="211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  <c r="AA676" s="206"/>
      <c r="AB676" s="544"/>
      <c r="AC676" s="206"/>
      <c r="AD676" s="206"/>
      <c r="AE676" s="206"/>
    </row>
    <row r="677" spans="1:31" ht="13.5" customHeight="1" x14ac:dyDescent="0.15">
      <c r="A677" s="80"/>
      <c r="B677" s="211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  <c r="AA677" s="206"/>
      <c r="AB677" s="544"/>
      <c r="AC677" s="206"/>
      <c r="AD677" s="206"/>
      <c r="AE677" s="206"/>
    </row>
    <row r="678" spans="1:31" ht="13.5" customHeight="1" x14ac:dyDescent="0.15">
      <c r="A678" s="80"/>
      <c r="B678" s="211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  <c r="AA678" s="206"/>
      <c r="AB678" s="544"/>
      <c r="AC678" s="206"/>
      <c r="AD678" s="206"/>
      <c r="AE678" s="206"/>
    </row>
    <row r="679" spans="1:31" ht="13.5" customHeight="1" x14ac:dyDescent="0.15">
      <c r="A679" s="80"/>
      <c r="B679" s="211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  <c r="AA679" s="206"/>
      <c r="AB679" s="544"/>
      <c r="AC679" s="206"/>
      <c r="AD679" s="206"/>
      <c r="AE679" s="206"/>
    </row>
    <row r="680" spans="1:31" ht="13.5" customHeight="1" x14ac:dyDescent="0.15">
      <c r="A680" s="80"/>
      <c r="B680" s="211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  <c r="AA680" s="206"/>
      <c r="AB680" s="544"/>
      <c r="AC680" s="206"/>
      <c r="AD680" s="206"/>
      <c r="AE680" s="206"/>
    </row>
    <row r="681" spans="1:31" ht="13.5" customHeight="1" x14ac:dyDescent="0.15">
      <c r="A681" s="80"/>
      <c r="B681" s="211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  <c r="AA681" s="206"/>
      <c r="AB681" s="544"/>
      <c r="AC681" s="206"/>
      <c r="AD681" s="206"/>
      <c r="AE681" s="206"/>
    </row>
    <row r="682" spans="1:31" ht="13.5" customHeight="1" x14ac:dyDescent="0.15">
      <c r="A682" s="80"/>
      <c r="B682" s="211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  <c r="AA682" s="206"/>
      <c r="AB682" s="544"/>
      <c r="AC682" s="206"/>
      <c r="AD682" s="206"/>
      <c r="AE682" s="206"/>
    </row>
    <row r="683" spans="1:31" ht="13.5" customHeight="1" x14ac:dyDescent="0.15">
      <c r="A683" s="80"/>
      <c r="B683" s="211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  <c r="AA683" s="206"/>
      <c r="AB683" s="544"/>
      <c r="AC683" s="206"/>
      <c r="AD683" s="206"/>
      <c r="AE683" s="206"/>
    </row>
    <row r="684" spans="1:31" ht="13.5" customHeight="1" x14ac:dyDescent="0.15">
      <c r="A684" s="80"/>
      <c r="B684" s="211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  <c r="AA684" s="206"/>
      <c r="AB684" s="544"/>
      <c r="AC684" s="206"/>
      <c r="AD684" s="206"/>
      <c r="AE684" s="206"/>
    </row>
    <row r="685" spans="1:31" ht="13.5" customHeight="1" x14ac:dyDescent="0.15">
      <c r="A685" s="80"/>
      <c r="B685" s="211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  <c r="AA685" s="206"/>
      <c r="AB685" s="544"/>
      <c r="AC685" s="206"/>
      <c r="AD685" s="206"/>
      <c r="AE685" s="206"/>
    </row>
    <row r="686" spans="1:31" ht="13.5" customHeight="1" x14ac:dyDescent="0.15">
      <c r="A686" s="80"/>
      <c r="B686" s="211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  <c r="AA686" s="206"/>
      <c r="AB686" s="544"/>
      <c r="AC686" s="206"/>
      <c r="AD686" s="206"/>
      <c r="AE686" s="206"/>
    </row>
    <row r="687" spans="1:31" ht="13.5" customHeight="1" x14ac:dyDescent="0.15">
      <c r="A687" s="80"/>
      <c r="B687" s="211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  <c r="AA687" s="206"/>
      <c r="AB687" s="544"/>
      <c r="AC687" s="206"/>
      <c r="AD687" s="206"/>
      <c r="AE687" s="206"/>
    </row>
    <row r="688" spans="1:31" ht="13.5" customHeight="1" x14ac:dyDescent="0.15">
      <c r="A688" s="80"/>
      <c r="B688" s="211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  <c r="AA688" s="206"/>
      <c r="AB688" s="544"/>
      <c r="AC688" s="206"/>
      <c r="AD688" s="206"/>
      <c r="AE688" s="206"/>
    </row>
    <row r="689" spans="1:31" ht="13.5" customHeight="1" x14ac:dyDescent="0.15">
      <c r="A689" s="80"/>
      <c r="B689" s="211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  <c r="AA689" s="206"/>
      <c r="AB689" s="544"/>
      <c r="AC689" s="206"/>
      <c r="AD689" s="206"/>
      <c r="AE689" s="206"/>
    </row>
    <row r="690" spans="1:31" ht="13.5" customHeight="1" x14ac:dyDescent="0.15">
      <c r="A690" s="80"/>
      <c r="B690" s="211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  <c r="AA690" s="206"/>
      <c r="AB690" s="544"/>
      <c r="AC690" s="206"/>
      <c r="AD690" s="206"/>
      <c r="AE690" s="206"/>
    </row>
    <row r="691" spans="1:31" ht="13.5" customHeight="1" x14ac:dyDescent="0.15">
      <c r="A691" s="80"/>
      <c r="B691" s="211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  <c r="AA691" s="206"/>
      <c r="AB691" s="544"/>
      <c r="AC691" s="206"/>
      <c r="AD691" s="206"/>
      <c r="AE691" s="206"/>
    </row>
    <row r="692" spans="1:31" ht="13.5" customHeight="1" x14ac:dyDescent="0.15">
      <c r="A692" s="80"/>
      <c r="B692" s="211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  <c r="AA692" s="206"/>
      <c r="AB692" s="544"/>
      <c r="AC692" s="206"/>
      <c r="AD692" s="206"/>
      <c r="AE692" s="206"/>
    </row>
    <row r="693" spans="1:31" ht="13.5" customHeight="1" x14ac:dyDescent="0.15">
      <c r="A693" s="80"/>
      <c r="B693" s="211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  <c r="AA693" s="206"/>
      <c r="AB693" s="544"/>
      <c r="AC693" s="206"/>
      <c r="AD693" s="206"/>
      <c r="AE693" s="206"/>
    </row>
    <row r="694" spans="1:31" ht="13.5" customHeight="1" x14ac:dyDescent="0.15">
      <c r="A694" s="80"/>
      <c r="B694" s="211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  <c r="AA694" s="206"/>
      <c r="AB694" s="544"/>
      <c r="AC694" s="206"/>
      <c r="AD694" s="206"/>
      <c r="AE694" s="206"/>
    </row>
    <row r="695" spans="1:31" ht="13.5" customHeight="1" x14ac:dyDescent="0.15">
      <c r="A695" s="80"/>
      <c r="B695" s="211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  <c r="AA695" s="206"/>
      <c r="AB695" s="544"/>
      <c r="AC695" s="206"/>
      <c r="AD695" s="206"/>
      <c r="AE695" s="206"/>
    </row>
    <row r="696" spans="1:31" ht="13.5" customHeight="1" x14ac:dyDescent="0.15">
      <c r="A696" s="80"/>
      <c r="B696" s="211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  <c r="AA696" s="206"/>
      <c r="AB696" s="544"/>
      <c r="AC696" s="206"/>
      <c r="AD696" s="206"/>
      <c r="AE696" s="206"/>
    </row>
    <row r="697" spans="1:31" ht="13.5" customHeight="1" x14ac:dyDescent="0.15">
      <c r="A697" s="80"/>
      <c r="B697" s="211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  <c r="AA697" s="206"/>
      <c r="AB697" s="544"/>
      <c r="AC697" s="206"/>
      <c r="AD697" s="206"/>
      <c r="AE697" s="206"/>
    </row>
    <row r="698" spans="1:31" ht="13.5" customHeight="1" x14ac:dyDescent="0.15">
      <c r="A698" s="80"/>
      <c r="B698" s="211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  <c r="AA698" s="206"/>
      <c r="AB698" s="544"/>
      <c r="AC698" s="206"/>
      <c r="AD698" s="206"/>
      <c r="AE698" s="206"/>
    </row>
    <row r="699" spans="1:31" ht="13.5" customHeight="1" x14ac:dyDescent="0.15">
      <c r="A699" s="80"/>
      <c r="B699" s="211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  <c r="AA699" s="206"/>
      <c r="AB699" s="544"/>
      <c r="AC699" s="206"/>
      <c r="AD699" s="206"/>
      <c r="AE699" s="206"/>
    </row>
    <row r="700" spans="1:31" ht="13.5" customHeight="1" x14ac:dyDescent="0.15">
      <c r="A700" s="80"/>
      <c r="B700" s="211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  <c r="AA700" s="206"/>
      <c r="AB700" s="544"/>
      <c r="AC700" s="206"/>
      <c r="AD700" s="206"/>
      <c r="AE700" s="206"/>
    </row>
    <row r="701" spans="1:31" ht="13.5" customHeight="1" x14ac:dyDescent="0.15">
      <c r="A701" s="80"/>
      <c r="B701" s="211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  <c r="AA701" s="206"/>
      <c r="AB701" s="544"/>
      <c r="AC701" s="206"/>
      <c r="AD701" s="206"/>
      <c r="AE701" s="206"/>
    </row>
    <row r="702" spans="1:31" ht="13.5" customHeight="1" x14ac:dyDescent="0.15">
      <c r="A702" s="80"/>
      <c r="B702" s="211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  <c r="AA702" s="206"/>
      <c r="AB702" s="544"/>
      <c r="AC702" s="206"/>
      <c r="AD702" s="206"/>
      <c r="AE702" s="206"/>
    </row>
    <row r="703" spans="1:31" ht="13.5" customHeight="1" x14ac:dyDescent="0.15">
      <c r="A703" s="80"/>
      <c r="B703" s="211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  <c r="AA703" s="206"/>
      <c r="AB703" s="544"/>
      <c r="AC703" s="206"/>
      <c r="AD703" s="206"/>
      <c r="AE703" s="206"/>
    </row>
    <row r="704" spans="1:31" ht="13.5" customHeight="1" x14ac:dyDescent="0.15">
      <c r="A704" s="80"/>
      <c r="B704" s="211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  <c r="AA704" s="206"/>
      <c r="AB704" s="544"/>
      <c r="AC704" s="206"/>
      <c r="AD704" s="206"/>
      <c r="AE704" s="206"/>
    </row>
    <row r="705" spans="1:31" ht="13.5" customHeight="1" x14ac:dyDescent="0.15">
      <c r="A705" s="80"/>
      <c r="B705" s="211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  <c r="AA705" s="206"/>
      <c r="AB705" s="544"/>
      <c r="AC705" s="206"/>
      <c r="AD705" s="206"/>
      <c r="AE705" s="206"/>
    </row>
    <row r="706" spans="1:31" ht="13.5" customHeight="1" x14ac:dyDescent="0.15">
      <c r="A706" s="80"/>
      <c r="B706" s="211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  <c r="AA706" s="206"/>
      <c r="AB706" s="544"/>
      <c r="AC706" s="206"/>
      <c r="AD706" s="206"/>
      <c r="AE706" s="206"/>
    </row>
    <row r="707" spans="1:31" ht="13.5" customHeight="1" x14ac:dyDescent="0.15">
      <c r="A707" s="80"/>
      <c r="B707" s="211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  <c r="AA707" s="206"/>
      <c r="AB707" s="544"/>
      <c r="AC707" s="206"/>
      <c r="AD707" s="206"/>
      <c r="AE707" s="206"/>
    </row>
    <row r="708" spans="1:31" ht="13.5" customHeight="1" x14ac:dyDescent="0.15">
      <c r="A708" s="80"/>
      <c r="B708" s="211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  <c r="AA708" s="206"/>
      <c r="AB708" s="544"/>
      <c r="AC708" s="206"/>
      <c r="AD708" s="206"/>
      <c r="AE708" s="206"/>
    </row>
    <row r="709" spans="1:31" ht="13.5" customHeight="1" x14ac:dyDescent="0.15">
      <c r="A709" s="80"/>
      <c r="B709" s="211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  <c r="AA709" s="206"/>
      <c r="AB709" s="544"/>
      <c r="AC709" s="206"/>
      <c r="AD709" s="206"/>
      <c r="AE709" s="206"/>
    </row>
    <row r="710" spans="1:31" ht="13.5" customHeight="1" x14ac:dyDescent="0.15">
      <c r="A710" s="80"/>
      <c r="B710" s="211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  <c r="AA710" s="206"/>
      <c r="AB710" s="544"/>
      <c r="AC710" s="206"/>
      <c r="AD710" s="206"/>
      <c r="AE710" s="206"/>
    </row>
    <row r="711" spans="1:31" ht="13.5" customHeight="1" x14ac:dyDescent="0.15">
      <c r="A711" s="80"/>
      <c r="B711" s="211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  <c r="AA711" s="206"/>
      <c r="AB711" s="544"/>
      <c r="AC711" s="206"/>
      <c r="AD711" s="206"/>
      <c r="AE711" s="206"/>
    </row>
    <row r="712" spans="1:31" ht="13.5" customHeight="1" x14ac:dyDescent="0.15">
      <c r="A712" s="80"/>
      <c r="B712" s="211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  <c r="AA712" s="206"/>
      <c r="AB712" s="544"/>
      <c r="AC712" s="206"/>
      <c r="AD712" s="206"/>
      <c r="AE712" s="206"/>
    </row>
    <row r="713" spans="1:31" ht="13.5" customHeight="1" x14ac:dyDescent="0.15">
      <c r="A713" s="80"/>
      <c r="B713" s="211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  <c r="AA713" s="206"/>
      <c r="AB713" s="544"/>
      <c r="AC713" s="206"/>
      <c r="AD713" s="206"/>
      <c r="AE713" s="206"/>
    </row>
    <row r="714" spans="1:31" ht="13.5" customHeight="1" x14ac:dyDescent="0.15">
      <c r="A714" s="80"/>
      <c r="B714" s="211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  <c r="AA714" s="206"/>
      <c r="AB714" s="544"/>
      <c r="AC714" s="206"/>
      <c r="AD714" s="206"/>
      <c r="AE714" s="206"/>
    </row>
    <row r="715" spans="1:31" ht="13.5" customHeight="1" x14ac:dyDescent="0.15">
      <c r="A715" s="80"/>
      <c r="B715" s="211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  <c r="AA715" s="206"/>
      <c r="AB715" s="544"/>
      <c r="AC715" s="206"/>
      <c r="AD715" s="206"/>
      <c r="AE715" s="206"/>
    </row>
    <row r="716" spans="1:31" ht="13.5" customHeight="1" x14ac:dyDescent="0.15">
      <c r="A716" s="80"/>
      <c r="B716" s="211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  <c r="AA716" s="206"/>
      <c r="AB716" s="544"/>
      <c r="AC716" s="206"/>
      <c r="AD716" s="206"/>
      <c r="AE716" s="206"/>
    </row>
    <row r="717" spans="1:31" ht="13.5" customHeight="1" x14ac:dyDescent="0.15">
      <c r="A717" s="80"/>
      <c r="B717" s="211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  <c r="AA717" s="206"/>
      <c r="AB717" s="544"/>
      <c r="AC717" s="206"/>
      <c r="AD717" s="206"/>
      <c r="AE717" s="206"/>
    </row>
    <row r="718" spans="1:31" ht="13.5" customHeight="1" x14ac:dyDescent="0.15">
      <c r="A718" s="80"/>
      <c r="B718" s="211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  <c r="AA718" s="206"/>
      <c r="AB718" s="544"/>
      <c r="AC718" s="206"/>
      <c r="AD718" s="206"/>
      <c r="AE718" s="206"/>
    </row>
    <row r="719" spans="1:31" ht="13.5" customHeight="1" x14ac:dyDescent="0.15">
      <c r="A719" s="80"/>
      <c r="B719" s="211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  <c r="AA719" s="206"/>
      <c r="AB719" s="544"/>
      <c r="AC719" s="206"/>
      <c r="AD719" s="206"/>
      <c r="AE719" s="206"/>
    </row>
    <row r="720" spans="1:31" ht="13.5" customHeight="1" x14ac:dyDescent="0.15">
      <c r="A720" s="80"/>
      <c r="B720" s="211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  <c r="AA720" s="206"/>
      <c r="AB720" s="544"/>
      <c r="AC720" s="206"/>
      <c r="AD720" s="206"/>
      <c r="AE720" s="206"/>
    </row>
    <row r="721" spans="1:31" ht="13.5" customHeight="1" x14ac:dyDescent="0.15">
      <c r="A721" s="80"/>
      <c r="B721" s="211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  <c r="AA721" s="206"/>
      <c r="AB721" s="544"/>
      <c r="AC721" s="206"/>
      <c r="AD721" s="206"/>
      <c r="AE721" s="206"/>
    </row>
    <row r="722" spans="1:31" ht="13.5" customHeight="1" x14ac:dyDescent="0.15">
      <c r="A722" s="80"/>
      <c r="B722" s="211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  <c r="AA722" s="206"/>
      <c r="AB722" s="544"/>
      <c r="AC722" s="206"/>
      <c r="AD722" s="206"/>
      <c r="AE722" s="206"/>
    </row>
    <row r="723" spans="1:31" ht="13.5" customHeight="1" x14ac:dyDescent="0.15">
      <c r="A723" s="80"/>
      <c r="B723" s="211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  <c r="AA723" s="206"/>
      <c r="AB723" s="544"/>
      <c r="AC723" s="206"/>
      <c r="AD723" s="206"/>
      <c r="AE723" s="206"/>
    </row>
    <row r="724" spans="1:31" ht="13.5" customHeight="1" x14ac:dyDescent="0.15">
      <c r="A724" s="80"/>
      <c r="B724" s="211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  <c r="AA724" s="206"/>
      <c r="AB724" s="544"/>
      <c r="AC724" s="206"/>
      <c r="AD724" s="206"/>
      <c r="AE724" s="206"/>
    </row>
    <row r="725" spans="1:31" ht="13.5" customHeight="1" x14ac:dyDescent="0.15">
      <c r="A725" s="80"/>
      <c r="B725" s="211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  <c r="AA725" s="206"/>
      <c r="AB725" s="544"/>
      <c r="AC725" s="206"/>
      <c r="AD725" s="206"/>
      <c r="AE725" s="206"/>
    </row>
    <row r="726" spans="1:31" ht="13.5" customHeight="1" x14ac:dyDescent="0.15">
      <c r="A726" s="80"/>
      <c r="B726" s="211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  <c r="AA726" s="206"/>
      <c r="AB726" s="544"/>
      <c r="AC726" s="206"/>
      <c r="AD726" s="206"/>
      <c r="AE726" s="206"/>
    </row>
    <row r="727" spans="1:31" ht="13.5" customHeight="1" x14ac:dyDescent="0.15">
      <c r="A727" s="80"/>
      <c r="B727" s="211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  <c r="AA727" s="206"/>
      <c r="AB727" s="544"/>
      <c r="AC727" s="206"/>
      <c r="AD727" s="206"/>
      <c r="AE727" s="206"/>
    </row>
    <row r="728" spans="1:31" ht="13.5" customHeight="1" x14ac:dyDescent="0.15">
      <c r="A728" s="80"/>
      <c r="B728" s="211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  <c r="AA728" s="206"/>
      <c r="AB728" s="544"/>
      <c r="AC728" s="206"/>
      <c r="AD728" s="206"/>
      <c r="AE728" s="206"/>
    </row>
    <row r="729" spans="1:31" ht="13.5" customHeight="1" x14ac:dyDescent="0.15">
      <c r="A729" s="80"/>
      <c r="B729" s="211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  <c r="AA729" s="206"/>
      <c r="AB729" s="544"/>
      <c r="AC729" s="206"/>
      <c r="AD729" s="206"/>
      <c r="AE729" s="206"/>
    </row>
    <row r="730" spans="1:31" ht="13.5" customHeight="1" x14ac:dyDescent="0.15">
      <c r="A730" s="80"/>
      <c r="B730" s="211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  <c r="AA730" s="206"/>
      <c r="AB730" s="544"/>
      <c r="AC730" s="206"/>
      <c r="AD730" s="206"/>
      <c r="AE730" s="206"/>
    </row>
    <row r="731" spans="1:31" ht="13.5" customHeight="1" x14ac:dyDescent="0.15">
      <c r="A731" s="80"/>
      <c r="B731" s="211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  <c r="AA731" s="206"/>
      <c r="AB731" s="544"/>
      <c r="AC731" s="206"/>
      <c r="AD731" s="206"/>
      <c r="AE731" s="206"/>
    </row>
    <row r="732" spans="1:31" ht="13.5" customHeight="1" x14ac:dyDescent="0.15">
      <c r="A732" s="80"/>
      <c r="B732" s="211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  <c r="AA732" s="206"/>
      <c r="AB732" s="544"/>
      <c r="AC732" s="206"/>
      <c r="AD732" s="206"/>
      <c r="AE732" s="206"/>
    </row>
    <row r="733" spans="1:31" ht="13.5" customHeight="1" x14ac:dyDescent="0.15">
      <c r="A733" s="80"/>
      <c r="B733" s="211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  <c r="AA733" s="206"/>
      <c r="AB733" s="544"/>
      <c r="AC733" s="206"/>
      <c r="AD733" s="206"/>
      <c r="AE733" s="206"/>
    </row>
    <row r="734" spans="1:31" ht="13.5" customHeight="1" x14ac:dyDescent="0.15">
      <c r="A734" s="80"/>
      <c r="B734" s="211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  <c r="AA734" s="206"/>
      <c r="AB734" s="544"/>
      <c r="AC734" s="206"/>
      <c r="AD734" s="206"/>
      <c r="AE734" s="206"/>
    </row>
    <row r="735" spans="1:31" ht="13.5" customHeight="1" x14ac:dyDescent="0.15">
      <c r="A735" s="80"/>
      <c r="B735" s="211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  <c r="AA735" s="206"/>
      <c r="AB735" s="544"/>
      <c r="AC735" s="206"/>
      <c r="AD735" s="206"/>
      <c r="AE735" s="206"/>
    </row>
    <row r="736" spans="1:31" ht="13.5" customHeight="1" x14ac:dyDescent="0.15">
      <c r="A736" s="80"/>
      <c r="B736" s="211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  <c r="AA736" s="206"/>
      <c r="AB736" s="544"/>
      <c r="AC736" s="206"/>
      <c r="AD736" s="206"/>
      <c r="AE736" s="206"/>
    </row>
    <row r="737" spans="1:31" ht="13.5" customHeight="1" x14ac:dyDescent="0.15">
      <c r="A737" s="80"/>
      <c r="B737" s="211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  <c r="AA737" s="206"/>
      <c r="AB737" s="544"/>
      <c r="AC737" s="206"/>
      <c r="AD737" s="206"/>
      <c r="AE737" s="206"/>
    </row>
    <row r="738" spans="1:31" ht="13.5" customHeight="1" x14ac:dyDescent="0.15">
      <c r="A738" s="80"/>
      <c r="B738" s="211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  <c r="AA738" s="206"/>
      <c r="AB738" s="544"/>
      <c r="AC738" s="206"/>
      <c r="AD738" s="206"/>
      <c r="AE738" s="206"/>
    </row>
    <row r="739" spans="1:31" ht="13.5" customHeight="1" x14ac:dyDescent="0.15">
      <c r="A739" s="80"/>
      <c r="B739" s="211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  <c r="AA739" s="206"/>
      <c r="AB739" s="544"/>
      <c r="AC739" s="206"/>
      <c r="AD739" s="206"/>
      <c r="AE739" s="206"/>
    </row>
    <row r="740" spans="1:31" ht="13.5" customHeight="1" x14ac:dyDescent="0.15">
      <c r="A740" s="80"/>
      <c r="B740" s="211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  <c r="AA740" s="206"/>
      <c r="AB740" s="544"/>
      <c r="AC740" s="206"/>
      <c r="AD740" s="206"/>
      <c r="AE740" s="206"/>
    </row>
    <row r="741" spans="1:31" ht="13.5" customHeight="1" x14ac:dyDescent="0.15">
      <c r="A741" s="80"/>
      <c r="B741" s="211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  <c r="AA741" s="206"/>
      <c r="AB741" s="544"/>
      <c r="AC741" s="206"/>
      <c r="AD741" s="206"/>
      <c r="AE741" s="206"/>
    </row>
    <row r="742" spans="1:31" ht="13.5" customHeight="1" x14ac:dyDescent="0.15">
      <c r="A742" s="80"/>
      <c r="B742" s="211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  <c r="AA742" s="206"/>
      <c r="AB742" s="544"/>
      <c r="AC742" s="206"/>
      <c r="AD742" s="206"/>
      <c r="AE742" s="206"/>
    </row>
    <row r="743" spans="1:31" ht="13.5" customHeight="1" x14ac:dyDescent="0.15">
      <c r="A743" s="80"/>
      <c r="B743" s="211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  <c r="AA743" s="206"/>
      <c r="AB743" s="544"/>
      <c r="AC743" s="206"/>
      <c r="AD743" s="206"/>
      <c r="AE743" s="206"/>
    </row>
    <row r="744" spans="1:31" ht="13.5" customHeight="1" x14ac:dyDescent="0.15">
      <c r="A744" s="80"/>
      <c r="B744" s="211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  <c r="AA744" s="206"/>
      <c r="AB744" s="544"/>
      <c r="AC744" s="206"/>
      <c r="AD744" s="206"/>
      <c r="AE744" s="206"/>
    </row>
    <row r="745" spans="1:31" ht="13.5" customHeight="1" x14ac:dyDescent="0.15">
      <c r="A745" s="80"/>
      <c r="B745" s="211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  <c r="AA745" s="206"/>
      <c r="AB745" s="544"/>
      <c r="AC745" s="206"/>
      <c r="AD745" s="206"/>
      <c r="AE745" s="206"/>
    </row>
    <row r="746" spans="1:31" ht="13.5" customHeight="1" x14ac:dyDescent="0.15">
      <c r="A746" s="80"/>
      <c r="B746" s="211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  <c r="AA746" s="206"/>
      <c r="AB746" s="544"/>
      <c r="AC746" s="206"/>
      <c r="AD746" s="206"/>
      <c r="AE746" s="206"/>
    </row>
    <row r="747" spans="1:31" ht="13.5" customHeight="1" x14ac:dyDescent="0.15">
      <c r="A747" s="80"/>
      <c r="B747" s="211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  <c r="AA747" s="206"/>
      <c r="AB747" s="544"/>
      <c r="AC747" s="206"/>
      <c r="AD747" s="206"/>
      <c r="AE747" s="206"/>
    </row>
    <row r="748" spans="1:31" ht="13.5" customHeight="1" x14ac:dyDescent="0.15">
      <c r="A748" s="80"/>
      <c r="B748" s="211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  <c r="AA748" s="206"/>
      <c r="AB748" s="544"/>
      <c r="AC748" s="206"/>
      <c r="AD748" s="206"/>
      <c r="AE748" s="206"/>
    </row>
    <row r="749" spans="1:31" ht="13.5" customHeight="1" x14ac:dyDescent="0.15">
      <c r="A749" s="80"/>
      <c r="B749" s="211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  <c r="AA749" s="206"/>
      <c r="AB749" s="544"/>
      <c r="AC749" s="206"/>
      <c r="AD749" s="206"/>
      <c r="AE749" s="206"/>
    </row>
    <row r="750" spans="1:31" ht="13.5" customHeight="1" x14ac:dyDescent="0.15">
      <c r="A750" s="80"/>
      <c r="B750" s="211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  <c r="AA750" s="206"/>
      <c r="AB750" s="544"/>
      <c r="AC750" s="206"/>
      <c r="AD750" s="206"/>
      <c r="AE750" s="206"/>
    </row>
    <row r="751" spans="1:31" ht="13.5" customHeight="1" x14ac:dyDescent="0.15">
      <c r="A751" s="80"/>
      <c r="B751" s="211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  <c r="AA751" s="206"/>
      <c r="AB751" s="544"/>
      <c r="AC751" s="206"/>
      <c r="AD751" s="206"/>
      <c r="AE751" s="206"/>
    </row>
    <row r="752" spans="1:31" ht="13.5" customHeight="1" x14ac:dyDescent="0.15">
      <c r="A752" s="80"/>
      <c r="B752" s="211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  <c r="AA752" s="206"/>
      <c r="AB752" s="544"/>
      <c r="AC752" s="206"/>
      <c r="AD752" s="206"/>
      <c r="AE752" s="206"/>
    </row>
    <row r="753" spans="1:31" ht="13.5" customHeight="1" x14ac:dyDescent="0.15">
      <c r="A753" s="80"/>
      <c r="B753" s="211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  <c r="AA753" s="206"/>
      <c r="AB753" s="544"/>
      <c r="AC753" s="206"/>
      <c r="AD753" s="206"/>
      <c r="AE753" s="206"/>
    </row>
    <row r="754" spans="1:31" ht="13.5" customHeight="1" x14ac:dyDescent="0.15">
      <c r="A754" s="80"/>
      <c r="B754" s="211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  <c r="AA754" s="206"/>
      <c r="AB754" s="544"/>
      <c r="AC754" s="206"/>
      <c r="AD754" s="206"/>
      <c r="AE754" s="206"/>
    </row>
    <row r="755" spans="1:31" ht="13.5" customHeight="1" x14ac:dyDescent="0.15">
      <c r="A755" s="80"/>
      <c r="B755" s="211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  <c r="AA755" s="206"/>
      <c r="AB755" s="544"/>
      <c r="AC755" s="206"/>
      <c r="AD755" s="206"/>
      <c r="AE755" s="206"/>
    </row>
    <row r="756" spans="1:31" ht="13.5" customHeight="1" x14ac:dyDescent="0.15">
      <c r="A756" s="80"/>
      <c r="B756" s="211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  <c r="AA756" s="206"/>
      <c r="AB756" s="544"/>
      <c r="AC756" s="206"/>
      <c r="AD756" s="206"/>
      <c r="AE756" s="206"/>
    </row>
    <row r="757" spans="1:31" ht="13.5" customHeight="1" x14ac:dyDescent="0.15">
      <c r="A757" s="80"/>
      <c r="B757" s="211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  <c r="AA757" s="206"/>
      <c r="AB757" s="544"/>
      <c r="AC757" s="206"/>
      <c r="AD757" s="206"/>
      <c r="AE757" s="206"/>
    </row>
    <row r="758" spans="1:31" ht="13.5" customHeight="1" x14ac:dyDescent="0.15">
      <c r="A758" s="80"/>
      <c r="B758" s="211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  <c r="AA758" s="206"/>
      <c r="AB758" s="544"/>
      <c r="AC758" s="206"/>
      <c r="AD758" s="206"/>
      <c r="AE758" s="206"/>
    </row>
    <row r="759" spans="1:31" ht="13.5" customHeight="1" x14ac:dyDescent="0.15">
      <c r="A759" s="80"/>
      <c r="B759" s="211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  <c r="AA759" s="206"/>
      <c r="AB759" s="544"/>
      <c r="AC759" s="206"/>
      <c r="AD759" s="206"/>
      <c r="AE759" s="206"/>
    </row>
    <row r="760" spans="1:31" ht="13.5" customHeight="1" x14ac:dyDescent="0.15">
      <c r="A760" s="80"/>
      <c r="B760" s="211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  <c r="AA760" s="206"/>
      <c r="AB760" s="544"/>
      <c r="AC760" s="206"/>
      <c r="AD760" s="206"/>
      <c r="AE760" s="206"/>
    </row>
    <row r="761" spans="1:31" ht="13.5" customHeight="1" x14ac:dyDescent="0.15">
      <c r="A761" s="80"/>
      <c r="B761" s="211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  <c r="AA761" s="206"/>
      <c r="AB761" s="544"/>
      <c r="AC761" s="206"/>
      <c r="AD761" s="206"/>
      <c r="AE761" s="206"/>
    </row>
    <row r="762" spans="1:31" ht="13.5" customHeight="1" x14ac:dyDescent="0.15">
      <c r="A762" s="80"/>
      <c r="B762" s="211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  <c r="AA762" s="206"/>
      <c r="AB762" s="544"/>
      <c r="AC762" s="206"/>
      <c r="AD762" s="206"/>
      <c r="AE762" s="206"/>
    </row>
    <row r="763" spans="1:31" ht="13.5" customHeight="1" x14ac:dyDescent="0.15">
      <c r="A763" s="80"/>
      <c r="B763" s="211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  <c r="AA763" s="206"/>
      <c r="AB763" s="544"/>
      <c r="AC763" s="206"/>
      <c r="AD763" s="206"/>
      <c r="AE763" s="206"/>
    </row>
    <row r="764" spans="1:31" ht="13.5" customHeight="1" x14ac:dyDescent="0.15">
      <c r="A764" s="80"/>
      <c r="B764" s="211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  <c r="AA764" s="206"/>
      <c r="AB764" s="544"/>
      <c r="AC764" s="206"/>
      <c r="AD764" s="206"/>
      <c r="AE764" s="206"/>
    </row>
    <row r="765" spans="1:31" ht="13.5" customHeight="1" x14ac:dyDescent="0.15">
      <c r="A765" s="80"/>
      <c r="B765" s="211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  <c r="AA765" s="206"/>
      <c r="AB765" s="544"/>
      <c r="AC765" s="206"/>
      <c r="AD765" s="206"/>
      <c r="AE765" s="206"/>
    </row>
    <row r="766" spans="1:31" ht="13.5" customHeight="1" x14ac:dyDescent="0.15">
      <c r="A766" s="80"/>
      <c r="B766" s="211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  <c r="AA766" s="206"/>
      <c r="AB766" s="544"/>
      <c r="AC766" s="206"/>
      <c r="AD766" s="206"/>
      <c r="AE766" s="206"/>
    </row>
    <row r="767" spans="1:31" ht="13.5" customHeight="1" x14ac:dyDescent="0.15">
      <c r="A767" s="80"/>
      <c r="B767" s="211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  <c r="AA767" s="206"/>
      <c r="AB767" s="544"/>
      <c r="AC767" s="206"/>
      <c r="AD767" s="206"/>
      <c r="AE767" s="206"/>
    </row>
    <row r="768" spans="1:31" ht="13.5" customHeight="1" x14ac:dyDescent="0.15">
      <c r="A768" s="80"/>
      <c r="B768" s="211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  <c r="AA768" s="206"/>
      <c r="AB768" s="544"/>
      <c r="AC768" s="206"/>
      <c r="AD768" s="206"/>
      <c r="AE768" s="206"/>
    </row>
    <row r="769" spans="1:31" ht="13.5" customHeight="1" x14ac:dyDescent="0.15">
      <c r="A769" s="80"/>
      <c r="B769" s="211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  <c r="AA769" s="206"/>
      <c r="AB769" s="544"/>
      <c r="AC769" s="206"/>
      <c r="AD769" s="206"/>
      <c r="AE769" s="206"/>
    </row>
    <row r="770" spans="1:31" ht="13.5" customHeight="1" x14ac:dyDescent="0.15">
      <c r="A770" s="80"/>
      <c r="B770" s="211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  <c r="AA770" s="206"/>
      <c r="AB770" s="544"/>
      <c r="AC770" s="206"/>
      <c r="AD770" s="206"/>
      <c r="AE770" s="206"/>
    </row>
    <row r="771" spans="1:31" ht="13.5" customHeight="1" x14ac:dyDescent="0.15">
      <c r="A771" s="80"/>
      <c r="B771" s="211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  <c r="AA771" s="206"/>
      <c r="AB771" s="544"/>
      <c r="AC771" s="206"/>
      <c r="AD771" s="206"/>
      <c r="AE771" s="206"/>
    </row>
    <row r="772" spans="1:31" ht="13.5" customHeight="1" x14ac:dyDescent="0.15">
      <c r="A772" s="80"/>
      <c r="B772" s="211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  <c r="AA772" s="206"/>
      <c r="AB772" s="544"/>
      <c r="AC772" s="206"/>
      <c r="AD772" s="206"/>
      <c r="AE772" s="206"/>
    </row>
    <row r="773" spans="1:31" ht="13.5" customHeight="1" x14ac:dyDescent="0.15">
      <c r="A773" s="80"/>
      <c r="B773" s="211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  <c r="AA773" s="206"/>
      <c r="AB773" s="544"/>
      <c r="AC773" s="206"/>
      <c r="AD773" s="206"/>
      <c r="AE773" s="206"/>
    </row>
    <row r="774" spans="1:31" ht="13.5" customHeight="1" x14ac:dyDescent="0.15">
      <c r="A774" s="80"/>
      <c r="B774" s="211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  <c r="AA774" s="206"/>
      <c r="AB774" s="544"/>
      <c r="AC774" s="206"/>
      <c r="AD774" s="206"/>
      <c r="AE774" s="206"/>
    </row>
    <row r="775" spans="1:31" ht="13.5" customHeight="1" x14ac:dyDescent="0.15">
      <c r="A775" s="80"/>
      <c r="B775" s="211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  <c r="AA775" s="206"/>
      <c r="AB775" s="544"/>
      <c r="AC775" s="206"/>
      <c r="AD775" s="206"/>
      <c r="AE775" s="206"/>
    </row>
    <row r="776" spans="1:31" ht="13.5" customHeight="1" x14ac:dyDescent="0.15">
      <c r="A776" s="80"/>
      <c r="B776" s="211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  <c r="AA776" s="206"/>
      <c r="AB776" s="544"/>
      <c r="AC776" s="206"/>
      <c r="AD776" s="206"/>
      <c r="AE776" s="206"/>
    </row>
    <row r="777" spans="1:31" ht="13.5" customHeight="1" x14ac:dyDescent="0.15">
      <c r="A777" s="80"/>
      <c r="B777" s="211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  <c r="AA777" s="206"/>
      <c r="AB777" s="544"/>
      <c r="AC777" s="206"/>
      <c r="AD777" s="206"/>
      <c r="AE777" s="206"/>
    </row>
    <row r="778" spans="1:31" ht="13.5" customHeight="1" x14ac:dyDescent="0.15">
      <c r="A778" s="80"/>
      <c r="B778" s="211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  <c r="AA778" s="206"/>
      <c r="AB778" s="544"/>
      <c r="AC778" s="206"/>
      <c r="AD778" s="206"/>
      <c r="AE778" s="206"/>
    </row>
    <row r="779" spans="1:31" ht="13.5" customHeight="1" x14ac:dyDescent="0.15">
      <c r="A779" s="80"/>
      <c r="B779" s="211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  <c r="AA779" s="206"/>
      <c r="AB779" s="544"/>
      <c r="AC779" s="206"/>
      <c r="AD779" s="206"/>
      <c r="AE779" s="206"/>
    </row>
    <row r="780" spans="1:31" ht="13.5" customHeight="1" x14ac:dyDescent="0.15">
      <c r="A780" s="80"/>
      <c r="B780" s="211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  <c r="AA780" s="206"/>
      <c r="AB780" s="544"/>
      <c r="AC780" s="206"/>
      <c r="AD780" s="206"/>
      <c r="AE780" s="206"/>
    </row>
    <row r="781" spans="1:31" ht="13.5" customHeight="1" x14ac:dyDescent="0.15">
      <c r="A781" s="80"/>
      <c r="B781" s="211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  <c r="AA781" s="206"/>
      <c r="AB781" s="544"/>
      <c r="AC781" s="206"/>
      <c r="AD781" s="206"/>
      <c r="AE781" s="206"/>
    </row>
    <row r="782" spans="1:31" ht="13.5" customHeight="1" x14ac:dyDescent="0.15">
      <c r="A782" s="80"/>
      <c r="B782" s="211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  <c r="AA782" s="206"/>
      <c r="AB782" s="544"/>
      <c r="AC782" s="206"/>
      <c r="AD782" s="206"/>
      <c r="AE782" s="206"/>
    </row>
    <row r="783" spans="1:31" ht="13.5" customHeight="1" x14ac:dyDescent="0.15">
      <c r="A783" s="80"/>
      <c r="B783" s="211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  <c r="AA783" s="206"/>
      <c r="AB783" s="544"/>
      <c r="AC783" s="206"/>
      <c r="AD783" s="206"/>
      <c r="AE783" s="206"/>
    </row>
    <row r="784" spans="1:31" ht="13.5" customHeight="1" x14ac:dyDescent="0.15">
      <c r="A784" s="80"/>
      <c r="B784" s="211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  <c r="AA784" s="206"/>
      <c r="AB784" s="544"/>
      <c r="AC784" s="206"/>
      <c r="AD784" s="206"/>
      <c r="AE784" s="206"/>
    </row>
    <row r="785" spans="1:31" ht="13.5" customHeight="1" x14ac:dyDescent="0.15">
      <c r="A785" s="80"/>
      <c r="B785" s="211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  <c r="AA785" s="206"/>
      <c r="AB785" s="544"/>
      <c r="AC785" s="206"/>
      <c r="AD785" s="206"/>
      <c r="AE785" s="206"/>
    </row>
    <row r="786" spans="1:31" ht="13.5" customHeight="1" x14ac:dyDescent="0.15">
      <c r="A786" s="80"/>
      <c r="B786" s="211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  <c r="AA786" s="206"/>
      <c r="AB786" s="544"/>
      <c r="AC786" s="206"/>
      <c r="AD786" s="206"/>
      <c r="AE786" s="206"/>
    </row>
    <row r="787" spans="1:31" ht="13.5" customHeight="1" x14ac:dyDescent="0.15">
      <c r="A787" s="80"/>
      <c r="B787" s="211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  <c r="AA787" s="206"/>
      <c r="AB787" s="544"/>
      <c r="AC787" s="206"/>
      <c r="AD787" s="206"/>
      <c r="AE787" s="206"/>
    </row>
    <row r="788" spans="1:31" ht="13.5" customHeight="1" x14ac:dyDescent="0.15">
      <c r="A788" s="80"/>
      <c r="B788" s="211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  <c r="AA788" s="206"/>
      <c r="AB788" s="544"/>
      <c r="AC788" s="206"/>
      <c r="AD788" s="206"/>
      <c r="AE788" s="206"/>
    </row>
    <row r="789" spans="1:31" ht="13.5" customHeight="1" x14ac:dyDescent="0.15">
      <c r="A789" s="80"/>
      <c r="B789" s="211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  <c r="AA789" s="206"/>
      <c r="AB789" s="544"/>
      <c r="AC789" s="206"/>
      <c r="AD789" s="206"/>
      <c r="AE789" s="206"/>
    </row>
    <row r="790" spans="1:31" ht="13.5" customHeight="1" x14ac:dyDescent="0.15">
      <c r="A790" s="80"/>
      <c r="B790" s="211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  <c r="AA790" s="206"/>
      <c r="AB790" s="544"/>
      <c r="AC790" s="206"/>
      <c r="AD790" s="206"/>
      <c r="AE790" s="206"/>
    </row>
    <row r="791" spans="1:31" ht="13.5" customHeight="1" x14ac:dyDescent="0.15">
      <c r="A791" s="80"/>
      <c r="B791" s="211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  <c r="AA791" s="206"/>
      <c r="AB791" s="544"/>
      <c r="AC791" s="206"/>
      <c r="AD791" s="206"/>
      <c r="AE791" s="206"/>
    </row>
    <row r="792" spans="1:31" ht="13.5" customHeight="1" x14ac:dyDescent="0.15">
      <c r="A792" s="80"/>
      <c r="B792" s="211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  <c r="AA792" s="206"/>
      <c r="AB792" s="544"/>
      <c r="AC792" s="206"/>
      <c r="AD792" s="206"/>
      <c r="AE792" s="206"/>
    </row>
    <row r="793" spans="1:31" ht="13.5" customHeight="1" x14ac:dyDescent="0.15">
      <c r="A793" s="80"/>
      <c r="B793" s="211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  <c r="AA793" s="206"/>
      <c r="AB793" s="544"/>
      <c r="AC793" s="206"/>
      <c r="AD793" s="206"/>
      <c r="AE793" s="206"/>
    </row>
    <row r="794" spans="1:31" ht="13.5" customHeight="1" x14ac:dyDescent="0.15">
      <c r="A794" s="80"/>
      <c r="B794" s="211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  <c r="AA794" s="206"/>
      <c r="AB794" s="544"/>
      <c r="AC794" s="206"/>
      <c r="AD794" s="206"/>
      <c r="AE794" s="206"/>
    </row>
    <row r="795" spans="1:31" ht="13.5" customHeight="1" x14ac:dyDescent="0.15">
      <c r="A795" s="80"/>
      <c r="B795" s="211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  <c r="AA795" s="206"/>
      <c r="AB795" s="544"/>
      <c r="AC795" s="206"/>
      <c r="AD795" s="206"/>
      <c r="AE795" s="206"/>
    </row>
    <row r="796" spans="1:31" ht="13.5" customHeight="1" x14ac:dyDescent="0.15">
      <c r="A796" s="80"/>
      <c r="B796" s="211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  <c r="AA796" s="206"/>
      <c r="AB796" s="544"/>
      <c r="AC796" s="206"/>
      <c r="AD796" s="206"/>
      <c r="AE796" s="206"/>
    </row>
    <row r="797" spans="1:31" ht="13.5" customHeight="1" x14ac:dyDescent="0.15">
      <c r="A797" s="80"/>
      <c r="B797" s="211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  <c r="AA797" s="206"/>
      <c r="AB797" s="544"/>
      <c r="AC797" s="206"/>
      <c r="AD797" s="206"/>
      <c r="AE797" s="206"/>
    </row>
    <row r="798" spans="1:31" ht="13.5" customHeight="1" x14ac:dyDescent="0.15">
      <c r="A798" s="80"/>
      <c r="B798" s="211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  <c r="AA798" s="206"/>
      <c r="AB798" s="544"/>
      <c r="AC798" s="206"/>
      <c r="AD798" s="206"/>
      <c r="AE798" s="206"/>
    </row>
    <row r="799" spans="1:31" ht="13.5" customHeight="1" x14ac:dyDescent="0.15">
      <c r="A799" s="80"/>
      <c r="B799" s="211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  <c r="AA799" s="206"/>
      <c r="AB799" s="544"/>
      <c r="AC799" s="206"/>
      <c r="AD799" s="206"/>
      <c r="AE799" s="206"/>
    </row>
    <row r="800" spans="1:31" ht="13.5" customHeight="1" x14ac:dyDescent="0.15">
      <c r="A800" s="80"/>
      <c r="B800" s="211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  <c r="AA800" s="206"/>
      <c r="AB800" s="544"/>
      <c r="AC800" s="206"/>
      <c r="AD800" s="206"/>
      <c r="AE800" s="206"/>
    </row>
    <row r="801" spans="1:31" ht="13.5" customHeight="1" x14ac:dyDescent="0.15">
      <c r="A801" s="80"/>
      <c r="B801" s="211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  <c r="AA801" s="206"/>
      <c r="AB801" s="544"/>
      <c r="AC801" s="206"/>
      <c r="AD801" s="206"/>
      <c r="AE801" s="206"/>
    </row>
    <row r="802" spans="1:31" ht="13.5" customHeight="1" x14ac:dyDescent="0.15">
      <c r="A802" s="80"/>
      <c r="B802" s="211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  <c r="AA802" s="206"/>
      <c r="AB802" s="544"/>
      <c r="AC802" s="206"/>
      <c r="AD802" s="206"/>
      <c r="AE802" s="206"/>
    </row>
    <row r="803" spans="1:31" ht="13.5" customHeight="1" x14ac:dyDescent="0.15">
      <c r="A803" s="80"/>
      <c r="B803" s="211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  <c r="AA803" s="206"/>
      <c r="AB803" s="544"/>
      <c r="AC803" s="206"/>
      <c r="AD803" s="206"/>
      <c r="AE803" s="206"/>
    </row>
    <row r="804" spans="1:31" ht="13.5" customHeight="1" x14ac:dyDescent="0.15">
      <c r="A804" s="80"/>
      <c r="B804" s="211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  <c r="AA804" s="206"/>
      <c r="AB804" s="544"/>
      <c r="AC804" s="206"/>
      <c r="AD804" s="206"/>
      <c r="AE804" s="206"/>
    </row>
    <row r="805" spans="1:31" ht="13.5" customHeight="1" x14ac:dyDescent="0.15">
      <c r="A805" s="80"/>
      <c r="B805" s="211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  <c r="AA805" s="206"/>
      <c r="AB805" s="544"/>
      <c r="AC805" s="206"/>
      <c r="AD805" s="206"/>
      <c r="AE805" s="206"/>
    </row>
    <row r="806" spans="1:31" ht="13.5" customHeight="1" x14ac:dyDescent="0.15">
      <c r="A806" s="80"/>
      <c r="B806" s="211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  <c r="AA806" s="206"/>
      <c r="AB806" s="544"/>
      <c r="AC806" s="206"/>
      <c r="AD806" s="206"/>
      <c r="AE806" s="206"/>
    </row>
    <row r="807" spans="1:31" ht="13.5" customHeight="1" x14ac:dyDescent="0.15">
      <c r="A807" s="80"/>
      <c r="B807" s="211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  <c r="AA807" s="206"/>
      <c r="AB807" s="544"/>
      <c r="AC807" s="206"/>
      <c r="AD807" s="206"/>
      <c r="AE807" s="206"/>
    </row>
    <row r="808" spans="1:31" ht="13.5" customHeight="1" x14ac:dyDescent="0.15">
      <c r="A808" s="80"/>
      <c r="B808" s="211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  <c r="AA808" s="206"/>
      <c r="AB808" s="544"/>
      <c r="AC808" s="206"/>
      <c r="AD808" s="206"/>
      <c r="AE808" s="206"/>
    </row>
    <row r="809" spans="1:31" ht="13.5" customHeight="1" x14ac:dyDescent="0.15">
      <c r="A809" s="80"/>
      <c r="B809" s="211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  <c r="AA809" s="206"/>
      <c r="AB809" s="544"/>
      <c r="AC809" s="206"/>
      <c r="AD809" s="206"/>
      <c r="AE809" s="206"/>
    </row>
    <row r="810" spans="1:31" ht="13.5" customHeight="1" x14ac:dyDescent="0.15">
      <c r="A810" s="80"/>
      <c r="B810" s="211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  <c r="AA810" s="206"/>
      <c r="AB810" s="544"/>
      <c r="AC810" s="206"/>
      <c r="AD810" s="206"/>
      <c r="AE810" s="206"/>
    </row>
    <row r="811" spans="1:31" ht="13.5" customHeight="1" x14ac:dyDescent="0.15">
      <c r="A811" s="80"/>
      <c r="B811" s="211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  <c r="AA811" s="206"/>
      <c r="AB811" s="544"/>
      <c r="AC811" s="206"/>
      <c r="AD811" s="206"/>
      <c r="AE811" s="206"/>
    </row>
    <row r="812" spans="1:31" ht="13.5" customHeight="1" x14ac:dyDescent="0.15">
      <c r="A812" s="80"/>
      <c r="B812" s="211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  <c r="AA812" s="206"/>
      <c r="AB812" s="544"/>
      <c r="AC812" s="206"/>
      <c r="AD812" s="206"/>
      <c r="AE812" s="206"/>
    </row>
    <row r="813" spans="1:31" ht="13.5" customHeight="1" x14ac:dyDescent="0.15">
      <c r="A813" s="80"/>
      <c r="B813" s="211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  <c r="AA813" s="206"/>
      <c r="AB813" s="544"/>
      <c r="AC813" s="206"/>
      <c r="AD813" s="206"/>
      <c r="AE813" s="206"/>
    </row>
    <row r="814" spans="1:31" ht="13.5" customHeight="1" x14ac:dyDescent="0.15">
      <c r="A814" s="80"/>
      <c r="B814" s="211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  <c r="AA814" s="206"/>
      <c r="AB814" s="544"/>
      <c r="AC814" s="206"/>
      <c r="AD814" s="206"/>
      <c r="AE814" s="206"/>
    </row>
    <row r="815" spans="1:31" ht="13.5" customHeight="1" x14ac:dyDescent="0.15">
      <c r="A815" s="80"/>
      <c r="B815" s="211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  <c r="AA815" s="206"/>
      <c r="AB815" s="544"/>
      <c r="AC815" s="206"/>
      <c r="AD815" s="206"/>
      <c r="AE815" s="206"/>
    </row>
    <row r="816" spans="1:31" ht="13.5" customHeight="1" x14ac:dyDescent="0.15">
      <c r="A816" s="80"/>
      <c r="B816" s="211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  <c r="AA816" s="206"/>
      <c r="AB816" s="544"/>
      <c r="AC816" s="206"/>
      <c r="AD816" s="206"/>
      <c r="AE816" s="206"/>
    </row>
    <row r="817" spans="1:31" ht="13.5" customHeight="1" x14ac:dyDescent="0.15">
      <c r="A817" s="80"/>
      <c r="B817" s="211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  <c r="AA817" s="206"/>
      <c r="AB817" s="544"/>
      <c r="AC817" s="206"/>
      <c r="AD817" s="206"/>
      <c r="AE817" s="206"/>
    </row>
    <row r="818" spans="1:31" ht="13.5" customHeight="1" x14ac:dyDescent="0.15">
      <c r="A818" s="80"/>
      <c r="B818" s="211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  <c r="AA818" s="206"/>
      <c r="AB818" s="544"/>
      <c r="AC818" s="206"/>
      <c r="AD818" s="206"/>
      <c r="AE818" s="206"/>
    </row>
    <row r="819" spans="1:31" ht="13.5" customHeight="1" x14ac:dyDescent="0.15">
      <c r="A819" s="80"/>
      <c r="B819" s="211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  <c r="AA819" s="206"/>
      <c r="AB819" s="544"/>
      <c r="AC819" s="206"/>
      <c r="AD819" s="206"/>
      <c r="AE819" s="206"/>
    </row>
    <row r="820" spans="1:31" ht="13.5" customHeight="1" x14ac:dyDescent="0.15">
      <c r="A820" s="80"/>
      <c r="B820" s="211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  <c r="AA820" s="206"/>
      <c r="AB820" s="544"/>
      <c r="AC820" s="206"/>
      <c r="AD820" s="206"/>
      <c r="AE820" s="206"/>
    </row>
    <row r="821" spans="1:31" ht="13.5" customHeight="1" x14ac:dyDescent="0.15">
      <c r="A821" s="80"/>
      <c r="B821" s="211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  <c r="AA821" s="206"/>
      <c r="AB821" s="544"/>
      <c r="AC821" s="206"/>
      <c r="AD821" s="206"/>
      <c r="AE821" s="206"/>
    </row>
    <row r="822" spans="1:31" ht="13.5" customHeight="1" x14ac:dyDescent="0.15">
      <c r="A822" s="80"/>
      <c r="B822" s="211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  <c r="AA822" s="206"/>
      <c r="AB822" s="544"/>
      <c r="AC822" s="206"/>
      <c r="AD822" s="206"/>
      <c r="AE822" s="206"/>
    </row>
    <row r="823" spans="1:31" ht="13.5" customHeight="1" x14ac:dyDescent="0.15">
      <c r="A823" s="80"/>
      <c r="B823" s="211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  <c r="AA823" s="206"/>
      <c r="AB823" s="544"/>
      <c r="AC823" s="206"/>
      <c r="AD823" s="206"/>
      <c r="AE823" s="206"/>
    </row>
    <row r="824" spans="1:31" ht="13.5" customHeight="1" x14ac:dyDescent="0.15">
      <c r="A824" s="80"/>
      <c r="B824" s="211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  <c r="AA824" s="206"/>
      <c r="AB824" s="544"/>
      <c r="AC824" s="206"/>
      <c r="AD824" s="206"/>
      <c r="AE824" s="206"/>
    </row>
    <row r="825" spans="1:31" ht="13.5" customHeight="1" x14ac:dyDescent="0.15">
      <c r="A825" s="80"/>
      <c r="B825" s="211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  <c r="AA825" s="206"/>
      <c r="AB825" s="544"/>
      <c r="AC825" s="206"/>
      <c r="AD825" s="206"/>
      <c r="AE825" s="206"/>
    </row>
    <row r="826" spans="1:31" ht="13.5" customHeight="1" x14ac:dyDescent="0.15">
      <c r="A826" s="80"/>
      <c r="B826" s="211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  <c r="AA826" s="206"/>
      <c r="AB826" s="544"/>
      <c r="AC826" s="206"/>
      <c r="AD826" s="206"/>
      <c r="AE826" s="206"/>
    </row>
    <row r="827" spans="1:31" ht="13.5" customHeight="1" x14ac:dyDescent="0.15">
      <c r="A827" s="80"/>
      <c r="B827" s="211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  <c r="AA827" s="206"/>
      <c r="AB827" s="544"/>
      <c r="AC827" s="206"/>
      <c r="AD827" s="206"/>
      <c r="AE827" s="206"/>
    </row>
    <row r="828" spans="1:31" ht="13.5" customHeight="1" x14ac:dyDescent="0.15">
      <c r="A828" s="80"/>
      <c r="B828" s="211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  <c r="AA828" s="206"/>
      <c r="AB828" s="544"/>
      <c r="AC828" s="206"/>
      <c r="AD828" s="206"/>
      <c r="AE828" s="206"/>
    </row>
    <row r="829" spans="1:31" ht="13.5" customHeight="1" x14ac:dyDescent="0.15">
      <c r="A829" s="80"/>
      <c r="B829" s="211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  <c r="AA829" s="206"/>
      <c r="AB829" s="544"/>
      <c r="AC829" s="206"/>
      <c r="AD829" s="206"/>
      <c r="AE829" s="206"/>
    </row>
    <row r="830" spans="1:31" ht="13.5" customHeight="1" x14ac:dyDescent="0.15">
      <c r="A830" s="80"/>
      <c r="B830" s="211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  <c r="AA830" s="206"/>
      <c r="AB830" s="544"/>
      <c r="AC830" s="206"/>
      <c r="AD830" s="206"/>
      <c r="AE830" s="206"/>
    </row>
    <row r="831" spans="1:31" ht="13.5" customHeight="1" x14ac:dyDescent="0.15">
      <c r="A831" s="80"/>
      <c r="B831" s="211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  <c r="AA831" s="206"/>
      <c r="AB831" s="544"/>
      <c r="AC831" s="206"/>
      <c r="AD831" s="206"/>
      <c r="AE831" s="206"/>
    </row>
    <row r="832" spans="1:31" ht="13.5" customHeight="1" x14ac:dyDescent="0.15">
      <c r="A832" s="80"/>
      <c r="B832" s="211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  <c r="AA832" s="206"/>
      <c r="AB832" s="544"/>
      <c r="AC832" s="206"/>
      <c r="AD832" s="206"/>
      <c r="AE832" s="206"/>
    </row>
    <row r="833" spans="1:31" ht="13.5" customHeight="1" x14ac:dyDescent="0.15">
      <c r="A833" s="80"/>
      <c r="B833" s="211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  <c r="AA833" s="206"/>
      <c r="AB833" s="544"/>
      <c r="AC833" s="206"/>
      <c r="AD833" s="206"/>
      <c r="AE833" s="206"/>
    </row>
    <row r="834" spans="1:31" ht="13.5" customHeight="1" x14ac:dyDescent="0.15">
      <c r="A834" s="80"/>
      <c r="B834" s="211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  <c r="AA834" s="206"/>
      <c r="AB834" s="544"/>
      <c r="AC834" s="206"/>
      <c r="AD834" s="206"/>
      <c r="AE834" s="206"/>
    </row>
    <row r="835" spans="1:31" ht="13.5" customHeight="1" x14ac:dyDescent="0.15">
      <c r="A835" s="80"/>
      <c r="B835" s="211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  <c r="AA835" s="206"/>
      <c r="AB835" s="544"/>
      <c r="AC835" s="206"/>
      <c r="AD835" s="206"/>
      <c r="AE835" s="206"/>
    </row>
    <row r="836" spans="1:31" ht="13.5" customHeight="1" x14ac:dyDescent="0.15">
      <c r="A836" s="80"/>
      <c r="B836" s="211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  <c r="AA836" s="206"/>
      <c r="AB836" s="544"/>
      <c r="AC836" s="206"/>
      <c r="AD836" s="206"/>
      <c r="AE836" s="206"/>
    </row>
    <row r="837" spans="1:31" ht="13.5" customHeight="1" x14ac:dyDescent="0.15">
      <c r="A837" s="80"/>
      <c r="B837" s="211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  <c r="AA837" s="206"/>
      <c r="AB837" s="544"/>
      <c r="AC837" s="206"/>
      <c r="AD837" s="206"/>
      <c r="AE837" s="206"/>
    </row>
    <row r="838" spans="1:31" ht="13.5" customHeight="1" x14ac:dyDescent="0.15">
      <c r="A838" s="80"/>
      <c r="B838" s="211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  <c r="AA838" s="206"/>
      <c r="AB838" s="544"/>
      <c r="AC838" s="206"/>
      <c r="AD838" s="206"/>
      <c r="AE838" s="206"/>
    </row>
    <row r="839" spans="1:31" ht="13.5" customHeight="1" x14ac:dyDescent="0.15">
      <c r="A839" s="80"/>
      <c r="B839" s="211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  <c r="AA839" s="206"/>
      <c r="AB839" s="544"/>
      <c r="AC839" s="206"/>
      <c r="AD839" s="206"/>
      <c r="AE839" s="206"/>
    </row>
    <row r="840" spans="1:31" ht="13.5" customHeight="1" x14ac:dyDescent="0.15">
      <c r="A840" s="80"/>
      <c r="B840" s="211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  <c r="AA840" s="206"/>
      <c r="AB840" s="544"/>
      <c r="AC840" s="206"/>
      <c r="AD840" s="206"/>
      <c r="AE840" s="206"/>
    </row>
    <row r="841" spans="1:31" ht="13.5" customHeight="1" x14ac:dyDescent="0.15">
      <c r="A841" s="80"/>
      <c r="B841" s="211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  <c r="AA841" s="206"/>
      <c r="AB841" s="544"/>
      <c r="AC841" s="206"/>
      <c r="AD841" s="206"/>
      <c r="AE841" s="206"/>
    </row>
    <row r="842" spans="1:31" ht="13.5" customHeight="1" x14ac:dyDescent="0.15">
      <c r="A842" s="80"/>
      <c r="B842" s="211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  <c r="AA842" s="206"/>
      <c r="AB842" s="544"/>
      <c r="AC842" s="206"/>
      <c r="AD842" s="206"/>
      <c r="AE842" s="206"/>
    </row>
    <row r="843" spans="1:31" ht="13.5" customHeight="1" x14ac:dyDescent="0.15">
      <c r="A843" s="80"/>
      <c r="B843" s="211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  <c r="AA843" s="206"/>
      <c r="AB843" s="544"/>
      <c r="AC843" s="206"/>
      <c r="AD843" s="206"/>
      <c r="AE843" s="206"/>
    </row>
    <row r="844" spans="1:31" ht="13.5" customHeight="1" x14ac:dyDescent="0.15">
      <c r="A844" s="80"/>
      <c r="B844" s="211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  <c r="AA844" s="206"/>
      <c r="AB844" s="544"/>
      <c r="AC844" s="206"/>
      <c r="AD844" s="206"/>
      <c r="AE844" s="206"/>
    </row>
    <row r="845" spans="1:31" ht="13.5" customHeight="1" x14ac:dyDescent="0.15">
      <c r="A845" s="80"/>
      <c r="B845" s="211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  <c r="AA845" s="206"/>
      <c r="AB845" s="544"/>
      <c r="AC845" s="206"/>
      <c r="AD845" s="206"/>
      <c r="AE845" s="206"/>
    </row>
    <row r="846" spans="1:31" ht="13.5" customHeight="1" x14ac:dyDescent="0.15">
      <c r="A846" s="80"/>
      <c r="B846" s="211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  <c r="AA846" s="206"/>
      <c r="AB846" s="544"/>
      <c r="AC846" s="206"/>
      <c r="AD846" s="206"/>
      <c r="AE846" s="206"/>
    </row>
    <row r="847" spans="1:31" ht="13.5" customHeight="1" x14ac:dyDescent="0.15">
      <c r="A847" s="80"/>
      <c r="B847" s="211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  <c r="AA847" s="206"/>
      <c r="AB847" s="544"/>
      <c r="AC847" s="206"/>
      <c r="AD847" s="206"/>
      <c r="AE847" s="206"/>
    </row>
    <row r="848" spans="1:31" ht="13.5" customHeight="1" x14ac:dyDescent="0.15">
      <c r="A848" s="80"/>
      <c r="B848" s="211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  <c r="AA848" s="206"/>
      <c r="AB848" s="544"/>
      <c r="AC848" s="206"/>
      <c r="AD848" s="206"/>
      <c r="AE848" s="206"/>
    </row>
    <row r="849" spans="1:31" ht="13.5" customHeight="1" x14ac:dyDescent="0.15">
      <c r="A849" s="80"/>
      <c r="B849" s="211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  <c r="AA849" s="206"/>
      <c r="AB849" s="544"/>
      <c r="AC849" s="206"/>
      <c r="AD849" s="206"/>
      <c r="AE849" s="206"/>
    </row>
    <row r="850" spans="1:31" ht="13.5" customHeight="1" x14ac:dyDescent="0.15">
      <c r="A850" s="80"/>
      <c r="B850" s="211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  <c r="AA850" s="206"/>
      <c r="AB850" s="544"/>
      <c r="AC850" s="206"/>
      <c r="AD850" s="206"/>
      <c r="AE850" s="206"/>
    </row>
    <row r="851" spans="1:31" ht="13.5" customHeight="1" x14ac:dyDescent="0.15">
      <c r="A851" s="80"/>
      <c r="B851" s="211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  <c r="AA851" s="206"/>
      <c r="AB851" s="544"/>
      <c r="AC851" s="206"/>
      <c r="AD851" s="206"/>
      <c r="AE851" s="206"/>
    </row>
    <row r="852" spans="1:31" ht="13.5" customHeight="1" x14ac:dyDescent="0.15">
      <c r="A852" s="80"/>
      <c r="B852" s="211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  <c r="AA852" s="206"/>
      <c r="AB852" s="544"/>
      <c r="AC852" s="206"/>
      <c r="AD852" s="206"/>
      <c r="AE852" s="206"/>
    </row>
    <row r="853" spans="1:31" ht="13.5" customHeight="1" x14ac:dyDescent="0.15">
      <c r="A853" s="80"/>
      <c r="B853" s="211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  <c r="AA853" s="206"/>
      <c r="AB853" s="544"/>
      <c r="AC853" s="206"/>
      <c r="AD853" s="206"/>
      <c r="AE853" s="206"/>
    </row>
    <row r="854" spans="1:31" ht="13.5" customHeight="1" x14ac:dyDescent="0.15">
      <c r="A854" s="80"/>
      <c r="B854" s="211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  <c r="AA854" s="206"/>
      <c r="AB854" s="544"/>
      <c r="AC854" s="206"/>
      <c r="AD854" s="206"/>
      <c r="AE854" s="206"/>
    </row>
    <row r="855" spans="1:31" ht="13.5" customHeight="1" x14ac:dyDescent="0.15">
      <c r="A855" s="80"/>
      <c r="B855" s="211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  <c r="AA855" s="206"/>
      <c r="AB855" s="544"/>
      <c r="AC855" s="206"/>
      <c r="AD855" s="206"/>
      <c r="AE855" s="206"/>
    </row>
    <row r="856" spans="1:31" ht="13.5" customHeight="1" x14ac:dyDescent="0.15">
      <c r="A856" s="80"/>
      <c r="B856" s="211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  <c r="AA856" s="206"/>
      <c r="AB856" s="544"/>
      <c r="AC856" s="206"/>
      <c r="AD856" s="206"/>
      <c r="AE856" s="206"/>
    </row>
    <row r="857" spans="1:31" ht="13.5" customHeight="1" x14ac:dyDescent="0.15">
      <c r="A857" s="80"/>
      <c r="B857" s="211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  <c r="AA857" s="206"/>
      <c r="AB857" s="544"/>
      <c r="AC857" s="206"/>
      <c r="AD857" s="206"/>
      <c r="AE857" s="206"/>
    </row>
    <row r="858" spans="1:31" ht="13.5" customHeight="1" x14ac:dyDescent="0.15">
      <c r="A858" s="80"/>
      <c r="B858" s="211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  <c r="AA858" s="206"/>
      <c r="AB858" s="544"/>
      <c r="AC858" s="206"/>
      <c r="AD858" s="206"/>
      <c r="AE858" s="206"/>
    </row>
    <row r="859" spans="1:31" ht="13.5" customHeight="1" x14ac:dyDescent="0.15">
      <c r="A859" s="80"/>
      <c r="B859" s="211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  <c r="AA859" s="206"/>
      <c r="AB859" s="544"/>
      <c r="AC859" s="206"/>
      <c r="AD859" s="206"/>
      <c r="AE859" s="206"/>
    </row>
    <row r="860" spans="1:31" ht="13.5" customHeight="1" x14ac:dyDescent="0.15">
      <c r="A860" s="80"/>
      <c r="B860" s="211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  <c r="AA860" s="206"/>
      <c r="AB860" s="544"/>
      <c r="AC860" s="206"/>
      <c r="AD860" s="206"/>
      <c r="AE860" s="206"/>
    </row>
    <row r="861" spans="1:31" ht="13.5" customHeight="1" x14ac:dyDescent="0.15">
      <c r="A861" s="80"/>
      <c r="B861" s="211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  <c r="AA861" s="206"/>
      <c r="AB861" s="544"/>
      <c r="AC861" s="206"/>
      <c r="AD861" s="206"/>
      <c r="AE861" s="206"/>
    </row>
    <row r="862" spans="1:31" ht="13.5" customHeight="1" x14ac:dyDescent="0.15">
      <c r="A862" s="80"/>
      <c r="B862" s="211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  <c r="AA862" s="206"/>
      <c r="AB862" s="544"/>
      <c r="AC862" s="206"/>
      <c r="AD862" s="206"/>
      <c r="AE862" s="206"/>
    </row>
    <row r="863" spans="1:31" ht="13.5" customHeight="1" x14ac:dyDescent="0.15">
      <c r="A863" s="80"/>
      <c r="B863" s="211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  <c r="AA863" s="206"/>
      <c r="AB863" s="544"/>
      <c r="AC863" s="206"/>
      <c r="AD863" s="206"/>
      <c r="AE863" s="206"/>
    </row>
    <row r="864" spans="1:31" ht="13.5" customHeight="1" x14ac:dyDescent="0.15">
      <c r="A864" s="80"/>
      <c r="B864" s="211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  <c r="AA864" s="206"/>
      <c r="AB864" s="544"/>
      <c r="AC864" s="206"/>
      <c r="AD864" s="206"/>
      <c r="AE864" s="206"/>
    </row>
    <row r="865" spans="1:31" ht="13.5" customHeight="1" x14ac:dyDescent="0.15">
      <c r="A865" s="80"/>
      <c r="B865" s="211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  <c r="AA865" s="206"/>
      <c r="AB865" s="544"/>
      <c r="AC865" s="206"/>
      <c r="AD865" s="206"/>
      <c r="AE865" s="206"/>
    </row>
    <row r="866" spans="1:31" ht="13.5" customHeight="1" x14ac:dyDescent="0.15">
      <c r="A866" s="80"/>
      <c r="B866" s="211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  <c r="AA866" s="206"/>
      <c r="AB866" s="544"/>
      <c r="AC866" s="206"/>
      <c r="AD866" s="206"/>
      <c r="AE866" s="206"/>
    </row>
    <row r="867" spans="1:31" ht="13.5" customHeight="1" x14ac:dyDescent="0.15">
      <c r="A867" s="80"/>
      <c r="B867" s="211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  <c r="AA867" s="206"/>
      <c r="AB867" s="544"/>
      <c r="AC867" s="206"/>
      <c r="AD867" s="206"/>
      <c r="AE867" s="206"/>
    </row>
    <row r="868" spans="1:31" ht="13.5" customHeight="1" x14ac:dyDescent="0.15">
      <c r="A868" s="80"/>
      <c r="B868" s="211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  <c r="AA868" s="206"/>
      <c r="AB868" s="544"/>
      <c r="AC868" s="206"/>
      <c r="AD868" s="206"/>
      <c r="AE868" s="206"/>
    </row>
    <row r="869" spans="1:31" ht="13.5" customHeight="1" x14ac:dyDescent="0.15">
      <c r="A869" s="80"/>
      <c r="B869" s="211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  <c r="AA869" s="206"/>
      <c r="AB869" s="544"/>
      <c r="AC869" s="206"/>
      <c r="AD869" s="206"/>
      <c r="AE869" s="206"/>
    </row>
    <row r="870" spans="1:31" ht="13.5" customHeight="1" x14ac:dyDescent="0.15">
      <c r="A870" s="80"/>
      <c r="B870" s="211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  <c r="AA870" s="206"/>
      <c r="AB870" s="544"/>
      <c r="AC870" s="206"/>
      <c r="AD870" s="206"/>
      <c r="AE870" s="206"/>
    </row>
    <row r="871" spans="1:31" ht="13.5" customHeight="1" x14ac:dyDescent="0.15">
      <c r="A871" s="80"/>
      <c r="B871" s="211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  <c r="AA871" s="206"/>
      <c r="AB871" s="544"/>
      <c r="AC871" s="206"/>
      <c r="AD871" s="206"/>
      <c r="AE871" s="206"/>
    </row>
    <row r="872" spans="1:31" ht="13.5" customHeight="1" x14ac:dyDescent="0.15">
      <c r="A872" s="80"/>
      <c r="B872" s="211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  <c r="AA872" s="206"/>
      <c r="AB872" s="544"/>
      <c r="AC872" s="206"/>
      <c r="AD872" s="206"/>
      <c r="AE872" s="206"/>
    </row>
    <row r="873" spans="1:31" ht="13.5" customHeight="1" x14ac:dyDescent="0.15">
      <c r="A873" s="80"/>
      <c r="B873" s="211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  <c r="AA873" s="206"/>
      <c r="AB873" s="544"/>
      <c r="AC873" s="206"/>
      <c r="AD873" s="206"/>
      <c r="AE873" s="206"/>
    </row>
    <row r="874" spans="1:31" ht="13.5" customHeight="1" x14ac:dyDescent="0.15">
      <c r="A874" s="80"/>
      <c r="B874" s="211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  <c r="AA874" s="206"/>
      <c r="AB874" s="544"/>
      <c r="AC874" s="206"/>
      <c r="AD874" s="206"/>
      <c r="AE874" s="206"/>
    </row>
    <row r="875" spans="1:31" ht="13.5" customHeight="1" x14ac:dyDescent="0.15">
      <c r="A875" s="80"/>
      <c r="B875" s="211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  <c r="AA875" s="206"/>
      <c r="AB875" s="544"/>
      <c r="AC875" s="206"/>
      <c r="AD875" s="206"/>
      <c r="AE875" s="206"/>
    </row>
    <row r="876" spans="1:31" ht="13.5" customHeight="1" x14ac:dyDescent="0.15">
      <c r="A876" s="80"/>
      <c r="B876" s="211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  <c r="AA876" s="206"/>
      <c r="AB876" s="544"/>
      <c r="AC876" s="206"/>
      <c r="AD876" s="206"/>
      <c r="AE876" s="206"/>
    </row>
    <row r="877" spans="1:31" ht="13.5" customHeight="1" x14ac:dyDescent="0.15">
      <c r="A877" s="80"/>
      <c r="B877" s="211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  <c r="AA877" s="206"/>
      <c r="AB877" s="544"/>
      <c r="AC877" s="206"/>
      <c r="AD877" s="206"/>
      <c r="AE877" s="206"/>
    </row>
    <row r="878" spans="1:31" ht="13.5" customHeight="1" x14ac:dyDescent="0.15">
      <c r="A878" s="80"/>
      <c r="B878" s="211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  <c r="AA878" s="206"/>
      <c r="AB878" s="544"/>
      <c r="AC878" s="206"/>
      <c r="AD878" s="206"/>
      <c r="AE878" s="206"/>
    </row>
    <row r="879" spans="1:31" ht="13.5" customHeight="1" x14ac:dyDescent="0.15">
      <c r="A879" s="80"/>
      <c r="B879" s="211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  <c r="AA879" s="206"/>
      <c r="AB879" s="544"/>
      <c r="AC879" s="206"/>
      <c r="AD879" s="206"/>
      <c r="AE879" s="206"/>
    </row>
    <row r="880" spans="1:31" ht="13.5" customHeight="1" x14ac:dyDescent="0.15">
      <c r="A880" s="80"/>
      <c r="B880" s="211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  <c r="AA880" s="206"/>
      <c r="AB880" s="544"/>
      <c r="AC880" s="206"/>
      <c r="AD880" s="206"/>
      <c r="AE880" s="206"/>
    </row>
    <row r="881" spans="1:31" ht="13.5" customHeight="1" x14ac:dyDescent="0.15">
      <c r="A881" s="80"/>
      <c r="B881" s="211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  <c r="AA881" s="206"/>
      <c r="AB881" s="544"/>
      <c r="AC881" s="206"/>
      <c r="AD881" s="206"/>
      <c r="AE881" s="206"/>
    </row>
    <row r="882" spans="1:31" ht="13.5" customHeight="1" x14ac:dyDescent="0.15">
      <c r="A882" s="80"/>
      <c r="B882" s="211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  <c r="AA882" s="206"/>
      <c r="AB882" s="544"/>
      <c r="AC882" s="206"/>
      <c r="AD882" s="206"/>
      <c r="AE882" s="206"/>
    </row>
    <row r="883" spans="1:31" ht="13.5" customHeight="1" x14ac:dyDescent="0.15">
      <c r="A883" s="80"/>
      <c r="B883" s="211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  <c r="AA883" s="206"/>
      <c r="AB883" s="544"/>
      <c r="AC883" s="206"/>
      <c r="AD883" s="206"/>
      <c r="AE883" s="206"/>
    </row>
    <row r="884" spans="1:31" ht="13.5" customHeight="1" x14ac:dyDescent="0.15">
      <c r="A884" s="80"/>
      <c r="B884" s="211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  <c r="AA884" s="206"/>
      <c r="AB884" s="544"/>
      <c r="AC884" s="206"/>
      <c r="AD884" s="206"/>
      <c r="AE884" s="206"/>
    </row>
    <row r="885" spans="1:31" ht="13.5" customHeight="1" x14ac:dyDescent="0.15">
      <c r="A885" s="80"/>
      <c r="B885" s="211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  <c r="AA885" s="206"/>
      <c r="AB885" s="544"/>
      <c r="AC885" s="206"/>
      <c r="AD885" s="206"/>
      <c r="AE885" s="206"/>
    </row>
    <row r="886" spans="1:31" ht="13.5" customHeight="1" x14ac:dyDescent="0.15">
      <c r="A886" s="80"/>
      <c r="B886" s="211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  <c r="AA886" s="206"/>
      <c r="AB886" s="544"/>
      <c r="AC886" s="206"/>
      <c r="AD886" s="206"/>
      <c r="AE886" s="206"/>
    </row>
    <row r="887" spans="1:31" ht="13.5" customHeight="1" x14ac:dyDescent="0.15">
      <c r="A887" s="80"/>
      <c r="B887" s="211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  <c r="AA887" s="206"/>
      <c r="AB887" s="544"/>
      <c r="AC887" s="206"/>
      <c r="AD887" s="206"/>
      <c r="AE887" s="206"/>
    </row>
    <row r="888" spans="1:31" ht="13.5" customHeight="1" x14ac:dyDescent="0.15">
      <c r="A888" s="80"/>
      <c r="B888" s="211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  <c r="AA888" s="206"/>
      <c r="AB888" s="544"/>
      <c r="AC888" s="206"/>
      <c r="AD888" s="206"/>
      <c r="AE888" s="206"/>
    </row>
    <row r="889" spans="1:31" ht="13.5" customHeight="1" x14ac:dyDescent="0.15">
      <c r="A889" s="80"/>
      <c r="B889" s="211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  <c r="AA889" s="206"/>
      <c r="AB889" s="544"/>
      <c r="AC889" s="206"/>
      <c r="AD889" s="206"/>
      <c r="AE889" s="206"/>
    </row>
    <row r="890" spans="1:31" ht="13.5" customHeight="1" x14ac:dyDescent="0.15">
      <c r="A890" s="80"/>
      <c r="B890" s="211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  <c r="AA890" s="206"/>
      <c r="AB890" s="544"/>
      <c r="AC890" s="206"/>
      <c r="AD890" s="206"/>
      <c r="AE890" s="206"/>
    </row>
    <row r="891" spans="1:31" ht="13.5" customHeight="1" x14ac:dyDescent="0.15">
      <c r="A891" s="80"/>
      <c r="B891" s="211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  <c r="AA891" s="206"/>
      <c r="AB891" s="544"/>
      <c r="AC891" s="206"/>
      <c r="AD891" s="206"/>
      <c r="AE891" s="206"/>
    </row>
    <row r="892" spans="1:31" ht="13.5" customHeight="1" x14ac:dyDescent="0.15">
      <c r="A892" s="80"/>
      <c r="B892" s="211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  <c r="AA892" s="206"/>
      <c r="AB892" s="544"/>
      <c r="AC892" s="206"/>
      <c r="AD892" s="206"/>
      <c r="AE892" s="206"/>
    </row>
    <row r="893" spans="1:31" ht="13.5" customHeight="1" x14ac:dyDescent="0.15">
      <c r="A893" s="80"/>
      <c r="B893" s="211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  <c r="AA893" s="206"/>
      <c r="AB893" s="544"/>
      <c r="AC893" s="206"/>
      <c r="AD893" s="206"/>
      <c r="AE893" s="206"/>
    </row>
    <row r="894" spans="1:31" ht="13.5" customHeight="1" x14ac:dyDescent="0.15">
      <c r="A894" s="80"/>
      <c r="B894" s="211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  <c r="AA894" s="206"/>
      <c r="AB894" s="544"/>
      <c r="AC894" s="206"/>
      <c r="AD894" s="206"/>
      <c r="AE894" s="206"/>
    </row>
    <row r="895" spans="1:31" ht="13.5" customHeight="1" x14ac:dyDescent="0.15">
      <c r="A895" s="80"/>
      <c r="B895" s="211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  <c r="AA895" s="206"/>
      <c r="AB895" s="544"/>
      <c r="AC895" s="206"/>
      <c r="AD895" s="206"/>
      <c r="AE895" s="206"/>
    </row>
    <row r="896" spans="1:31" ht="13.5" customHeight="1" x14ac:dyDescent="0.15">
      <c r="A896" s="80"/>
      <c r="B896" s="211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  <c r="AA896" s="206"/>
      <c r="AB896" s="544"/>
      <c r="AC896" s="206"/>
      <c r="AD896" s="206"/>
      <c r="AE896" s="206"/>
    </row>
    <row r="897" spans="1:31" ht="13.5" customHeight="1" x14ac:dyDescent="0.15">
      <c r="A897" s="80"/>
      <c r="B897" s="211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  <c r="AA897" s="206"/>
      <c r="AB897" s="544"/>
      <c r="AC897" s="206"/>
      <c r="AD897" s="206"/>
      <c r="AE897" s="206"/>
    </row>
    <row r="898" spans="1:31" ht="13.5" customHeight="1" x14ac:dyDescent="0.15">
      <c r="A898" s="80"/>
      <c r="B898" s="211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  <c r="AA898" s="206"/>
      <c r="AB898" s="544"/>
      <c r="AC898" s="206"/>
      <c r="AD898" s="206"/>
      <c r="AE898" s="206"/>
    </row>
    <row r="899" spans="1:31" ht="13.5" customHeight="1" x14ac:dyDescent="0.15">
      <c r="A899" s="80"/>
      <c r="B899" s="211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  <c r="AA899" s="206"/>
      <c r="AB899" s="544"/>
      <c r="AC899" s="206"/>
      <c r="AD899" s="206"/>
      <c r="AE899" s="206"/>
    </row>
    <row r="900" spans="1:31" ht="13.5" customHeight="1" x14ac:dyDescent="0.15">
      <c r="A900" s="80"/>
      <c r="B900" s="211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  <c r="AA900" s="206"/>
      <c r="AB900" s="544"/>
      <c r="AC900" s="206"/>
      <c r="AD900" s="206"/>
      <c r="AE900" s="206"/>
    </row>
    <row r="901" spans="1:31" ht="13.5" customHeight="1" x14ac:dyDescent="0.15">
      <c r="A901" s="80"/>
      <c r="B901" s="211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  <c r="AA901" s="206"/>
      <c r="AB901" s="544"/>
      <c r="AC901" s="206"/>
      <c r="AD901" s="206"/>
      <c r="AE901" s="206"/>
    </row>
    <row r="902" spans="1:31" ht="13.5" customHeight="1" x14ac:dyDescent="0.15">
      <c r="A902" s="80"/>
      <c r="B902" s="211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  <c r="AA902" s="206"/>
      <c r="AB902" s="544"/>
      <c r="AC902" s="206"/>
      <c r="AD902" s="206"/>
      <c r="AE902" s="206"/>
    </row>
    <row r="903" spans="1:31" ht="13.5" customHeight="1" x14ac:dyDescent="0.15">
      <c r="A903" s="80"/>
      <c r="B903" s="211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  <c r="AA903" s="206"/>
      <c r="AB903" s="544"/>
      <c r="AC903" s="206"/>
      <c r="AD903" s="206"/>
      <c r="AE903" s="206"/>
    </row>
    <row r="904" spans="1:31" ht="13.5" customHeight="1" x14ac:dyDescent="0.15">
      <c r="A904" s="80"/>
      <c r="B904" s="211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  <c r="AA904" s="206"/>
      <c r="AB904" s="544"/>
      <c r="AC904" s="206"/>
      <c r="AD904" s="206"/>
      <c r="AE904" s="206"/>
    </row>
    <row r="905" spans="1:31" ht="13.5" customHeight="1" x14ac:dyDescent="0.15">
      <c r="A905" s="80"/>
      <c r="B905" s="211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  <c r="AA905" s="206"/>
      <c r="AB905" s="544"/>
      <c r="AC905" s="206"/>
      <c r="AD905" s="206"/>
      <c r="AE905" s="206"/>
    </row>
    <row r="906" spans="1:31" ht="13.5" customHeight="1" x14ac:dyDescent="0.15">
      <c r="A906" s="80"/>
      <c r="B906" s="211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  <c r="AA906" s="206"/>
      <c r="AB906" s="544"/>
      <c r="AC906" s="206"/>
      <c r="AD906" s="206"/>
      <c r="AE906" s="206"/>
    </row>
    <row r="907" spans="1:31" ht="13.5" customHeight="1" x14ac:dyDescent="0.15">
      <c r="A907" s="80"/>
      <c r="B907" s="211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  <c r="AA907" s="206"/>
      <c r="AB907" s="544"/>
      <c r="AC907" s="206"/>
      <c r="AD907" s="206"/>
      <c r="AE907" s="206"/>
    </row>
    <row r="908" spans="1:31" ht="13.5" customHeight="1" x14ac:dyDescent="0.15">
      <c r="A908" s="80"/>
      <c r="B908" s="211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  <c r="AA908" s="206"/>
      <c r="AB908" s="544"/>
      <c r="AC908" s="206"/>
      <c r="AD908" s="206"/>
      <c r="AE908" s="206"/>
    </row>
    <row r="909" spans="1:31" ht="13.5" customHeight="1" x14ac:dyDescent="0.15">
      <c r="A909" s="80"/>
      <c r="B909" s="211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  <c r="AA909" s="206"/>
      <c r="AB909" s="544"/>
      <c r="AC909" s="206"/>
      <c r="AD909" s="206"/>
      <c r="AE909" s="206"/>
    </row>
    <row r="910" spans="1:31" ht="13.5" customHeight="1" x14ac:dyDescent="0.15">
      <c r="A910" s="80"/>
      <c r="B910" s="211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  <c r="AA910" s="206"/>
      <c r="AB910" s="544"/>
      <c r="AC910" s="206"/>
      <c r="AD910" s="206"/>
      <c r="AE910" s="206"/>
    </row>
    <row r="911" spans="1:31" ht="13.5" customHeight="1" x14ac:dyDescent="0.15">
      <c r="A911" s="80"/>
      <c r="B911" s="211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  <c r="AA911" s="206"/>
      <c r="AB911" s="544"/>
      <c r="AC911" s="206"/>
      <c r="AD911" s="206"/>
      <c r="AE911" s="206"/>
    </row>
    <row r="912" spans="1:31" ht="13.5" customHeight="1" x14ac:dyDescent="0.15">
      <c r="A912" s="80"/>
      <c r="B912" s="211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  <c r="AA912" s="206"/>
      <c r="AB912" s="544"/>
      <c r="AC912" s="206"/>
      <c r="AD912" s="206"/>
      <c r="AE912" s="206"/>
    </row>
    <row r="913" spans="1:31" ht="13.5" customHeight="1" x14ac:dyDescent="0.15">
      <c r="A913" s="80"/>
      <c r="B913" s="211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  <c r="AA913" s="206"/>
      <c r="AB913" s="544"/>
      <c r="AC913" s="206"/>
      <c r="AD913" s="206"/>
      <c r="AE913" s="206"/>
    </row>
    <row r="914" spans="1:31" ht="13.5" customHeight="1" x14ac:dyDescent="0.15">
      <c r="A914" s="80"/>
      <c r="B914" s="211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  <c r="AA914" s="206"/>
      <c r="AB914" s="544"/>
      <c r="AC914" s="206"/>
      <c r="AD914" s="206"/>
      <c r="AE914" s="206"/>
    </row>
    <row r="915" spans="1:31" ht="13.5" customHeight="1" x14ac:dyDescent="0.15">
      <c r="A915" s="80"/>
      <c r="B915" s="211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  <c r="AA915" s="206"/>
      <c r="AB915" s="544"/>
      <c r="AC915" s="206"/>
      <c r="AD915" s="206"/>
      <c r="AE915" s="206"/>
    </row>
    <row r="916" spans="1:31" ht="13.5" customHeight="1" x14ac:dyDescent="0.15">
      <c r="A916" s="80"/>
      <c r="B916" s="211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  <c r="AA916" s="206"/>
      <c r="AB916" s="544"/>
      <c r="AC916" s="206"/>
      <c r="AD916" s="206"/>
      <c r="AE916" s="206"/>
    </row>
    <row r="917" spans="1:31" ht="13.5" customHeight="1" x14ac:dyDescent="0.15">
      <c r="A917" s="80"/>
      <c r="B917" s="211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  <c r="AA917" s="206"/>
      <c r="AB917" s="544"/>
      <c r="AC917" s="206"/>
      <c r="AD917" s="206"/>
      <c r="AE917" s="206"/>
    </row>
    <row r="918" spans="1:31" ht="13.5" customHeight="1" x14ac:dyDescent="0.15">
      <c r="A918" s="80"/>
      <c r="B918" s="211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  <c r="AA918" s="206"/>
      <c r="AB918" s="544"/>
      <c r="AC918" s="206"/>
      <c r="AD918" s="206"/>
      <c r="AE918" s="206"/>
    </row>
    <row r="919" spans="1:31" ht="13.5" customHeight="1" x14ac:dyDescent="0.15">
      <c r="A919" s="80"/>
      <c r="B919" s="211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  <c r="AA919" s="206"/>
      <c r="AB919" s="544"/>
      <c r="AC919" s="206"/>
      <c r="AD919" s="206"/>
      <c r="AE919" s="206"/>
    </row>
    <row r="920" spans="1:31" ht="13.5" customHeight="1" x14ac:dyDescent="0.15">
      <c r="A920" s="80"/>
      <c r="B920" s="211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  <c r="AA920" s="206"/>
      <c r="AB920" s="544"/>
      <c r="AC920" s="206"/>
      <c r="AD920" s="206"/>
      <c r="AE920" s="206"/>
    </row>
    <row r="921" spans="1:31" ht="13.5" customHeight="1" x14ac:dyDescent="0.15">
      <c r="A921" s="80"/>
      <c r="B921" s="211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  <c r="AA921" s="206"/>
      <c r="AB921" s="544"/>
      <c r="AC921" s="206"/>
      <c r="AD921" s="206"/>
      <c r="AE921" s="206"/>
    </row>
    <row r="922" spans="1:31" ht="13.5" customHeight="1" x14ac:dyDescent="0.15">
      <c r="A922" s="80"/>
      <c r="B922" s="211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  <c r="AA922" s="206"/>
      <c r="AB922" s="544"/>
      <c r="AC922" s="206"/>
      <c r="AD922" s="206"/>
      <c r="AE922" s="206"/>
    </row>
    <row r="923" spans="1:31" ht="13.5" customHeight="1" x14ac:dyDescent="0.15">
      <c r="A923" s="80"/>
      <c r="B923" s="211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  <c r="AA923" s="206"/>
      <c r="AB923" s="544"/>
      <c r="AC923" s="206"/>
      <c r="AD923" s="206"/>
      <c r="AE923" s="206"/>
    </row>
    <row r="924" spans="1:31" ht="13.5" customHeight="1" x14ac:dyDescent="0.15">
      <c r="A924" s="80"/>
      <c r="B924" s="211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  <c r="AA924" s="206"/>
      <c r="AB924" s="544"/>
      <c r="AC924" s="206"/>
      <c r="AD924" s="206"/>
      <c r="AE924" s="206"/>
    </row>
    <row r="925" spans="1:31" ht="13.5" customHeight="1" x14ac:dyDescent="0.15">
      <c r="A925" s="80"/>
      <c r="B925" s="211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  <c r="AA925" s="206"/>
      <c r="AB925" s="544"/>
      <c r="AC925" s="206"/>
      <c r="AD925" s="206"/>
      <c r="AE925" s="206"/>
    </row>
    <row r="926" spans="1:31" ht="13.5" customHeight="1" x14ac:dyDescent="0.15">
      <c r="A926" s="80"/>
      <c r="B926" s="211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  <c r="AA926" s="206"/>
      <c r="AB926" s="544"/>
      <c r="AC926" s="206"/>
      <c r="AD926" s="206"/>
      <c r="AE926" s="206"/>
    </row>
    <row r="927" spans="1:31" ht="13.5" customHeight="1" x14ac:dyDescent="0.15">
      <c r="A927" s="80"/>
      <c r="B927" s="211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  <c r="AA927" s="206"/>
      <c r="AB927" s="544"/>
      <c r="AC927" s="206"/>
      <c r="AD927" s="206"/>
      <c r="AE927" s="206"/>
    </row>
    <row r="928" spans="1:31" ht="13.5" customHeight="1" x14ac:dyDescent="0.15">
      <c r="A928" s="80"/>
      <c r="B928" s="211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  <c r="AA928" s="206"/>
      <c r="AB928" s="544"/>
      <c r="AC928" s="206"/>
      <c r="AD928" s="206"/>
      <c r="AE928" s="206"/>
    </row>
    <row r="929" spans="1:31" ht="13.5" customHeight="1" x14ac:dyDescent="0.15">
      <c r="A929" s="80"/>
      <c r="B929" s="211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  <c r="AA929" s="206"/>
      <c r="AB929" s="544"/>
      <c r="AC929" s="206"/>
      <c r="AD929" s="206"/>
      <c r="AE929" s="206"/>
    </row>
    <row r="930" spans="1:31" ht="13.5" customHeight="1" x14ac:dyDescent="0.15">
      <c r="A930" s="80"/>
      <c r="B930" s="211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  <c r="AA930" s="206"/>
      <c r="AB930" s="544"/>
      <c r="AC930" s="206"/>
      <c r="AD930" s="206"/>
      <c r="AE930" s="206"/>
    </row>
    <row r="931" spans="1:31" ht="13.5" customHeight="1" x14ac:dyDescent="0.15">
      <c r="A931" s="80"/>
      <c r="B931" s="211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  <c r="AA931" s="206"/>
      <c r="AB931" s="544"/>
      <c r="AC931" s="206"/>
      <c r="AD931" s="206"/>
      <c r="AE931" s="206"/>
    </row>
    <row r="932" spans="1:31" ht="13.5" customHeight="1" x14ac:dyDescent="0.15">
      <c r="A932" s="80"/>
      <c r="B932" s="211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  <c r="AA932" s="206"/>
      <c r="AB932" s="544"/>
      <c r="AC932" s="206"/>
      <c r="AD932" s="206"/>
      <c r="AE932" s="206"/>
    </row>
    <row r="933" spans="1:31" ht="13.5" customHeight="1" x14ac:dyDescent="0.15">
      <c r="A933" s="80"/>
      <c r="B933" s="211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  <c r="AA933" s="206"/>
      <c r="AB933" s="544"/>
      <c r="AC933" s="206"/>
      <c r="AD933" s="206"/>
      <c r="AE933" s="206"/>
    </row>
    <row r="934" spans="1:31" ht="13.5" customHeight="1" x14ac:dyDescent="0.15">
      <c r="A934" s="80"/>
      <c r="B934" s="211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  <c r="AA934" s="206"/>
      <c r="AB934" s="544"/>
      <c r="AC934" s="206"/>
      <c r="AD934" s="206"/>
      <c r="AE934" s="206"/>
    </row>
    <row r="935" spans="1:31" ht="13.5" customHeight="1" x14ac:dyDescent="0.15">
      <c r="A935" s="80"/>
      <c r="B935" s="211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  <c r="AA935" s="206"/>
      <c r="AB935" s="544"/>
      <c r="AC935" s="206"/>
      <c r="AD935" s="206"/>
      <c r="AE935" s="206"/>
    </row>
    <row r="936" spans="1:31" ht="13.5" customHeight="1" x14ac:dyDescent="0.15">
      <c r="A936" s="80"/>
      <c r="B936" s="211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  <c r="AA936" s="206"/>
      <c r="AB936" s="544"/>
      <c r="AC936" s="206"/>
      <c r="AD936" s="206"/>
      <c r="AE936" s="206"/>
    </row>
    <row r="937" spans="1:31" ht="13.5" customHeight="1" x14ac:dyDescent="0.15">
      <c r="A937" s="80"/>
      <c r="B937" s="211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  <c r="AA937" s="206"/>
      <c r="AB937" s="544"/>
      <c r="AC937" s="206"/>
      <c r="AD937" s="206"/>
      <c r="AE937" s="206"/>
    </row>
    <row r="938" spans="1:31" ht="13.5" customHeight="1" x14ac:dyDescent="0.15">
      <c r="A938" s="80"/>
      <c r="B938" s="211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  <c r="AA938" s="206"/>
      <c r="AB938" s="544"/>
      <c r="AC938" s="206"/>
      <c r="AD938" s="206"/>
      <c r="AE938" s="206"/>
    </row>
    <row r="939" spans="1:31" ht="13.5" customHeight="1" x14ac:dyDescent="0.15">
      <c r="A939" s="80"/>
      <c r="B939" s="211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  <c r="AA939" s="206"/>
      <c r="AB939" s="544"/>
      <c r="AC939" s="206"/>
      <c r="AD939" s="206"/>
      <c r="AE939" s="206"/>
    </row>
    <row r="940" spans="1:31" ht="13.5" customHeight="1" x14ac:dyDescent="0.15">
      <c r="A940" s="80"/>
      <c r="B940" s="211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  <c r="AA940" s="206"/>
      <c r="AB940" s="544"/>
      <c r="AC940" s="206"/>
      <c r="AD940" s="206"/>
      <c r="AE940" s="206"/>
    </row>
    <row r="941" spans="1:31" ht="13.5" customHeight="1" x14ac:dyDescent="0.15">
      <c r="A941" s="80"/>
      <c r="B941" s="211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  <c r="AA941" s="206"/>
      <c r="AB941" s="544"/>
      <c r="AC941" s="206"/>
      <c r="AD941" s="206"/>
      <c r="AE941" s="206"/>
    </row>
    <row r="942" spans="1:31" ht="13.5" customHeight="1" x14ac:dyDescent="0.15">
      <c r="A942" s="80"/>
      <c r="B942" s="211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  <c r="AA942" s="206"/>
      <c r="AB942" s="544"/>
      <c r="AC942" s="206"/>
      <c r="AD942" s="206"/>
      <c r="AE942" s="206"/>
    </row>
    <row r="943" spans="1:31" ht="13.5" customHeight="1" x14ac:dyDescent="0.15">
      <c r="A943" s="80"/>
      <c r="B943" s="211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  <c r="AA943" s="206"/>
      <c r="AB943" s="544"/>
      <c r="AC943" s="206"/>
      <c r="AD943" s="206"/>
      <c r="AE943" s="206"/>
    </row>
    <row r="944" spans="1:31" ht="13.5" customHeight="1" x14ac:dyDescent="0.15">
      <c r="A944" s="80"/>
      <c r="B944" s="211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  <c r="AA944" s="206"/>
      <c r="AB944" s="544"/>
      <c r="AC944" s="206"/>
      <c r="AD944" s="206"/>
      <c r="AE944" s="206"/>
    </row>
    <row r="945" spans="1:31" ht="13.5" customHeight="1" x14ac:dyDescent="0.15">
      <c r="A945" s="80"/>
      <c r="B945" s="211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  <c r="AA945" s="206"/>
      <c r="AB945" s="544"/>
      <c r="AC945" s="206"/>
      <c r="AD945" s="206"/>
      <c r="AE945" s="206"/>
    </row>
    <row r="946" spans="1:31" ht="13.5" customHeight="1" x14ac:dyDescent="0.15">
      <c r="A946" s="80"/>
      <c r="B946" s="211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  <c r="AA946" s="206"/>
      <c r="AB946" s="544"/>
      <c r="AC946" s="206"/>
      <c r="AD946" s="206"/>
      <c r="AE946" s="206"/>
    </row>
    <row r="947" spans="1:31" ht="13.5" customHeight="1" x14ac:dyDescent="0.15">
      <c r="A947" s="80"/>
      <c r="B947" s="211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  <c r="AA947" s="206"/>
      <c r="AB947" s="544"/>
      <c r="AC947" s="206"/>
      <c r="AD947" s="206"/>
      <c r="AE947" s="206"/>
    </row>
    <row r="948" spans="1:31" ht="13.5" customHeight="1" x14ac:dyDescent="0.15">
      <c r="A948" s="80"/>
      <c r="B948" s="211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  <c r="AA948" s="206"/>
      <c r="AB948" s="544"/>
      <c r="AC948" s="206"/>
      <c r="AD948" s="206"/>
      <c r="AE948" s="206"/>
    </row>
    <row r="949" spans="1:31" ht="13.5" customHeight="1" x14ac:dyDescent="0.15">
      <c r="A949" s="80"/>
      <c r="B949" s="211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  <c r="AA949" s="206"/>
      <c r="AB949" s="544"/>
      <c r="AC949" s="206"/>
      <c r="AD949" s="206"/>
      <c r="AE949" s="206"/>
    </row>
    <row r="950" spans="1:31" ht="13.5" customHeight="1" x14ac:dyDescent="0.15">
      <c r="A950" s="80"/>
      <c r="B950" s="211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  <c r="AA950" s="206"/>
      <c r="AB950" s="544"/>
      <c r="AC950" s="206"/>
      <c r="AD950" s="206"/>
      <c r="AE950" s="206"/>
    </row>
    <row r="951" spans="1:31" ht="13.5" customHeight="1" x14ac:dyDescent="0.15">
      <c r="A951" s="80"/>
      <c r="B951" s="211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  <c r="AA951" s="206"/>
      <c r="AB951" s="544"/>
      <c r="AC951" s="206"/>
      <c r="AD951" s="206"/>
      <c r="AE951" s="206"/>
    </row>
    <row r="952" spans="1:31" ht="13.5" customHeight="1" x14ac:dyDescent="0.15">
      <c r="A952" s="80"/>
      <c r="B952" s="211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  <c r="AA952" s="206"/>
      <c r="AB952" s="544"/>
      <c r="AC952" s="206"/>
      <c r="AD952" s="206"/>
      <c r="AE952" s="206"/>
    </row>
    <row r="953" spans="1:31" ht="13.5" customHeight="1" x14ac:dyDescent="0.15">
      <c r="A953" s="80"/>
      <c r="B953" s="211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  <c r="AA953" s="206"/>
      <c r="AB953" s="544"/>
      <c r="AC953" s="206"/>
      <c r="AD953" s="206"/>
      <c r="AE953" s="206"/>
    </row>
    <row r="954" spans="1:31" ht="13.5" customHeight="1" x14ac:dyDescent="0.15">
      <c r="A954" s="80"/>
      <c r="B954" s="211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  <c r="AA954" s="206"/>
      <c r="AB954" s="544"/>
      <c r="AC954" s="206"/>
      <c r="AD954" s="206"/>
      <c r="AE954" s="206"/>
    </row>
    <row r="955" spans="1:31" ht="13.5" customHeight="1" x14ac:dyDescent="0.15">
      <c r="A955" s="80"/>
      <c r="B955" s="211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  <c r="AA955" s="206"/>
      <c r="AB955" s="544"/>
      <c r="AC955" s="206"/>
      <c r="AD955" s="206"/>
      <c r="AE955" s="206"/>
    </row>
    <row r="956" spans="1:31" ht="13.5" customHeight="1" x14ac:dyDescent="0.15">
      <c r="A956" s="80"/>
      <c r="B956" s="211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  <c r="AA956" s="206"/>
      <c r="AB956" s="544"/>
      <c r="AC956" s="206"/>
      <c r="AD956" s="206"/>
      <c r="AE956" s="206"/>
    </row>
    <row r="957" spans="1:31" ht="13.5" customHeight="1" x14ac:dyDescent="0.15">
      <c r="A957" s="80"/>
      <c r="B957" s="211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  <c r="AA957" s="206"/>
      <c r="AB957" s="544"/>
      <c r="AC957" s="206"/>
      <c r="AD957" s="206"/>
      <c r="AE957" s="206"/>
    </row>
    <row r="958" spans="1:31" ht="13.5" customHeight="1" x14ac:dyDescent="0.15">
      <c r="A958" s="80"/>
      <c r="B958" s="211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  <c r="AA958" s="206"/>
      <c r="AB958" s="544"/>
      <c r="AC958" s="206"/>
      <c r="AD958" s="206"/>
      <c r="AE958" s="206"/>
    </row>
    <row r="959" spans="1:31" ht="13.5" customHeight="1" x14ac:dyDescent="0.15">
      <c r="A959" s="80"/>
      <c r="B959" s="211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  <c r="AA959" s="206"/>
      <c r="AB959" s="544"/>
      <c r="AC959" s="206"/>
      <c r="AD959" s="206"/>
      <c r="AE959" s="206"/>
    </row>
    <row r="960" spans="1:31" ht="13.5" customHeight="1" x14ac:dyDescent="0.15">
      <c r="A960" s="80"/>
      <c r="B960" s="211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  <c r="AA960" s="206"/>
      <c r="AB960" s="544"/>
      <c r="AC960" s="206"/>
      <c r="AD960" s="206"/>
      <c r="AE960" s="206"/>
    </row>
    <row r="961" spans="1:31" ht="13.5" customHeight="1" x14ac:dyDescent="0.15">
      <c r="A961" s="80"/>
      <c r="B961" s="211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  <c r="AA961" s="206"/>
      <c r="AB961" s="544"/>
      <c r="AC961" s="206"/>
      <c r="AD961" s="206"/>
      <c r="AE961" s="206"/>
    </row>
    <row r="962" spans="1:31" ht="13.5" customHeight="1" x14ac:dyDescent="0.15">
      <c r="A962" s="80"/>
      <c r="B962" s="211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  <c r="AA962" s="206"/>
      <c r="AB962" s="544"/>
      <c r="AC962" s="206"/>
      <c r="AD962" s="206"/>
      <c r="AE962" s="206"/>
    </row>
    <row r="963" spans="1:31" ht="13.5" customHeight="1" x14ac:dyDescent="0.15">
      <c r="A963" s="80"/>
      <c r="B963" s="211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  <c r="AA963" s="206"/>
      <c r="AB963" s="544"/>
      <c r="AC963" s="206"/>
      <c r="AD963" s="206"/>
      <c r="AE963" s="206"/>
    </row>
    <row r="964" spans="1:31" ht="13.5" customHeight="1" x14ac:dyDescent="0.15">
      <c r="A964" s="80"/>
      <c r="B964" s="211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  <c r="AA964" s="206"/>
      <c r="AB964" s="544"/>
      <c r="AC964" s="206"/>
      <c r="AD964" s="206"/>
      <c r="AE964" s="206"/>
    </row>
    <row r="965" spans="1:31" ht="13.5" customHeight="1" x14ac:dyDescent="0.15">
      <c r="A965" s="80"/>
      <c r="B965" s="211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  <c r="AA965" s="206"/>
      <c r="AB965" s="544"/>
      <c r="AC965" s="206"/>
      <c r="AD965" s="206"/>
      <c r="AE965" s="206"/>
    </row>
    <row r="966" spans="1:31" ht="13.5" customHeight="1" x14ac:dyDescent="0.15">
      <c r="A966" s="80"/>
      <c r="B966" s="211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  <c r="AA966" s="206"/>
      <c r="AB966" s="544"/>
      <c r="AC966" s="206"/>
      <c r="AD966" s="206"/>
      <c r="AE966" s="206"/>
    </row>
    <row r="967" spans="1:31" ht="13.5" customHeight="1" x14ac:dyDescent="0.15">
      <c r="A967" s="80"/>
      <c r="B967" s="211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  <c r="AA967" s="206"/>
      <c r="AB967" s="544"/>
      <c r="AC967" s="206"/>
      <c r="AD967" s="206"/>
      <c r="AE967" s="206"/>
    </row>
    <row r="968" spans="1:31" ht="13.5" customHeight="1" x14ac:dyDescent="0.15">
      <c r="A968" s="80"/>
      <c r="B968" s="211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  <c r="AA968" s="206"/>
      <c r="AB968" s="544"/>
      <c r="AC968" s="206"/>
      <c r="AD968" s="206"/>
      <c r="AE968" s="206"/>
    </row>
    <row r="969" spans="1:31" ht="13.5" customHeight="1" x14ac:dyDescent="0.15">
      <c r="A969" s="80"/>
      <c r="B969" s="211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  <c r="AA969" s="206"/>
      <c r="AB969" s="544"/>
      <c r="AC969" s="206"/>
      <c r="AD969" s="206"/>
      <c r="AE969" s="206"/>
    </row>
    <row r="970" spans="1:31" ht="13.5" customHeight="1" x14ac:dyDescent="0.15">
      <c r="A970" s="80"/>
      <c r="B970" s="211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  <c r="AA970" s="206"/>
      <c r="AB970" s="544"/>
      <c r="AC970" s="206"/>
      <c r="AD970" s="206"/>
      <c r="AE970" s="206"/>
    </row>
    <row r="971" spans="1:31" ht="13.5" customHeight="1" x14ac:dyDescent="0.15">
      <c r="A971" s="80"/>
      <c r="B971" s="211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  <c r="AA971" s="206"/>
      <c r="AB971" s="544"/>
      <c r="AC971" s="206"/>
      <c r="AD971" s="206"/>
      <c r="AE971" s="206"/>
    </row>
    <row r="972" spans="1:31" ht="13.5" customHeight="1" x14ac:dyDescent="0.15">
      <c r="A972" s="80"/>
      <c r="B972" s="211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  <c r="AA972" s="206"/>
      <c r="AB972" s="544"/>
      <c r="AC972" s="206"/>
      <c r="AD972" s="206"/>
      <c r="AE972" s="206"/>
    </row>
    <row r="973" spans="1:31" ht="13.5" customHeight="1" x14ac:dyDescent="0.15">
      <c r="A973" s="80"/>
      <c r="B973" s="211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  <c r="AA973" s="206"/>
      <c r="AB973" s="544"/>
      <c r="AC973" s="206"/>
      <c r="AD973" s="206"/>
      <c r="AE973" s="206"/>
    </row>
    <row r="974" spans="1:31" ht="13.5" customHeight="1" x14ac:dyDescent="0.15">
      <c r="A974" s="80"/>
      <c r="B974" s="211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  <c r="AA974" s="206"/>
      <c r="AB974" s="544"/>
      <c r="AC974" s="206"/>
      <c r="AD974" s="206"/>
      <c r="AE974" s="206"/>
    </row>
    <row r="975" spans="1:31" ht="13.5" customHeight="1" x14ac:dyDescent="0.15">
      <c r="A975" s="80"/>
      <c r="B975" s="211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  <c r="AA975" s="206"/>
      <c r="AB975" s="544"/>
      <c r="AC975" s="206"/>
      <c r="AD975" s="206"/>
      <c r="AE975" s="206"/>
    </row>
    <row r="976" spans="1:31" ht="13.5" customHeight="1" x14ac:dyDescent="0.15">
      <c r="A976" s="80"/>
      <c r="B976" s="211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  <c r="AA976" s="206"/>
      <c r="AB976" s="544"/>
      <c r="AC976" s="206"/>
      <c r="AD976" s="206"/>
      <c r="AE976" s="206"/>
    </row>
    <row r="977" spans="1:31" ht="13.5" customHeight="1" x14ac:dyDescent="0.15">
      <c r="A977" s="80"/>
      <c r="B977" s="211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  <c r="AA977" s="206"/>
      <c r="AB977" s="544"/>
      <c r="AC977" s="206"/>
      <c r="AD977" s="206"/>
      <c r="AE977" s="206"/>
    </row>
    <row r="978" spans="1:31" ht="13.5" customHeight="1" x14ac:dyDescent="0.15">
      <c r="A978" s="80"/>
      <c r="B978" s="211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  <c r="AA978" s="206"/>
      <c r="AB978" s="544"/>
      <c r="AC978" s="206"/>
      <c r="AD978" s="206"/>
      <c r="AE978" s="206"/>
    </row>
    <row r="979" spans="1:31" ht="13.5" customHeight="1" x14ac:dyDescent="0.15">
      <c r="A979" s="80"/>
      <c r="B979" s="211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  <c r="AA979" s="206"/>
      <c r="AB979" s="544"/>
      <c r="AC979" s="206"/>
      <c r="AD979" s="206"/>
      <c r="AE979" s="206"/>
    </row>
    <row r="980" spans="1:31" ht="13.5" customHeight="1" x14ac:dyDescent="0.15">
      <c r="A980" s="80"/>
      <c r="B980" s="211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  <c r="AA980" s="206"/>
      <c r="AB980" s="544"/>
      <c r="AC980" s="206"/>
      <c r="AD980" s="206"/>
      <c r="AE980" s="206"/>
    </row>
    <row r="981" spans="1:31" ht="13.5" customHeight="1" x14ac:dyDescent="0.15">
      <c r="A981" s="80"/>
      <c r="B981" s="211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  <c r="AA981" s="206"/>
      <c r="AB981" s="544"/>
      <c r="AC981" s="206"/>
      <c r="AD981" s="206"/>
      <c r="AE981" s="206"/>
    </row>
    <row r="982" spans="1:31" ht="13.5" customHeight="1" x14ac:dyDescent="0.15">
      <c r="A982" s="80"/>
      <c r="B982" s="211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  <c r="AA982" s="206"/>
      <c r="AB982" s="544"/>
      <c r="AC982" s="206"/>
      <c r="AD982" s="206"/>
      <c r="AE982" s="206"/>
    </row>
    <row r="983" spans="1:31" ht="13.5" customHeight="1" x14ac:dyDescent="0.15">
      <c r="A983" s="80"/>
      <c r="B983" s="211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  <c r="AA983" s="206"/>
      <c r="AB983" s="544"/>
      <c r="AC983" s="206"/>
      <c r="AD983" s="206"/>
      <c r="AE983" s="206"/>
    </row>
    <row r="984" spans="1:31" ht="13.5" customHeight="1" x14ac:dyDescent="0.15">
      <c r="A984" s="80"/>
      <c r="B984" s="211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  <c r="AA984" s="206"/>
      <c r="AB984" s="544"/>
      <c r="AC984" s="206"/>
      <c r="AD984" s="206"/>
      <c r="AE984" s="206"/>
    </row>
    <row r="985" spans="1:31" ht="13.5" customHeight="1" x14ac:dyDescent="0.15">
      <c r="A985" s="80"/>
      <c r="B985" s="211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  <c r="AA985" s="206"/>
      <c r="AB985" s="544"/>
      <c r="AC985" s="206"/>
      <c r="AD985" s="206"/>
      <c r="AE985" s="206"/>
    </row>
    <row r="986" spans="1:31" ht="13.5" customHeight="1" x14ac:dyDescent="0.15">
      <c r="A986" s="80"/>
      <c r="B986" s="211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  <c r="AA986" s="206"/>
      <c r="AB986" s="544"/>
      <c r="AC986" s="206"/>
      <c r="AD986" s="206"/>
      <c r="AE986" s="206"/>
    </row>
    <row r="987" spans="1:31" ht="13.5" customHeight="1" x14ac:dyDescent="0.15">
      <c r="A987" s="80"/>
      <c r="B987" s="211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  <c r="AA987" s="206"/>
      <c r="AB987" s="544"/>
      <c r="AC987" s="206"/>
      <c r="AD987" s="206"/>
      <c r="AE987" s="206"/>
    </row>
    <row r="988" spans="1:31" ht="13.5" customHeight="1" x14ac:dyDescent="0.15">
      <c r="A988" s="80"/>
      <c r="B988" s="211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  <c r="AA988" s="206"/>
      <c r="AB988" s="544"/>
      <c r="AC988" s="206"/>
      <c r="AD988" s="206"/>
      <c r="AE988" s="206"/>
    </row>
    <row r="989" spans="1:31" ht="13.5" customHeight="1" x14ac:dyDescent="0.15">
      <c r="A989" s="80"/>
      <c r="B989" s="211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  <c r="AA989" s="206"/>
      <c r="AB989" s="544"/>
      <c r="AC989" s="206"/>
      <c r="AD989" s="206"/>
      <c r="AE989" s="206"/>
    </row>
    <row r="990" spans="1:31" ht="13.5" customHeight="1" x14ac:dyDescent="0.15">
      <c r="A990" s="80"/>
      <c r="B990" s="211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  <c r="AA990" s="206"/>
      <c r="AB990" s="544"/>
      <c r="AC990" s="206"/>
      <c r="AD990" s="206"/>
      <c r="AE990" s="206"/>
    </row>
    <row r="991" spans="1:31" ht="13.5" customHeight="1" x14ac:dyDescent="0.15">
      <c r="A991" s="80"/>
      <c r="B991" s="211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  <c r="AA991" s="206"/>
      <c r="AB991" s="544"/>
      <c r="AC991" s="206"/>
      <c r="AD991" s="206"/>
      <c r="AE991" s="206"/>
    </row>
    <row r="992" spans="1:31" ht="13.5" customHeight="1" x14ac:dyDescent="0.15">
      <c r="A992" s="80"/>
      <c r="B992" s="211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  <c r="AA992" s="206"/>
      <c r="AB992" s="544"/>
      <c r="AC992" s="206"/>
      <c r="AD992" s="206"/>
      <c r="AE992" s="206"/>
    </row>
    <row r="993" spans="1:31" ht="13.5" customHeight="1" x14ac:dyDescent="0.15">
      <c r="A993" s="80"/>
      <c r="B993" s="211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  <c r="AA993" s="206"/>
      <c r="AB993" s="544"/>
      <c r="AC993" s="206"/>
      <c r="AD993" s="206"/>
      <c r="AE993" s="206"/>
    </row>
    <row r="994" spans="1:31" ht="13.5" customHeight="1" x14ac:dyDescent="0.15">
      <c r="A994" s="80"/>
      <c r="B994" s="211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  <c r="AA994" s="206"/>
      <c r="AB994" s="544"/>
      <c r="AC994" s="206"/>
      <c r="AD994" s="206"/>
      <c r="AE994" s="206"/>
    </row>
    <row r="995" spans="1:31" ht="13.5" customHeight="1" x14ac:dyDescent="0.15">
      <c r="A995" s="80"/>
      <c r="B995" s="211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  <c r="AA995" s="206"/>
      <c r="AB995" s="544"/>
      <c r="AC995" s="206"/>
      <c r="AD995" s="206"/>
      <c r="AE995" s="206"/>
    </row>
    <row r="996" spans="1:31" ht="13.5" customHeight="1" x14ac:dyDescent="0.15">
      <c r="A996" s="80"/>
      <c r="B996" s="211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  <c r="AA996" s="206"/>
      <c r="AB996" s="544"/>
      <c r="AC996" s="206"/>
      <c r="AD996" s="206"/>
      <c r="AE996" s="206"/>
    </row>
    <row r="997" spans="1:31" ht="13.5" customHeight="1" x14ac:dyDescent="0.15">
      <c r="A997" s="80"/>
      <c r="B997" s="211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  <c r="AA997" s="206"/>
      <c r="AB997" s="544"/>
      <c r="AC997" s="206"/>
      <c r="AD997" s="206"/>
      <c r="AE997" s="206"/>
    </row>
  </sheetData>
  <mergeCells count="2">
    <mergeCell ref="AD3:AE3"/>
    <mergeCell ref="Z4:AA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C4B6"/>
    <outlinePr summaryBelow="0"/>
  </sheetPr>
  <dimension ref="A1:AE968"/>
  <sheetViews>
    <sheetView showGridLines="0" workbookViewId="0">
      <pane xSplit="2" ySplit="7" topLeftCell="S8" activePane="bottomRight" state="frozen"/>
      <selection pane="topRight" activeCell="D1" sqref="D1"/>
      <selection pane="bottomLeft" activeCell="A8" sqref="A8"/>
      <selection pane="bottomRight" activeCell="Z21" sqref="Z21"/>
    </sheetView>
  </sheetViews>
  <sheetFormatPr baseColWidth="10" defaultColWidth="12.6640625" defaultRowHeight="15" customHeight="1" outlineLevelRow="1" x14ac:dyDescent="0.15"/>
  <cols>
    <col min="1" max="1" width="41.5" style="79" customWidth="1"/>
    <col min="2" max="2" width="11.1640625" style="79" customWidth="1"/>
    <col min="3" max="7" width="14.83203125" style="79" hidden="1" customWidth="1"/>
    <col min="8" max="27" width="14.83203125" style="79" customWidth="1"/>
    <col min="28" max="28" width="6.1640625" style="560" customWidth="1"/>
    <col min="29" max="29" width="12.5" style="406" bestFit="1" customWidth="1"/>
    <col min="30" max="30" width="11.5" style="406" bestFit="1" customWidth="1"/>
    <col min="31" max="31" width="14" style="79" bestFit="1" customWidth="1"/>
    <col min="32" max="16384" width="12.6640625" style="79"/>
  </cols>
  <sheetData>
    <row r="1" spans="1:31" ht="15.75" customHeight="1" x14ac:dyDescent="0.15">
      <c r="A1" s="216" t="s">
        <v>221</v>
      </c>
      <c r="B1" s="217"/>
      <c r="C1" s="67"/>
      <c r="D1" s="115"/>
      <c r="E1" s="218"/>
      <c r="F1" s="115"/>
      <c r="G1" s="115"/>
      <c r="H1" s="115"/>
      <c r="I1" s="218"/>
      <c r="J1" s="115"/>
      <c r="K1" s="206"/>
      <c r="L1" s="206"/>
      <c r="M1" s="218"/>
      <c r="N1" s="115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544"/>
      <c r="AC1" s="416"/>
    </row>
    <row r="2" spans="1:31" ht="15.75" customHeight="1" x14ac:dyDescent="0.15">
      <c r="A2" s="214" t="s">
        <v>19</v>
      </c>
      <c r="B2" s="217"/>
      <c r="C2" s="206"/>
      <c r="D2" s="206"/>
      <c r="E2" s="219"/>
      <c r="F2" s="206"/>
      <c r="G2" s="206"/>
      <c r="H2" s="220"/>
      <c r="I2" s="219"/>
      <c r="J2" s="206"/>
      <c r="K2" s="206"/>
      <c r="L2" s="206"/>
      <c r="M2" s="219"/>
      <c r="N2" s="221"/>
      <c r="O2" s="206"/>
      <c r="P2" s="220"/>
      <c r="Q2" s="222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544"/>
      <c r="AC2" s="416"/>
      <c r="AD2" s="596" t="s">
        <v>430</v>
      </c>
      <c r="AE2" s="596"/>
    </row>
    <row r="3" spans="1:31" ht="15.75" customHeight="1" x14ac:dyDescent="0.15">
      <c r="A3" s="223">
        <f ca="1">+TODAY()</f>
        <v>44539</v>
      </c>
      <c r="B3" s="217"/>
      <c r="C3" s="206"/>
      <c r="D3" s="206"/>
      <c r="E3" s="219"/>
      <c r="F3" s="221"/>
      <c r="G3" s="206"/>
      <c r="H3" s="206"/>
      <c r="I3" s="219"/>
      <c r="J3" s="206"/>
      <c r="K3" s="206"/>
      <c r="L3" s="206"/>
      <c r="M3" s="224"/>
      <c r="N3" s="206"/>
      <c r="O3" s="206"/>
      <c r="P3" s="206"/>
      <c r="Q3" s="219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544"/>
      <c r="AC3" s="416"/>
      <c r="AD3" s="657" t="s">
        <v>429</v>
      </c>
      <c r="AE3" s="658" t="s">
        <v>431</v>
      </c>
    </row>
    <row r="4" spans="1:31" ht="15.75" customHeight="1" x14ac:dyDescent="0.15">
      <c r="A4" s="223"/>
      <c r="B4" s="225"/>
      <c r="C4" s="206"/>
      <c r="D4" s="206"/>
      <c r="E4" s="219"/>
      <c r="F4" s="221"/>
      <c r="G4" s="206"/>
      <c r="H4" s="206"/>
      <c r="I4" s="219"/>
      <c r="J4" s="206"/>
      <c r="K4" s="206"/>
      <c r="L4" s="206"/>
      <c r="M4" s="206"/>
      <c r="N4" s="206"/>
      <c r="O4" s="206"/>
      <c r="P4" s="206"/>
      <c r="Q4" s="219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544"/>
      <c r="AC4" s="416"/>
    </row>
    <row r="5" spans="1:31" ht="3.75" customHeight="1" x14ac:dyDescent="0.15">
      <c r="A5" s="223"/>
      <c r="B5" s="225"/>
      <c r="C5" s="206"/>
      <c r="D5" s="206"/>
      <c r="E5" s="206"/>
      <c r="F5" s="206"/>
      <c r="G5" s="206"/>
      <c r="H5" s="206"/>
      <c r="I5" s="115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544"/>
      <c r="AC5" s="416"/>
    </row>
    <row r="6" spans="1:31" ht="15.75" customHeight="1" x14ac:dyDescent="0.15">
      <c r="A6" s="226"/>
      <c r="B6" s="227"/>
      <c r="C6" s="228">
        <f>'FS-Month'!C6</f>
        <v>43831</v>
      </c>
      <c r="D6" s="228">
        <f>'FS-Month'!D6</f>
        <v>43862</v>
      </c>
      <c r="E6" s="228">
        <f>'FS-Month'!E6</f>
        <v>43891</v>
      </c>
      <c r="F6" s="228">
        <f>'FS-Month'!F6</f>
        <v>43922</v>
      </c>
      <c r="G6" s="228">
        <f>'FS-Month'!G6</f>
        <v>43952</v>
      </c>
      <c r="H6" s="228">
        <f>'FS-Month'!H6</f>
        <v>43983</v>
      </c>
      <c r="I6" s="228">
        <f>'FS-Month'!I6</f>
        <v>44013</v>
      </c>
      <c r="J6" s="228">
        <f>'FS-Month'!J6</f>
        <v>44044</v>
      </c>
      <c r="K6" s="228">
        <f>'FS-Month'!K6</f>
        <v>44075</v>
      </c>
      <c r="L6" s="228">
        <f>'FS-Month'!L6</f>
        <v>44105</v>
      </c>
      <c r="M6" s="228">
        <f>'FS-Month'!M6</f>
        <v>44136</v>
      </c>
      <c r="N6" s="228">
        <f>'FS-Month'!N6</f>
        <v>44166</v>
      </c>
      <c r="O6" s="228">
        <f>'FS-Month'!O6</f>
        <v>44197</v>
      </c>
      <c r="P6" s="228">
        <f>'FS-Month'!P6</f>
        <v>44228</v>
      </c>
      <c r="Q6" s="228">
        <f>'FS-Month'!Q6</f>
        <v>44256</v>
      </c>
      <c r="R6" s="228">
        <f>'FS-Month'!R6</f>
        <v>44287</v>
      </c>
      <c r="S6" s="228">
        <f>'FS-Month'!S6</f>
        <v>44317</v>
      </c>
      <c r="T6" s="228">
        <f>'FS-Month'!T6</f>
        <v>44348</v>
      </c>
      <c r="U6" s="228">
        <f>'FS-Month'!U6</f>
        <v>44378</v>
      </c>
      <c r="V6" s="228">
        <f>'FS-Month'!V6</f>
        <v>44409</v>
      </c>
      <c r="W6" s="228">
        <f>'FS-Month'!W6</f>
        <v>44440</v>
      </c>
      <c r="X6" s="228">
        <f>'FS-Month'!X6</f>
        <v>44470</v>
      </c>
      <c r="Y6" s="228">
        <f>'FS-Month'!Y6</f>
        <v>44501</v>
      </c>
      <c r="Z6" s="639">
        <f>'FS-Month'!Z6</f>
        <v>44531</v>
      </c>
      <c r="AA6" s="639">
        <v>44583</v>
      </c>
      <c r="AB6" s="563"/>
      <c r="AC6" s="597" t="s">
        <v>160</v>
      </c>
      <c r="AD6" s="597" t="s">
        <v>160</v>
      </c>
      <c r="AE6" s="228" t="s">
        <v>160</v>
      </c>
    </row>
    <row r="7" spans="1:31" ht="15.75" customHeight="1" x14ac:dyDescent="0.15">
      <c r="A7" s="229"/>
      <c r="B7" s="193" t="s">
        <v>164</v>
      </c>
      <c r="C7" s="230">
        <f>'FS-Month'!C7</f>
        <v>1</v>
      </c>
      <c r="D7" s="230">
        <f>'FS-Month'!D7</f>
        <v>2</v>
      </c>
      <c r="E7" s="230">
        <f>'FS-Month'!E7</f>
        <v>3</v>
      </c>
      <c r="F7" s="230">
        <f>'FS-Month'!F7</f>
        <v>4</v>
      </c>
      <c r="G7" s="230">
        <f>'FS-Month'!G7</f>
        <v>5</v>
      </c>
      <c r="H7" s="230">
        <f>'FS-Month'!H7</f>
        <v>1</v>
      </c>
      <c r="I7" s="230">
        <f>'FS-Month'!I7</f>
        <v>2</v>
      </c>
      <c r="J7" s="230">
        <f>'FS-Month'!J7</f>
        <v>3</v>
      </c>
      <c r="K7" s="230">
        <f>'FS-Month'!K7</f>
        <v>4</v>
      </c>
      <c r="L7" s="230">
        <f>'FS-Month'!L7</f>
        <v>5</v>
      </c>
      <c r="M7" s="230">
        <f>'FS-Month'!M7</f>
        <v>6</v>
      </c>
      <c r="N7" s="230">
        <f>'FS-Month'!N7</f>
        <v>7</v>
      </c>
      <c r="O7" s="230">
        <f>'FS-Month'!O7</f>
        <v>8</v>
      </c>
      <c r="P7" s="230">
        <f>'FS-Month'!P7</f>
        <v>9</v>
      </c>
      <c r="Q7" s="230">
        <f>'FS-Month'!Q7</f>
        <v>10</v>
      </c>
      <c r="R7" s="230">
        <f>'FS-Month'!R7</f>
        <v>11</v>
      </c>
      <c r="S7" s="230">
        <f>'FS-Month'!S7</f>
        <v>12</v>
      </c>
      <c r="T7" s="230">
        <f>'FS-Month'!T7</f>
        <v>13</v>
      </c>
      <c r="U7" s="230">
        <f>'FS-Month'!U7</f>
        <v>14</v>
      </c>
      <c r="V7" s="230">
        <f>'FS-Month'!V7</f>
        <v>15</v>
      </c>
      <c r="W7" s="230">
        <f>'FS-Month'!W7</f>
        <v>16</v>
      </c>
      <c r="X7" s="230">
        <f>'FS-Month'!X7</f>
        <v>17</v>
      </c>
      <c r="Y7" s="230">
        <f>'FS-Month'!Y7</f>
        <v>18</v>
      </c>
      <c r="Z7" s="640">
        <f>'FS-Month'!Z7</f>
        <v>19</v>
      </c>
      <c r="AA7" s="640">
        <f>'FS-Month'!AB7</f>
        <v>0</v>
      </c>
      <c r="AB7" s="540"/>
      <c r="AC7" s="598" t="s">
        <v>427</v>
      </c>
      <c r="AD7" s="598" t="s">
        <v>428</v>
      </c>
      <c r="AE7" s="595" t="s">
        <v>432</v>
      </c>
    </row>
    <row r="8" spans="1:31" ht="15.75" customHeight="1" x14ac:dyDescent="0.15">
      <c r="A8" s="196"/>
      <c r="B8" s="194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641"/>
      <c r="AA8" s="641"/>
      <c r="AB8" s="546"/>
      <c r="AC8" s="599"/>
      <c r="AD8" s="599"/>
      <c r="AE8" s="85"/>
    </row>
    <row r="9" spans="1:31" ht="15.75" customHeight="1" thickBot="1" x14ac:dyDescent="0.2">
      <c r="A9" s="231" t="s">
        <v>165</v>
      </c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642"/>
      <c r="AA9" s="642"/>
      <c r="AB9" s="564"/>
      <c r="AC9" s="600"/>
      <c r="AD9" s="600"/>
      <c r="AE9" s="232"/>
    </row>
    <row r="10" spans="1:31" ht="4.5" customHeight="1" x14ac:dyDescent="0.15">
      <c r="A10" s="206"/>
      <c r="B10" s="194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643"/>
      <c r="AA10" s="643"/>
      <c r="AB10" s="544"/>
      <c r="AC10" s="416"/>
      <c r="AD10" s="416"/>
      <c r="AE10" s="206"/>
    </row>
    <row r="11" spans="1:31" ht="15" customHeight="1" x14ac:dyDescent="0.15">
      <c r="A11" s="244" t="s">
        <v>222</v>
      </c>
      <c r="B11" s="194"/>
      <c r="C11" s="483">
        <v>0</v>
      </c>
      <c r="D11" s="483">
        <v>0</v>
      </c>
      <c r="E11" s="483">
        <v>0</v>
      </c>
      <c r="F11" s="483">
        <v>0</v>
      </c>
      <c r="G11" s="483">
        <v>0</v>
      </c>
      <c r="H11" s="561">
        <v>31</v>
      </c>
      <c r="I11" s="561">
        <v>114</v>
      </c>
      <c r="J11" s="561">
        <v>167</v>
      </c>
      <c r="K11" s="561">
        <v>136</v>
      </c>
      <c r="L11" s="561">
        <v>95</v>
      </c>
      <c r="M11" s="561">
        <v>113</v>
      </c>
      <c r="N11" s="561">
        <v>104</v>
      </c>
      <c r="O11" s="561">
        <v>87</v>
      </c>
      <c r="P11" s="561">
        <v>113</v>
      </c>
      <c r="Q11" s="561">
        <v>199</v>
      </c>
      <c r="R11" s="561">
        <v>234</v>
      </c>
      <c r="S11" s="561">
        <v>239</v>
      </c>
      <c r="T11" s="561">
        <v>284</v>
      </c>
      <c r="U11" s="561">
        <v>332</v>
      </c>
      <c r="V11" s="561">
        <v>341</v>
      </c>
      <c r="W11" s="561">
        <v>336</v>
      </c>
      <c r="X11" s="561">
        <v>265</v>
      </c>
      <c r="Y11" s="561">
        <v>363</v>
      </c>
      <c r="Z11" s="644">
        <f>+Y11*1.025</f>
        <v>372.07499999999999</v>
      </c>
      <c r="AA11" s="644">
        <f>+Z11*1.025</f>
        <v>381.37687499999993</v>
      </c>
      <c r="AB11" s="565"/>
      <c r="AC11" s="483">
        <f>SUM(H11:AA11)</f>
        <v>4306.4518749999997</v>
      </c>
      <c r="AD11" s="483">
        <f>SUM(H11:O11)</f>
        <v>847</v>
      </c>
      <c r="AE11" s="483">
        <f>SUM(P11:AA11)</f>
        <v>3459.4518749999997</v>
      </c>
    </row>
    <row r="12" spans="1:31" ht="15" customHeight="1" x14ac:dyDescent="0.15">
      <c r="A12" s="245" t="s">
        <v>223</v>
      </c>
      <c r="B12" s="235"/>
      <c r="C12" s="484">
        <f>C11</f>
        <v>0</v>
      </c>
      <c r="D12" s="484">
        <f>+D11+C12</f>
        <v>0</v>
      </c>
      <c r="E12" s="484">
        <f>+E11+D12</f>
        <v>0</v>
      </c>
      <c r="F12" s="484">
        <f>+F11+E12</f>
        <v>0</v>
      </c>
      <c r="G12" s="484">
        <f>+G11+F12</f>
        <v>0</v>
      </c>
      <c r="H12" s="484">
        <f>+H11+G12</f>
        <v>31</v>
      </c>
      <c r="I12" s="484">
        <f>+I11+H12</f>
        <v>145</v>
      </c>
      <c r="J12" s="484">
        <f>+J11+I12</f>
        <v>312</v>
      </c>
      <c r="K12" s="484">
        <f>+K11+J12</f>
        <v>448</v>
      </c>
      <c r="L12" s="484">
        <f>+L11+K12</f>
        <v>543</v>
      </c>
      <c r="M12" s="484">
        <f>+M11+L12</f>
        <v>656</v>
      </c>
      <c r="N12" s="484">
        <f>+N11+M12</f>
        <v>760</v>
      </c>
      <c r="O12" s="484">
        <f>+O11+N12</f>
        <v>847</v>
      </c>
      <c r="P12" s="484">
        <f>+P11+O12</f>
        <v>960</v>
      </c>
      <c r="Q12" s="484">
        <f>+Q11+P12</f>
        <v>1159</v>
      </c>
      <c r="R12" s="484">
        <f>+R11+Q12</f>
        <v>1393</v>
      </c>
      <c r="S12" s="484">
        <f>+S11+R12</f>
        <v>1632</v>
      </c>
      <c r="T12" s="484">
        <f>+T11+S12</f>
        <v>1916</v>
      </c>
      <c r="U12" s="484">
        <f>+U11+T12</f>
        <v>2248</v>
      </c>
      <c r="V12" s="484">
        <f>+V11+U12</f>
        <v>2589</v>
      </c>
      <c r="W12" s="484">
        <f>+W11+V12</f>
        <v>2925</v>
      </c>
      <c r="X12" s="484">
        <f>+X11+W12</f>
        <v>3190</v>
      </c>
      <c r="Y12" s="484">
        <f>+Y11+X12</f>
        <v>3553</v>
      </c>
      <c r="Z12" s="645">
        <f>+Z11+Y12</f>
        <v>3925.0749999999998</v>
      </c>
      <c r="AA12" s="645">
        <f>+AA11+Z12</f>
        <v>4306.4518749999997</v>
      </c>
      <c r="AB12" s="566"/>
      <c r="AC12" s="484">
        <f>+AA12</f>
        <v>4306.4518749999997</v>
      </c>
      <c r="AD12" s="484">
        <f>+O12</f>
        <v>847</v>
      </c>
      <c r="AE12" s="484">
        <f>+AA12</f>
        <v>4306.4518749999997</v>
      </c>
    </row>
    <row r="13" spans="1:31" ht="15" customHeight="1" x14ac:dyDescent="0.15">
      <c r="A13" s="245"/>
      <c r="B13" s="194"/>
      <c r="C13" s="485"/>
      <c r="D13" s="485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646"/>
      <c r="AA13" s="646"/>
      <c r="AB13" s="567"/>
      <c r="AC13" s="416"/>
      <c r="AD13" s="416"/>
      <c r="AE13" s="485"/>
    </row>
    <row r="14" spans="1:31" s="407" customFormat="1" ht="15" customHeight="1" x14ac:dyDescent="0.15">
      <c r="A14" s="533" t="s">
        <v>224</v>
      </c>
      <c r="B14" s="534"/>
      <c r="C14" s="416">
        <v>0</v>
      </c>
      <c r="D14" s="416">
        <f>+C20</f>
        <v>0</v>
      </c>
      <c r="E14" s="416">
        <f>+D20</f>
        <v>0</v>
      </c>
      <c r="F14" s="416">
        <f t="shared" ref="F14:T14" si="0">+E20</f>
        <v>0</v>
      </c>
      <c r="G14" s="416">
        <f t="shared" si="0"/>
        <v>0</v>
      </c>
      <c r="H14" s="416">
        <f t="shared" si="0"/>
        <v>0</v>
      </c>
      <c r="I14" s="416">
        <f t="shared" si="0"/>
        <v>110193.7</v>
      </c>
      <c r="J14" s="416">
        <f t="shared" si="0"/>
        <v>512017.5</v>
      </c>
      <c r="K14" s="416">
        <f t="shared" si="0"/>
        <v>1225616.25</v>
      </c>
      <c r="L14" s="416">
        <f t="shared" si="0"/>
        <v>1870749.26</v>
      </c>
      <c r="M14" s="416">
        <f t="shared" si="0"/>
        <v>2356378.4300000002</v>
      </c>
      <c r="N14" s="416">
        <f t="shared" si="0"/>
        <v>2943102.5900000003</v>
      </c>
      <c r="O14" s="416">
        <f t="shared" si="0"/>
        <v>3496682.43</v>
      </c>
      <c r="P14" s="416">
        <f t="shared" si="0"/>
        <v>3929213.93</v>
      </c>
      <c r="Q14" s="416">
        <f t="shared" si="0"/>
        <v>4397617.46</v>
      </c>
      <c r="R14" s="416">
        <f t="shared" si="0"/>
        <v>5234978.96</v>
      </c>
      <c r="S14" s="416">
        <f t="shared" si="0"/>
        <v>6172493.0899999999</v>
      </c>
      <c r="T14" s="416">
        <f t="shared" si="0"/>
        <v>7027823.1799999997</v>
      </c>
      <c r="U14" s="416">
        <f t="shared" ref="U14" si="1">+T20</f>
        <v>8089332.6499999994</v>
      </c>
      <c r="V14" s="416">
        <f t="shared" ref="V14" si="2">+U20</f>
        <v>9387828.3299999982</v>
      </c>
      <c r="W14" s="416">
        <f t="shared" ref="W14" si="3">+V20</f>
        <v>10640549.419999998</v>
      </c>
      <c r="X14" s="416">
        <f t="shared" ref="X14" si="4">+W20</f>
        <v>10757662.419999998</v>
      </c>
      <c r="Y14" s="416">
        <f>+X20</f>
        <v>11852432.779999997</v>
      </c>
      <c r="Z14" s="647">
        <f>+Y20</f>
        <v>13322341.789999997</v>
      </c>
      <c r="AA14" s="647">
        <f>+Z20</f>
        <v>14922264.289999997</v>
      </c>
      <c r="AB14" s="556"/>
      <c r="AC14" s="416">
        <f>AA20</f>
        <v>16562184.852499997</v>
      </c>
      <c r="AD14" s="416">
        <f>O20</f>
        <v>3929213.93</v>
      </c>
      <c r="AE14" s="416">
        <f>AA20</f>
        <v>16562184.852499997</v>
      </c>
    </row>
    <row r="15" spans="1:31" s="407" customFormat="1" ht="15" customHeight="1" x14ac:dyDescent="0.15">
      <c r="A15" s="533" t="s">
        <v>225</v>
      </c>
      <c r="B15" s="534"/>
      <c r="C15" s="416">
        <f>C11*'CSS Settings'!B7</f>
        <v>0</v>
      </c>
      <c r="D15" s="416">
        <f>+D11*'CSS Settings'!$B$7</f>
        <v>0</v>
      </c>
      <c r="E15" s="416">
        <f>+E11*'CSS Settings'!$B$7</f>
        <v>0</v>
      </c>
      <c r="F15" s="416">
        <f>+F11*'CSS Settings'!$B$7</f>
        <v>0</v>
      </c>
      <c r="G15" s="416">
        <f>+G11*'CSS Settings'!$B$7</f>
        <v>0</v>
      </c>
      <c r="H15" s="590">
        <v>110193.7</v>
      </c>
      <c r="I15" s="590">
        <v>401823.8</v>
      </c>
      <c r="J15" s="590">
        <v>713598.75</v>
      </c>
      <c r="K15" s="590">
        <v>645133.01</v>
      </c>
      <c r="L15" s="590">
        <v>485629.17</v>
      </c>
      <c r="M15" s="590">
        <v>586724.16</v>
      </c>
      <c r="N15" s="590">
        <v>553579.84</v>
      </c>
      <c r="O15" s="590">
        <v>432531.5</v>
      </c>
      <c r="P15" s="590">
        <v>470357.4</v>
      </c>
      <c r="Q15" s="590">
        <v>843630.28</v>
      </c>
      <c r="R15" s="590">
        <v>942528.59</v>
      </c>
      <c r="S15" s="590">
        <v>874055.51</v>
      </c>
      <c r="T15" s="590">
        <v>1063346</v>
      </c>
      <c r="U15" s="590">
        <v>1308403</v>
      </c>
      <c r="V15" s="590">
        <v>1268000</v>
      </c>
      <c r="W15" s="590">
        <v>126624.05</v>
      </c>
      <c r="X15" s="590">
        <v>1120389</v>
      </c>
      <c r="Y15" s="590">
        <v>1493430</v>
      </c>
      <c r="Z15" s="648">
        <f>+Z11*'CSS Settings'!$B$7</f>
        <v>1599922.5</v>
      </c>
      <c r="AA15" s="648">
        <f>+AA11*'CSS Settings'!$B$7</f>
        <v>1639920.5624999998</v>
      </c>
      <c r="AB15" s="591"/>
      <c r="AC15" s="592">
        <f>SUM(H15:AA15)</f>
        <v>16679820.822500002</v>
      </c>
      <c r="AD15" s="592">
        <f>SUM(H15:O15)</f>
        <v>3929213.93</v>
      </c>
      <c r="AE15" s="592">
        <f>SUM(P15:AA15)</f>
        <v>12750606.8925</v>
      </c>
    </row>
    <row r="16" spans="1:31" s="407" customFormat="1" ht="15" customHeight="1" x14ac:dyDescent="0.15">
      <c r="A16" s="533"/>
      <c r="B16" s="534"/>
      <c r="C16" s="416"/>
      <c r="D16" s="416"/>
      <c r="E16" s="416"/>
      <c r="F16" s="416"/>
      <c r="G16" s="416"/>
      <c r="H16" s="416"/>
      <c r="I16" s="416"/>
      <c r="J16" s="416"/>
      <c r="K16" s="416"/>
      <c r="L16" s="416"/>
      <c r="M16" s="416"/>
      <c r="N16" s="416"/>
      <c r="O16" s="416"/>
      <c r="P16" s="416"/>
      <c r="Q16" s="416"/>
      <c r="R16" s="416"/>
      <c r="S16" s="416"/>
      <c r="T16" s="416"/>
      <c r="U16" s="416"/>
      <c r="V16" s="416"/>
      <c r="W16" s="416"/>
      <c r="X16" s="416"/>
      <c r="Y16" s="416"/>
      <c r="Z16" s="647"/>
      <c r="AA16" s="647"/>
      <c r="AB16" s="556"/>
      <c r="AC16" s="416"/>
      <c r="AD16" s="416"/>
      <c r="AE16" s="416"/>
    </row>
    <row r="17" spans="1:31" s="407" customFormat="1" ht="15" customHeight="1" x14ac:dyDescent="0.15">
      <c r="A17" s="533" t="s">
        <v>424</v>
      </c>
      <c r="B17" s="534"/>
      <c r="C17" s="416">
        <f>+C14*-'CSS Settings'!$B$9</f>
        <v>0</v>
      </c>
      <c r="D17" s="416">
        <f>+D14*-'CSS Settings'!$B$9</f>
        <v>0</v>
      </c>
      <c r="E17" s="416">
        <f>+E14*-'CSS Settings'!$B$9</f>
        <v>0</v>
      </c>
      <c r="F17" s="416">
        <f>+F14*-'CSS Settings'!$B$9</f>
        <v>0</v>
      </c>
      <c r="G17" s="416">
        <f>+G14*-'CSS Settings'!$B$9</f>
        <v>0</v>
      </c>
      <c r="H17" s="416">
        <f>+H14*-'CSS Settings'!$B$9</f>
        <v>0</v>
      </c>
      <c r="I17" s="416">
        <v>0</v>
      </c>
      <c r="J17" s="416">
        <v>0</v>
      </c>
      <c r="K17" s="416">
        <v>0</v>
      </c>
      <c r="L17" s="416">
        <v>0</v>
      </c>
      <c r="M17" s="416">
        <v>0</v>
      </c>
      <c r="N17" s="416">
        <v>0</v>
      </c>
      <c r="O17" s="416">
        <v>0</v>
      </c>
      <c r="P17" s="562">
        <v>-1953.87</v>
      </c>
      <c r="Q17" s="562">
        <v>-6268.78</v>
      </c>
      <c r="R17" s="562">
        <v>-5014.46</v>
      </c>
      <c r="S17" s="562">
        <v>-18725.419999999998</v>
      </c>
      <c r="T17" s="562">
        <v>-1836.53</v>
      </c>
      <c r="U17" s="562">
        <v>-9907.32</v>
      </c>
      <c r="V17" s="562">
        <v>-15278.91</v>
      </c>
      <c r="W17" s="562">
        <v>-9511.0499999999993</v>
      </c>
      <c r="X17" s="562">
        <v>-25618.639999999999</v>
      </c>
      <c r="Y17" s="562">
        <v>-23520.99</v>
      </c>
      <c r="Z17" s="649">
        <v>0</v>
      </c>
      <c r="AA17" s="649">
        <v>0</v>
      </c>
      <c r="AB17" s="568"/>
      <c r="AC17" s="506">
        <f>SUM(H17:AA17)</f>
        <v>-117635.97</v>
      </c>
      <c r="AD17" s="506">
        <f>SUM(H17:O17)</f>
        <v>0</v>
      </c>
      <c r="AE17" s="506">
        <f>SUM(P17:AA17)</f>
        <v>-117635.97</v>
      </c>
    </row>
    <row r="18" spans="1:31" s="407" customFormat="1" ht="15" customHeight="1" x14ac:dyDescent="0.15">
      <c r="A18" s="535" t="s">
        <v>226</v>
      </c>
      <c r="B18" s="536"/>
      <c r="C18" s="537">
        <f>(SUM(C25:C25)*'CSS Settings'!$B$19)</f>
        <v>0</v>
      </c>
      <c r="D18" s="537">
        <f>(SUM(D25:D25)*'CSS Settings'!$B$19)</f>
        <v>0</v>
      </c>
      <c r="E18" s="537">
        <f>(SUM(E25:E25)*'CSS Settings'!$B$19)</f>
        <v>0</v>
      </c>
      <c r="F18" s="537">
        <f>(SUM(F25:F25)*'CSS Settings'!$B$19)</f>
        <v>0</v>
      </c>
      <c r="G18" s="537">
        <f>(SUM(G25:G25)*'CSS Settings'!$B$19)</f>
        <v>0</v>
      </c>
      <c r="H18" s="537">
        <f>(SUM(H25:H25)*'CSS Settings'!$B$19)</f>
        <v>2754.8425000000002</v>
      </c>
      <c r="I18" s="537">
        <f>(SUM(I25:I25)*'CSS Settings'!$B$19)</f>
        <v>10045.595000000001</v>
      </c>
      <c r="J18" s="537">
        <f>(SUM(J25:J25)*'CSS Settings'!$B$19)</f>
        <v>17839.96875</v>
      </c>
      <c r="K18" s="537">
        <f>(SUM(K25:K25)*'CSS Settings'!$B$19)</f>
        <v>16128.325250000002</v>
      </c>
      <c r="L18" s="537">
        <f>(SUM(L25:L25)*'CSS Settings'!$B$19)</f>
        <v>12140.72925</v>
      </c>
      <c r="M18" s="537">
        <f>(SUM(M25:M25)*'CSS Settings'!$B$19)</f>
        <v>14668.104000000001</v>
      </c>
      <c r="N18" s="537">
        <f>(SUM(N25:N25)*'CSS Settings'!$B$19)</f>
        <v>13839.495999999999</v>
      </c>
      <c r="O18" s="537">
        <f>(SUM(O25:O25)*'CSS Settings'!$B$19)</f>
        <v>10813.2875</v>
      </c>
      <c r="P18" s="537">
        <f>(SUM(P25:P25)*'CSS Settings'!$B$19)</f>
        <v>11758.935000000001</v>
      </c>
      <c r="Q18" s="537">
        <f>(SUM(Q25:Q25)*'CSS Settings'!$B$19)</f>
        <v>21090.757000000001</v>
      </c>
      <c r="R18" s="537">
        <f>(SUM(R25:R25)*'CSS Settings'!$B$19)</f>
        <v>23563.214749999999</v>
      </c>
      <c r="S18" s="537">
        <f>(SUM(S25:S25)*'CSS Settings'!$B$19)</f>
        <v>21851.387750000002</v>
      </c>
      <c r="T18" s="537">
        <f>(SUM(T25:T25)*'CSS Settings'!$B$19)</f>
        <v>26583.65</v>
      </c>
      <c r="U18" s="537">
        <f>(SUM(U25:U25)*'CSS Settings'!$B$19)</f>
        <v>32710.075000000001</v>
      </c>
      <c r="V18" s="537">
        <f>(SUM(V25:V25)*'CSS Settings'!$B$19)</f>
        <v>31700</v>
      </c>
      <c r="W18" s="537">
        <f>(SUM(W25:W25)*'CSS Settings'!$B$19)</f>
        <v>3165.6012500000002</v>
      </c>
      <c r="X18" s="537">
        <f>(SUM(X25:X25)*'CSS Settings'!$B$19)</f>
        <v>28009.725000000002</v>
      </c>
      <c r="Y18" s="537">
        <f>(SUM(Y25:Y25)*'CSS Settings'!$B$19)</f>
        <v>37335.75</v>
      </c>
      <c r="Z18" s="647">
        <f>(SUM(Z25:Z25)*'CSS Settings'!$B$19)</f>
        <v>39998.0625</v>
      </c>
      <c r="AA18" s="647">
        <f>(SUM(AA25:AA25)*'CSS Settings'!$B$19)</f>
        <v>40998.014062499999</v>
      </c>
      <c r="AB18" s="556"/>
      <c r="AC18" s="537">
        <f>SUM(H18:AA18)</f>
        <v>416995.52056249994</v>
      </c>
      <c r="AD18" s="537">
        <f>SUM(H18:O18)</f>
        <v>98230.34825000001</v>
      </c>
      <c r="AE18" s="537">
        <f>SUM(P18:AA18)</f>
        <v>318765.17231250001</v>
      </c>
    </row>
    <row r="19" spans="1:31" s="407" customFormat="1" ht="15" customHeight="1" x14ac:dyDescent="0.15">
      <c r="A19" s="535" t="s">
        <v>227</v>
      </c>
      <c r="B19" s="536"/>
      <c r="C19" s="537">
        <f>C18+C17</f>
        <v>0</v>
      </c>
      <c r="D19" s="537">
        <f>D18+D17</f>
        <v>0</v>
      </c>
      <c r="E19" s="537">
        <f>E18+E17</f>
        <v>0</v>
      </c>
      <c r="F19" s="537">
        <f>F18+F17</f>
        <v>0</v>
      </c>
      <c r="G19" s="537">
        <f>G18+G17</f>
        <v>0</v>
      </c>
      <c r="H19" s="537">
        <f>H18+H17</f>
        <v>2754.8425000000002</v>
      </c>
      <c r="I19" s="537">
        <f>H19+I18+I17</f>
        <v>12800.437500000002</v>
      </c>
      <c r="J19" s="537">
        <f>I19+J18+J17</f>
        <v>30640.40625</v>
      </c>
      <c r="K19" s="537">
        <f>J19+K18+K17</f>
        <v>46768.731500000002</v>
      </c>
      <c r="L19" s="537">
        <f>K19+L18+L17</f>
        <v>58909.460749999998</v>
      </c>
      <c r="M19" s="537">
        <f>L19+M18+M17</f>
        <v>73577.564750000005</v>
      </c>
      <c r="N19" s="537">
        <f>M19+N18+N17</f>
        <v>87417.060750000004</v>
      </c>
      <c r="O19" s="537">
        <f>N19+O18+O17</f>
        <v>98230.34825000001</v>
      </c>
      <c r="P19" s="537">
        <f>O19+P18+P17</f>
        <v>108035.41325000001</v>
      </c>
      <c r="Q19" s="537">
        <f>P19+Q18+Q17</f>
        <v>122857.39025000001</v>
      </c>
      <c r="R19" s="537">
        <f>Q19+R18+R17</f>
        <v>141406.14500000002</v>
      </c>
      <c r="S19" s="537">
        <f>R19+S18+S17</f>
        <v>144532.11275000003</v>
      </c>
      <c r="T19" s="537">
        <f>S19+T18+T17</f>
        <v>169279.23275000002</v>
      </c>
      <c r="U19" s="537">
        <f>T19+U18+U17</f>
        <v>192081.98775000003</v>
      </c>
      <c r="V19" s="537">
        <f>U19+V18+V17</f>
        <v>208503.07775000003</v>
      </c>
      <c r="W19" s="537">
        <f>V19+W18+W17</f>
        <v>202157.62900000004</v>
      </c>
      <c r="X19" s="537">
        <f>W19+X18+X17</f>
        <v>204548.71400000004</v>
      </c>
      <c r="Y19" s="537">
        <f>X19+Y18+Y17</f>
        <v>218363.47400000005</v>
      </c>
      <c r="Z19" s="647">
        <f>Y19+Z18+Z17</f>
        <v>258361.53650000005</v>
      </c>
      <c r="AA19" s="647">
        <f>Z19+AA18+AA17</f>
        <v>299359.55056250002</v>
      </c>
      <c r="AB19" s="556"/>
      <c r="AC19" s="537">
        <f>AA19</f>
        <v>299359.55056250002</v>
      </c>
      <c r="AD19" s="537">
        <f>O19</f>
        <v>98230.34825000001</v>
      </c>
      <c r="AE19" s="537">
        <f>AA19</f>
        <v>299359.55056250002</v>
      </c>
    </row>
    <row r="20" spans="1:31" s="407" customFormat="1" ht="15.75" customHeight="1" x14ac:dyDescent="0.15">
      <c r="A20" s="538" t="s">
        <v>228</v>
      </c>
      <c r="B20" s="539"/>
      <c r="C20" s="446">
        <f>SUM(C14:C17)</f>
        <v>0</v>
      </c>
      <c r="D20" s="446">
        <f>SUM(D14:D17)</f>
        <v>0</v>
      </c>
      <c r="E20" s="446">
        <f>SUM(E14:E17)</f>
        <v>0</v>
      </c>
      <c r="F20" s="446">
        <f>SUM(F14:F17)</f>
        <v>0</v>
      </c>
      <c r="G20" s="446">
        <f>SUM(G14:G17)</f>
        <v>0</v>
      </c>
      <c r="H20" s="446">
        <f>SUM(H14:H17)</f>
        <v>110193.7</v>
      </c>
      <c r="I20" s="446">
        <f>SUM(I14:I17)</f>
        <v>512017.5</v>
      </c>
      <c r="J20" s="446">
        <f>SUM(J14:J17)</f>
        <v>1225616.25</v>
      </c>
      <c r="K20" s="446">
        <f>SUM(K14:K17)</f>
        <v>1870749.26</v>
      </c>
      <c r="L20" s="446">
        <f>SUM(L14:L17)</f>
        <v>2356378.4300000002</v>
      </c>
      <c r="M20" s="446">
        <f>SUM(M14:M17)</f>
        <v>2943102.5900000003</v>
      </c>
      <c r="N20" s="446">
        <f>SUM(N14:N17)</f>
        <v>3496682.43</v>
      </c>
      <c r="O20" s="446">
        <f>SUM(O14:O17)</f>
        <v>3929213.93</v>
      </c>
      <c r="P20" s="446">
        <f>SUM(P14:P17)</f>
        <v>4397617.46</v>
      </c>
      <c r="Q20" s="446">
        <f>SUM(Q14:Q17)</f>
        <v>5234978.96</v>
      </c>
      <c r="R20" s="446">
        <f>SUM(R14:R17)</f>
        <v>6172493.0899999999</v>
      </c>
      <c r="S20" s="446">
        <f>SUM(S14:S17)</f>
        <v>7027823.1799999997</v>
      </c>
      <c r="T20" s="446">
        <f>SUM(T14:T17)</f>
        <v>8089332.6499999994</v>
      </c>
      <c r="U20" s="446">
        <f>SUM(U14:U17)</f>
        <v>9387828.3299999982</v>
      </c>
      <c r="V20" s="446">
        <f>SUM(V14:V17)</f>
        <v>10640549.419999998</v>
      </c>
      <c r="W20" s="446">
        <f>SUM(W14:W17)</f>
        <v>10757662.419999998</v>
      </c>
      <c r="X20" s="446">
        <f>SUM(X14:X17)</f>
        <v>11852432.779999997</v>
      </c>
      <c r="Y20" s="446">
        <f>SUM(Y14:Y17)</f>
        <v>13322341.789999997</v>
      </c>
      <c r="Z20" s="650">
        <f>SUM(Z14:Z17)</f>
        <v>14922264.289999997</v>
      </c>
      <c r="AA20" s="650">
        <f>SUM(AA14:AA17)</f>
        <v>16562184.852499997</v>
      </c>
      <c r="AB20" s="569"/>
      <c r="AC20" s="446">
        <f>+AA20</f>
        <v>16562184.852499997</v>
      </c>
      <c r="AD20" s="446">
        <f>+O20</f>
        <v>3929213.93</v>
      </c>
      <c r="AE20" s="446">
        <f>+AA20</f>
        <v>16562184.852499997</v>
      </c>
    </row>
    <row r="21" spans="1:31" ht="15.75" customHeight="1" x14ac:dyDescent="0.15">
      <c r="A21" s="246"/>
      <c r="B21" s="236"/>
      <c r="C21" s="353"/>
      <c r="D21" s="353"/>
      <c r="E21" s="236"/>
      <c r="F21" s="236"/>
      <c r="G21" s="236"/>
      <c r="H21" s="532"/>
      <c r="I21" s="532"/>
      <c r="J21" s="532"/>
      <c r="K21" s="532"/>
      <c r="L21" s="532"/>
      <c r="M21" s="532"/>
      <c r="N21" s="532"/>
      <c r="O21" s="532"/>
      <c r="P21" s="532"/>
      <c r="Q21" s="532"/>
      <c r="R21" s="532"/>
      <c r="S21" s="532"/>
      <c r="T21" s="532"/>
      <c r="U21" s="532"/>
      <c r="V21" s="532"/>
      <c r="W21" s="532"/>
      <c r="X21" s="532"/>
      <c r="Y21" s="532"/>
      <c r="Z21" s="651"/>
      <c r="AA21" s="651"/>
      <c r="AB21" s="570"/>
      <c r="AC21" s="601"/>
      <c r="AD21" s="601"/>
      <c r="AE21" s="576"/>
    </row>
    <row r="22" spans="1:31" ht="14.25" customHeight="1" x14ac:dyDescent="0.15">
      <c r="A22" s="196"/>
      <c r="B22" s="194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652"/>
      <c r="AA22" s="652"/>
      <c r="AB22" s="558"/>
      <c r="AC22" s="460"/>
      <c r="AD22" s="460"/>
      <c r="AE22" s="578"/>
    </row>
    <row r="23" spans="1:31" ht="15.75" customHeight="1" thickBot="1" x14ac:dyDescent="0.2">
      <c r="A23" s="586" t="s">
        <v>231</v>
      </c>
      <c r="B23" s="586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642"/>
      <c r="AA23" s="642"/>
      <c r="AB23" s="564"/>
      <c r="AC23" s="600"/>
      <c r="AD23" s="600"/>
      <c r="AE23" s="577"/>
    </row>
    <row r="24" spans="1:31" ht="4.5" customHeight="1" x14ac:dyDescent="0.15">
      <c r="A24" s="206"/>
      <c r="B24" s="194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643"/>
      <c r="AA24" s="643"/>
      <c r="AB24" s="544"/>
      <c r="AC24" s="416"/>
      <c r="AD24" s="416"/>
      <c r="AE24" s="218"/>
    </row>
    <row r="25" spans="1:31" ht="15" customHeight="1" x14ac:dyDescent="0.15">
      <c r="A25" s="206" t="s">
        <v>229</v>
      </c>
      <c r="B25" s="194"/>
      <c r="C25" s="445">
        <f>(C15*'CSS Settings'!$B$12)</f>
        <v>0</v>
      </c>
      <c r="D25" s="445">
        <f>(D15*'CSS Settings'!$B$12)</f>
        <v>0</v>
      </c>
      <c r="E25" s="445">
        <f>(E15*'CSS Settings'!$B$12)</f>
        <v>0</v>
      </c>
      <c r="F25" s="445">
        <f>(F15*'CSS Settings'!$B$12)</f>
        <v>0</v>
      </c>
      <c r="G25" s="445">
        <f>(G15*'CSS Settings'!$B$12)</f>
        <v>0</v>
      </c>
      <c r="H25" s="445">
        <f>(H15*'CSS Settings'!$B$12)</f>
        <v>11019.37</v>
      </c>
      <c r="I25" s="445">
        <f>(I15*'CSS Settings'!$B$12)</f>
        <v>40182.380000000005</v>
      </c>
      <c r="J25" s="445">
        <f>(J15*'CSS Settings'!$B$12)</f>
        <v>71359.875</v>
      </c>
      <c r="K25" s="445">
        <f>(K15*'CSS Settings'!$B$12)</f>
        <v>64513.301000000007</v>
      </c>
      <c r="L25" s="445">
        <f>(L15*'CSS Settings'!$B$12)</f>
        <v>48562.917000000001</v>
      </c>
      <c r="M25" s="445">
        <f>(M15*'CSS Settings'!$B$12)</f>
        <v>58672.416000000005</v>
      </c>
      <c r="N25" s="445">
        <f>(N15*'CSS Settings'!$B$12)</f>
        <v>55357.983999999997</v>
      </c>
      <c r="O25" s="445">
        <f>(O15*'CSS Settings'!$B$12)</f>
        <v>43253.15</v>
      </c>
      <c r="P25" s="445">
        <f>(P15*'CSS Settings'!$B$12)</f>
        <v>47035.740000000005</v>
      </c>
      <c r="Q25" s="445">
        <f>(Q15*'CSS Settings'!$B$12)</f>
        <v>84363.028000000006</v>
      </c>
      <c r="R25" s="445">
        <f>(R15*'CSS Settings'!$B$12)</f>
        <v>94252.858999999997</v>
      </c>
      <c r="S25" s="445">
        <f>(S15*'CSS Settings'!$B$12)</f>
        <v>87405.551000000007</v>
      </c>
      <c r="T25" s="445">
        <f>(T15*'CSS Settings'!$B$12)</f>
        <v>106334.6</v>
      </c>
      <c r="U25" s="445">
        <f>(U15*'CSS Settings'!$B$12)</f>
        <v>130840.3</v>
      </c>
      <c r="V25" s="445">
        <f>(V15*'CSS Settings'!$B$12)</f>
        <v>126800</v>
      </c>
      <c r="W25" s="445">
        <f>(W15*'CSS Settings'!$B$12)</f>
        <v>12662.405000000001</v>
      </c>
      <c r="X25" s="445">
        <f>(X15*'CSS Settings'!$B$12)</f>
        <v>112038.90000000001</v>
      </c>
      <c r="Y25" s="445">
        <f>(Y15*'CSS Settings'!$B$12)</f>
        <v>149343</v>
      </c>
      <c r="Z25" s="653">
        <f>(Z15*'CSS Settings'!$B$12)</f>
        <v>159992.25</v>
      </c>
      <c r="AA25" s="653">
        <f>(AA15*'CSS Settings'!$B$12)</f>
        <v>163992.05624999999</v>
      </c>
      <c r="AB25" s="572"/>
      <c r="AC25" s="416">
        <f>(AC15*'CSS Settings'!$B$12)</f>
        <v>1667982.0822500002</v>
      </c>
      <c r="AD25" s="416">
        <f>(AD15*'CSS Settings'!$B$12)</f>
        <v>392921.39300000004</v>
      </c>
      <c r="AE25" s="589">
        <f>(AE15*'CSS Settings'!$B$12)</f>
        <v>1275060.6892500001</v>
      </c>
    </row>
    <row r="26" spans="1:31" ht="15" customHeight="1" outlineLevel="1" x14ac:dyDescent="0.15">
      <c r="A26" s="206" t="s">
        <v>232</v>
      </c>
      <c r="B26" s="235"/>
      <c r="C26" s="445">
        <f>ABS(C17*(1-'CSS Settings'!$B$18)*'CSS Settings'!$B$17)</f>
        <v>0</v>
      </c>
      <c r="D26" s="445">
        <f>ABS(D17*(1-'CSS Settings'!$B$18)*'CSS Settings'!$B$17)</f>
        <v>0</v>
      </c>
      <c r="E26" s="445">
        <f>ABS(E17*(1-'CSS Settings'!$B$18)*'CSS Settings'!$B$17)</f>
        <v>0</v>
      </c>
      <c r="F26" s="445">
        <f>ABS(F17*(1-'CSS Settings'!$B$18)*'CSS Settings'!$B$17)</f>
        <v>0</v>
      </c>
      <c r="G26" s="445">
        <f>ABS(G17*(1-'CSS Settings'!$B$18)*'CSS Settings'!$B$17)</f>
        <v>0</v>
      </c>
      <c r="H26" s="445">
        <v>0</v>
      </c>
      <c r="I26" s="445">
        <v>0</v>
      </c>
      <c r="J26" s="445">
        <v>0</v>
      </c>
      <c r="K26" s="445">
        <v>0</v>
      </c>
      <c r="L26" s="445">
        <v>0</v>
      </c>
      <c r="M26" s="445">
        <v>0</v>
      </c>
      <c r="N26" s="445">
        <v>0</v>
      </c>
      <c r="O26" s="445">
        <v>0</v>
      </c>
      <c r="P26" s="445">
        <v>0</v>
      </c>
      <c r="Q26" s="445">
        <v>0</v>
      </c>
      <c r="R26" s="445">
        <v>0</v>
      </c>
      <c r="S26" s="445">
        <v>0</v>
      </c>
      <c r="T26" s="445">
        <v>0</v>
      </c>
      <c r="U26" s="445">
        <v>0</v>
      </c>
      <c r="V26" s="445">
        <v>0</v>
      </c>
      <c r="W26" s="445">
        <v>0</v>
      </c>
      <c r="X26" s="445">
        <v>0</v>
      </c>
      <c r="Y26" s="445">
        <v>0</v>
      </c>
      <c r="Z26" s="653">
        <v>0</v>
      </c>
      <c r="AA26" s="653">
        <v>0</v>
      </c>
      <c r="AB26" s="572"/>
      <c r="AC26" s="416">
        <f>SUM(H26:AA26)</f>
        <v>0</v>
      </c>
      <c r="AD26" s="416">
        <f>SUM(I26:AB26)</f>
        <v>0</v>
      </c>
      <c r="AE26" s="445">
        <f>SUM(J26:AC26)</f>
        <v>0</v>
      </c>
    </row>
    <row r="27" spans="1:31" ht="15" customHeight="1" outlineLevel="1" x14ac:dyDescent="0.15">
      <c r="A27" s="206" t="s">
        <v>233</v>
      </c>
      <c r="B27" s="211"/>
      <c r="C27" s="445">
        <v>0</v>
      </c>
      <c r="D27" s="445">
        <v>0</v>
      </c>
      <c r="E27" s="445">
        <v>0</v>
      </c>
      <c r="F27" s="445">
        <v>0</v>
      </c>
      <c r="G27" s="445">
        <v>0</v>
      </c>
      <c r="H27" s="445">
        <v>0</v>
      </c>
      <c r="I27" s="445">
        <v>0</v>
      </c>
      <c r="J27" s="445">
        <v>0</v>
      </c>
      <c r="K27" s="445">
        <v>0</v>
      </c>
      <c r="L27" s="445">
        <v>0</v>
      </c>
      <c r="M27" s="445">
        <v>0</v>
      </c>
      <c r="N27" s="445">
        <v>0</v>
      </c>
      <c r="O27" s="445">
        <v>0</v>
      </c>
      <c r="P27" s="445">
        <v>0</v>
      </c>
      <c r="Q27" s="445">
        <v>0</v>
      </c>
      <c r="R27" s="445">
        <v>0</v>
      </c>
      <c r="S27" s="445">
        <v>0</v>
      </c>
      <c r="T27" s="445">
        <v>0</v>
      </c>
      <c r="U27" s="445">
        <v>0</v>
      </c>
      <c r="V27" s="445">
        <v>0</v>
      </c>
      <c r="W27" s="445">
        <v>0</v>
      </c>
      <c r="X27" s="445">
        <v>0</v>
      </c>
      <c r="Y27" s="445">
        <v>0</v>
      </c>
      <c r="Z27" s="653">
        <v>0</v>
      </c>
      <c r="AA27" s="653">
        <v>0</v>
      </c>
      <c r="AB27" s="572"/>
      <c r="AC27" s="416">
        <v>0</v>
      </c>
      <c r="AD27" s="416">
        <v>0</v>
      </c>
      <c r="AE27" s="445">
        <v>0</v>
      </c>
    </row>
    <row r="28" spans="1:31" s="407" customFormat="1" ht="15.75" customHeight="1" x14ac:dyDescent="0.15">
      <c r="A28" s="486" t="s">
        <v>160</v>
      </c>
      <c r="B28" s="487" t="str">
        <f>Settings!$C$6</f>
        <v>CAD</v>
      </c>
      <c r="C28" s="488">
        <f>SUM(C25:C27)</f>
        <v>0</v>
      </c>
      <c r="D28" s="488">
        <f>SUM(D25:D27)</f>
        <v>0</v>
      </c>
      <c r="E28" s="488">
        <f>SUM(E25:E27)</f>
        <v>0</v>
      </c>
      <c r="F28" s="488">
        <f>SUM(F25:F27)</f>
        <v>0</v>
      </c>
      <c r="G28" s="488">
        <f>SUM(G25:G27)</f>
        <v>0</v>
      </c>
      <c r="H28" s="488">
        <f>SUM(H25:H27)</f>
        <v>11019.37</v>
      </c>
      <c r="I28" s="488">
        <f>SUM(I25:I27)</f>
        <v>40182.380000000005</v>
      </c>
      <c r="J28" s="488">
        <f>SUM(J25:J27)</f>
        <v>71359.875</v>
      </c>
      <c r="K28" s="488">
        <f>SUM(K25:K27)</f>
        <v>64513.301000000007</v>
      </c>
      <c r="L28" s="488">
        <f>SUM(L25:L27)</f>
        <v>48562.917000000001</v>
      </c>
      <c r="M28" s="488">
        <f>SUM(M25:M27)</f>
        <v>58672.416000000005</v>
      </c>
      <c r="N28" s="488">
        <f>SUM(N25:N27)</f>
        <v>55357.983999999997</v>
      </c>
      <c r="O28" s="488">
        <f>SUM(O25:O27)</f>
        <v>43253.15</v>
      </c>
      <c r="P28" s="488">
        <f>SUM(P25:P27)</f>
        <v>47035.740000000005</v>
      </c>
      <c r="Q28" s="488">
        <f>SUM(Q25:Q27)</f>
        <v>84363.028000000006</v>
      </c>
      <c r="R28" s="488">
        <f>SUM(R25:R27)</f>
        <v>94252.858999999997</v>
      </c>
      <c r="S28" s="488">
        <f>SUM(S25:S27)</f>
        <v>87405.551000000007</v>
      </c>
      <c r="T28" s="488">
        <f>SUM(T25:T27)</f>
        <v>106334.6</v>
      </c>
      <c r="U28" s="488">
        <f>SUM(U25:U27)</f>
        <v>130840.3</v>
      </c>
      <c r="V28" s="488">
        <f>SUM(V25:V27)</f>
        <v>126800</v>
      </c>
      <c r="W28" s="488">
        <f>SUM(W25:W27)</f>
        <v>12662.405000000001</v>
      </c>
      <c r="X28" s="488">
        <f>SUM(X25:X27)</f>
        <v>112038.90000000001</v>
      </c>
      <c r="Y28" s="488">
        <f>SUM(Y25:Y27)</f>
        <v>149343</v>
      </c>
      <c r="Z28" s="654"/>
      <c r="AA28" s="654"/>
      <c r="AB28" s="569"/>
      <c r="AC28" s="488">
        <f>SUM(H28:AA28)</f>
        <v>1343997.7759999998</v>
      </c>
      <c r="AD28" s="488">
        <f>SUM(H28:O28)</f>
        <v>392921.39300000004</v>
      </c>
      <c r="AE28" s="579">
        <f>SUM(P28:AA28)</f>
        <v>951076.38300000015</v>
      </c>
    </row>
    <row r="29" spans="1:31" ht="15.75" customHeight="1" x14ac:dyDescent="0.15">
      <c r="A29" s="196"/>
      <c r="B29" s="194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558"/>
      <c r="AC29" s="460"/>
    </row>
    <row r="30" spans="1:31" ht="13" hidden="1" customHeight="1" x14ac:dyDescent="0.15">
      <c r="A30" s="206"/>
      <c r="B30" s="194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228">
        <f>'FS-Month'!Z27</f>
        <v>0</v>
      </c>
      <c r="AA30" s="228">
        <f>'FS-Month'!AB27</f>
        <v>0</v>
      </c>
      <c r="AB30" s="571"/>
      <c r="AC30" s="602"/>
    </row>
    <row r="31" spans="1:31" ht="15" hidden="1" customHeight="1" x14ac:dyDescent="0.2">
      <c r="A31" s="237" t="s">
        <v>234</v>
      </c>
      <c r="B31" s="238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0">
        <f>'FS-Month'!Z28</f>
        <v>0</v>
      </c>
      <c r="AA31" s="230">
        <f>'FS-Month'!AB28</f>
        <v>0</v>
      </c>
      <c r="AB31" s="564"/>
      <c r="AC31" s="600"/>
    </row>
    <row r="32" spans="1:31" ht="19.5" hidden="1" customHeight="1" collapsed="1" x14ac:dyDescent="0.15">
      <c r="A32" s="206"/>
      <c r="B32" s="194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85"/>
      <c r="AA32" s="85"/>
      <c r="AB32" s="544"/>
      <c r="AC32" s="416"/>
    </row>
    <row r="33" spans="1:29" ht="19.5" hidden="1" customHeight="1" outlineLevel="1" x14ac:dyDescent="0.2">
      <c r="A33" s="206"/>
      <c r="B33" s="194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232"/>
      <c r="AA33" s="232"/>
      <c r="AB33" s="571"/>
      <c r="AC33" s="602"/>
    </row>
    <row r="34" spans="1:29" ht="15.75" hidden="1" customHeight="1" outlineLevel="1" x14ac:dyDescent="0.15">
      <c r="A34" s="206"/>
      <c r="B34" s="194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06"/>
      <c r="AA34" s="206"/>
      <c r="AB34" s="573"/>
      <c r="AC34" s="602"/>
    </row>
    <row r="35" spans="1:29" ht="15.75" hidden="1" customHeight="1" outlineLevel="1" x14ac:dyDescent="0.15">
      <c r="A35" s="206"/>
      <c r="B35" s="194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588">
        <f>+Y35*1.1</f>
        <v>0</v>
      </c>
      <c r="AA35" s="588">
        <f>+Z35*1.1</f>
        <v>0</v>
      </c>
      <c r="AB35" s="574"/>
      <c r="AC35" s="603"/>
    </row>
    <row r="36" spans="1:29" ht="15.75" hidden="1" customHeight="1" outlineLevel="1" x14ac:dyDescent="0.15">
      <c r="A36" s="206"/>
      <c r="B36" s="194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484">
        <f>+Z35+Y36</f>
        <v>0</v>
      </c>
      <c r="AA36" s="484">
        <f>+AA35+Z36</f>
        <v>0</v>
      </c>
      <c r="AB36" s="574"/>
      <c r="AC36" s="603"/>
    </row>
    <row r="37" spans="1:29" ht="15.75" hidden="1" customHeight="1" outlineLevel="1" x14ac:dyDescent="0.15">
      <c r="A37" s="206"/>
      <c r="B37" s="194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485"/>
      <c r="AA37" s="485"/>
      <c r="AB37" s="574"/>
      <c r="AC37" s="603"/>
    </row>
    <row r="38" spans="1:29" ht="15.75" hidden="1" customHeight="1" outlineLevel="1" x14ac:dyDescent="0.15">
      <c r="A38" s="206"/>
      <c r="B38" s="194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416">
        <f>+Y44</f>
        <v>0</v>
      </c>
      <c r="AA38" s="416">
        <f>+Z44</f>
        <v>0</v>
      </c>
      <c r="AB38" s="574"/>
      <c r="AC38" s="603"/>
    </row>
    <row r="39" spans="1:29" ht="15.75" hidden="1" customHeight="1" x14ac:dyDescent="0.15">
      <c r="A39" s="214" t="s">
        <v>160</v>
      </c>
      <c r="B39" s="217" t="str">
        <f>Settings!$C$6</f>
        <v>CAD</v>
      </c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593">
        <v>0</v>
      </c>
      <c r="AA39" s="593">
        <v>0</v>
      </c>
      <c r="AB39" s="558"/>
      <c r="AC39" s="604"/>
    </row>
    <row r="40" spans="1:29" ht="15" hidden="1" customHeight="1" x14ac:dyDescent="0.15">
      <c r="A40" s="233"/>
      <c r="B40" s="19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416"/>
      <c r="AA40" s="416"/>
      <c r="AB40" s="575"/>
      <c r="AC40" s="602"/>
    </row>
    <row r="41" spans="1:29" ht="15" hidden="1" customHeight="1" x14ac:dyDescent="0.15">
      <c r="A41" s="206"/>
      <c r="B41" s="194"/>
      <c r="C41" s="195"/>
      <c r="D41" s="195"/>
      <c r="E41" s="195"/>
      <c r="F41" s="195"/>
      <c r="G41" s="195"/>
      <c r="H41" s="195"/>
      <c r="I41" s="206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594">
        <v>0</v>
      </c>
      <c r="AA41" s="594">
        <v>0</v>
      </c>
      <c r="AB41" s="571"/>
      <c r="AC41" s="602"/>
    </row>
    <row r="42" spans="1:29" ht="15" hidden="1" customHeight="1" x14ac:dyDescent="0.15">
      <c r="A42" s="206"/>
      <c r="B42" s="194"/>
      <c r="C42" s="241"/>
      <c r="D42" s="241"/>
      <c r="E42" s="241"/>
      <c r="F42" s="241"/>
      <c r="G42" s="242"/>
      <c r="H42" s="241"/>
      <c r="I42" s="195"/>
      <c r="J42" s="195"/>
      <c r="K42" s="243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537">
        <f>(SUM(Z49:Z49)*'CSS Settings'!$B$19)</f>
        <v>0</v>
      </c>
      <c r="AA42" s="537">
        <f>(SUM(AA49:AA49)*'CSS Settings'!$B$19)</f>
        <v>0</v>
      </c>
      <c r="AB42" s="571"/>
      <c r="AC42" s="602"/>
    </row>
    <row r="43" spans="1:29" ht="15" hidden="1" customHeight="1" x14ac:dyDescent="0.15">
      <c r="A43" s="206"/>
      <c r="B43" s="194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537">
        <f>Y43+Z42+Z41</f>
        <v>0</v>
      </c>
      <c r="AA43" s="537">
        <f>Z43+AA42+AA41</f>
        <v>0</v>
      </c>
      <c r="AB43" s="571"/>
      <c r="AC43" s="602"/>
    </row>
    <row r="44" spans="1:29" ht="15" customHeight="1" x14ac:dyDescent="0.15">
      <c r="A44" s="206"/>
      <c r="B44" s="194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571"/>
      <c r="AC44" s="602"/>
    </row>
    <row r="45" spans="1:29" ht="15" customHeight="1" x14ac:dyDescent="0.15">
      <c r="A45" s="206"/>
      <c r="B45" s="194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571"/>
      <c r="AC45" s="602"/>
    </row>
    <row r="46" spans="1:29" ht="15" customHeight="1" x14ac:dyDescent="0.15">
      <c r="A46" s="206"/>
      <c r="B46" s="194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571"/>
      <c r="AC46" s="602"/>
    </row>
    <row r="47" spans="1:29" ht="15" customHeight="1" x14ac:dyDescent="0.15">
      <c r="A47" s="206"/>
      <c r="B47" s="194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571"/>
      <c r="AC47" s="602"/>
    </row>
    <row r="48" spans="1:29" ht="15" customHeight="1" x14ac:dyDescent="0.15">
      <c r="A48" s="206"/>
      <c r="B48" s="194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571"/>
      <c r="AC48" s="602"/>
    </row>
    <row r="49" spans="1:29" ht="15.75" customHeight="1" x14ac:dyDescent="0.15">
      <c r="A49" s="206"/>
      <c r="B49" s="194"/>
      <c r="C49" s="206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559"/>
      <c r="AC49" s="416"/>
    </row>
    <row r="50" spans="1:29" ht="15.75" customHeight="1" x14ac:dyDescent="0.15">
      <c r="A50" s="206"/>
      <c r="B50" s="194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559"/>
      <c r="AC50" s="416"/>
    </row>
    <row r="51" spans="1:29" ht="15.75" customHeight="1" x14ac:dyDescent="0.15">
      <c r="A51" s="206"/>
      <c r="B51" s="194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559"/>
      <c r="AC51" s="416"/>
    </row>
    <row r="52" spans="1:29" ht="15.75" customHeight="1" x14ac:dyDescent="0.15">
      <c r="A52" s="206"/>
      <c r="B52" s="194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559"/>
      <c r="AC52" s="416"/>
    </row>
    <row r="53" spans="1:29" ht="15.75" customHeight="1" x14ac:dyDescent="0.15">
      <c r="A53" s="206"/>
      <c r="B53" s="194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559"/>
      <c r="AC53" s="416"/>
    </row>
    <row r="54" spans="1:29" ht="15.75" customHeight="1" x14ac:dyDescent="0.15">
      <c r="A54" s="206"/>
      <c r="B54" s="194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559"/>
      <c r="AC54" s="416"/>
    </row>
    <row r="55" spans="1:29" ht="15.75" customHeight="1" x14ac:dyDescent="0.15">
      <c r="A55" s="206"/>
      <c r="B55" s="194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559"/>
      <c r="AC55" s="416"/>
    </row>
    <row r="56" spans="1:29" ht="15.75" customHeight="1" x14ac:dyDescent="0.15">
      <c r="A56" s="206"/>
      <c r="B56" s="194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559"/>
      <c r="AC56" s="416"/>
    </row>
    <row r="57" spans="1:29" ht="15.75" customHeight="1" x14ac:dyDescent="0.15">
      <c r="A57" s="206"/>
      <c r="B57" s="194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559"/>
      <c r="AC57" s="416"/>
    </row>
    <row r="58" spans="1:29" ht="15.75" customHeight="1" x14ac:dyDescent="0.15">
      <c r="A58" s="206"/>
      <c r="B58" s="194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559"/>
      <c r="AC58" s="416"/>
    </row>
    <row r="59" spans="1:29" ht="15.75" customHeight="1" x14ac:dyDescent="0.15">
      <c r="A59" s="206"/>
      <c r="B59" s="194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559"/>
      <c r="AC59" s="416"/>
    </row>
    <row r="60" spans="1:29" ht="15.75" customHeight="1" x14ac:dyDescent="0.15">
      <c r="A60" s="206"/>
      <c r="B60" s="194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559"/>
      <c r="AC60" s="416"/>
    </row>
    <row r="61" spans="1:29" ht="15.75" customHeight="1" x14ac:dyDescent="0.15">
      <c r="A61" s="206"/>
      <c r="B61" s="194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559"/>
      <c r="AC61" s="416"/>
    </row>
    <row r="62" spans="1:29" ht="15.75" customHeight="1" x14ac:dyDescent="0.15">
      <c r="A62" s="206"/>
      <c r="B62" s="194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559"/>
      <c r="AC62" s="416"/>
    </row>
    <row r="63" spans="1:29" ht="15.75" customHeight="1" x14ac:dyDescent="0.15">
      <c r="A63" s="206"/>
      <c r="B63" s="194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559"/>
      <c r="AC63" s="416"/>
    </row>
    <row r="64" spans="1:29" ht="15.75" customHeight="1" x14ac:dyDescent="0.15">
      <c r="A64" s="206"/>
      <c r="B64" s="194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559"/>
      <c r="AC64" s="416"/>
    </row>
    <row r="65" spans="1:29" ht="15.75" customHeight="1" x14ac:dyDescent="0.15">
      <c r="A65" s="206"/>
      <c r="B65" s="194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559"/>
      <c r="AC65" s="416"/>
    </row>
    <row r="66" spans="1:29" ht="15.75" customHeight="1" x14ac:dyDescent="0.15">
      <c r="A66" s="206"/>
      <c r="B66" s="194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559"/>
      <c r="AC66" s="416"/>
    </row>
    <row r="67" spans="1:29" ht="15.75" customHeight="1" x14ac:dyDescent="0.15">
      <c r="A67" s="206"/>
      <c r="B67" s="194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559"/>
      <c r="AC67" s="416"/>
    </row>
    <row r="68" spans="1:29" ht="15.75" customHeight="1" x14ac:dyDescent="0.15">
      <c r="A68" s="206"/>
      <c r="B68" s="194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559"/>
      <c r="AC68" s="416"/>
    </row>
    <row r="69" spans="1:29" ht="15.75" customHeight="1" x14ac:dyDescent="0.15">
      <c r="A69" s="206"/>
      <c r="B69" s="194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559"/>
      <c r="AC69" s="416"/>
    </row>
    <row r="70" spans="1:29" ht="15.75" customHeight="1" x14ac:dyDescent="0.15">
      <c r="A70" s="206"/>
      <c r="B70" s="194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559"/>
      <c r="AC70" s="416"/>
    </row>
    <row r="71" spans="1:29" ht="15.75" customHeight="1" x14ac:dyDescent="0.15">
      <c r="A71" s="206"/>
      <c r="B71" s="194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559"/>
      <c r="AC71" s="416"/>
    </row>
    <row r="72" spans="1:29" ht="15.75" customHeight="1" x14ac:dyDescent="0.15">
      <c r="A72" s="206"/>
      <c r="B72" s="194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559"/>
      <c r="AC72" s="416"/>
    </row>
    <row r="73" spans="1:29" ht="15.75" customHeight="1" x14ac:dyDescent="0.15">
      <c r="A73" s="206"/>
      <c r="B73" s="194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559"/>
      <c r="AC73" s="416"/>
    </row>
    <row r="74" spans="1:29" ht="15.75" customHeight="1" x14ac:dyDescent="0.15">
      <c r="A74" s="206"/>
      <c r="B74" s="194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559"/>
      <c r="AC74" s="416"/>
    </row>
    <row r="75" spans="1:29" ht="15.75" customHeight="1" x14ac:dyDescent="0.15">
      <c r="A75" s="206"/>
      <c r="B75" s="194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559"/>
      <c r="AC75" s="416"/>
    </row>
    <row r="76" spans="1:29" ht="15.75" customHeight="1" x14ac:dyDescent="0.15">
      <c r="A76" s="206"/>
      <c r="B76" s="194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559"/>
      <c r="AC76" s="416"/>
    </row>
    <row r="77" spans="1:29" ht="15.75" customHeight="1" x14ac:dyDescent="0.15">
      <c r="A77" s="206"/>
      <c r="B77" s="194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559"/>
      <c r="AC77" s="416"/>
    </row>
    <row r="78" spans="1:29" ht="15.75" customHeight="1" x14ac:dyDescent="0.15">
      <c r="A78" s="206"/>
      <c r="B78" s="194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559"/>
      <c r="AC78" s="416"/>
    </row>
    <row r="79" spans="1:29" ht="15.75" customHeight="1" x14ac:dyDescent="0.15">
      <c r="A79" s="206"/>
      <c r="B79" s="194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559"/>
      <c r="AC79" s="416"/>
    </row>
    <row r="80" spans="1:29" ht="15.75" customHeight="1" x14ac:dyDescent="0.15">
      <c r="A80" s="206"/>
      <c r="B80" s="194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559"/>
      <c r="AC80" s="416"/>
    </row>
    <row r="81" spans="1:29" ht="15.75" customHeight="1" x14ac:dyDescent="0.15">
      <c r="A81" s="206"/>
      <c r="B81" s="194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559"/>
      <c r="AC81" s="416"/>
    </row>
    <row r="82" spans="1:29" ht="15.75" customHeight="1" x14ac:dyDescent="0.15">
      <c r="A82" s="206"/>
      <c r="B82" s="194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559"/>
      <c r="AC82" s="416"/>
    </row>
    <row r="83" spans="1:29" ht="15.75" customHeight="1" x14ac:dyDescent="0.15">
      <c r="A83" s="206"/>
      <c r="B83" s="194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559"/>
      <c r="AC83" s="416"/>
    </row>
    <row r="84" spans="1:29" ht="15.75" customHeight="1" x14ac:dyDescent="0.15">
      <c r="A84" s="206"/>
      <c r="B84" s="194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559"/>
      <c r="AC84" s="416"/>
    </row>
    <row r="85" spans="1:29" ht="15.75" customHeight="1" x14ac:dyDescent="0.15">
      <c r="A85" s="206"/>
      <c r="B85" s="194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559"/>
      <c r="AC85" s="416"/>
    </row>
    <row r="86" spans="1:29" ht="15.75" customHeight="1" x14ac:dyDescent="0.15">
      <c r="A86" s="206"/>
      <c r="B86" s="194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559"/>
      <c r="AC86" s="416"/>
    </row>
    <row r="87" spans="1:29" ht="15.75" customHeight="1" x14ac:dyDescent="0.15">
      <c r="A87" s="206"/>
      <c r="B87" s="194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559"/>
      <c r="AC87" s="416"/>
    </row>
    <row r="88" spans="1:29" ht="15.75" customHeight="1" x14ac:dyDescent="0.15">
      <c r="A88" s="206"/>
      <c r="B88" s="194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559"/>
      <c r="AC88" s="416"/>
    </row>
    <row r="89" spans="1:29" ht="15.75" customHeight="1" x14ac:dyDescent="0.15">
      <c r="A89" s="206"/>
      <c r="B89" s="194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559"/>
      <c r="AC89" s="416"/>
    </row>
    <row r="90" spans="1:29" ht="15.75" customHeight="1" x14ac:dyDescent="0.15">
      <c r="A90" s="206"/>
      <c r="B90" s="194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559"/>
      <c r="AC90" s="416"/>
    </row>
    <row r="91" spans="1:29" ht="15.75" customHeight="1" x14ac:dyDescent="0.15">
      <c r="A91" s="206"/>
      <c r="B91" s="194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559"/>
      <c r="AC91" s="416"/>
    </row>
    <row r="92" spans="1:29" ht="15.75" customHeight="1" x14ac:dyDescent="0.15">
      <c r="A92" s="206"/>
      <c r="B92" s="194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559"/>
      <c r="AC92" s="416"/>
    </row>
    <row r="93" spans="1:29" ht="15.75" customHeight="1" x14ac:dyDescent="0.15">
      <c r="A93" s="206"/>
      <c r="B93" s="194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559"/>
      <c r="AC93" s="416"/>
    </row>
    <row r="94" spans="1:29" ht="15.75" customHeight="1" x14ac:dyDescent="0.15">
      <c r="A94" s="206"/>
      <c r="B94" s="194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559"/>
      <c r="AC94" s="416"/>
    </row>
    <row r="95" spans="1:29" ht="15.75" customHeight="1" x14ac:dyDescent="0.15">
      <c r="A95" s="206"/>
      <c r="B95" s="194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559"/>
      <c r="AC95" s="416"/>
    </row>
    <row r="96" spans="1:29" ht="15.75" customHeight="1" x14ac:dyDescent="0.15">
      <c r="A96" s="206"/>
      <c r="B96" s="194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559"/>
      <c r="AC96" s="416"/>
    </row>
    <row r="97" spans="1:29" ht="15.75" customHeight="1" x14ac:dyDescent="0.15">
      <c r="A97" s="206"/>
      <c r="B97" s="194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559"/>
      <c r="AC97" s="416"/>
    </row>
    <row r="98" spans="1:29" ht="15.75" customHeight="1" x14ac:dyDescent="0.15">
      <c r="A98" s="206"/>
      <c r="B98" s="194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559"/>
      <c r="AC98" s="416"/>
    </row>
    <row r="99" spans="1:29" ht="15.75" customHeight="1" x14ac:dyDescent="0.15">
      <c r="A99" s="206"/>
      <c r="B99" s="194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559"/>
      <c r="AC99" s="416"/>
    </row>
    <row r="100" spans="1:29" ht="15.75" customHeight="1" x14ac:dyDescent="0.15">
      <c r="A100" s="206"/>
      <c r="B100" s="194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559"/>
      <c r="AC100" s="416"/>
    </row>
    <row r="101" spans="1:29" ht="15.75" customHeight="1" x14ac:dyDescent="0.15">
      <c r="A101" s="206"/>
      <c r="B101" s="194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559"/>
      <c r="AC101" s="416"/>
    </row>
    <row r="102" spans="1:29" ht="15.75" customHeight="1" x14ac:dyDescent="0.15">
      <c r="A102" s="206"/>
      <c r="B102" s="194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559"/>
      <c r="AC102" s="416"/>
    </row>
    <row r="103" spans="1:29" ht="15.75" customHeight="1" x14ac:dyDescent="0.15">
      <c r="A103" s="206"/>
      <c r="B103" s="194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559"/>
      <c r="AC103" s="416"/>
    </row>
    <row r="104" spans="1:29" ht="15.75" customHeight="1" x14ac:dyDescent="0.15">
      <c r="A104" s="206"/>
      <c r="B104" s="194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559"/>
      <c r="AC104" s="416"/>
    </row>
    <row r="105" spans="1:29" ht="15.75" customHeight="1" x14ac:dyDescent="0.15">
      <c r="A105" s="206"/>
      <c r="B105" s="194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  <c r="AA105" s="206"/>
      <c r="AB105" s="544"/>
      <c r="AC105" s="416"/>
    </row>
    <row r="106" spans="1:29" ht="15.75" customHeight="1" x14ac:dyDescent="0.15">
      <c r="A106" s="206"/>
      <c r="B106" s="194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  <c r="AA106" s="206"/>
      <c r="AB106" s="544"/>
      <c r="AC106" s="416"/>
    </row>
    <row r="107" spans="1:29" ht="15.75" customHeight="1" x14ac:dyDescent="0.15">
      <c r="A107" s="206"/>
      <c r="B107" s="194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  <c r="AA107" s="206"/>
      <c r="AB107" s="544"/>
      <c r="AC107" s="416"/>
    </row>
    <row r="108" spans="1:29" ht="15.75" customHeight="1" x14ac:dyDescent="0.15">
      <c r="A108" s="206"/>
      <c r="B108" s="194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  <c r="AA108" s="206"/>
      <c r="AB108" s="544"/>
      <c r="AC108" s="416"/>
    </row>
    <row r="109" spans="1:29" ht="15.75" customHeight="1" x14ac:dyDescent="0.15">
      <c r="A109" s="206"/>
      <c r="B109" s="194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  <c r="AA109" s="206"/>
      <c r="AB109" s="544"/>
      <c r="AC109" s="416"/>
    </row>
    <row r="110" spans="1:29" ht="15.75" customHeight="1" x14ac:dyDescent="0.15">
      <c r="A110" s="206"/>
      <c r="B110" s="194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  <c r="AA110" s="206"/>
      <c r="AB110" s="544"/>
      <c r="AC110" s="416"/>
    </row>
    <row r="111" spans="1:29" ht="15.75" customHeight="1" x14ac:dyDescent="0.15">
      <c r="A111" s="206"/>
      <c r="B111" s="194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  <c r="AA111" s="206"/>
      <c r="AB111" s="544"/>
      <c r="AC111" s="416"/>
    </row>
    <row r="112" spans="1:29" ht="15.75" customHeight="1" x14ac:dyDescent="0.15">
      <c r="A112" s="206"/>
      <c r="B112" s="194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544"/>
      <c r="AC112" s="416"/>
    </row>
    <row r="113" spans="1:29" ht="15.75" customHeight="1" x14ac:dyDescent="0.15">
      <c r="A113" s="206"/>
      <c r="B113" s="194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544"/>
      <c r="AC113" s="416"/>
    </row>
    <row r="114" spans="1:29" ht="15.75" customHeight="1" x14ac:dyDescent="0.15">
      <c r="A114" s="206"/>
      <c r="B114" s="194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  <c r="AA114" s="206"/>
      <c r="AB114" s="544"/>
      <c r="AC114" s="416"/>
    </row>
    <row r="115" spans="1:29" ht="15.75" customHeight="1" x14ac:dyDescent="0.15">
      <c r="A115" s="206"/>
      <c r="B115" s="194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544"/>
      <c r="AC115" s="416"/>
    </row>
    <row r="116" spans="1:29" ht="15.75" customHeight="1" x14ac:dyDescent="0.15">
      <c r="A116" s="206"/>
      <c r="B116" s="194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544"/>
      <c r="AC116" s="416"/>
    </row>
    <row r="117" spans="1:29" ht="15.75" customHeight="1" x14ac:dyDescent="0.15">
      <c r="A117" s="206"/>
      <c r="B117" s="194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544"/>
      <c r="AC117" s="416"/>
    </row>
    <row r="118" spans="1:29" ht="15.75" customHeight="1" x14ac:dyDescent="0.15">
      <c r="A118" s="206"/>
      <c r="B118" s="194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544"/>
      <c r="AC118" s="416"/>
    </row>
    <row r="119" spans="1:29" ht="15.75" customHeight="1" x14ac:dyDescent="0.15">
      <c r="A119" s="206"/>
      <c r="B119" s="194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  <c r="AA119" s="206"/>
      <c r="AB119" s="544"/>
      <c r="AC119" s="416"/>
    </row>
    <row r="120" spans="1:29" ht="15.75" customHeight="1" x14ac:dyDescent="0.15">
      <c r="A120" s="206"/>
      <c r="B120" s="194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544"/>
      <c r="AC120" s="416"/>
    </row>
    <row r="121" spans="1:29" ht="15.75" customHeight="1" x14ac:dyDescent="0.15">
      <c r="A121" s="206"/>
      <c r="B121" s="194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544"/>
      <c r="AC121" s="416"/>
    </row>
    <row r="122" spans="1:29" ht="15.75" customHeight="1" x14ac:dyDescent="0.15">
      <c r="A122" s="206"/>
      <c r="B122" s="194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544"/>
      <c r="AC122" s="416"/>
    </row>
    <row r="123" spans="1:29" ht="15.75" customHeight="1" x14ac:dyDescent="0.15">
      <c r="A123" s="206"/>
      <c r="B123" s="194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544"/>
      <c r="AC123" s="416"/>
    </row>
    <row r="124" spans="1:29" ht="15.75" customHeight="1" x14ac:dyDescent="0.15">
      <c r="A124" s="206"/>
      <c r="B124" s="194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  <c r="AA124" s="206"/>
      <c r="AB124" s="544"/>
      <c r="AC124" s="416"/>
    </row>
    <row r="125" spans="1:29" ht="15.75" customHeight="1" x14ac:dyDescent="0.15">
      <c r="A125" s="206"/>
      <c r="B125" s="194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544"/>
      <c r="AC125" s="416"/>
    </row>
    <row r="126" spans="1:29" ht="15.75" customHeight="1" x14ac:dyDescent="0.15">
      <c r="A126" s="206"/>
      <c r="B126" s="194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  <c r="AA126" s="206"/>
      <c r="AB126" s="544"/>
      <c r="AC126" s="416"/>
    </row>
    <row r="127" spans="1:29" ht="15.75" customHeight="1" x14ac:dyDescent="0.15">
      <c r="A127" s="206"/>
      <c r="B127" s="194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  <c r="AA127" s="206"/>
      <c r="AB127" s="544"/>
      <c r="AC127" s="416"/>
    </row>
    <row r="128" spans="1:29" ht="15.75" customHeight="1" x14ac:dyDescent="0.15">
      <c r="A128" s="206"/>
      <c r="B128" s="194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  <c r="AA128" s="206"/>
      <c r="AB128" s="544"/>
      <c r="AC128" s="416"/>
    </row>
    <row r="129" spans="1:29" ht="15.75" customHeight="1" x14ac:dyDescent="0.15">
      <c r="A129" s="206"/>
      <c r="B129" s="194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  <c r="AA129" s="206"/>
      <c r="AB129" s="544"/>
      <c r="AC129" s="416"/>
    </row>
    <row r="130" spans="1:29" ht="15.75" customHeight="1" x14ac:dyDescent="0.15">
      <c r="A130" s="206"/>
      <c r="B130" s="194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  <c r="AA130" s="206"/>
      <c r="AB130" s="544"/>
      <c r="AC130" s="416"/>
    </row>
    <row r="131" spans="1:29" ht="15.75" customHeight="1" x14ac:dyDescent="0.15">
      <c r="A131" s="206"/>
      <c r="B131" s="194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  <c r="AA131" s="206"/>
      <c r="AB131" s="544"/>
      <c r="AC131" s="416"/>
    </row>
    <row r="132" spans="1:29" ht="15.75" customHeight="1" x14ac:dyDescent="0.15">
      <c r="A132" s="206"/>
      <c r="B132" s="194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  <c r="AA132" s="206"/>
      <c r="AB132" s="544"/>
      <c r="AC132" s="416"/>
    </row>
    <row r="133" spans="1:29" ht="15.75" customHeight="1" x14ac:dyDescent="0.15">
      <c r="A133" s="206"/>
      <c r="B133" s="194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544"/>
      <c r="AC133" s="416"/>
    </row>
    <row r="134" spans="1:29" ht="15.75" customHeight="1" x14ac:dyDescent="0.15">
      <c r="A134" s="206"/>
      <c r="B134" s="194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  <c r="AA134" s="206"/>
      <c r="AB134" s="544"/>
      <c r="AC134" s="416"/>
    </row>
    <row r="135" spans="1:29" ht="15.75" customHeight="1" x14ac:dyDescent="0.15">
      <c r="A135" s="206"/>
      <c r="B135" s="194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  <c r="AA135" s="206"/>
      <c r="AB135" s="544"/>
      <c r="AC135" s="416"/>
    </row>
    <row r="136" spans="1:29" ht="15.75" customHeight="1" x14ac:dyDescent="0.15">
      <c r="A136" s="206"/>
      <c r="B136" s="194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  <c r="AA136" s="206"/>
      <c r="AB136" s="544"/>
      <c r="AC136" s="416"/>
    </row>
    <row r="137" spans="1:29" ht="15.75" customHeight="1" x14ac:dyDescent="0.15">
      <c r="A137" s="206"/>
      <c r="B137" s="194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  <c r="AA137" s="206"/>
      <c r="AB137" s="544"/>
      <c r="AC137" s="416"/>
    </row>
    <row r="138" spans="1:29" ht="15.75" customHeight="1" x14ac:dyDescent="0.15">
      <c r="A138" s="206"/>
      <c r="B138" s="194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  <c r="AA138" s="206"/>
      <c r="AB138" s="544"/>
      <c r="AC138" s="416"/>
    </row>
    <row r="139" spans="1:29" ht="15.75" customHeight="1" x14ac:dyDescent="0.15">
      <c r="A139" s="206"/>
      <c r="B139" s="194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  <c r="AA139" s="206"/>
      <c r="AB139" s="544"/>
      <c r="AC139" s="416"/>
    </row>
    <row r="140" spans="1:29" ht="15.75" customHeight="1" x14ac:dyDescent="0.15">
      <c r="A140" s="206"/>
      <c r="B140" s="194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544"/>
      <c r="AC140" s="416"/>
    </row>
    <row r="141" spans="1:29" ht="15.75" customHeight="1" x14ac:dyDescent="0.15">
      <c r="A141" s="206"/>
      <c r="B141" s="194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  <c r="AA141" s="206"/>
      <c r="AB141" s="544"/>
      <c r="AC141" s="416"/>
    </row>
    <row r="142" spans="1:29" ht="15.75" customHeight="1" x14ac:dyDescent="0.15">
      <c r="A142" s="206"/>
      <c r="B142" s="194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  <c r="AA142" s="206"/>
      <c r="AB142" s="544"/>
      <c r="AC142" s="416"/>
    </row>
    <row r="143" spans="1:29" ht="15.75" customHeight="1" x14ac:dyDescent="0.15">
      <c r="A143" s="206"/>
      <c r="B143" s="194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544"/>
      <c r="AC143" s="416"/>
    </row>
    <row r="144" spans="1:29" ht="15.75" customHeight="1" x14ac:dyDescent="0.15">
      <c r="A144" s="206"/>
      <c r="B144" s="194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  <c r="AA144" s="206"/>
      <c r="AB144" s="544"/>
      <c r="AC144" s="416"/>
    </row>
    <row r="145" spans="1:29" ht="15.75" customHeight="1" x14ac:dyDescent="0.15">
      <c r="A145" s="206"/>
      <c r="B145" s="194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  <c r="AA145" s="206"/>
      <c r="AB145" s="544"/>
      <c r="AC145" s="416"/>
    </row>
    <row r="146" spans="1:29" ht="15.75" customHeight="1" x14ac:dyDescent="0.15">
      <c r="A146" s="206"/>
      <c r="B146" s="194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  <c r="AA146" s="206"/>
      <c r="AB146" s="544"/>
      <c r="AC146" s="416"/>
    </row>
    <row r="147" spans="1:29" ht="15.75" customHeight="1" x14ac:dyDescent="0.15">
      <c r="A147" s="206"/>
      <c r="B147" s="194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  <c r="AA147" s="206"/>
      <c r="AB147" s="544"/>
      <c r="AC147" s="416"/>
    </row>
    <row r="148" spans="1:29" ht="15.75" customHeight="1" x14ac:dyDescent="0.15">
      <c r="A148" s="206"/>
      <c r="B148" s="194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  <c r="AA148" s="206"/>
      <c r="AB148" s="544"/>
      <c r="AC148" s="416"/>
    </row>
    <row r="149" spans="1:29" ht="15.75" customHeight="1" x14ac:dyDescent="0.15">
      <c r="A149" s="206"/>
      <c r="B149" s="194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  <c r="AA149" s="206"/>
      <c r="AB149" s="544"/>
      <c r="AC149" s="416"/>
    </row>
    <row r="150" spans="1:29" ht="15.75" customHeight="1" x14ac:dyDescent="0.15">
      <c r="A150" s="206"/>
      <c r="B150" s="194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  <c r="AA150" s="206"/>
      <c r="AB150" s="544"/>
      <c r="AC150" s="416"/>
    </row>
    <row r="151" spans="1:29" ht="15.75" customHeight="1" x14ac:dyDescent="0.15">
      <c r="A151" s="206"/>
      <c r="B151" s="194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  <c r="AA151" s="206"/>
      <c r="AB151" s="544"/>
      <c r="AC151" s="416"/>
    </row>
    <row r="152" spans="1:29" ht="15.75" customHeight="1" x14ac:dyDescent="0.15">
      <c r="A152" s="206"/>
      <c r="B152" s="194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  <c r="AA152" s="206"/>
      <c r="AB152" s="544"/>
      <c r="AC152" s="416"/>
    </row>
    <row r="153" spans="1:29" ht="15.75" customHeight="1" x14ac:dyDescent="0.15">
      <c r="A153" s="206"/>
      <c r="B153" s="194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  <c r="AA153" s="206"/>
      <c r="AB153" s="544"/>
      <c r="AC153" s="416"/>
    </row>
    <row r="154" spans="1:29" ht="15.75" customHeight="1" x14ac:dyDescent="0.15">
      <c r="A154" s="206"/>
      <c r="B154" s="194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  <c r="AA154" s="206"/>
      <c r="AB154" s="544"/>
      <c r="AC154" s="416"/>
    </row>
    <row r="155" spans="1:29" ht="15.75" customHeight="1" x14ac:dyDescent="0.15">
      <c r="A155" s="206"/>
      <c r="B155" s="194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  <c r="AA155" s="206"/>
      <c r="AB155" s="544"/>
      <c r="AC155" s="416"/>
    </row>
    <row r="156" spans="1:29" ht="15.75" customHeight="1" x14ac:dyDescent="0.15">
      <c r="A156" s="206"/>
      <c r="B156" s="194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  <c r="AA156" s="206"/>
      <c r="AB156" s="544"/>
      <c r="AC156" s="416"/>
    </row>
    <row r="157" spans="1:29" ht="15.75" customHeight="1" x14ac:dyDescent="0.15">
      <c r="A157" s="206"/>
      <c r="B157" s="194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  <c r="AA157" s="206"/>
      <c r="AB157" s="544"/>
      <c r="AC157" s="416"/>
    </row>
    <row r="158" spans="1:29" ht="15.75" customHeight="1" x14ac:dyDescent="0.15">
      <c r="A158" s="206"/>
      <c r="B158" s="194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  <c r="AA158" s="206"/>
      <c r="AB158" s="544"/>
      <c r="AC158" s="416"/>
    </row>
    <row r="159" spans="1:29" ht="15.75" customHeight="1" x14ac:dyDescent="0.15">
      <c r="A159" s="206"/>
      <c r="B159" s="194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  <c r="AA159" s="206"/>
      <c r="AB159" s="544"/>
      <c r="AC159" s="416"/>
    </row>
    <row r="160" spans="1:29" ht="15.75" customHeight="1" x14ac:dyDescent="0.15">
      <c r="A160" s="206"/>
      <c r="B160" s="194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  <c r="AA160" s="206"/>
      <c r="AB160" s="544"/>
      <c r="AC160" s="416"/>
    </row>
    <row r="161" spans="1:29" ht="15.75" customHeight="1" x14ac:dyDescent="0.15">
      <c r="A161" s="206"/>
      <c r="B161" s="194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  <c r="AA161" s="206"/>
      <c r="AB161" s="544"/>
      <c r="AC161" s="416"/>
    </row>
    <row r="162" spans="1:29" ht="15.75" customHeight="1" x14ac:dyDescent="0.15">
      <c r="A162" s="206"/>
      <c r="B162" s="194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544"/>
      <c r="AC162" s="416"/>
    </row>
    <row r="163" spans="1:29" ht="15.75" customHeight="1" x14ac:dyDescent="0.15">
      <c r="A163" s="206"/>
      <c r="B163" s="194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  <c r="AA163" s="206"/>
      <c r="AB163" s="544"/>
      <c r="AC163" s="416"/>
    </row>
    <row r="164" spans="1:29" ht="15.75" customHeight="1" x14ac:dyDescent="0.15">
      <c r="A164" s="206"/>
      <c r="B164" s="194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  <c r="AA164" s="206"/>
      <c r="AB164" s="544"/>
      <c r="AC164" s="416"/>
    </row>
    <row r="165" spans="1:29" ht="15.75" customHeight="1" x14ac:dyDescent="0.15">
      <c r="A165" s="206"/>
      <c r="B165" s="194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  <c r="AA165" s="206"/>
      <c r="AB165" s="544"/>
      <c r="AC165" s="416"/>
    </row>
    <row r="166" spans="1:29" ht="15.75" customHeight="1" x14ac:dyDescent="0.15">
      <c r="A166" s="206"/>
      <c r="B166" s="194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  <c r="AA166" s="206"/>
      <c r="AB166" s="544"/>
      <c r="AC166" s="416"/>
    </row>
    <row r="167" spans="1:29" ht="15.75" customHeight="1" x14ac:dyDescent="0.15">
      <c r="A167" s="206"/>
      <c r="B167" s="194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  <c r="AA167" s="206"/>
      <c r="AB167" s="544"/>
      <c r="AC167" s="416"/>
    </row>
    <row r="168" spans="1:29" ht="15.75" customHeight="1" x14ac:dyDescent="0.15">
      <c r="A168" s="206"/>
      <c r="B168" s="194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  <c r="AA168" s="206"/>
      <c r="AB168" s="544"/>
      <c r="AC168" s="416"/>
    </row>
    <row r="169" spans="1:29" ht="15.75" customHeight="1" x14ac:dyDescent="0.15">
      <c r="A169" s="206"/>
      <c r="B169" s="194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  <c r="AA169" s="206"/>
      <c r="AB169" s="544"/>
      <c r="AC169" s="416"/>
    </row>
    <row r="170" spans="1:29" ht="15.75" customHeight="1" x14ac:dyDescent="0.15">
      <c r="A170" s="206"/>
      <c r="B170" s="194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  <c r="AA170" s="206"/>
      <c r="AB170" s="544"/>
      <c r="AC170" s="416"/>
    </row>
    <row r="171" spans="1:29" ht="15.75" customHeight="1" x14ac:dyDescent="0.15">
      <c r="A171" s="206"/>
      <c r="B171" s="194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  <c r="AA171" s="206"/>
      <c r="AB171" s="544"/>
      <c r="AC171" s="416"/>
    </row>
    <row r="172" spans="1:29" ht="15.75" customHeight="1" x14ac:dyDescent="0.15">
      <c r="A172" s="206"/>
      <c r="B172" s="194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  <c r="AA172" s="206"/>
      <c r="AB172" s="544"/>
      <c r="AC172" s="416"/>
    </row>
    <row r="173" spans="1:29" ht="15.75" customHeight="1" x14ac:dyDescent="0.15">
      <c r="A173" s="206"/>
      <c r="B173" s="194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  <c r="AA173" s="206"/>
      <c r="AB173" s="544"/>
      <c r="AC173" s="416"/>
    </row>
    <row r="174" spans="1:29" ht="15.75" customHeight="1" x14ac:dyDescent="0.15">
      <c r="A174" s="206"/>
      <c r="B174" s="194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  <c r="AA174" s="206"/>
      <c r="AB174" s="544"/>
      <c r="AC174" s="416"/>
    </row>
    <row r="175" spans="1:29" ht="15.75" customHeight="1" x14ac:dyDescent="0.15">
      <c r="A175" s="206"/>
      <c r="B175" s="194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  <c r="AA175" s="206"/>
      <c r="AB175" s="544"/>
      <c r="AC175" s="416"/>
    </row>
    <row r="176" spans="1:29" ht="15.75" customHeight="1" x14ac:dyDescent="0.15">
      <c r="A176" s="206"/>
      <c r="B176" s="194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  <c r="AA176" s="206"/>
      <c r="AB176" s="544"/>
      <c r="AC176" s="416"/>
    </row>
    <row r="177" spans="1:29" ht="15.75" customHeight="1" x14ac:dyDescent="0.15">
      <c r="A177" s="206"/>
      <c r="B177" s="194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  <c r="AA177" s="206"/>
      <c r="AB177" s="544"/>
      <c r="AC177" s="416"/>
    </row>
    <row r="178" spans="1:29" ht="15.75" customHeight="1" x14ac:dyDescent="0.15">
      <c r="A178" s="206"/>
      <c r="B178" s="194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  <c r="AA178" s="206"/>
      <c r="AB178" s="544"/>
      <c r="AC178" s="416"/>
    </row>
    <row r="179" spans="1:29" ht="15.75" customHeight="1" x14ac:dyDescent="0.15">
      <c r="A179" s="206"/>
      <c r="B179" s="194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  <c r="AA179" s="206"/>
      <c r="AB179" s="544"/>
      <c r="AC179" s="416"/>
    </row>
    <row r="180" spans="1:29" ht="15.75" customHeight="1" x14ac:dyDescent="0.15">
      <c r="A180" s="206"/>
      <c r="B180" s="194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  <c r="AA180" s="206"/>
      <c r="AB180" s="544"/>
      <c r="AC180" s="416"/>
    </row>
    <row r="181" spans="1:29" ht="15.75" customHeight="1" x14ac:dyDescent="0.15">
      <c r="A181" s="206"/>
      <c r="B181" s="194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  <c r="AA181" s="206"/>
      <c r="AB181" s="544"/>
      <c r="AC181" s="416"/>
    </row>
    <row r="182" spans="1:29" ht="15.75" customHeight="1" x14ac:dyDescent="0.15">
      <c r="A182" s="206"/>
      <c r="B182" s="194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  <c r="AA182" s="206"/>
      <c r="AB182" s="544"/>
      <c r="AC182" s="416"/>
    </row>
    <row r="183" spans="1:29" ht="15.75" customHeight="1" x14ac:dyDescent="0.15">
      <c r="A183" s="206"/>
      <c r="B183" s="194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  <c r="AA183" s="206"/>
      <c r="AB183" s="544"/>
      <c r="AC183" s="416"/>
    </row>
    <row r="184" spans="1:29" ht="15.75" customHeight="1" x14ac:dyDescent="0.15">
      <c r="A184" s="206"/>
      <c r="B184" s="194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  <c r="AA184" s="206"/>
      <c r="AB184" s="544"/>
      <c r="AC184" s="416"/>
    </row>
    <row r="185" spans="1:29" ht="15.75" customHeight="1" x14ac:dyDescent="0.15">
      <c r="A185" s="206"/>
      <c r="B185" s="194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  <c r="AA185" s="206"/>
      <c r="AB185" s="544"/>
      <c r="AC185" s="416"/>
    </row>
    <row r="186" spans="1:29" ht="15.75" customHeight="1" x14ac:dyDescent="0.15">
      <c r="A186" s="206"/>
      <c r="B186" s="194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  <c r="AA186" s="206"/>
      <c r="AB186" s="544"/>
      <c r="AC186" s="416"/>
    </row>
    <row r="187" spans="1:29" ht="15.75" customHeight="1" x14ac:dyDescent="0.15">
      <c r="A187" s="206"/>
      <c r="B187" s="194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  <c r="AA187" s="206"/>
      <c r="AB187" s="544"/>
      <c r="AC187" s="416"/>
    </row>
    <row r="188" spans="1:29" ht="15.75" customHeight="1" x14ac:dyDescent="0.15">
      <c r="A188" s="206"/>
      <c r="B188" s="194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  <c r="AA188" s="206"/>
      <c r="AB188" s="544"/>
      <c r="AC188" s="416"/>
    </row>
    <row r="189" spans="1:29" ht="15.75" customHeight="1" x14ac:dyDescent="0.15">
      <c r="A189" s="206"/>
      <c r="B189" s="194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  <c r="AA189" s="206"/>
      <c r="AB189" s="544"/>
      <c r="AC189" s="416"/>
    </row>
    <row r="190" spans="1:29" ht="15.75" customHeight="1" x14ac:dyDescent="0.15">
      <c r="A190" s="206"/>
      <c r="B190" s="194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  <c r="AA190" s="206"/>
      <c r="AB190" s="544"/>
      <c r="AC190" s="416"/>
    </row>
    <row r="191" spans="1:29" ht="15.75" customHeight="1" x14ac:dyDescent="0.15">
      <c r="A191" s="206"/>
      <c r="B191" s="194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  <c r="AA191" s="206"/>
      <c r="AB191" s="544"/>
      <c r="AC191" s="416"/>
    </row>
    <row r="192" spans="1:29" ht="15.75" customHeight="1" x14ac:dyDescent="0.15">
      <c r="A192" s="206"/>
      <c r="B192" s="194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  <c r="AA192" s="206"/>
      <c r="AB192" s="544"/>
      <c r="AC192" s="416"/>
    </row>
    <row r="193" spans="1:29" ht="15.75" customHeight="1" x14ac:dyDescent="0.15">
      <c r="A193" s="206"/>
      <c r="B193" s="194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  <c r="AA193" s="206"/>
      <c r="AB193" s="544"/>
      <c r="AC193" s="416"/>
    </row>
    <row r="194" spans="1:29" ht="15.75" customHeight="1" x14ac:dyDescent="0.15">
      <c r="A194" s="206"/>
      <c r="B194" s="194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  <c r="AA194" s="206"/>
      <c r="AB194" s="544"/>
      <c r="AC194" s="416"/>
    </row>
    <row r="195" spans="1:29" ht="15.75" customHeight="1" x14ac:dyDescent="0.15">
      <c r="A195" s="206"/>
      <c r="B195" s="194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  <c r="AA195" s="206"/>
      <c r="AB195" s="544"/>
      <c r="AC195" s="416"/>
    </row>
    <row r="196" spans="1:29" ht="15.75" customHeight="1" x14ac:dyDescent="0.15">
      <c r="A196" s="206"/>
      <c r="B196" s="194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  <c r="AA196" s="206"/>
      <c r="AB196" s="544"/>
      <c r="AC196" s="416"/>
    </row>
    <row r="197" spans="1:29" ht="15.75" customHeight="1" x14ac:dyDescent="0.15">
      <c r="A197" s="206"/>
      <c r="B197" s="194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  <c r="AA197" s="206"/>
      <c r="AB197" s="544"/>
      <c r="AC197" s="416"/>
    </row>
    <row r="198" spans="1:29" ht="15.75" customHeight="1" x14ac:dyDescent="0.15">
      <c r="A198" s="206"/>
      <c r="B198" s="194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  <c r="AA198" s="206"/>
      <c r="AB198" s="544"/>
      <c r="AC198" s="416"/>
    </row>
    <row r="199" spans="1:29" ht="15.75" customHeight="1" x14ac:dyDescent="0.15">
      <c r="A199" s="206"/>
      <c r="B199" s="194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  <c r="AA199" s="206"/>
      <c r="AB199" s="544"/>
      <c r="AC199" s="416"/>
    </row>
    <row r="200" spans="1:29" ht="15.75" customHeight="1" x14ac:dyDescent="0.15">
      <c r="A200" s="206"/>
      <c r="B200" s="194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  <c r="AA200" s="206"/>
      <c r="AB200" s="544"/>
      <c r="AC200" s="416"/>
    </row>
    <row r="201" spans="1:29" ht="15.75" customHeight="1" x14ac:dyDescent="0.15">
      <c r="A201" s="206"/>
      <c r="B201" s="194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  <c r="AA201" s="206"/>
      <c r="AB201" s="544"/>
      <c r="AC201" s="416"/>
    </row>
    <row r="202" spans="1:29" ht="15.75" customHeight="1" x14ac:dyDescent="0.15">
      <c r="A202" s="206"/>
      <c r="B202" s="194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  <c r="AA202" s="206"/>
      <c r="AB202" s="544"/>
      <c r="AC202" s="416"/>
    </row>
    <row r="203" spans="1:29" ht="15.75" customHeight="1" x14ac:dyDescent="0.15">
      <c r="A203" s="206"/>
      <c r="B203" s="194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  <c r="AA203" s="206"/>
      <c r="AB203" s="544"/>
      <c r="AC203" s="416"/>
    </row>
    <row r="204" spans="1:29" ht="15.75" customHeight="1" x14ac:dyDescent="0.15">
      <c r="A204" s="206"/>
      <c r="B204" s="194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  <c r="AA204" s="206"/>
      <c r="AB204" s="544"/>
      <c r="AC204" s="416"/>
    </row>
    <row r="205" spans="1:29" ht="15.75" customHeight="1" x14ac:dyDescent="0.15">
      <c r="A205" s="206"/>
      <c r="B205" s="194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544"/>
      <c r="AC205" s="416"/>
    </row>
    <row r="206" spans="1:29" ht="15.75" customHeight="1" x14ac:dyDescent="0.15">
      <c r="A206" s="206"/>
      <c r="B206" s="194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  <c r="AA206" s="206"/>
      <c r="AB206" s="544"/>
      <c r="AC206" s="416"/>
    </row>
    <row r="207" spans="1:29" ht="15.75" customHeight="1" x14ac:dyDescent="0.15">
      <c r="A207" s="206"/>
      <c r="B207" s="194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544"/>
      <c r="AC207" s="416"/>
    </row>
    <row r="208" spans="1:29" ht="15.75" customHeight="1" x14ac:dyDescent="0.15">
      <c r="A208" s="206"/>
      <c r="B208" s="194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  <c r="AA208" s="206"/>
      <c r="AB208" s="544"/>
      <c r="AC208" s="416"/>
    </row>
    <row r="209" spans="1:29" ht="15.75" customHeight="1" x14ac:dyDescent="0.15">
      <c r="A209" s="206"/>
      <c r="B209" s="194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  <c r="AA209" s="206"/>
      <c r="AB209" s="544"/>
      <c r="AC209" s="416"/>
    </row>
    <row r="210" spans="1:29" ht="15.75" customHeight="1" x14ac:dyDescent="0.15">
      <c r="A210" s="206"/>
      <c r="B210" s="194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  <c r="AA210" s="206"/>
      <c r="AB210" s="544"/>
      <c r="AC210" s="416"/>
    </row>
    <row r="211" spans="1:29" ht="15.75" customHeight="1" x14ac:dyDescent="0.15">
      <c r="A211" s="206"/>
      <c r="B211" s="194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  <c r="AA211" s="206"/>
      <c r="AB211" s="544"/>
      <c r="AC211" s="416"/>
    </row>
    <row r="212" spans="1:29" ht="15.75" customHeight="1" x14ac:dyDescent="0.15">
      <c r="A212" s="206"/>
      <c r="B212" s="194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  <c r="AA212" s="206"/>
      <c r="AB212" s="544"/>
      <c r="AC212" s="416"/>
    </row>
    <row r="213" spans="1:29" ht="15.75" customHeight="1" x14ac:dyDescent="0.15">
      <c r="A213" s="206"/>
      <c r="B213" s="194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  <c r="AA213" s="206"/>
      <c r="AB213" s="544"/>
      <c r="AC213" s="416"/>
    </row>
    <row r="214" spans="1:29" ht="15.75" customHeight="1" x14ac:dyDescent="0.15">
      <c r="A214" s="206"/>
      <c r="B214" s="194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  <c r="AA214" s="206"/>
      <c r="AB214" s="544"/>
      <c r="AC214" s="416"/>
    </row>
    <row r="215" spans="1:29" ht="15.75" customHeight="1" x14ac:dyDescent="0.15">
      <c r="A215" s="206"/>
      <c r="B215" s="194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  <c r="AA215" s="206"/>
      <c r="AB215" s="544"/>
      <c r="AC215" s="416"/>
    </row>
    <row r="216" spans="1:29" ht="15.75" customHeight="1" x14ac:dyDescent="0.15">
      <c r="A216" s="206"/>
      <c r="B216" s="194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  <c r="AA216" s="206"/>
      <c r="AB216" s="544"/>
      <c r="AC216" s="416"/>
    </row>
    <row r="217" spans="1:29" ht="15.75" customHeight="1" x14ac:dyDescent="0.15">
      <c r="A217" s="206"/>
      <c r="B217" s="194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  <c r="AA217" s="206"/>
      <c r="AB217" s="544"/>
      <c r="AC217" s="416"/>
    </row>
    <row r="218" spans="1:29" ht="15.75" customHeight="1" x14ac:dyDescent="0.15">
      <c r="A218" s="206"/>
      <c r="B218" s="194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  <c r="AA218" s="206"/>
      <c r="AB218" s="544"/>
      <c r="AC218" s="416"/>
    </row>
    <row r="219" spans="1:29" ht="15.75" customHeight="1" x14ac:dyDescent="0.15">
      <c r="A219" s="206"/>
      <c r="B219" s="194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  <c r="AA219" s="206"/>
      <c r="AB219" s="544"/>
      <c r="AC219" s="416"/>
    </row>
    <row r="220" spans="1:29" ht="15.75" customHeight="1" x14ac:dyDescent="0.15">
      <c r="A220" s="206"/>
      <c r="B220" s="194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  <c r="AA220" s="206"/>
      <c r="AB220" s="544"/>
      <c r="AC220" s="416"/>
    </row>
    <row r="221" spans="1:29" ht="15.75" customHeight="1" x14ac:dyDescent="0.15">
      <c r="A221" s="206"/>
      <c r="B221" s="194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  <c r="AA221" s="206"/>
      <c r="AB221" s="544"/>
      <c r="AC221" s="416"/>
    </row>
    <row r="222" spans="1:29" ht="15.75" customHeight="1" x14ac:dyDescent="0.15">
      <c r="A222" s="206"/>
      <c r="B222" s="194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  <c r="AA222" s="206"/>
      <c r="AB222" s="544"/>
      <c r="AC222" s="416"/>
    </row>
    <row r="223" spans="1:29" ht="15.75" customHeight="1" x14ac:dyDescent="0.15">
      <c r="A223" s="206"/>
      <c r="B223" s="194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  <c r="AA223" s="206"/>
      <c r="AB223" s="544"/>
      <c r="AC223" s="416"/>
    </row>
    <row r="224" spans="1:29" ht="15.75" customHeight="1" x14ac:dyDescent="0.15">
      <c r="A224" s="206"/>
      <c r="B224" s="194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  <c r="AA224" s="206"/>
      <c r="AB224" s="544"/>
      <c r="AC224" s="416"/>
    </row>
    <row r="225" spans="1:29" ht="15.75" customHeight="1" x14ac:dyDescent="0.15">
      <c r="A225" s="206"/>
      <c r="B225" s="194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544"/>
      <c r="AC225" s="416"/>
    </row>
    <row r="226" spans="1:29" ht="15.75" customHeight="1" x14ac:dyDescent="0.15">
      <c r="A226" s="206"/>
      <c r="B226" s="194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544"/>
      <c r="AC226" s="416"/>
    </row>
    <row r="227" spans="1:29" ht="15.75" customHeight="1" x14ac:dyDescent="0.15">
      <c r="A227" s="206"/>
      <c r="B227" s="194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  <c r="AA227" s="206"/>
      <c r="AB227" s="544"/>
      <c r="AC227" s="416"/>
    </row>
    <row r="228" spans="1:29" ht="15.75" customHeight="1" x14ac:dyDescent="0.15">
      <c r="A228" s="206"/>
      <c r="B228" s="194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  <c r="AA228" s="206"/>
      <c r="AB228" s="544"/>
      <c r="AC228" s="416"/>
    </row>
    <row r="229" spans="1:29" ht="15.75" customHeight="1" x14ac:dyDescent="0.15">
      <c r="A229" s="206"/>
      <c r="B229" s="194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  <c r="AA229" s="206"/>
      <c r="AB229" s="544"/>
      <c r="AC229" s="416"/>
    </row>
    <row r="230" spans="1:29" ht="15.75" customHeight="1" x14ac:dyDescent="0.15">
      <c r="A230" s="206"/>
      <c r="B230" s="194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  <c r="AA230" s="206"/>
      <c r="AB230" s="544"/>
      <c r="AC230" s="416"/>
    </row>
    <row r="231" spans="1:29" ht="15.75" customHeight="1" x14ac:dyDescent="0.15">
      <c r="A231" s="206"/>
      <c r="B231" s="194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  <c r="AA231" s="206"/>
      <c r="AB231" s="544"/>
      <c r="AC231" s="416"/>
    </row>
    <row r="232" spans="1:29" ht="15.75" customHeight="1" x14ac:dyDescent="0.15">
      <c r="A232" s="206"/>
      <c r="B232" s="194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  <c r="AA232" s="206"/>
      <c r="AB232" s="544"/>
      <c r="AC232" s="416"/>
    </row>
    <row r="233" spans="1:29" ht="15.75" customHeight="1" x14ac:dyDescent="0.15">
      <c r="A233" s="206"/>
      <c r="B233" s="194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  <c r="AA233" s="206"/>
      <c r="AB233" s="544"/>
      <c r="AC233" s="416"/>
    </row>
    <row r="234" spans="1:29" ht="15.75" customHeight="1" x14ac:dyDescent="0.15">
      <c r="A234" s="206"/>
      <c r="B234" s="194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  <c r="AA234" s="206"/>
      <c r="AB234" s="544"/>
      <c r="AC234" s="416"/>
    </row>
    <row r="235" spans="1:29" ht="15.75" customHeight="1" x14ac:dyDescent="0.15">
      <c r="A235" s="206"/>
      <c r="B235" s="194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  <c r="AA235" s="206"/>
      <c r="AB235" s="544"/>
      <c r="AC235" s="416"/>
    </row>
    <row r="236" spans="1:29" ht="15.75" customHeight="1" x14ac:dyDescent="0.15">
      <c r="A236" s="206"/>
      <c r="B236" s="194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  <c r="AA236" s="206"/>
      <c r="AB236" s="544"/>
      <c r="AC236" s="416"/>
    </row>
    <row r="237" spans="1:29" ht="15.75" customHeight="1" x14ac:dyDescent="0.15">
      <c r="A237" s="206"/>
      <c r="B237" s="194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  <c r="AA237" s="206"/>
      <c r="AB237" s="544"/>
      <c r="AC237" s="416"/>
    </row>
    <row r="238" spans="1:29" ht="15.75" customHeight="1" x14ac:dyDescent="0.15">
      <c r="A238" s="206"/>
      <c r="B238" s="194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  <c r="AA238" s="206"/>
      <c r="AB238" s="544"/>
      <c r="AC238" s="416"/>
    </row>
    <row r="239" spans="1:29" ht="15.75" customHeight="1" x14ac:dyDescent="0.15">
      <c r="A239" s="206"/>
      <c r="B239" s="194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  <c r="AA239" s="206"/>
      <c r="AB239" s="544"/>
      <c r="AC239" s="416"/>
    </row>
    <row r="240" spans="1:29" ht="15.75" customHeight="1" x14ac:dyDescent="0.15">
      <c r="A240" s="206"/>
      <c r="B240" s="194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  <c r="AB240" s="544"/>
      <c r="AC240" s="416"/>
    </row>
    <row r="241" spans="1:29" ht="15.75" customHeight="1" x14ac:dyDescent="0.15">
      <c r="A241" s="206"/>
      <c r="B241" s="194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  <c r="AA241" s="206"/>
      <c r="AB241" s="544"/>
      <c r="AC241" s="416"/>
    </row>
    <row r="242" spans="1:29" ht="15.75" customHeight="1" x14ac:dyDescent="0.15">
      <c r="A242" s="206"/>
      <c r="B242" s="194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  <c r="AB242" s="544"/>
      <c r="AC242" s="416"/>
    </row>
    <row r="243" spans="1:29" ht="15.75" customHeight="1" x14ac:dyDescent="0.15">
      <c r="A243" s="206"/>
      <c r="B243" s="194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  <c r="AB243" s="544"/>
      <c r="AC243" s="416"/>
    </row>
    <row r="244" spans="1:29" ht="15.75" customHeight="1" x14ac:dyDescent="0.15">
      <c r="A244" s="206"/>
      <c r="B244" s="194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  <c r="AA244" s="206"/>
      <c r="AB244" s="544"/>
      <c r="AC244" s="416"/>
    </row>
    <row r="245" spans="1:29" ht="15.75" customHeight="1" x14ac:dyDescent="0.15">
      <c r="A245" s="206"/>
      <c r="B245" s="194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  <c r="AA245" s="206"/>
      <c r="AB245" s="544"/>
      <c r="AC245" s="416"/>
    </row>
    <row r="246" spans="1:29" ht="15.75" customHeight="1" x14ac:dyDescent="0.15">
      <c r="A246" s="206"/>
      <c r="B246" s="194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  <c r="AA246" s="206"/>
      <c r="AB246" s="544"/>
      <c r="AC246" s="416"/>
    </row>
    <row r="247" spans="1:29" ht="15.75" customHeight="1" x14ac:dyDescent="0.15">
      <c r="A247" s="206"/>
      <c r="B247" s="194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  <c r="AB247" s="544"/>
      <c r="AC247" s="416"/>
    </row>
    <row r="248" spans="1:29" ht="15.75" customHeight="1" x14ac:dyDescent="0.15">
      <c r="A248" s="206"/>
      <c r="B248" s="194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  <c r="AB248" s="544"/>
      <c r="AC248" s="416"/>
    </row>
    <row r="249" spans="1:29" ht="15.75" customHeight="1" x14ac:dyDescent="0.15">
      <c r="A249" s="206"/>
      <c r="B249" s="194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  <c r="AB249" s="544"/>
      <c r="AC249" s="416"/>
    </row>
    <row r="250" spans="1:29" ht="15.75" customHeight="1" x14ac:dyDescent="0.15">
      <c r="A250" s="206"/>
      <c r="B250" s="194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  <c r="AA250" s="206"/>
      <c r="AB250" s="544"/>
      <c r="AC250" s="416"/>
    </row>
    <row r="251" spans="1:29" ht="15.75" customHeight="1" x14ac:dyDescent="0.15">
      <c r="A251" s="206"/>
      <c r="B251" s="194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  <c r="AA251" s="206"/>
      <c r="AB251" s="544"/>
      <c r="AC251" s="416"/>
    </row>
    <row r="252" spans="1:29" ht="15.75" customHeight="1" x14ac:dyDescent="0.15">
      <c r="A252" s="206"/>
      <c r="B252" s="194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  <c r="AA252" s="206"/>
      <c r="AB252" s="544"/>
      <c r="AC252" s="416"/>
    </row>
    <row r="253" spans="1:29" ht="15.75" customHeight="1" x14ac:dyDescent="0.15">
      <c r="A253" s="206"/>
      <c r="B253" s="194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  <c r="AA253" s="206"/>
      <c r="AB253" s="544"/>
      <c r="AC253" s="416"/>
    </row>
    <row r="254" spans="1:29" ht="15.75" customHeight="1" x14ac:dyDescent="0.15">
      <c r="A254" s="206"/>
      <c r="B254" s="194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  <c r="AA254" s="206"/>
      <c r="AB254" s="544"/>
      <c r="AC254" s="416"/>
    </row>
    <row r="255" spans="1:29" ht="15.75" customHeight="1" x14ac:dyDescent="0.15">
      <c r="A255" s="206"/>
      <c r="B255" s="194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  <c r="AA255" s="206"/>
      <c r="AB255" s="544"/>
      <c r="AC255" s="416"/>
    </row>
    <row r="256" spans="1:29" ht="15.75" customHeight="1" x14ac:dyDescent="0.15">
      <c r="A256" s="206"/>
      <c r="B256" s="194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  <c r="AA256" s="206"/>
      <c r="AB256" s="544"/>
      <c r="AC256" s="416"/>
    </row>
    <row r="257" spans="1:29" ht="15.75" customHeight="1" x14ac:dyDescent="0.15">
      <c r="A257" s="206"/>
      <c r="B257" s="194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  <c r="AA257" s="206"/>
      <c r="AB257" s="544"/>
      <c r="AC257" s="416"/>
    </row>
    <row r="258" spans="1:29" ht="15.75" customHeight="1" x14ac:dyDescent="0.15">
      <c r="A258" s="206"/>
      <c r="B258" s="194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  <c r="AA258" s="206"/>
      <c r="AB258" s="544"/>
      <c r="AC258" s="416"/>
    </row>
    <row r="259" spans="1:29" ht="15.75" customHeight="1" x14ac:dyDescent="0.15">
      <c r="A259" s="206"/>
      <c r="B259" s="194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544"/>
      <c r="AC259" s="416"/>
    </row>
    <row r="260" spans="1:29" ht="15.75" customHeight="1" x14ac:dyDescent="0.15">
      <c r="A260" s="206"/>
      <c r="B260" s="194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  <c r="AA260" s="206"/>
      <c r="AB260" s="544"/>
      <c r="AC260" s="416"/>
    </row>
    <row r="261" spans="1:29" ht="15.75" customHeight="1" x14ac:dyDescent="0.15">
      <c r="A261" s="206"/>
      <c r="B261" s="194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  <c r="AA261" s="206"/>
      <c r="AB261" s="544"/>
      <c r="AC261" s="416"/>
    </row>
    <row r="262" spans="1:29" ht="15.75" customHeight="1" x14ac:dyDescent="0.15">
      <c r="A262" s="206"/>
      <c r="B262" s="194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  <c r="AA262" s="206"/>
      <c r="AB262" s="544"/>
      <c r="AC262" s="416"/>
    </row>
    <row r="263" spans="1:29" ht="15.75" customHeight="1" x14ac:dyDescent="0.15">
      <c r="A263" s="206"/>
      <c r="B263" s="194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  <c r="AA263" s="206"/>
      <c r="AB263" s="544"/>
      <c r="AC263" s="416"/>
    </row>
    <row r="264" spans="1:29" ht="15.75" customHeight="1" x14ac:dyDescent="0.15">
      <c r="A264" s="206"/>
      <c r="B264" s="194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  <c r="AA264" s="206"/>
      <c r="AB264" s="544"/>
      <c r="AC264" s="416"/>
    </row>
    <row r="265" spans="1:29" ht="15.75" customHeight="1" x14ac:dyDescent="0.15">
      <c r="A265" s="206"/>
      <c r="B265" s="194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  <c r="AA265" s="206"/>
      <c r="AB265" s="544"/>
      <c r="AC265" s="416"/>
    </row>
    <row r="266" spans="1:29" ht="15.75" customHeight="1" x14ac:dyDescent="0.15">
      <c r="A266" s="206"/>
      <c r="B266" s="194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  <c r="AA266" s="206"/>
      <c r="AB266" s="544"/>
      <c r="AC266" s="416"/>
    </row>
    <row r="267" spans="1:29" ht="15.75" customHeight="1" x14ac:dyDescent="0.15">
      <c r="A267" s="206"/>
      <c r="B267" s="194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  <c r="AA267" s="206"/>
      <c r="AB267" s="544"/>
      <c r="AC267" s="416"/>
    </row>
    <row r="268" spans="1:29" ht="15.75" customHeight="1" x14ac:dyDescent="0.15">
      <c r="A268" s="206"/>
      <c r="B268" s="194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  <c r="AA268" s="206"/>
      <c r="AB268" s="544"/>
      <c r="AC268" s="416"/>
    </row>
    <row r="269" spans="1:29" ht="15.75" customHeight="1" x14ac:dyDescent="0.15">
      <c r="A269" s="206"/>
      <c r="B269" s="194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  <c r="AA269" s="206"/>
      <c r="AB269" s="544"/>
      <c r="AC269" s="416"/>
    </row>
    <row r="270" spans="1:29" ht="15.75" customHeight="1" x14ac:dyDescent="0.15">
      <c r="A270" s="206"/>
      <c r="B270" s="194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544"/>
      <c r="AC270" s="416"/>
    </row>
    <row r="271" spans="1:29" ht="15.75" customHeight="1" x14ac:dyDescent="0.15">
      <c r="A271" s="206"/>
      <c r="B271" s="194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  <c r="AA271" s="206"/>
      <c r="AB271" s="544"/>
      <c r="AC271" s="416"/>
    </row>
    <row r="272" spans="1:29" ht="15.75" customHeight="1" x14ac:dyDescent="0.15">
      <c r="A272" s="206"/>
      <c r="B272" s="194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544"/>
      <c r="AC272" s="416"/>
    </row>
    <row r="273" spans="1:29" ht="15.75" customHeight="1" x14ac:dyDescent="0.15">
      <c r="A273" s="206"/>
      <c r="B273" s="194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  <c r="AA273" s="206"/>
      <c r="AB273" s="544"/>
      <c r="AC273" s="416"/>
    </row>
    <row r="274" spans="1:29" ht="15.75" customHeight="1" x14ac:dyDescent="0.15">
      <c r="A274" s="206"/>
      <c r="B274" s="194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  <c r="AA274" s="206"/>
      <c r="AB274" s="544"/>
      <c r="AC274" s="416"/>
    </row>
    <row r="275" spans="1:29" ht="15.75" customHeight="1" x14ac:dyDescent="0.15">
      <c r="A275" s="206"/>
      <c r="B275" s="194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  <c r="AA275" s="206"/>
      <c r="AB275" s="544"/>
      <c r="AC275" s="416"/>
    </row>
    <row r="276" spans="1:29" ht="15.75" customHeight="1" x14ac:dyDescent="0.15">
      <c r="A276" s="206"/>
      <c r="B276" s="194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  <c r="AA276" s="206"/>
      <c r="AB276" s="544"/>
      <c r="AC276" s="416"/>
    </row>
    <row r="277" spans="1:29" ht="15.75" customHeight="1" x14ac:dyDescent="0.15">
      <c r="A277" s="206"/>
      <c r="B277" s="194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  <c r="AA277" s="206"/>
      <c r="AB277" s="544"/>
      <c r="AC277" s="416"/>
    </row>
    <row r="278" spans="1:29" ht="15.75" customHeight="1" x14ac:dyDescent="0.15">
      <c r="A278" s="206"/>
      <c r="B278" s="194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  <c r="AA278" s="206"/>
      <c r="AB278" s="544"/>
      <c r="AC278" s="416"/>
    </row>
    <row r="279" spans="1:29" ht="15.75" customHeight="1" x14ac:dyDescent="0.15">
      <c r="A279" s="206"/>
      <c r="B279" s="194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  <c r="AA279" s="206"/>
      <c r="AB279" s="544"/>
      <c r="AC279" s="416"/>
    </row>
    <row r="280" spans="1:29" ht="15.75" customHeight="1" x14ac:dyDescent="0.15">
      <c r="A280" s="206"/>
      <c r="B280" s="194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  <c r="AA280" s="206"/>
      <c r="AB280" s="544"/>
      <c r="AC280" s="416"/>
    </row>
    <row r="281" spans="1:29" ht="15.75" customHeight="1" x14ac:dyDescent="0.15">
      <c r="A281" s="206"/>
      <c r="B281" s="194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  <c r="AA281" s="206"/>
      <c r="AB281" s="544"/>
      <c r="AC281" s="416"/>
    </row>
    <row r="282" spans="1:29" ht="15.75" customHeight="1" x14ac:dyDescent="0.15">
      <c r="A282" s="206"/>
      <c r="B282" s="194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  <c r="AA282" s="206"/>
      <c r="AB282" s="544"/>
      <c r="AC282" s="416"/>
    </row>
    <row r="283" spans="1:29" ht="15.75" customHeight="1" x14ac:dyDescent="0.15">
      <c r="A283" s="206"/>
      <c r="B283" s="194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  <c r="AA283" s="206"/>
      <c r="AB283" s="544"/>
      <c r="AC283" s="416"/>
    </row>
    <row r="284" spans="1:29" ht="15.75" customHeight="1" x14ac:dyDescent="0.15">
      <c r="A284" s="206"/>
      <c r="B284" s="194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  <c r="AA284" s="206"/>
      <c r="AB284" s="544"/>
      <c r="AC284" s="416"/>
    </row>
    <row r="285" spans="1:29" ht="15.75" customHeight="1" x14ac:dyDescent="0.15">
      <c r="A285" s="206"/>
      <c r="B285" s="194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  <c r="AA285" s="206"/>
      <c r="AB285" s="544"/>
      <c r="AC285" s="416"/>
    </row>
    <row r="286" spans="1:29" ht="15.75" customHeight="1" x14ac:dyDescent="0.15">
      <c r="A286" s="206"/>
      <c r="B286" s="194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  <c r="AA286" s="206"/>
      <c r="AB286" s="544"/>
      <c r="AC286" s="416"/>
    </row>
    <row r="287" spans="1:29" ht="15.75" customHeight="1" x14ac:dyDescent="0.15">
      <c r="A287" s="206"/>
      <c r="B287" s="194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  <c r="AA287" s="206"/>
      <c r="AB287" s="544"/>
      <c r="AC287" s="416"/>
    </row>
    <row r="288" spans="1:29" ht="15.75" customHeight="1" x14ac:dyDescent="0.15">
      <c r="A288" s="206"/>
      <c r="B288" s="194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  <c r="AA288" s="206"/>
      <c r="AB288" s="544"/>
      <c r="AC288" s="416"/>
    </row>
    <row r="289" spans="1:29" ht="15.75" customHeight="1" x14ac:dyDescent="0.15">
      <c r="A289" s="206"/>
      <c r="B289" s="194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  <c r="AA289" s="206"/>
      <c r="AB289" s="544"/>
      <c r="AC289" s="416"/>
    </row>
    <row r="290" spans="1:29" ht="15.75" customHeight="1" x14ac:dyDescent="0.15">
      <c r="A290" s="206"/>
      <c r="B290" s="194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  <c r="AA290" s="206"/>
      <c r="AB290" s="544"/>
      <c r="AC290" s="416"/>
    </row>
    <row r="291" spans="1:29" ht="15.75" customHeight="1" x14ac:dyDescent="0.15">
      <c r="A291" s="206"/>
      <c r="B291" s="194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  <c r="AA291" s="206"/>
      <c r="AB291" s="544"/>
      <c r="AC291" s="416"/>
    </row>
    <row r="292" spans="1:29" ht="15.75" customHeight="1" x14ac:dyDescent="0.15">
      <c r="A292" s="206"/>
      <c r="B292" s="194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  <c r="AA292" s="206"/>
      <c r="AB292" s="544"/>
      <c r="AC292" s="416"/>
    </row>
    <row r="293" spans="1:29" ht="15.75" customHeight="1" x14ac:dyDescent="0.15">
      <c r="A293" s="206"/>
      <c r="B293" s="194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  <c r="AA293" s="206"/>
      <c r="AB293" s="544"/>
      <c r="AC293" s="416"/>
    </row>
    <row r="294" spans="1:29" ht="15.75" customHeight="1" x14ac:dyDescent="0.15">
      <c r="A294" s="206"/>
      <c r="B294" s="194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  <c r="AA294" s="206"/>
      <c r="AB294" s="544"/>
      <c r="AC294" s="416"/>
    </row>
    <row r="295" spans="1:29" ht="15.75" customHeight="1" x14ac:dyDescent="0.15">
      <c r="A295" s="206"/>
      <c r="B295" s="194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  <c r="AA295" s="206"/>
      <c r="AB295" s="544"/>
      <c r="AC295" s="416"/>
    </row>
    <row r="296" spans="1:29" ht="15.75" customHeight="1" x14ac:dyDescent="0.15">
      <c r="A296" s="206"/>
      <c r="B296" s="194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  <c r="AA296" s="206"/>
      <c r="AB296" s="544"/>
      <c r="AC296" s="416"/>
    </row>
    <row r="297" spans="1:29" ht="15.75" customHeight="1" x14ac:dyDescent="0.15">
      <c r="A297" s="206"/>
      <c r="B297" s="194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  <c r="AA297" s="206"/>
      <c r="AB297" s="544"/>
      <c r="AC297" s="416"/>
    </row>
    <row r="298" spans="1:29" ht="15.75" customHeight="1" x14ac:dyDescent="0.15">
      <c r="A298" s="206"/>
      <c r="B298" s="194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  <c r="AA298" s="206"/>
      <c r="AB298" s="544"/>
      <c r="AC298" s="416"/>
    </row>
    <row r="299" spans="1:29" ht="15.75" customHeight="1" x14ac:dyDescent="0.15">
      <c r="A299" s="206"/>
      <c r="B299" s="194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  <c r="AA299" s="206"/>
      <c r="AB299" s="544"/>
      <c r="AC299" s="416"/>
    </row>
    <row r="300" spans="1:29" ht="15.75" customHeight="1" x14ac:dyDescent="0.15">
      <c r="A300" s="206"/>
      <c r="B300" s="194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  <c r="AA300" s="206"/>
      <c r="AB300" s="544"/>
      <c r="AC300" s="416"/>
    </row>
    <row r="301" spans="1:29" ht="15.75" customHeight="1" x14ac:dyDescent="0.15">
      <c r="A301" s="206"/>
      <c r="B301" s="194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  <c r="AA301" s="206"/>
      <c r="AB301" s="544"/>
      <c r="AC301" s="416"/>
    </row>
    <row r="302" spans="1:29" ht="15.75" customHeight="1" x14ac:dyDescent="0.15">
      <c r="A302" s="206"/>
      <c r="B302" s="194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  <c r="AA302" s="206"/>
      <c r="AB302" s="544"/>
      <c r="AC302" s="416"/>
    </row>
    <row r="303" spans="1:29" ht="15.75" customHeight="1" x14ac:dyDescent="0.15">
      <c r="A303" s="206"/>
      <c r="B303" s="194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  <c r="AA303" s="206"/>
      <c r="AB303" s="544"/>
      <c r="AC303" s="416"/>
    </row>
    <row r="304" spans="1:29" ht="15.75" customHeight="1" x14ac:dyDescent="0.15">
      <c r="A304" s="206"/>
      <c r="B304" s="194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  <c r="AA304" s="206"/>
      <c r="AB304" s="544"/>
      <c r="AC304" s="416"/>
    </row>
    <row r="305" spans="1:29" ht="15.75" customHeight="1" x14ac:dyDescent="0.15">
      <c r="A305" s="206"/>
      <c r="B305" s="194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  <c r="AA305" s="206"/>
      <c r="AB305" s="544"/>
      <c r="AC305" s="416"/>
    </row>
    <row r="306" spans="1:29" ht="15.75" customHeight="1" x14ac:dyDescent="0.15">
      <c r="A306" s="206"/>
      <c r="B306" s="194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  <c r="AA306" s="206"/>
      <c r="AB306" s="544"/>
      <c r="AC306" s="416"/>
    </row>
    <row r="307" spans="1:29" ht="15.75" customHeight="1" x14ac:dyDescent="0.15">
      <c r="A307" s="206"/>
      <c r="B307" s="194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  <c r="AA307" s="206"/>
      <c r="AB307" s="544"/>
      <c r="AC307" s="416"/>
    </row>
    <row r="308" spans="1:29" ht="15.75" customHeight="1" x14ac:dyDescent="0.15">
      <c r="A308" s="206"/>
      <c r="B308" s="194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  <c r="AA308" s="206"/>
      <c r="AB308" s="544"/>
      <c r="AC308" s="416"/>
    </row>
    <row r="309" spans="1:29" ht="15.75" customHeight="1" x14ac:dyDescent="0.15">
      <c r="A309" s="206"/>
      <c r="B309" s="194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  <c r="AA309" s="206"/>
      <c r="AB309" s="544"/>
      <c r="AC309" s="416"/>
    </row>
    <row r="310" spans="1:29" ht="15.75" customHeight="1" x14ac:dyDescent="0.15">
      <c r="A310" s="206"/>
      <c r="B310" s="194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  <c r="AA310" s="206"/>
      <c r="AB310" s="544"/>
      <c r="AC310" s="416"/>
    </row>
    <row r="311" spans="1:29" ht="15.75" customHeight="1" x14ac:dyDescent="0.15">
      <c r="A311" s="206"/>
      <c r="B311" s="194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  <c r="AA311" s="206"/>
      <c r="AB311" s="544"/>
      <c r="AC311" s="416"/>
    </row>
    <row r="312" spans="1:29" ht="15.75" customHeight="1" x14ac:dyDescent="0.15">
      <c r="A312" s="206"/>
      <c r="B312" s="194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  <c r="AA312" s="206"/>
      <c r="AB312" s="544"/>
      <c r="AC312" s="416"/>
    </row>
    <row r="313" spans="1:29" ht="15.75" customHeight="1" x14ac:dyDescent="0.15">
      <c r="A313" s="206"/>
      <c r="B313" s="194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  <c r="AA313" s="206"/>
      <c r="AB313" s="544"/>
      <c r="AC313" s="416"/>
    </row>
    <row r="314" spans="1:29" ht="15.75" customHeight="1" x14ac:dyDescent="0.15">
      <c r="A314" s="206"/>
      <c r="B314" s="194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  <c r="AA314" s="206"/>
      <c r="AB314" s="544"/>
      <c r="AC314" s="416"/>
    </row>
    <row r="315" spans="1:29" ht="15.75" customHeight="1" x14ac:dyDescent="0.15">
      <c r="A315" s="206"/>
      <c r="B315" s="194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  <c r="AA315" s="206"/>
      <c r="AB315" s="544"/>
      <c r="AC315" s="416"/>
    </row>
    <row r="316" spans="1:29" ht="15.75" customHeight="1" x14ac:dyDescent="0.15">
      <c r="A316" s="206"/>
      <c r="B316" s="194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  <c r="AA316" s="206"/>
      <c r="AB316" s="544"/>
      <c r="AC316" s="416"/>
    </row>
    <row r="317" spans="1:29" ht="15.75" customHeight="1" x14ac:dyDescent="0.15">
      <c r="A317" s="206"/>
      <c r="B317" s="194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  <c r="AA317" s="206"/>
      <c r="AB317" s="544"/>
      <c r="AC317" s="416"/>
    </row>
    <row r="318" spans="1:29" ht="15.75" customHeight="1" x14ac:dyDescent="0.15">
      <c r="A318" s="206"/>
      <c r="B318" s="194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  <c r="AA318" s="206"/>
      <c r="AB318" s="544"/>
      <c r="AC318" s="416"/>
    </row>
    <row r="319" spans="1:29" ht="15.75" customHeight="1" x14ac:dyDescent="0.15">
      <c r="A319" s="206"/>
      <c r="B319" s="194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  <c r="AA319" s="206"/>
      <c r="AB319" s="544"/>
      <c r="AC319" s="416"/>
    </row>
    <row r="320" spans="1:29" ht="15.75" customHeight="1" x14ac:dyDescent="0.15">
      <c r="A320" s="206"/>
      <c r="B320" s="194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  <c r="AA320" s="206"/>
      <c r="AB320" s="544"/>
      <c r="AC320" s="416"/>
    </row>
    <row r="321" spans="1:29" ht="15.75" customHeight="1" x14ac:dyDescent="0.15">
      <c r="A321" s="206"/>
      <c r="B321" s="194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  <c r="AA321" s="206"/>
      <c r="AB321" s="544"/>
      <c r="AC321" s="416"/>
    </row>
    <row r="322" spans="1:29" ht="15.75" customHeight="1" x14ac:dyDescent="0.15">
      <c r="A322" s="206"/>
      <c r="B322" s="194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  <c r="AA322" s="206"/>
      <c r="AB322" s="544"/>
      <c r="AC322" s="416"/>
    </row>
    <row r="323" spans="1:29" ht="15.75" customHeight="1" x14ac:dyDescent="0.15">
      <c r="A323" s="206"/>
      <c r="B323" s="194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  <c r="AA323" s="206"/>
      <c r="AB323" s="544"/>
      <c r="AC323" s="416"/>
    </row>
    <row r="324" spans="1:29" ht="15.75" customHeight="1" x14ac:dyDescent="0.15">
      <c r="A324" s="206"/>
      <c r="B324" s="194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  <c r="AA324" s="206"/>
      <c r="AB324" s="544"/>
      <c r="AC324" s="416"/>
    </row>
    <row r="325" spans="1:29" ht="15.75" customHeight="1" x14ac:dyDescent="0.15">
      <c r="A325" s="206"/>
      <c r="B325" s="194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  <c r="AA325" s="206"/>
      <c r="AB325" s="544"/>
      <c r="AC325" s="416"/>
    </row>
    <row r="326" spans="1:29" ht="15.75" customHeight="1" x14ac:dyDescent="0.15">
      <c r="A326" s="206"/>
      <c r="B326" s="194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  <c r="AA326" s="206"/>
      <c r="AB326" s="544"/>
      <c r="AC326" s="416"/>
    </row>
    <row r="327" spans="1:29" ht="15.75" customHeight="1" x14ac:dyDescent="0.15">
      <c r="A327" s="206"/>
      <c r="B327" s="194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  <c r="AA327" s="206"/>
      <c r="AB327" s="544"/>
      <c r="AC327" s="416"/>
    </row>
    <row r="328" spans="1:29" ht="15.75" customHeight="1" x14ac:dyDescent="0.15">
      <c r="A328" s="206"/>
      <c r="B328" s="194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  <c r="AA328" s="206"/>
      <c r="AB328" s="544"/>
      <c r="AC328" s="416"/>
    </row>
    <row r="329" spans="1:29" ht="15.75" customHeight="1" x14ac:dyDescent="0.15">
      <c r="A329" s="206"/>
      <c r="B329" s="194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  <c r="AA329" s="206"/>
      <c r="AB329" s="544"/>
      <c r="AC329" s="416"/>
    </row>
    <row r="330" spans="1:29" ht="15.75" customHeight="1" x14ac:dyDescent="0.15">
      <c r="A330" s="206"/>
      <c r="B330" s="194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  <c r="AA330" s="206"/>
      <c r="AB330" s="544"/>
      <c r="AC330" s="416"/>
    </row>
    <row r="331" spans="1:29" ht="15.75" customHeight="1" x14ac:dyDescent="0.15">
      <c r="A331" s="206"/>
      <c r="B331" s="194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  <c r="AA331" s="206"/>
      <c r="AB331" s="544"/>
      <c r="AC331" s="416"/>
    </row>
    <row r="332" spans="1:29" ht="15.75" customHeight="1" x14ac:dyDescent="0.15">
      <c r="A332" s="206"/>
      <c r="B332" s="194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  <c r="AA332" s="206"/>
      <c r="AB332" s="544"/>
      <c r="AC332" s="416"/>
    </row>
    <row r="333" spans="1:29" ht="15.75" customHeight="1" x14ac:dyDescent="0.15">
      <c r="A333" s="206"/>
      <c r="B333" s="194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  <c r="AA333" s="206"/>
      <c r="AB333" s="544"/>
      <c r="AC333" s="416"/>
    </row>
    <row r="334" spans="1:29" ht="15.75" customHeight="1" x14ac:dyDescent="0.15">
      <c r="A334" s="206"/>
      <c r="B334" s="194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  <c r="AA334" s="206"/>
      <c r="AB334" s="544"/>
      <c r="AC334" s="416"/>
    </row>
    <row r="335" spans="1:29" ht="15.75" customHeight="1" x14ac:dyDescent="0.15">
      <c r="A335" s="206"/>
      <c r="B335" s="194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  <c r="AA335" s="206"/>
      <c r="AB335" s="544"/>
      <c r="AC335" s="416"/>
    </row>
    <row r="336" spans="1:29" ht="15.75" customHeight="1" x14ac:dyDescent="0.15">
      <c r="A336" s="206"/>
      <c r="B336" s="194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  <c r="AA336" s="206"/>
      <c r="AB336" s="544"/>
      <c r="AC336" s="416"/>
    </row>
    <row r="337" spans="1:29" ht="15.75" customHeight="1" x14ac:dyDescent="0.15">
      <c r="A337" s="206"/>
      <c r="B337" s="194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  <c r="AA337" s="206"/>
      <c r="AB337" s="544"/>
      <c r="AC337" s="416"/>
    </row>
    <row r="338" spans="1:29" ht="15.75" customHeight="1" x14ac:dyDescent="0.15">
      <c r="A338" s="206"/>
      <c r="B338" s="194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  <c r="AA338" s="206"/>
      <c r="AB338" s="544"/>
      <c r="AC338" s="416"/>
    </row>
    <row r="339" spans="1:29" ht="15.75" customHeight="1" x14ac:dyDescent="0.15">
      <c r="A339" s="206"/>
      <c r="B339" s="194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  <c r="AA339" s="206"/>
      <c r="AB339" s="544"/>
      <c r="AC339" s="416"/>
    </row>
    <row r="340" spans="1:29" ht="15.75" customHeight="1" x14ac:dyDescent="0.15">
      <c r="A340" s="206"/>
      <c r="B340" s="194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  <c r="AA340" s="206"/>
      <c r="AB340" s="544"/>
      <c r="AC340" s="416"/>
    </row>
    <row r="341" spans="1:29" ht="15.75" customHeight="1" x14ac:dyDescent="0.15">
      <c r="A341" s="206"/>
      <c r="B341" s="194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  <c r="AA341" s="206"/>
      <c r="AB341" s="544"/>
      <c r="AC341" s="416"/>
    </row>
    <row r="342" spans="1:29" ht="15.75" customHeight="1" x14ac:dyDescent="0.15">
      <c r="A342" s="206"/>
      <c r="B342" s="194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  <c r="AA342" s="206"/>
      <c r="AB342" s="544"/>
      <c r="AC342" s="416"/>
    </row>
    <row r="343" spans="1:29" ht="15.75" customHeight="1" x14ac:dyDescent="0.15">
      <c r="A343" s="206"/>
      <c r="B343" s="194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544"/>
      <c r="AC343" s="416"/>
    </row>
    <row r="344" spans="1:29" ht="15.75" customHeight="1" x14ac:dyDescent="0.15">
      <c r="A344" s="206"/>
      <c r="B344" s="194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544"/>
      <c r="AC344" s="416"/>
    </row>
    <row r="345" spans="1:29" ht="15.75" customHeight="1" x14ac:dyDescent="0.15">
      <c r="A345" s="206"/>
      <c r="B345" s="194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  <c r="AA345" s="206"/>
      <c r="AB345" s="544"/>
      <c r="AC345" s="416"/>
    </row>
    <row r="346" spans="1:29" ht="15.75" customHeight="1" x14ac:dyDescent="0.15">
      <c r="A346" s="206"/>
      <c r="B346" s="194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  <c r="AA346" s="206"/>
      <c r="AB346" s="544"/>
      <c r="AC346" s="416"/>
    </row>
    <row r="347" spans="1:29" ht="15.75" customHeight="1" x14ac:dyDescent="0.15">
      <c r="A347" s="206"/>
      <c r="B347" s="194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  <c r="AA347" s="206"/>
      <c r="AB347" s="544"/>
      <c r="AC347" s="416"/>
    </row>
    <row r="348" spans="1:29" ht="15.75" customHeight="1" x14ac:dyDescent="0.15">
      <c r="A348" s="206"/>
      <c r="B348" s="194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  <c r="AA348" s="206"/>
      <c r="AB348" s="544"/>
      <c r="AC348" s="416"/>
    </row>
    <row r="349" spans="1:29" ht="15.75" customHeight="1" x14ac:dyDescent="0.15">
      <c r="A349" s="206"/>
      <c r="B349" s="194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  <c r="AA349" s="206"/>
      <c r="AB349" s="544"/>
      <c r="AC349" s="416"/>
    </row>
    <row r="350" spans="1:29" ht="15.75" customHeight="1" x14ac:dyDescent="0.15">
      <c r="A350" s="206"/>
      <c r="B350" s="194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  <c r="AA350" s="206"/>
      <c r="AB350" s="544"/>
      <c r="AC350" s="416"/>
    </row>
    <row r="351" spans="1:29" ht="15.75" customHeight="1" x14ac:dyDescent="0.15">
      <c r="A351" s="206"/>
      <c r="B351" s="194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544"/>
      <c r="AC351" s="416"/>
    </row>
    <row r="352" spans="1:29" ht="15.75" customHeight="1" x14ac:dyDescent="0.15">
      <c r="A352" s="206"/>
      <c r="B352" s="194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  <c r="AA352" s="206"/>
      <c r="AB352" s="544"/>
      <c r="AC352" s="416"/>
    </row>
    <row r="353" spans="1:29" ht="15.75" customHeight="1" x14ac:dyDescent="0.15">
      <c r="A353" s="206"/>
      <c r="B353" s="194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  <c r="AA353" s="206"/>
      <c r="AB353" s="544"/>
      <c r="AC353" s="416"/>
    </row>
    <row r="354" spans="1:29" ht="15.75" customHeight="1" x14ac:dyDescent="0.15">
      <c r="A354" s="206"/>
      <c r="B354" s="194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  <c r="AA354" s="206"/>
      <c r="AB354" s="544"/>
      <c r="AC354" s="416"/>
    </row>
    <row r="355" spans="1:29" ht="15.75" customHeight="1" x14ac:dyDescent="0.15">
      <c r="A355" s="206"/>
      <c r="B355" s="194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  <c r="AA355" s="206"/>
      <c r="AB355" s="544"/>
      <c r="AC355" s="416"/>
    </row>
    <row r="356" spans="1:29" ht="15.75" customHeight="1" x14ac:dyDescent="0.15">
      <c r="A356" s="206"/>
      <c r="B356" s="194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  <c r="AA356" s="206"/>
      <c r="AB356" s="544"/>
      <c r="AC356" s="416"/>
    </row>
    <row r="357" spans="1:29" ht="15.75" customHeight="1" x14ac:dyDescent="0.15">
      <c r="A357" s="206"/>
      <c r="B357" s="194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544"/>
      <c r="AC357" s="416"/>
    </row>
    <row r="358" spans="1:29" ht="15.75" customHeight="1" x14ac:dyDescent="0.15">
      <c r="A358" s="206"/>
      <c r="B358" s="194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  <c r="AA358" s="206"/>
      <c r="AB358" s="544"/>
      <c r="AC358" s="416"/>
    </row>
    <row r="359" spans="1:29" ht="15.75" customHeight="1" x14ac:dyDescent="0.15">
      <c r="A359" s="206"/>
      <c r="B359" s="194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  <c r="AA359" s="206"/>
      <c r="AB359" s="544"/>
      <c r="AC359" s="416"/>
    </row>
    <row r="360" spans="1:29" ht="15.75" customHeight="1" x14ac:dyDescent="0.15">
      <c r="A360" s="206"/>
      <c r="B360" s="194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  <c r="AA360" s="206"/>
      <c r="AB360" s="544"/>
      <c r="AC360" s="416"/>
    </row>
    <row r="361" spans="1:29" ht="15.75" customHeight="1" x14ac:dyDescent="0.15">
      <c r="A361" s="206"/>
      <c r="B361" s="194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  <c r="AA361" s="206"/>
      <c r="AB361" s="544"/>
      <c r="AC361" s="416"/>
    </row>
    <row r="362" spans="1:29" ht="15.75" customHeight="1" x14ac:dyDescent="0.15">
      <c r="A362" s="206"/>
      <c r="B362" s="194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  <c r="AA362" s="206"/>
      <c r="AB362" s="544"/>
      <c r="AC362" s="416"/>
    </row>
    <row r="363" spans="1:29" ht="15.75" customHeight="1" x14ac:dyDescent="0.15">
      <c r="A363" s="206"/>
      <c r="B363" s="194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  <c r="AA363" s="206"/>
      <c r="AB363" s="544"/>
      <c r="AC363" s="416"/>
    </row>
    <row r="364" spans="1:29" ht="15.75" customHeight="1" x14ac:dyDescent="0.15">
      <c r="A364" s="206"/>
      <c r="B364" s="194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  <c r="AA364" s="206"/>
      <c r="AB364" s="544"/>
      <c r="AC364" s="416"/>
    </row>
    <row r="365" spans="1:29" ht="15.75" customHeight="1" x14ac:dyDescent="0.15">
      <c r="A365" s="206"/>
      <c r="B365" s="194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  <c r="AA365" s="206"/>
      <c r="AB365" s="544"/>
      <c r="AC365" s="416"/>
    </row>
    <row r="366" spans="1:29" ht="15.75" customHeight="1" x14ac:dyDescent="0.15">
      <c r="A366" s="206"/>
      <c r="B366" s="194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  <c r="AA366" s="206"/>
      <c r="AB366" s="544"/>
      <c r="AC366" s="416"/>
    </row>
    <row r="367" spans="1:29" ht="15.75" customHeight="1" x14ac:dyDescent="0.15">
      <c r="A367" s="206"/>
      <c r="B367" s="194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  <c r="AA367" s="206"/>
      <c r="AB367" s="544"/>
      <c r="AC367" s="416"/>
    </row>
    <row r="368" spans="1:29" ht="15.75" customHeight="1" x14ac:dyDescent="0.15">
      <c r="A368" s="206"/>
      <c r="B368" s="194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  <c r="AA368" s="206"/>
      <c r="AB368" s="544"/>
      <c r="AC368" s="416"/>
    </row>
    <row r="369" spans="1:29" ht="15.75" customHeight="1" x14ac:dyDescent="0.15">
      <c r="A369" s="206"/>
      <c r="B369" s="194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  <c r="AA369" s="206"/>
      <c r="AB369" s="544"/>
      <c r="AC369" s="416"/>
    </row>
    <row r="370" spans="1:29" ht="15.75" customHeight="1" x14ac:dyDescent="0.15">
      <c r="A370" s="206"/>
      <c r="B370" s="194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  <c r="AA370" s="206"/>
      <c r="AB370" s="544"/>
      <c r="AC370" s="416"/>
    </row>
    <row r="371" spans="1:29" ht="15.75" customHeight="1" x14ac:dyDescent="0.15">
      <c r="A371" s="206"/>
      <c r="B371" s="194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  <c r="AA371" s="206"/>
      <c r="AB371" s="544"/>
      <c r="AC371" s="416"/>
    </row>
    <row r="372" spans="1:29" ht="15.75" customHeight="1" x14ac:dyDescent="0.15">
      <c r="A372" s="206"/>
      <c r="B372" s="194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  <c r="AA372" s="206"/>
      <c r="AB372" s="544"/>
      <c r="AC372" s="416"/>
    </row>
    <row r="373" spans="1:29" ht="15.75" customHeight="1" x14ac:dyDescent="0.15">
      <c r="A373" s="206"/>
      <c r="B373" s="194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  <c r="AA373" s="206"/>
      <c r="AB373" s="544"/>
      <c r="AC373" s="416"/>
    </row>
    <row r="374" spans="1:29" ht="15.75" customHeight="1" x14ac:dyDescent="0.15">
      <c r="A374" s="206"/>
      <c r="B374" s="194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  <c r="AA374" s="206"/>
      <c r="AB374" s="544"/>
      <c r="AC374" s="416"/>
    </row>
    <row r="375" spans="1:29" ht="15.75" customHeight="1" x14ac:dyDescent="0.15">
      <c r="A375" s="206"/>
      <c r="B375" s="194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  <c r="AA375" s="206"/>
      <c r="AB375" s="544"/>
      <c r="AC375" s="416"/>
    </row>
    <row r="376" spans="1:29" ht="15.75" customHeight="1" x14ac:dyDescent="0.15">
      <c r="A376" s="206"/>
      <c r="B376" s="194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  <c r="AA376" s="206"/>
      <c r="AB376" s="544"/>
      <c r="AC376" s="416"/>
    </row>
    <row r="377" spans="1:29" ht="15.75" customHeight="1" x14ac:dyDescent="0.15">
      <c r="A377" s="206"/>
      <c r="B377" s="194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  <c r="AA377" s="206"/>
      <c r="AB377" s="544"/>
      <c r="AC377" s="416"/>
    </row>
    <row r="378" spans="1:29" ht="15.75" customHeight="1" x14ac:dyDescent="0.15">
      <c r="A378" s="206"/>
      <c r="B378" s="194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  <c r="AA378" s="206"/>
      <c r="AB378" s="544"/>
      <c r="AC378" s="416"/>
    </row>
    <row r="379" spans="1:29" ht="15.75" customHeight="1" x14ac:dyDescent="0.15">
      <c r="A379" s="206"/>
      <c r="B379" s="194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  <c r="AA379" s="206"/>
      <c r="AB379" s="544"/>
      <c r="AC379" s="416"/>
    </row>
    <row r="380" spans="1:29" ht="15.75" customHeight="1" x14ac:dyDescent="0.15">
      <c r="A380" s="206"/>
      <c r="B380" s="194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  <c r="AA380" s="206"/>
      <c r="AB380" s="544"/>
      <c r="AC380" s="416"/>
    </row>
    <row r="381" spans="1:29" ht="15.75" customHeight="1" x14ac:dyDescent="0.15">
      <c r="A381" s="206"/>
      <c r="B381" s="194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  <c r="AA381" s="206"/>
      <c r="AB381" s="544"/>
      <c r="AC381" s="416"/>
    </row>
    <row r="382" spans="1:29" ht="15.75" customHeight="1" x14ac:dyDescent="0.15">
      <c r="A382" s="206"/>
      <c r="B382" s="194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  <c r="AA382" s="206"/>
      <c r="AB382" s="544"/>
      <c r="AC382" s="416"/>
    </row>
    <row r="383" spans="1:29" ht="15.75" customHeight="1" x14ac:dyDescent="0.15">
      <c r="A383" s="206"/>
      <c r="B383" s="194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  <c r="AA383" s="206"/>
      <c r="AB383" s="544"/>
      <c r="AC383" s="416"/>
    </row>
    <row r="384" spans="1:29" ht="15.75" customHeight="1" x14ac:dyDescent="0.15">
      <c r="A384" s="206"/>
      <c r="B384" s="194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  <c r="AA384" s="206"/>
      <c r="AB384" s="544"/>
      <c r="AC384" s="416"/>
    </row>
    <row r="385" spans="1:29" ht="15.75" customHeight="1" x14ac:dyDescent="0.15">
      <c r="A385" s="206"/>
      <c r="B385" s="194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  <c r="AA385" s="206"/>
      <c r="AB385" s="544"/>
      <c r="AC385" s="416"/>
    </row>
    <row r="386" spans="1:29" ht="15.75" customHeight="1" x14ac:dyDescent="0.15">
      <c r="A386" s="206"/>
      <c r="B386" s="194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  <c r="AA386" s="206"/>
      <c r="AB386" s="544"/>
      <c r="AC386" s="416"/>
    </row>
    <row r="387" spans="1:29" ht="15.75" customHeight="1" x14ac:dyDescent="0.15">
      <c r="A387" s="206"/>
      <c r="B387" s="194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  <c r="AA387" s="206"/>
      <c r="AB387" s="544"/>
      <c r="AC387" s="416"/>
    </row>
    <row r="388" spans="1:29" ht="15.75" customHeight="1" x14ac:dyDescent="0.15">
      <c r="A388" s="206"/>
      <c r="B388" s="194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  <c r="AA388" s="206"/>
      <c r="AB388" s="544"/>
      <c r="AC388" s="416"/>
    </row>
    <row r="389" spans="1:29" ht="15.75" customHeight="1" x14ac:dyDescent="0.15">
      <c r="A389" s="206"/>
      <c r="B389" s="194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  <c r="AA389" s="206"/>
      <c r="AB389" s="544"/>
      <c r="AC389" s="416"/>
    </row>
    <row r="390" spans="1:29" ht="15.75" customHeight="1" x14ac:dyDescent="0.15">
      <c r="A390" s="206"/>
      <c r="B390" s="194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  <c r="AA390" s="206"/>
      <c r="AB390" s="544"/>
      <c r="AC390" s="416"/>
    </row>
    <row r="391" spans="1:29" ht="15.75" customHeight="1" x14ac:dyDescent="0.15">
      <c r="A391" s="206"/>
      <c r="B391" s="194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544"/>
      <c r="AC391" s="416"/>
    </row>
    <row r="392" spans="1:29" ht="15.75" customHeight="1" x14ac:dyDescent="0.15">
      <c r="A392" s="206"/>
      <c r="B392" s="194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  <c r="AA392" s="206"/>
      <c r="AB392" s="544"/>
      <c r="AC392" s="416"/>
    </row>
    <row r="393" spans="1:29" ht="15.75" customHeight="1" x14ac:dyDescent="0.15">
      <c r="A393" s="206"/>
      <c r="B393" s="194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  <c r="AA393" s="206"/>
      <c r="AB393" s="544"/>
      <c r="AC393" s="416"/>
    </row>
    <row r="394" spans="1:29" ht="15.75" customHeight="1" x14ac:dyDescent="0.15">
      <c r="A394" s="206"/>
      <c r="B394" s="194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  <c r="AA394" s="206"/>
      <c r="AB394" s="544"/>
      <c r="AC394" s="416"/>
    </row>
    <row r="395" spans="1:29" ht="15.75" customHeight="1" x14ac:dyDescent="0.15">
      <c r="A395" s="206"/>
      <c r="B395" s="194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  <c r="AA395" s="206"/>
      <c r="AB395" s="544"/>
      <c r="AC395" s="416"/>
    </row>
    <row r="396" spans="1:29" ht="15.75" customHeight="1" x14ac:dyDescent="0.15">
      <c r="A396" s="206"/>
      <c r="B396" s="194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  <c r="AA396" s="206"/>
      <c r="AB396" s="544"/>
      <c r="AC396" s="416"/>
    </row>
    <row r="397" spans="1:29" ht="15.75" customHeight="1" x14ac:dyDescent="0.15">
      <c r="A397" s="206"/>
      <c r="B397" s="194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  <c r="AA397" s="206"/>
      <c r="AB397" s="544"/>
      <c r="AC397" s="416"/>
    </row>
    <row r="398" spans="1:29" ht="15.75" customHeight="1" x14ac:dyDescent="0.15">
      <c r="A398" s="206"/>
      <c r="B398" s="194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  <c r="AA398" s="206"/>
      <c r="AB398" s="544"/>
      <c r="AC398" s="416"/>
    </row>
    <row r="399" spans="1:29" ht="15.75" customHeight="1" x14ac:dyDescent="0.15">
      <c r="A399" s="206"/>
      <c r="B399" s="194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  <c r="AA399" s="206"/>
      <c r="AB399" s="544"/>
      <c r="AC399" s="416"/>
    </row>
    <row r="400" spans="1:29" ht="15.75" customHeight="1" x14ac:dyDescent="0.15">
      <c r="A400" s="206"/>
      <c r="B400" s="194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  <c r="AA400" s="206"/>
      <c r="AB400" s="544"/>
      <c r="AC400" s="416"/>
    </row>
    <row r="401" spans="1:29" ht="15.75" customHeight="1" x14ac:dyDescent="0.15">
      <c r="A401" s="206"/>
      <c r="B401" s="194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  <c r="AA401" s="206"/>
      <c r="AB401" s="544"/>
      <c r="AC401" s="416"/>
    </row>
    <row r="402" spans="1:29" ht="15.75" customHeight="1" x14ac:dyDescent="0.15">
      <c r="A402" s="206"/>
      <c r="B402" s="194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  <c r="AA402" s="206"/>
      <c r="AB402" s="544"/>
      <c r="AC402" s="416"/>
    </row>
    <row r="403" spans="1:29" ht="15.75" customHeight="1" x14ac:dyDescent="0.15">
      <c r="A403" s="206"/>
      <c r="B403" s="194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  <c r="AA403" s="206"/>
      <c r="AB403" s="544"/>
      <c r="AC403" s="416"/>
    </row>
    <row r="404" spans="1:29" ht="15.75" customHeight="1" x14ac:dyDescent="0.15">
      <c r="A404" s="206"/>
      <c r="B404" s="194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  <c r="AA404" s="206"/>
      <c r="AB404" s="544"/>
      <c r="AC404" s="416"/>
    </row>
    <row r="405" spans="1:29" ht="15.75" customHeight="1" x14ac:dyDescent="0.15">
      <c r="A405" s="206"/>
      <c r="B405" s="194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544"/>
      <c r="AC405" s="416"/>
    </row>
    <row r="406" spans="1:29" ht="15.75" customHeight="1" x14ac:dyDescent="0.15">
      <c r="A406" s="206"/>
      <c r="B406" s="194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  <c r="AA406" s="206"/>
      <c r="AB406" s="544"/>
      <c r="AC406" s="416"/>
    </row>
    <row r="407" spans="1:29" ht="15.75" customHeight="1" x14ac:dyDescent="0.15">
      <c r="A407" s="206"/>
      <c r="B407" s="194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  <c r="AA407" s="206"/>
      <c r="AB407" s="544"/>
      <c r="AC407" s="416"/>
    </row>
    <row r="408" spans="1:29" ht="15.75" customHeight="1" x14ac:dyDescent="0.15">
      <c r="A408" s="206"/>
      <c r="B408" s="194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  <c r="AA408" s="206"/>
      <c r="AB408" s="544"/>
      <c r="AC408" s="416"/>
    </row>
    <row r="409" spans="1:29" ht="15.75" customHeight="1" x14ac:dyDescent="0.15">
      <c r="A409" s="206"/>
      <c r="B409" s="194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  <c r="AA409" s="206"/>
      <c r="AB409" s="544"/>
      <c r="AC409" s="416"/>
    </row>
    <row r="410" spans="1:29" ht="15.75" customHeight="1" x14ac:dyDescent="0.15">
      <c r="A410" s="206"/>
      <c r="B410" s="194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  <c r="AA410" s="206"/>
      <c r="AB410" s="544"/>
      <c r="AC410" s="416"/>
    </row>
    <row r="411" spans="1:29" ht="15.75" customHeight="1" x14ac:dyDescent="0.15">
      <c r="A411" s="206"/>
      <c r="B411" s="194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  <c r="AA411" s="206"/>
      <c r="AB411" s="544"/>
      <c r="AC411" s="416"/>
    </row>
    <row r="412" spans="1:29" ht="15.75" customHeight="1" x14ac:dyDescent="0.15">
      <c r="A412" s="206"/>
      <c r="B412" s="194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  <c r="AA412" s="206"/>
      <c r="AB412" s="544"/>
      <c r="AC412" s="416"/>
    </row>
    <row r="413" spans="1:29" ht="15.75" customHeight="1" x14ac:dyDescent="0.15">
      <c r="A413" s="206"/>
      <c r="B413" s="194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  <c r="AA413" s="206"/>
      <c r="AB413" s="544"/>
      <c r="AC413" s="416"/>
    </row>
    <row r="414" spans="1:29" ht="15.75" customHeight="1" x14ac:dyDescent="0.15">
      <c r="A414" s="206"/>
      <c r="B414" s="194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  <c r="AA414" s="206"/>
      <c r="AB414" s="544"/>
      <c r="AC414" s="416"/>
    </row>
    <row r="415" spans="1:29" ht="15.75" customHeight="1" x14ac:dyDescent="0.15">
      <c r="A415" s="206"/>
      <c r="B415" s="194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  <c r="AA415" s="206"/>
      <c r="AB415" s="544"/>
      <c r="AC415" s="416"/>
    </row>
    <row r="416" spans="1:29" ht="15.75" customHeight="1" x14ac:dyDescent="0.15">
      <c r="A416" s="206"/>
      <c r="B416" s="194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  <c r="AA416" s="206"/>
      <c r="AB416" s="544"/>
      <c r="AC416" s="416"/>
    </row>
    <row r="417" spans="1:29" ht="15.75" customHeight="1" x14ac:dyDescent="0.15">
      <c r="A417" s="206"/>
      <c r="B417" s="194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  <c r="AA417" s="206"/>
      <c r="AB417" s="544"/>
      <c r="AC417" s="416"/>
    </row>
    <row r="418" spans="1:29" ht="15.75" customHeight="1" x14ac:dyDescent="0.15">
      <c r="A418" s="206"/>
      <c r="B418" s="194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  <c r="AA418" s="206"/>
      <c r="AB418" s="544"/>
      <c r="AC418" s="416"/>
    </row>
    <row r="419" spans="1:29" ht="15.75" customHeight="1" x14ac:dyDescent="0.15">
      <c r="A419" s="206"/>
      <c r="B419" s="194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  <c r="AA419" s="206"/>
      <c r="AB419" s="544"/>
      <c r="AC419" s="416"/>
    </row>
    <row r="420" spans="1:29" ht="15.75" customHeight="1" x14ac:dyDescent="0.15">
      <c r="A420" s="206"/>
      <c r="B420" s="194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  <c r="AA420" s="206"/>
      <c r="AB420" s="544"/>
      <c r="AC420" s="416"/>
    </row>
    <row r="421" spans="1:29" ht="15.75" customHeight="1" x14ac:dyDescent="0.15">
      <c r="A421" s="206"/>
      <c r="B421" s="194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  <c r="AA421" s="206"/>
      <c r="AB421" s="544"/>
      <c r="AC421" s="416"/>
    </row>
    <row r="422" spans="1:29" ht="15.75" customHeight="1" x14ac:dyDescent="0.15">
      <c r="A422" s="206"/>
      <c r="B422" s="194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  <c r="AA422" s="206"/>
      <c r="AB422" s="544"/>
      <c r="AC422" s="416"/>
    </row>
    <row r="423" spans="1:29" ht="15.75" customHeight="1" x14ac:dyDescent="0.15">
      <c r="A423" s="206"/>
      <c r="B423" s="194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  <c r="AA423" s="206"/>
      <c r="AB423" s="544"/>
      <c r="AC423" s="416"/>
    </row>
    <row r="424" spans="1:29" ht="15.75" customHeight="1" x14ac:dyDescent="0.15">
      <c r="A424" s="206"/>
      <c r="B424" s="194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  <c r="AA424" s="206"/>
      <c r="AB424" s="544"/>
      <c r="AC424" s="416"/>
    </row>
    <row r="425" spans="1:29" ht="15.75" customHeight="1" x14ac:dyDescent="0.15">
      <c r="A425" s="206"/>
      <c r="B425" s="194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  <c r="AA425" s="206"/>
      <c r="AB425" s="544"/>
      <c r="AC425" s="416"/>
    </row>
    <row r="426" spans="1:29" ht="15.75" customHeight="1" x14ac:dyDescent="0.15">
      <c r="A426" s="206"/>
      <c r="B426" s="194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  <c r="AA426" s="206"/>
      <c r="AB426" s="544"/>
      <c r="AC426" s="416"/>
    </row>
    <row r="427" spans="1:29" ht="15.75" customHeight="1" x14ac:dyDescent="0.15">
      <c r="A427" s="206"/>
      <c r="B427" s="194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  <c r="AA427" s="206"/>
      <c r="AB427" s="544"/>
      <c r="AC427" s="416"/>
    </row>
    <row r="428" spans="1:29" ht="15.75" customHeight="1" x14ac:dyDescent="0.15">
      <c r="A428" s="206"/>
      <c r="B428" s="194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  <c r="AA428" s="206"/>
      <c r="AB428" s="544"/>
      <c r="AC428" s="416"/>
    </row>
    <row r="429" spans="1:29" ht="15.75" customHeight="1" x14ac:dyDescent="0.15">
      <c r="A429" s="206"/>
      <c r="B429" s="194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  <c r="AA429" s="206"/>
      <c r="AB429" s="544"/>
      <c r="AC429" s="416"/>
    </row>
    <row r="430" spans="1:29" ht="15.75" customHeight="1" x14ac:dyDescent="0.15">
      <c r="A430" s="206"/>
      <c r="B430" s="194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  <c r="AA430" s="206"/>
      <c r="AB430" s="544"/>
      <c r="AC430" s="416"/>
    </row>
    <row r="431" spans="1:29" ht="15.75" customHeight="1" x14ac:dyDescent="0.15">
      <c r="A431" s="206"/>
      <c r="B431" s="194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  <c r="AA431" s="206"/>
      <c r="AB431" s="544"/>
      <c r="AC431" s="416"/>
    </row>
    <row r="432" spans="1:29" ht="15.75" customHeight="1" x14ac:dyDescent="0.15">
      <c r="A432" s="206"/>
      <c r="B432" s="194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  <c r="AA432" s="206"/>
      <c r="AB432" s="544"/>
      <c r="AC432" s="416"/>
    </row>
    <row r="433" spans="1:29" ht="15.75" customHeight="1" x14ac:dyDescent="0.15">
      <c r="A433" s="206"/>
      <c r="B433" s="194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  <c r="AA433" s="206"/>
      <c r="AB433" s="544"/>
      <c r="AC433" s="416"/>
    </row>
    <row r="434" spans="1:29" ht="15.75" customHeight="1" x14ac:dyDescent="0.15">
      <c r="A434" s="206"/>
      <c r="B434" s="194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  <c r="AA434" s="206"/>
      <c r="AB434" s="544"/>
      <c r="AC434" s="416"/>
    </row>
    <row r="435" spans="1:29" ht="15.75" customHeight="1" x14ac:dyDescent="0.15">
      <c r="A435" s="206"/>
      <c r="B435" s="194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  <c r="AA435" s="206"/>
      <c r="AB435" s="544"/>
      <c r="AC435" s="416"/>
    </row>
    <row r="436" spans="1:29" ht="15.75" customHeight="1" x14ac:dyDescent="0.15">
      <c r="A436" s="206"/>
      <c r="B436" s="194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  <c r="AA436" s="206"/>
      <c r="AB436" s="544"/>
      <c r="AC436" s="416"/>
    </row>
    <row r="437" spans="1:29" ht="15.75" customHeight="1" x14ac:dyDescent="0.15">
      <c r="A437" s="206"/>
      <c r="B437" s="194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  <c r="AA437" s="206"/>
      <c r="AB437" s="544"/>
      <c r="AC437" s="416"/>
    </row>
    <row r="438" spans="1:29" ht="15.75" customHeight="1" x14ac:dyDescent="0.15">
      <c r="A438" s="206"/>
      <c r="B438" s="194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  <c r="AA438" s="206"/>
      <c r="AB438" s="544"/>
      <c r="AC438" s="416"/>
    </row>
    <row r="439" spans="1:29" ht="15.75" customHeight="1" x14ac:dyDescent="0.15">
      <c r="A439" s="206"/>
      <c r="B439" s="194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  <c r="AA439" s="206"/>
      <c r="AB439" s="544"/>
      <c r="AC439" s="416"/>
    </row>
    <row r="440" spans="1:29" ht="15.75" customHeight="1" x14ac:dyDescent="0.15">
      <c r="A440" s="206"/>
      <c r="B440" s="194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  <c r="AA440" s="206"/>
      <c r="AB440" s="544"/>
      <c r="AC440" s="416"/>
    </row>
    <row r="441" spans="1:29" ht="15.75" customHeight="1" x14ac:dyDescent="0.15">
      <c r="A441" s="206"/>
      <c r="B441" s="194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  <c r="AA441" s="206"/>
      <c r="AB441" s="544"/>
      <c r="AC441" s="416"/>
    </row>
    <row r="442" spans="1:29" ht="15.75" customHeight="1" x14ac:dyDescent="0.15">
      <c r="A442" s="206"/>
      <c r="B442" s="194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  <c r="AA442" s="206"/>
      <c r="AB442" s="544"/>
      <c r="AC442" s="416"/>
    </row>
    <row r="443" spans="1:29" ht="15.75" customHeight="1" x14ac:dyDescent="0.15">
      <c r="A443" s="206"/>
      <c r="B443" s="194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  <c r="AA443" s="206"/>
      <c r="AB443" s="544"/>
      <c r="AC443" s="416"/>
    </row>
    <row r="444" spans="1:29" ht="15.75" customHeight="1" x14ac:dyDescent="0.15">
      <c r="A444" s="206"/>
      <c r="B444" s="194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  <c r="AA444" s="206"/>
      <c r="AB444" s="544"/>
      <c r="AC444" s="416"/>
    </row>
    <row r="445" spans="1:29" ht="15.75" customHeight="1" x14ac:dyDescent="0.15">
      <c r="A445" s="206"/>
      <c r="B445" s="194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  <c r="AA445" s="206"/>
      <c r="AB445" s="544"/>
      <c r="AC445" s="416"/>
    </row>
    <row r="446" spans="1:29" ht="15.75" customHeight="1" x14ac:dyDescent="0.15">
      <c r="A446" s="206"/>
      <c r="B446" s="194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  <c r="AA446" s="206"/>
      <c r="AB446" s="544"/>
      <c r="AC446" s="416"/>
    </row>
    <row r="447" spans="1:29" ht="15.75" customHeight="1" x14ac:dyDescent="0.15">
      <c r="A447" s="206"/>
      <c r="B447" s="194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  <c r="AA447" s="206"/>
      <c r="AB447" s="544"/>
      <c r="AC447" s="416"/>
    </row>
    <row r="448" spans="1:29" ht="15.75" customHeight="1" x14ac:dyDescent="0.15">
      <c r="A448" s="206"/>
      <c r="B448" s="194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  <c r="AA448" s="206"/>
      <c r="AB448" s="544"/>
      <c r="AC448" s="416"/>
    </row>
    <row r="449" spans="1:29" ht="15.75" customHeight="1" x14ac:dyDescent="0.15">
      <c r="A449" s="206"/>
      <c r="B449" s="194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  <c r="AA449" s="206"/>
      <c r="AB449" s="544"/>
      <c r="AC449" s="416"/>
    </row>
    <row r="450" spans="1:29" ht="15.75" customHeight="1" x14ac:dyDescent="0.15">
      <c r="A450" s="206"/>
      <c r="B450" s="194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  <c r="AA450" s="206"/>
      <c r="AB450" s="544"/>
      <c r="AC450" s="416"/>
    </row>
    <row r="451" spans="1:29" ht="15.75" customHeight="1" x14ac:dyDescent="0.15">
      <c r="A451" s="206"/>
      <c r="B451" s="194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  <c r="AA451" s="206"/>
      <c r="AB451" s="544"/>
      <c r="AC451" s="416"/>
    </row>
    <row r="452" spans="1:29" ht="15.75" customHeight="1" x14ac:dyDescent="0.15">
      <c r="A452" s="206"/>
      <c r="B452" s="194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  <c r="AA452" s="206"/>
      <c r="AB452" s="544"/>
      <c r="AC452" s="416"/>
    </row>
    <row r="453" spans="1:29" ht="15.75" customHeight="1" x14ac:dyDescent="0.15">
      <c r="A453" s="206"/>
      <c r="B453" s="194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  <c r="AA453" s="206"/>
      <c r="AB453" s="544"/>
      <c r="AC453" s="416"/>
    </row>
    <row r="454" spans="1:29" ht="15.75" customHeight="1" x14ac:dyDescent="0.15">
      <c r="A454" s="206"/>
      <c r="B454" s="194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  <c r="AA454" s="206"/>
      <c r="AB454" s="544"/>
      <c r="AC454" s="416"/>
    </row>
    <row r="455" spans="1:29" ht="15.75" customHeight="1" x14ac:dyDescent="0.15">
      <c r="A455" s="206"/>
      <c r="B455" s="194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  <c r="AA455" s="206"/>
      <c r="AB455" s="544"/>
      <c r="AC455" s="416"/>
    </row>
    <row r="456" spans="1:29" ht="15.75" customHeight="1" x14ac:dyDescent="0.15">
      <c r="A456" s="206"/>
      <c r="B456" s="194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  <c r="AA456" s="206"/>
      <c r="AB456" s="544"/>
      <c r="AC456" s="416"/>
    </row>
    <row r="457" spans="1:29" ht="15.75" customHeight="1" x14ac:dyDescent="0.15">
      <c r="A457" s="206"/>
      <c r="B457" s="194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  <c r="AA457" s="206"/>
      <c r="AB457" s="544"/>
      <c r="AC457" s="416"/>
    </row>
    <row r="458" spans="1:29" ht="15.75" customHeight="1" x14ac:dyDescent="0.15">
      <c r="A458" s="206"/>
      <c r="B458" s="194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  <c r="AA458" s="206"/>
      <c r="AB458" s="544"/>
      <c r="AC458" s="416"/>
    </row>
    <row r="459" spans="1:29" ht="15.75" customHeight="1" x14ac:dyDescent="0.15">
      <c r="A459" s="206"/>
      <c r="B459" s="194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  <c r="AA459" s="206"/>
      <c r="AB459" s="544"/>
      <c r="AC459" s="416"/>
    </row>
    <row r="460" spans="1:29" ht="15.75" customHeight="1" x14ac:dyDescent="0.15">
      <c r="A460" s="206"/>
      <c r="B460" s="194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  <c r="AA460" s="206"/>
      <c r="AB460" s="544"/>
      <c r="AC460" s="416"/>
    </row>
    <row r="461" spans="1:29" ht="15.75" customHeight="1" x14ac:dyDescent="0.15">
      <c r="A461" s="206"/>
      <c r="B461" s="194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  <c r="AA461" s="206"/>
      <c r="AB461" s="544"/>
      <c r="AC461" s="416"/>
    </row>
    <row r="462" spans="1:29" ht="15.75" customHeight="1" x14ac:dyDescent="0.15">
      <c r="A462" s="206"/>
      <c r="B462" s="194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  <c r="AA462" s="206"/>
      <c r="AB462" s="544"/>
      <c r="AC462" s="416"/>
    </row>
    <row r="463" spans="1:29" ht="15.75" customHeight="1" x14ac:dyDescent="0.15">
      <c r="A463" s="206"/>
      <c r="B463" s="194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  <c r="AA463" s="206"/>
      <c r="AB463" s="544"/>
      <c r="AC463" s="416"/>
    </row>
    <row r="464" spans="1:29" ht="15.75" customHeight="1" x14ac:dyDescent="0.15">
      <c r="A464" s="206"/>
      <c r="B464" s="194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  <c r="AA464" s="206"/>
      <c r="AB464" s="544"/>
      <c r="AC464" s="416"/>
    </row>
    <row r="465" spans="1:29" ht="15.75" customHeight="1" x14ac:dyDescent="0.15">
      <c r="A465" s="206"/>
      <c r="B465" s="194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  <c r="AA465" s="206"/>
      <c r="AB465" s="544"/>
      <c r="AC465" s="416"/>
    </row>
    <row r="466" spans="1:29" ht="15.75" customHeight="1" x14ac:dyDescent="0.15">
      <c r="A466" s="206"/>
      <c r="B466" s="194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  <c r="AA466" s="206"/>
      <c r="AB466" s="544"/>
      <c r="AC466" s="416"/>
    </row>
    <row r="467" spans="1:29" ht="15.75" customHeight="1" x14ac:dyDescent="0.15">
      <c r="A467" s="206"/>
      <c r="B467" s="194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  <c r="AA467" s="206"/>
      <c r="AB467" s="544"/>
      <c r="AC467" s="416"/>
    </row>
    <row r="468" spans="1:29" ht="15.75" customHeight="1" x14ac:dyDescent="0.15">
      <c r="A468" s="206"/>
      <c r="B468" s="194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  <c r="AA468" s="206"/>
      <c r="AB468" s="544"/>
      <c r="AC468" s="416"/>
    </row>
    <row r="469" spans="1:29" ht="15.75" customHeight="1" x14ac:dyDescent="0.15">
      <c r="A469" s="206"/>
      <c r="B469" s="194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  <c r="AA469" s="206"/>
      <c r="AB469" s="544"/>
      <c r="AC469" s="416"/>
    </row>
    <row r="470" spans="1:29" ht="15.75" customHeight="1" x14ac:dyDescent="0.15">
      <c r="A470" s="206"/>
      <c r="B470" s="194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  <c r="AA470" s="206"/>
      <c r="AB470" s="544"/>
      <c r="AC470" s="416"/>
    </row>
    <row r="471" spans="1:29" ht="15.75" customHeight="1" x14ac:dyDescent="0.15">
      <c r="A471" s="206"/>
      <c r="B471" s="194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  <c r="AA471" s="206"/>
      <c r="AB471" s="544"/>
      <c r="AC471" s="416"/>
    </row>
    <row r="472" spans="1:29" ht="15.75" customHeight="1" x14ac:dyDescent="0.15">
      <c r="A472" s="206"/>
      <c r="B472" s="194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  <c r="AA472" s="206"/>
      <c r="AB472" s="544"/>
      <c r="AC472" s="416"/>
    </row>
    <row r="473" spans="1:29" ht="15.75" customHeight="1" x14ac:dyDescent="0.15">
      <c r="A473" s="206"/>
      <c r="B473" s="194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  <c r="AA473" s="206"/>
      <c r="AB473" s="544"/>
      <c r="AC473" s="416"/>
    </row>
    <row r="474" spans="1:29" ht="15.75" customHeight="1" x14ac:dyDescent="0.15">
      <c r="A474" s="206"/>
      <c r="B474" s="194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  <c r="AA474" s="206"/>
      <c r="AB474" s="544"/>
      <c r="AC474" s="416"/>
    </row>
    <row r="475" spans="1:29" ht="15.75" customHeight="1" x14ac:dyDescent="0.15">
      <c r="A475" s="206"/>
      <c r="B475" s="194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  <c r="AA475" s="206"/>
      <c r="AB475" s="544"/>
      <c r="AC475" s="416"/>
    </row>
    <row r="476" spans="1:29" ht="15.75" customHeight="1" x14ac:dyDescent="0.15">
      <c r="A476" s="206"/>
      <c r="B476" s="194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  <c r="AA476" s="206"/>
      <c r="AB476" s="544"/>
      <c r="AC476" s="416"/>
    </row>
    <row r="477" spans="1:29" ht="15.75" customHeight="1" x14ac:dyDescent="0.15">
      <c r="A477" s="206"/>
      <c r="B477" s="194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  <c r="AA477" s="206"/>
      <c r="AB477" s="544"/>
      <c r="AC477" s="416"/>
    </row>
    <row r="478" spans="1:29" ht="15.75" customHeight="1" x14ac:dyDescent="0.15">
      <c r="A478" s="206"/>
      <c r="B478" s="194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  <c r="AA478" s="206"/>
      <c r="AB478" s="544"/>
      <c r="AC478" s="416"/>
    </row>
    <row r="479" spans="1:29" ht="15.75" customHeight="1" x14ac:dyDescent="0.15">
      <c r="A479" s="206"/>
      <c r="B479" s="194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  <c r="AA479" s="206"/>
      <c r="AB479" s="544"/>
      <c r="AC479" s="416"/>
    </row>
    <row r="480" spans="1:29" ht="15.75" customHeight="1" x14ac:dyDescent="0.15">
      <c r="A480" s="206"/>
      <c r="B480" s="194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  <c r="AA480" s="206"/>
      <c r="AB480" s="544"/>
      <c r="AC480" s="416"/>
    </row>
    <row r="481" spans="1:29" ht="15.75" customHeight="1" x14ac:dyDescent="0.15">
      <c r="A481" s="206"/>
      <c r="B481" s="194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  <c r="AA481" s="206"/>
      <c r="AB481" s="544"/>
      <c r="AC481" s="416"/>
    </row>
    <row r="482" spans="1:29" ht="15.75" customHeight="1" x14ac:dyDescent="0.15">
      <c r="A482" s="206"/>
      <c r="B482" s="194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  <c r="AA482" s="206"/>
      <c r="AB482" s="544"/>
      <c r="AC482" s="416"/>
    </row>
    <row r="483" spans="1:29" ht="15.75" customHeight="1" x14ac:dyDescent="0.15">
      <c r="A483" s="206"/>
      <c r="B483" s="194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  <c r="AA483" s="206"/>
      <c r="AB483" s="544"/>
      <c r="AC483" s="416"/>
    </row>
    <row r="484" spans="1:29" ht="15.75" customHeight="1" x14ac:dyDescent="0.15">
      <c r="A484" s="206"/>
      <c r="B484" s="194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  <c r="AA484" s="206"/>
      <c r="AB484" s="544"/>
      <c r="AC484" s="416"/>
    </row>
    <row r="485" spans="1:29" ht="15.75" customHeight="1" x14ac:dyDescent="0.15">
      <c r="A485" s="206"/>
      <c r="B485" s="194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  <c r="AA485" s="206"/>
      <c r="AB485" s="544"/>
      <c r="AC485" s="416"/>
    </row>
    <row r="486" spans="1:29" ht="15.75" customHeight="1" x14ac:dyDescent="0.15">
      <c r="A486" s="206"/>
      <c r="B486" s="194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  <c r="AA486" s="206"/>
      <c r="AB486" s="544"/>
      <c r="AC486" s="416"/>
    </row>
    <row r="487" spans="1:29" ht="15.75" customHeight="1" x14ac:dyDescent="0.15">
      <c r="A487" s="206"/>
      <c r="B487" s="194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  <c r="AA487" s="206"/>
      <c r="AB487" s="544"/>
      <c r="AC487" s="416"/>
    </row>
    <row r="488" spans="1:29" ht="15.75" customHeight="1" x14ac:dyDescent="0.15">
      <c r="A488" s="206"/>
      <c r="B488" s="194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  <c r="AA488" s="206"/>
      <c r="AB488" s="544"/>
      <c r="AC488" s="416"/>
    </row>
    <row r="489" spans="1:29" ht="15.75" customHeight="1" x14ac:dyDescent="0.15">
      <c r="A489" s="206"/>
      <c r="B489" s="194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  <c r="AA489" s="206"/>
      <c r="AB489" s="544"/>
      <c r="AC489" s="416"/>
    </row>
    <row r="490" spans="1:29" ht="15.75" customHeight="1" x14ac:dyDescent="0.15">
      <c r="A490" s="206"/>
      <c r="B490" s="194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  <c r="AA490" s="206"/>
      <c r="AB490" s="544"/>
      <c r="AC490" s="416"/>
    </row>
    <row r="491" spans="1:29" ht="15.75" customHeight="1" x14ac:dyDescent="0.15">
      <c r="A491" s="206"/>
      <c r="B491" s="194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  <c r="AA491" s="206"/>
      <c r="AB491" s="544"/>
      <c r="AC491" s="416"/>
    </row>
    <row r="492" spans="1:29" ht="15.75" customHeight="1" x14ac:dyDescent="0.15">
      <c r="A492" s="206"/>
      <c r="B492" s="194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  <c r="AA492" s="206"/>
      <c r="AB492" s="544"/>
      <c r="AC492" s="416"/>
    </row>
    <row r="493" spans="1:29" ht="15.75" customHeight="1" x14ac:dyDescent="0.15">
      <c r="A493" s="206"/>
      <c r="B493" s="194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  <c r="AA493" s="206"/>
      <c r="AB493" s="544"/>
      <c r="AC493" s="416"/>
    </row>
    <row r="494" spans="1:29" ht="15.75" customHeight="1" x14ac:dyDescent="0.15">
      <c r="A494" s="206"/>
      <c r="B494" s="194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  <c r="AA494" s="206"/>
      <c r="AB494" s="544"/>
      <c r="AC494" s="416"/>
    </row>
    <row r="495" spans="1:29" ht="15.75" customHeight="1" x14ac:dyDescent="0.15">
      <c r="A495" s="206"/>
      <c r="B495" s="194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  <c r="AA495" s="206"/>
      <c r="AB495" s="544"/>
      <c r="AC495" s="416"/>
    </row>
    <row r="496" spans="1:29" ht="15.75" customHeight="1" x14ac:dyDescent="0.15">
      <c r="A496" s="206"/>
      <c r="B496" s="194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  <c r="AA496" s="206"/>
      <c r="AB496" s="544"/>
      <c r="AC496" s="416"/>
    </row>
    <row r="497" spans="1:29" ht="15.75" customHeight="1" x14ac:dyDescent="0.15">
      <c r="A497" s="206"/>
      <c r="B497" s="194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  <c r="AA497" s="206"/>
      <c r="AB497" s="544"/>
      <c r="AC497" s="416"/>
    </row>
    <row r="498" spans="1:29" ht="15.75" customHeight="1" x14ac:dyDescent="0.15">
      <c r="A498" s="206"/>
      <c r="B498" s="194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  <c r="AA498" s="206"/>
      <c r="AB498" s="544"/>
      <c r="AC498" s="416"/>
    </row>
    <row r="499" spans="1:29" ht="15.75" customHeight="1" x14ac:dyDescent="0.15">
      <c r="A499" s="206"/>
      <c r="B499" s="194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  <c r="AA499" s="206"/>
      <c r="AB499" s="544"/>
      <c r="AC499" s="416"/>
    </row>
    <row r="500" spans="1:29" ht="15.75" customHeight="1" x14ac:dyDescent="0.15">
      <c r="A500" s="206"/>
      <c r="B500" s="194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  <c r="AA500" s="206"/>
      <c r="AB500" s="544"/>
      <c r="AC500" s="416"/>
    </row>
    <row r="501" spans="1:29" ht="15.75" customHeight="1" x14ac:dyDescent="0.15">
      <c r="A501" s="206"/>
      <c r="B501" s="194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  <c r="AA501" s="206"/>
      <c r="AB501" s="544"/>
      <c r="AC501" s="416"/>
    </row>
    <row r="502" spans="1:29" ht="15.75" customHeight="1" x14ac:dyDescent="0.15">
      <c r="A502" s="206"/>
      <c r="B502" s="194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  <c r="AA502" s="206"/>
      <c r="AB502" s="544"/>
      <c r="AC502" s="416"/>
    </row>
    <row r="503" spans="1:29" ht="15.75" customHeight="1" x14ac:dyDescent="0.15">
      <c r="A503" s="206"/>
      <c r="B503" s="194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  <c r="AA503" s="206"/>
      <c r="AB503" s="544"/>
      <c r="AC503" s="416"/>
    </row>
    <row r="504" spans="1:29" ht="15.75" customHeight="1" x14ac:dyDescent="0.15">
      <c r="A504" s="206"/>
      <c r="B504" s="194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  <c r="AA504" s="206"/>
      <c r="AB504" s="544"/>
      <c r="AC504" s="416"/>
    </row>
    <row r="505" spans="1:29" ht="15.75" customHeight="1" x14ac:dyDescent="0.15">
      <c r="A505" s="206"/>
      <c r="B505" s="194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  <c r="AA505" s="206"/>
      <c r="AB505" s="544"/>
      <c r="AC505" s="416"/>
    </row>
    <row r="506" spans="1:29" ht="15.75" customHeight="1" x14ac:dyDescent="0.15">
      <c r="A506" s="206"/>
      <c r="B506" s="194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  <c r="AA506" s="206"/>
      <c r="AB506" s="544"/>
      <c r="AC506" s="416"/>
    </row>
    <row r="507" spans="1:29" ht="15.75" customHeight="1" x14ac:dyDescent="0.15">
      <c r="A507" s="206"/>
      <c r="B507" s="194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  <c r="AA507" s="206"/>
      <c r="AB507" s="544"/>
      <c r="AC507" s="416"/>
    </row>
    <row r="508" spans="1:29" ht="15.75" customHeight="1" x14ac:dyDescent="0.15">
      <c r="A508" s="206"/>
      <c r="B508" s="194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  <c r="AA508" s="206"/>
      <c r="AB508" s="544"/>
      <c r="AC508" s="416"/>
    </row>
    <row r="509" spans="1:29" ht="15.75" customHeight="1" x14ac:dyDescent="0.15">
      <c r="A509" s="206"/>
      <c r="B509" s="194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  <c r="AA509" s="206"/>
      <c r="AB509" s="544"/>
      <c r="AC509" s="416"/>
    </row>
    <row r="510" spans="1:29" ht="15.75" customHeight="1" x14ac:dyDescent="0.15">
      <c r="A510" s="206"/>
      <c r="B510" s="194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  <c r="AA510" s="206"/>
      <c r="AB510" s="544"/>
      <c r="AC510" s="416"/>
    </row>
    <row r="511" spans="1:29" ht="15.75" customHeight="1" x14ac:dyDescent="0.15">
      <c r="A511" s="206"/>
      <c r="B511" s="194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  <c r="AA511" s="206"/>
      <c r="AB511" s="544"/>
      <c r="AC511" s="416"/>
    </row>
    <row r="512" spans="1:29" ht="15.75" customHeight="1" x14ac:dyDescent="0.15">
      <c r="A512" s="206"/>
      <c r="B512" s="194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  <c r="AA512" s="206"/>
      <c r="AB512" s="544"/>
      <c r="AC512" s="416"/>
    </row>
    <row r="513" spans="1:29" ht="15.75" customHeight="1" x14ac:dyDescent="0.15">
      <c r="A513" s="206"/>
      <c r="B513" s="194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  <c r="AA513" s="206"/>
      <c r="AB513" s="544"/>
      <c r="AC513" s="416"/>
    </row>
    <row r="514" spans="1:29" ht="15.75" customHeight="1" x14ac:dyDescent="0.15">
      <c r="A514" s="206"/>
      <c r="B514" s="194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  <c r="AA514" s="206"/>
      <c r="AB514" s="544"/>
      <c r="AC514" s="416"/>
    </row>
    <row r="515" spans="1:29" ht="15.75" customHeight="1" x14ac:dyDescent="0.15">
      <c r="A515" s="206"/>
      <c r="B515" s="194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  <c r="AA515" s="206"/>
      <c r="AB515" s="544"/>
      <c r="AC515" s="416"/>
    </row>
    <row r="516" spans="1:29" ht="15.75" customHeight="1" x14ac:dyDescent="0.15">
      <c r="A516" s="206"/>
      <c r="B516" s="194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  <c r="AA516" s="206"/>
      <c r="AB516" s="544"/>
      <c r="AC516" s="416"/>
    </row>
    <row r="517" spans="1:29" ht="15.75" customHeight="1" x14ac:dyDescent="0.15">
      <c r="A517" s="206"/>
      <c r="B517" s="194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  <c r="AA517" s="206"/>
      <c r="AB517" s="544"/>
      <c r="AC517" s="416"/>
    </row>
    <row r="518" spans="1:29" ht="15.75" customHeight="1" x14ac:dyDescent="0.15">
      <c r="A518" s="206"/>
      <c r="B518" s="194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  <c r="AA518" s="206"/>
      <c r="AB518" s="544"/>
      <c r="AC518" s="416"/>
    </row>
    <row r="519" spans="1:29" ht="15.75" customHeight="1" x14ac:dyDescent="0.15">
      <c r="A519" s="206"/>
      <c r="B519" s="194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  <c r="AA519" s="206"/>
      <c r="AB519" s="544"/>
      <c r="AC519" s="416"/>
    </row>
    <row r="520" spans="1:29" ht="15.75" customHeight="1" x14ac:dyDescent="0.15">
      <c r="A520" s="206"/>
      <c r="B520" s="194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  <c r="AA520" s="206"/>
      <c r="AB520" s="544"/>
      <c r="AC520" s="416"/>
    </row>
    <row r="521" spans="1:29" ht="15.75" customHeight="1" x14ac:dyDescent="0.15">
      <c r="A521" s="206"/>
      <c r="B521" s="194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  <c r="AA521" s="206"/>
      <c r="AB521" s="544"/>
      <c r="AC521" s="416"/>
    </row>
    <row r="522" spans="1:29" ht="15.75" customHeight="1" x14ac:dyDescent="0.15">
      <c r="A522" s="206"/>
      <c r="B522" s="194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  <c r="AA522" s="206"/>
      <c r="AB522" s="544"/>
      <c r="AC522" s="416"/>
    </row>
    <row r="523" spans="1:29" ht="15.75" customHeight="1" x14ac:dyDescent="0.15">
      <c r="A523" s="206"/>
      <c r="B523" s="194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  <c r="AA523" s="206"/>
      <c r="AB523" s="544"/>
      <c r="AC523" s="416"/>
    </row>
    <row r="524" spans="1:29" ht="15.75" customHeight="1" x14ac:dyDescent="0.15">
      <c r="A524" s="206"/>
      <c r="B524" s="194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  <c r="AA524" s="206"/>
      <c r="AB524" s="544"/>
      <c r="AC524" s="416"/>
    </row>
    <row r="525" spans="1:29" ht="15.75" customHeight="1" x14ac:dyDescent="0.15">
      <c r="A525" s="206"/>
      <c r="B525" s="194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  <c r="AA525" s="206"/>
      <c r="AB525" s="544"/>
      <c r="AC525" s="416"/>
    </row>
    <row r="526" spans="1:29" ht="15.75" customHeight="1" x14ac:dyDescent="0.15">
      <c r="A526" s="206"/>
      <c r="B526" s="194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  <c r="AA526" s="206"/>
      <c r="AB526" s="544"/>
      <c r="AC526" s="416"/>
    </row>
    <row r="527" spans="1:29" ht="15.75" customHeight="1" x14ac:dyDescent="0.15">
      <c r="A527" s="206"/>
      <c r="B527" s="194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  <c r="AA527" s="206"/>
      <c r="AB527" s="544"/>
      <c r="AC527" s="416"/>
    </row>
    <row r="528" spans="1:29" ht="15.75" customHeight="1" x14ac:dyDescent="0.15">
      <c r="A528" s="206"/>
      <c r="B528" s="194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  <c r="AA528" s="206"/>
      <c r="AB528" s="544"/>
      <c r="AC528" s="416"/>
    </row>
    <row r="529" spans="1:29" ht="15.75" customHeight="1" x14ac:dyDescent="0.15">
      <c r="A529" s="206"/>
      <c r="B529" s="194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  <c r="AA529" s="206"/>
      <c r="AB529" s="544"/>
      <c r="AC529" s="416"/>
    </row>
    <row r="530" spans="1:29" ht="15.75" customHeight="1" x14ac:dyDescent="0.15">
      <c r="A530" s="206"/>
      <c r="B530" s="194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  <c r="AA530" s="206"/>
      <c r="AB530" s="544"/>
      <c r="AC530" s="416"/>
    </row>
    <row r="531" spans="1:29" ht="15.75" customHeight="1" x14ac:dyDescent="0.15">
      <c r="A531" s="206"/>
      <c r="B531" s="194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  <c r="AA531" s="206"/>
      <c r="AB531" s="544"/>
      <c r="AC531" s="416"/>
    </row>
    <row r="532" spans="1:29" ht="15.75" customHeight="1" x14ac:dyDescent="0.15">
      <c r="A532" s="206"/>
      <c r="B532" s="194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  <c r="AA532" s="206"/>
      <c r="AB532" s="544"/>
      <c r="AC532" s="416"/>
    </row>
    <row r="533" spans="1:29" ht="15.75" customHeight="1" x14ac:dyDescent="0.15">
      <c r="A533" s="206"/>
      <c r="B533" s="194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  <c r="AA533" s="206"/>
      <c r="AB533" s="544"/>
      <c r="AC533" s="416"/>
    </row>
    <row r="534" spans="1:29" ht="15.75" customHeight="1" x14ac:dyDescent="0.15">
      <c r="A534" s="206"/>
      <c r="B534" s="194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  <c r="AA534" s="206"/>
      <c r="AB534" s="544"/>
      <c r="AC534" s="416"/>
    </row>
    <row r="535" spans="1:29" ht="15.75" customHeight="1" x14ac:dyDescent="0.15">
      <c r="A535" s="206"/>
      <c r="B535" s="194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  <c r="AA535" s="206"/>
      <c r="AB535" s="544"/>
      <c r="AC535" s="416"/>
    </row>
    <row r="536" spans="1:29" ht="15.75" customHeight="1" x14ac:dyDescent="0.15">
      <c r="A536" s="206"/>
      <c r="B536" s="194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  <c r="AA536" s="206"/>
      <c r="AB536" s="544"/>
      <c r="AC536" s="416"/>
    </row>
    <row r="537" spans="1:29" ht="15.75" customHeight="1" x14ac:dyDescent="0.15">
      <c r="A537" s="206"/>
      <c r="B537" s="194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  <c r="AA537" s="206"/>
      <c r="AB537" s="544"/>
      <c r="AC537" s="416"/>
    </row>
    <row r="538" spans="1:29" ht="15.75" customHeight="1" x14ac:dyDescent="0.15">
      <c r="A538" s="206"/>
      <c r="B538" s="194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  <c r="AA538" s="206"/>
      <c r="AB538" s="544"/>
      <c r="AC538" s="416"/>
    </row>
    <row r="539" spans="1:29" ht="15.75" customHeight="1" x14ac:dyDescent="0.15">
      <c r="A539" s="206"/>
      <c r="B539" s="194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  <c r="AA539" s="206"/>
      <c r="AB539" s="544"/>
      <c r="AC539" s="416"/>
    </row>
    <row r="540" spans="1:29" ht="15.75" customHeight="1" x14ac:dyDescent="0.15">
      <c r="A540" s="206"/>
      <c r="B540" s="194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  <c r="AA540" s="206"/>
      <c r="AB540" s="544"/>
      <c r="AC540" s="416"/>
    </row>
    <row r="541" spans="1:29" ht="15.75" customHeight="1" x14ac:dyDescent="0.15">
      <c r="A541" s="206"/>
      <c r="B541" s="194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  <c r="AA541" s="206"/>
      <c r="AB541" s="544"/>
      <c r="AC541" s="416"/>
    </row>
    <row r="542" spans="1:29" ht="15.75" customHeight="1" x14ac:dyDescent="0.15">
      <c r="A542" s="206"/>
      <c r="B542" s="194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  <c r="AA542" s="206"/>
      <c r="AB542" s="544"/>
      <c r="AC542" s="416"/>
    </row>
    <row r="543" spans="1:29" ht="15.75" customHeight="1" x14ac:dyDescent="0.15">
      <c r="A543" s="206"/>
      <c r="B543" s="194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  <c r="AA543" s="206"/>
      <c r="AB543" s="544"/>
      <c r="AC543" s="416"/>
    </row>
    <row r="544" spans="1:29" ht="15.75" customHeight="1" x14ac:dyDescent="0.15">
      <c r="A544" s="206"/>
      <c r="B544" s="194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  <c r="AA544" s="206"/>
      <c r="AB544" s="544"/>
      <c r="AC544" s="416"/>
    </row>
    <row r="545" spans="1:29" ht="15.75" customHeight="1" x14ac:dyDescent="0.15">
      <c r="A545" s="206"/>
      <c r="B545" s="194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  <c r="AA545" s="206"/>
      <c r="AB545" s="544"/>
      <c r="AC545" s="416"/>
    </row>
    <row r="546" spans="1:29" ht="15.75" customHeight="1" x14ac:dyDescent="0.15">
      <c r="A546" s="206"/>
      <c r="B546" s="194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  <c r="AA546" s="206"/>
      <c r="AB546" s="544"/>
      <c r="AC546" s="416"/>
    </row>
    <row r="547" spans="1:29" ht="15.75" customHeight="1" x14ac:dyDescent="0.15">
      <c r="A547" s="206"/>
      <c r="B547" s="194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  <c r="AA547" s="206"/>
      <c r="AB547" s="544"/>
      <c r="AC547" s="416"/>
    </row>
    <row r="548" spans="1:29" ht="15.75" customHeight="1" x14ac:dyDescent="0.15">
      <c r="A548" s="206"/>
      <c r="B548" s="194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  <c r="AA548" s="206"/>
      <c r="AB548" s="544"/>
      <c r="AC548" s="416"/>
    </row>
    <row r="549" spans="1:29" ht="15.75" customHeight="1" x14ac:dyDescent="0.15">
      <c r="A549" s="206"/>
      <c r="B549" s="194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  <c r="AA549" s="206"/>
      <c r="AB549" s="544"/>
      <c r="AC549" s="416"/>
    </row>
    <row r="550" spans="1:29" ht="15.75" customHeight="1" x14ac:dyDescent="0.15">
      <c r="A550" s="206"/>
      <c r="B550" s="194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  <c r="AA550" s="206"/>
      <c r="AB550" s="544"/>
      <c r="AC550" s="416"/>
    </row>
    <row r="551" spans="1:29" ht="15.75" customHeight="1" x14ac:dyDescent="0.15">
      <c r="A551" s="206"/>
      <c r="B551" s="194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  <c r="AA551" s="206"/>
      <c r="AB551" s="544"/>
      <c r="AC551" s="416"/>
    </row>
    <row r="552" spans="1:29" ht="15.75" customHeight="1" x14ac:dyDescent="0.15">
      <c r="A552" s="206"/>
      <c r="B552" s="194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  <c r="AA552" s="206"/>
      <c r="AB552" s="544"/>
      <c r="AC552" s="416"/>
    </row>
    <row r="553" spans="1:29" ht="15.75" customHeight="1" x14ac:dyDescent="0.15">
      <c r="A553" s="206"/>
      <c r="B553" s="194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  <c r="AA553" s="206"/>
      <c r="AB553" s="544"/>
      <c r="AC553" s="416"/>
    </row>
    <row r="554" spans="1:29" ht="15.75" customHeight="1" x14ac:dyDescent="0.15">
      <c r="A554" s="206"/>
      <c r="B554" s="194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  <c r="AA554" s="206"/>
      <c r="AB554" s="544"/>
      <c r="AC554" s="416"/>
    </row>
    <row r="555" spans="1:29" ht="15.75" customHeight="1" x14ac:dyDescent="0.15">
      <c r="A555" s="206"/>
      <c r="B555" s="194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  <c r="AA555" s="206"/>
      <c r="AB555" s="544"/>
      <c r="AC555" s="416"/>
    </row>
    <row r="556" spans="1:29" ht="15.75" customHeight="1" x14ac:dyDescent="0.15">
      <c r="A556" s="206"/>
      <c r="B556" s="194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  <c r="AA556" s="206"/>
      <c r="AB556" s="544"/>
      <c r="AC556" s="416"/>
    </row>
    <row r="557" spans="1:29" ht="15.75" customHeight="1" x14ac:dyDescent="0.15">
      <c r="A557" s="206"/>
      <c r="B557" s="194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  <c r="AA557" s="206"/>
      <c r="AB557" s="544"/>
      <c r="AC557" s="416"/>
    </row>
    <row r="558" spans="1:29" ht="15.75" customHeight="1" x14ac:dyDescent="0.15">
      <c r="A558" s="206"/>
      <c r="B558" s="194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  <c r="AA558" s="206"/>
      <c r="AB558" s="544"/>
      <c r="AC558" s="416"/>
    </row>
    <row r="559" spans="1:29" ht="15.75" customHeight="1" x14ac:dyDescent="0.15">
      <c r="A559" s="206"/>
      <c r="B559" s="194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  <c r="AA559" s="206"/>
      <c r="AB559" s="544"/>
      <c r="AC559" s="416"/>
    </row>
    <row r="560" spans="1:29" ht="15.75" customHeight="1" x14ac:dyDescent="0.15">
      <c r="A560" s="206"/>
      <c r="B560" s="194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  <c r="AA560" s="206"/>
      <c r="AB560" s="544"/>
      <c r="AC560" s="416"/>
    </row>
    <row r="561" spans="1:29" ht="15.75" customHeight="1" x14ac:dyDescent="0.15">
      <c r="A561" s="206"/>
      <c r="B561" s="194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  <c r="AA561" s="206"/>
      <c r="AB561" s="544"/>
      <c r="AC561" s="416"/>
    </row>
    <row r="562" spans="1:29" ht="15.75" customHeight="1" x14ac:dyDescent="0.15">
      <c r="A562" s="206"/>
      <c r="B562" s="194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  <c r="AA562" s="206"/>
      <c r="AB562" s="544"/>
      <c r="AC562" s="416"/>
    </row>
    <row r="563" spans="1:29" ht="15.75" customHeight="1" x14ac:dyDescent="0.15">
      <c r="A563" s="206"/>
      <c r="B563" s="194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  <c r="AA563" s="206"/>
      <c r="AB563" s="544"/>
      <c r="AC563" s="416"/>
    </row>
    <row r="564" spans="1:29" ht="15.75" customHeight="1" x14ac:dyDescent="0.15">
      <c r="A564" s="206"/>
      <c r="B564" s="194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  <c r="AA564" s="206"/>
      <c r="AB564" s="544"/>
      <c r="AC564" s="416"/>
    </row>
    <row r="565" spans="1:29" ht="15.75" customHeight="1" x14ac:dyDescent="0.15">
      <c r="A565" s="206"/>
      <c r="B565" s="194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  <c r="AA565" s="206"/>
      <c r="AB565" s="544"/>
      <c r="AC565" s="416"/>
    </row>
    <row r="566" spans="1:29" ht="15.75" customHeight="1" x14ac:dyDescent="0.15">
      <c r="A566" s="206"/>
      <c r="B566" s="194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  <c r="AA566" s="206"/>
      <c r="AB566" s="544"/>
      <c r="AC566" s="416"/>
    </row>
    <row r="567" spans="1:29" ht="15.75" customHeight="1" x14ac:dyDescent="0.15">
      <c r="A567" s="206"/>
      <c r="B567" s="194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  <c r="AA567" s="206"/>
      <c r="AB567" s="544"/>
      <c r="AC567" s="416"/>
    </row>
    <row r="568" spans="1:29" ht="15.75" customHeight="1" x14ac:dyDescent="0.15">
      <c r="A568" s="206"/>
      <c r="B568" s="194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  <c r="AA568" s="206"/>
      <c r="AB568" s="544"/>
      <c r="AC568" s="416"/>
    </row>
    <row r="569" spans="1:29" ht="15.75" customHeight="1" x14ac:dyDescent="0.15">
      <c r="A569" s="206"/>
      <c r="B569" s="194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  <c r="AA569" s="206"/>
      <c r="AB569" s="544"/>
      <c r="AC569" s="416"/>
    </row>
    <row r="570" spans="1:29" ht="15.75" customHeight="1" x14ac:dyDescent="0.15">
      <c r="A570" s="206"/>
      <c r="B570" s="194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  <c r="AA570" s="206"/>
      <c r="AB570" s="544"/>
      <c r="AC570" s="416"/>
    </row>
    <row r="571" spans="1:29" ht="15.75" customHeight="1" x14ac:dyDescent="0.15">
      <c r="A571" s="206"/>
      <c r="B571" s="194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  <c r="AA571" s="206"/>
      <c r="AB571" s="544"/>
      <c r="AC571" s="416"/>
    </row>
    <row r="572" spans="1:29" ht="15.75" customHeight="1" x14ac:dyDescent="0.15">
      <c r="A572" s="206"/>
      <c r="B572" s="194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  <c r="AA572" s="206"/>
      <c r="AB572" s="544"/>
      <c r="AC572" s="416"/>
    </row>
    <row r="573" spans="1:29" ht="15.75" customHeight="1" x14ac:dyDescent="0.15">
      <c r="A573" s="206"/>
      <c r="B573" s="194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  <c r="AA573" s="206"/>
      <c r="AB573" s="544"/>
      <c r="AC573" s="416"/>
    </row>
    <row r="574" spans="1:29" ht="15.75" customHeight="1" x14ac:dyDescent="0.15">
      <c r="A574" s="206"/>
      <c r="B574" s="194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  <c r="AA574" s="206"/>
      <c r="AB574" s="544"/>
      <c r="AC574" s="416"/>
    </row>
    <row r="575" spans="1:29" ht="15.75" customHeight="1" x14ac:dyDescent="0.15">
      <c r="A575" s="206"/>
      <c r="B575" s="194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  <c r="AA575" s="206"/>
      <c r="AB575" s="544"/>
      <c r="AC575" s="416"/>
    </row>
    <row r="576" spans="1:29" ht="15.75" customHeight="1" x14ac:dyDescent="0.15">
      <c r="A576" s="206"/>
      <c r="B576" s="194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  <c r="AA576" s="206"/>
      <c r="AB576" s="544"/>
      <c r="AC576" s="416"/>
    </row>
    <row r="577" spans="1:29" ht="15.75" customHeight="1" x14ac:dyDescent="0.15">
      <c r="A577" s="206"/>
      <c r="B577" s="194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  <c r="AA577" s="206"/>
      <c r="AB577" s="544"/>
      <c r="AC577" s="416"/>
    </row>
    <row r="578" spans="1:29" ht="15.75" customHeight="1" x14ac:dyDescent="0.15">
      <c r="A578" s="206"/>
      <c r="B578" s="194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  <c r="AA578" s="206"/>
      <c r="AB578" s="544"/>
      <c r="AC578" s="416"/>
    </row>
    <row r="579" spans="1:29" ht="15.75" customHeight="1" x14ac:dyDescent="0.15">
      <c r="A579" s="206"/>
      <c r="B579" s="194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  <c r="AA579" s="206"/>
      <c r="AB579" s="544"/>
      <c r="AC579" s="416"/>
    </row>
    <row r="580" spans="1:29" ht="15.75" customHeight="1" x14ac:dyDescent="0.15">
      <c r="A580" s="206"/>
      <c r="B580" s="194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  <c r="AA580" s="206"/>
      <c r="AB580" s="544"/>
      <c r="AC580" s="416"/>
    </row>
    <row r="581" spans="1:29" ht="15.75" customHeight="1" x14ac:dyDescent="0.15">
      <c r="A581" s="206"/>
      <c r="B581" s="194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  <c r="AA581" s="206"/>
      <c r="AB581" s="544"/>
      <c r="AC581" s="416"/>
    </row>
    <row r="582" spans="1:29" ht="15.75" customHeight="1" x14ac:dyDescent="0.15">
      <c r="A582" s="206"/>
      <c r="B582" s="194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  <c r="AA582" s="206"/>
      <c r="AB582" s="544"/>
      <c r="AC582" s="416"/>
    </row>
    <row r="583" spans="1:29" ht="15.75" customHeight="1" x14ac:dyDescent="0.15">
      <c r="A583" s="206"/>
      <c r="B583" s="194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  <c r="AA583" s="206"/>
      <c r="AB583" s="544"/>
      <c r="AC583" s="416"/>
    </row>
    <row r="584" spans="1:29" ht="15.75" customHeight="1" x14ac:dyDescent="0.15">
      <c r="A584" s="206"/>
      <c r="B584" s="194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  <c r="AA584" s="206"/>
      <c r="AB584" s="544"/>
      <c r="AC584" s="416"/>
    </row>
    <row r="585" spans="1:29" ht="15.75" customHeight="1" x14ac:dyDescent="0.15">
      <c r="A585" s="206"/>
      <c r="B585" s="194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  <c r="AA585" s="206"/>
      <c r="AB585" s="544"/>
      <c r="AC585" s="416"/>
    </row>
    <row r="586" spans="1:29" ht="15.75" customHeight="1" x14ac:dyDescent="0.15">
      <c r="A586" s="206"/>
      <c r="B586" s="194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  <c r="AA586" s="206"/>
      <c r="AB586" s="544"/>
      <c r="AC586" s="416"/>
    </row>
    <row r="587" spans="1:29" ht="15.75" customHeight="1" x14ac:dyDescent="0.15">
      <c r="A587" s="206"/>
      <c r="B587" s="194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  <c r="AA587" s="206"/>
      <c r="AB587" s="544"/>
      <c r="AC587" s="416"/>
    </row>
    <row r="588" spans="1:29" ht="15.75" customHeight="1" x14ac:dyDescent="0.15">
      <c r="A588" s="206"/>
      <c r="B588" s="194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  <c r="AA588" s="206"/>
      <c r="AB588" s="544"/>
      <c r="AC588" s="416"/>
    </row>
    <row r="589" spans="1:29" ht="15.75" customHeight="1" x14ac:dyDescent="0.15">
      <c r="A589" s="206"/>
      <c r="B589" s="194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  <c r="AA589" s="206"/>
      <c r="AB589" s="544"/>
      <c r="AC589" s="416"/>
    </row>
    <row r="590" spans="1:29" ht="15.75" customHeight="1" x14ac:dyDescent="0.15">
      <c r="A590" s="206"/>
      <c r="B590" s="194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  <c r="AA590" s="206"/>
      <c r="AB590" s="544"/>
      <c r="AC590" s="416"/>
    </row>
    <row r="591" spans="1:29" ht="15.75" customHeight="1" x14ac:dyDescent="0.15">
      <c r="A591" s="206"/>
      <c r="B591" s="194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  <c r="AA591" s="206"/>
      <c r="AB591" s="544"/>
      <c r="AC591" s="416"/>
    </row>
    <row r="592" spans="1:29" ht="15.75" customHeight="1" x14ac:dyDescent="0.15">
      <c r="A592" s="206"/>
      <c r="B592" s="194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  <c r="AA592" s="206"/>
      <c r="AB592" s="544"/>
      <c r="AC592" s="416"/>
    </row>
    <row r="593" spans="1:29" ht="15.75" customHeight="1" x14ac:dyDescent="0.15">
      <c r="A593" s="206"/>
      <c r="B593" s="194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  <c r="AA593" s="206"/>
      <c r="AB593" s="544"/>
      <c r="AC593" s="416"/>
    </row>
    <row r="594" spans="1:29" ht="15.75" customHeight="1" x14ac:dyDescent="0.15">
      <c r="A594" s="206"/>
      <c r="B594" s="194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  <c r="AA594" s="206"/>
      <c r="AB594" s="544"/>
      <c r="AC594" s="416"/>
    </row>
    <row r="595" spans="1:29" ht="15.75" customHeight="1" x14ac:dyDescent="0.15">
      <c r="A595" s="206"/>
      <c r="B595" s="194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  <c r="AA595" s="206"/>
      <c r="AB595" s="544"/>
      <c r="AC595" s="416"/>
    </row>
    <row r="596" spans="1:29" ht="15.75" customHeight="1" x14ac:dyDescent="0.15">
      <c r="A596" s="206"/>
      <c r="B596" s="194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  <c r="AA596" s="206"/>
      <c r="AB596" s="544"/>
      <c r="AC596" s="416"/>
    </row>
    <row r="597" spans="1:29" ht="15.75" customHeight="1" x14ac:dyDescent="0.15">
      <c r="A597" s="206"/>
      <c r="B597" s="194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  <c r="AA597" s="206"/>
      <c r="AB597" s="544"/>
      <c r="AC597" s="416"/>
    </row>
    <row r="598" spans="1:29" ht="15.75" customHeight="1" x14ac:dyDescent="0.15">
      <c r="A598" s="206"/>
      <c r="B598" s="194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  <c r="AA598" s="206"/>
      <c r="AB598" s="544"/>
      <c r="AC598" s="416"/>
    </row>
    <row r="599" spans="1:29" ht="15.75" customHeight="1" x14ac:dyDescent="0.15">
      <c r="A599" s="206"/>
      <c r="B599" s="194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  <c r="AA599" s="206"/>
      <c r="AB599" s="544"/>
      <c r="AC599" s="416"/>
    </row>
    <row r="600" spans="1:29" ht="15.75" customHeight="1" x14ac:dyDescent="0.15">
      <c r="A600" s="206"/>
      <c r="B600" s="194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  <c r="AA600" s="206"/>
      <c r="AB600" s="544"/>
      <c r="AC600" s="416"/>
    </row>
    <row r="601" spans="1:29" ht="15.75" customHeight="1" x14ac:dyDescent="0.15">
      <c r="A601" s="206"/>
      <c r="B601" s="194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  <c r="AA601" s="206"/>
      <c r="AB601" s="544"/>
      <c r="AC601" s="416"/>
    </row>
    <row r="602" spans="1:29" ht="15.75" customHeight="1" x14ac:dyDescent="0.15">
      <c r="A602" s="206"/>
      <c r="B602" s="194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  <c r="AA602" s="206"/>
      <c r="AB602" s="544"/>
      <c r="AC602" s="416"/>
    </row>
    <row r="603" spans="1:29" ht="15.75" customHeight="1" x14ac:dyDescent="0.15">
      <c r="A603" s="206"/>
      <c r="B603" s="194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  <c r="AA603" s="206"/>
      <c r="AB603" s="544"/>
      <c r="AC603" s="416"/>
    </row>
    <row r="604" spans="1:29" ht="15.75" customHeight="1" x14ac:dyDescent="0.15">
      <c r="A604" s="206"/>
      <c r="B604" s="194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  <c r="AA604" s="206"/>
      <c r="AB604" s="544"/>
      <c r="AC604" s="416"/>
    </row>
    <row r="605" spans="1:29" ht="15.75" customHeight="1" x14ac:dyDescent="0.15">
      <c r="A605" s="206"/>
      <c r="B605" s="194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  <c r="AA605" s="206"/>
      <c r="AB605" s="544"/>
      <c r="AC605" s="416"/>
    </row>
    <row r="606" spans="1:29" ht="15.75" customHeight="1" x14ac:dyDescent="0.15">
      <c r="A606" s="206"/>
      <c r="B606" s="194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  <c r="AA606" s="206"/>
      <c r="AB606" s="544"/>
      <c r="AC606" s="416"/>
    </row>
    <row r="607" spans="1:29" ht="15.75" customHeight="1" x14ac:dyDescent="0.15">
      <c r="A607" s="206"/>
      <c r="B607" s="194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  <c r="AA607" s="206"/>
      <c r="AB607" s="544"/>
      <c r="AC607" s="416"/>
    </row>
    <row r="608" spans="1:29" ht="15.75" customHeight="1" x14ac:dyDescent="0.15">
      <c r="A608" s="206"/>
      <c r="B608" s="194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  <c r="AA608" s="206"/>
      <c r="AB608" s="544"/>
      <c r="AC608" s="416"/>
    </row>
    <row r="609" spans="1:29" ht="15.75" customHeight="1" x14ac:dyDescent="0.15">
      <c r="A609" s="206"/>
      <c r="B609" s="194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  <c r="AA609" s="206"/>
      <c r="AB609" s="544"/>
      <c r="AC609" s="416"/>
    </row>
    <row r="610" spans="1:29" ht="15.75" customHeight="1" x14ac:dyDescent="0.15">
      <c r="A610" s="206"/>
      <c r="B610" s="194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  <c r="AA610" s="206"/>
      <c r="AB610" s="544"/>
      <c r="AC610" s="416"/>
    </row>
    <row r="611" spans="1:29" ht="15.75" customHeight="1" x14ac:dyDescent="0.15">
      <c r="A611" s="206"/>
      <c r="B611" s="194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  <c r="AA611" s="206"/>
      <c r="AB611" s="544"/>
      <c r="AC611" s="416"/>
    </row>
    <row r="612" spans="1:29" ht="15.75" customHeight="1" x14ac:dyDescent="0.15">
      <c r="A612" s="206"/>
      <c r="B612" s="194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  <c r="AA612" s="206"/>
      <c r="AB612" s="544"/>
      <c r="AC612" s="416"/>
    </row>
    <row r="613" spans="1:29" ht="15.75" customHeight="1" x14ac:dyDescent="0.15">
      <c r="A613" s="206"/>
      <c r="B613" s="194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  <c r="AA613" s="206"/>
      <c r="AB613" s="544"/>
      <c r="AC613" s="416"/>
    </row>
    <row r="614" spans="1:29" ht="15.75" customHeight="1" x14ac:dyDescent="0.15">
      <c r="A614" s="206"/>
      <c r="B614" s="194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  <c r="AA614" s="206"/>
      <c r="AB614" s="544"/>
      <c r="AC614" s="416"/>
    </row>
    <row r="615" spans="1:29" ht="15.75" customHeight="1" x14ac:dyDescent="0.15">
      <c r="A615" s="206"/>
      <c r="B615" s="194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  <c r="AA615" s="206"/>
      <c r="AB615" s="544"/>
      <c r="AC615" s="416"/>
    </row>
    <row r="616" spans="1:29" ht="15.75" customHeight="1" x14ac:dyDescent="0.15">
      <c r="A616" s="206"/>
      <c r="B616" s="194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  <c r="AA616" s="206"/>
      <c r="AB616" s="544"/>
      <c r="AC616" s="416"/>
    </row>
    <row r="617" spans="1:29" ht="15.75" customHeight="1" x14ac:dyDescent="0.15">
      <c r="A617" s="206"/>
      <c r="B617" s="194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  <c r="AA617" s="206"/>
      <c r="AB617" s="544"/>
      <c r="AC617" s="416"/>
    </row>
    <row r="618" spans="1:29" ht="15.75" customHeight="1" x14ac:dyDescent="0.15">
      <c r="A618" s="206"/>
      <c r="B618" s="194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  <c r="AA618" s="206"/>
      <c r="AB618" s="544"/>
      <c r="AC618" s="416"/>
    </row>
    <row r="619" spans="1:29" ht="15.75" customHeight="1" x14ac:dyDescent="0.15">
      <c r="A619" s="206"/>
      <c r="B619" s="194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  <c r="AA619" s="206"/>
      <c r="AB619" s="544"/>
      <c r="AC619" s="416"/>
    </row>
    <row r="620" spans="1:29" ht="15.75" customHeight="1" x14ac:dyDescent="0.15">
      <c r="A620" s="206"/>
      <c r="B620" s="194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  <c r="AA620" s="206"/>
      <c r="AB620" s="544"/>
      <c r="AC620" s="416"/>
    </row>
    <row r="621" spans="1:29" ht="15.75" customHeight="1" x14ac:dyDescent="0.15">
      <c r="A621" s="206"/>
      <c r="B621" s="194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  <c r="AA621" s="206"/>
      <c r="AB621" s="544"/>
      <c r="AC621" s="416"/>
    </row>
    <row r="622" spans="1:29" ht="15.75" customHeight="1" x14ac:dyDescent="0.15">
      <c r="A622" s="206"/>
      <c r="B622" s="194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  <c r="AA622" s="206"/>
      <c r="AB622" s="544"/>
      <c r="AC622" s="416"/>
    </row>
    <row r="623" spans="1:29" ht="15.75" customHeight="1" x14ac:dyDescent="0.15">
      <c r="A623" s="206"/>
      <c r="B623" s="194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  <c r="AA623" s="206"/>
      <c r="AB623" s="544"/>
      <c r="AC623" s="416"/>
    </row>
    <row r="624" spans="1:29" ht="15.75" customHeight="1" x14ac:dyDescent="0.15">
      <c r="A624" s="206"/>
      <c r="B624" s="194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  <c r="AA624" s="206"/>
      <c r="AB624" s="544"/>
      <c r="AC624" s="416"/>
    </row>
    <row r="625" spans="1:29" ht="15.75" customHeight="1" x14ac:dyDescent="0.15">
      <c r="A625" s="206"/>
      <c r="B625" s="194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  <c r="AA625" s="206"/>
      <c r="AB625" s="544"/>
      <c r="AC625" s="416"/>
    </row>
    <row r="626" spans="1:29" ht="15.75" customHeight="1" x14ac:dyDescent="0.15">
      <c r="A626" s="206"/>
      <c r="B626" s="194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  <c r="AA626" s="206"/>
      <c r="AB626" s="544"/>
      <c r="AC626" s="416"/>
    </row>
    <row r="627" spans="1:29" ht="15.75" customHeight="1" x14ac:dyDescent="0.15">
      <c r="A627" s="206"/>
      <c r="B627" s="194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  <c r="AA627" s="206"/>
      <c r="AB627" s="544"/>
      <c r="AC627" s="416"/>
    </row>
    <row r="628" spans="1:29" ht="15.75" customHeight="1" x14ac:dyDescent="0.15">
      <c r="A628" s="206"/>
      <c r="B628" s="194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  <c r="AA628" s="206"/>
      <c r="AB628" s="544"/>
      <c r="AC628" s="416"/>
    </row>
    <row r="629" spans="1:29" ht="15.75" customHeight="1" x14ac:dyDescent="0.15">
      <c r="A629" s="206"/>
      <c r="B629" s="194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  <c r="AA629" s="206"/>
      <c r="AB629" s="544"/>
      <c r="AC629" s="416"/>
    </row>
    <row r="630" spans="1:29" ht="15.75" customHeight="1" x14ac:dyDescent="0.15">
      <c r="A630" s="206"/>
      <c r="B630" s="194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  <c r="AA630" s="206"/>
      <c r="AB630" s="544"/>
      <c r="AC630" s="416"/>
    </row>
    <row r="631" spans="1:29" ht="15.75" customHeight="1" x14ac:dyDescent="0.15">
      <c r="A631" s="206"/>
      <c r="B631" s="194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  <c r="AA631" s="206"/>
      <c r="AB631" s="544"/>
      <c r="AC631" s="416"/>
    </row>
    <row r="632" spans="1:29" ht="15.75" customHeight="1" x14ac:dyDescent="0.15">
      <c r="A632" s="206"/>
      <c r="B632" s="194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  <c r="AA632" s="206"/>
      <c r="AB632" s="544"/>
      <c r="AC632" s="416"/>
    </row>
    <row r="633" spans="1:29" ht="15.75" customHeight="1" x14ac:dyDescent="0.15">
      <c r="A633" s="206"/>
      <c r="B633" s="194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  <c r="AA633" s="206"/>
      <c r="AB633" s="544"/>
      <c r="AC633" s="416"/>
    </row>
    <row r="634" spans="1:29" ht="15.75" customHeight="1" x14ac:dyDescent="0.15">
      <c r="A634" s="206"/>
      <c r="B634" s="194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  <c r="AA634" s="206"/>
      <c r="AB634" s="544"/>
      <c r="AC634" s="416"/>
    </row>
    <row r="635" spans="1:29" ht="15.75" customHeight="1" x14ac:dyDescent="0.15">
      <c r="A635" s="206"/>
      <c r="B635" s="194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  <c r="AA635" s="206"/>
      <c r="AB635" s="544"/>
      <c r="AC635" s="416"/>
    </row>
    <row r="636" spans="1:29" ht="15.75" customHeight="1" x14ac:dyDescent="0.15">
      <c r="A636" s="206"/>
      <c r="B636" s="194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  <c r="AA636" s="206"/>
      <c r="AB636" s="544"/>
      <c r="AC636" s="416"/>
    </row>
    <row r="637" spans="1:29" ht="15.75" customHeight="1" x14ac:dyDescent="0.15">
      <c r="A637" s="206"/>
      <c r="B637" s="194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  <c r="AA637" s="206"/>
      <c r="AB637" s="544"/>
      <c r="AC637" s="416"/>
    </row>
    <row r="638" spans="1:29" ht="15.75" customHeight="1" x14ac:dyDescent="0.15">
      <c r="A638" s="206"/>
      <c r="B638" s="194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  <c r="AA638" s="206"/>
      <c r="AB638" s="544"/>
      <c r="AC638" s="416"/>
    </row>
    <row r="639" spans="1:29" ht="15.75" customHeight="1" x14ac:dyDescent="0.15">
      <c r="A639" s="206"/>
      <c r="B639" s="194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  <c r="AA639" s="206"/>
      <c r="AB639" s="544"/>
      <c r="AC639" s="416"/>
    </row>
    <row r="640" spans="1:29" ht="15.75" customHeight="1" x14ac:dyDescent="0.15">
      <c r="A640" s="206"/>
      <c r="B640" s="194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  <c r="AA640" s="206"/>
      <c r="AB640" s="544"/>
      <c r="AC640" s="416"/>
    </row>
    <row r="641" spans="1:29" ht="15.75" customHeight="1" x14ac:dyDescent="0.15">
      <c r="A641" s="206"/>
      <c r="B641" s="194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  <c r="AA641" s="206"/>
      <c r="AB641" s="544"/>
      <c r="AC641" s="416"/>
    </row>
    <row r="642" spans="1:29" ht="15.75" customHeight="1" x14ac:dyDescent="0.15">
      <c r="A642" s="206"/>
      <c r="B642" s="194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  <c r="AA642" s="206"/>
      <c r="AB642" s="544"/>
      <c r="AC642" s="416"/>
    </row>
    <row r="643" spans="1:29" ht="15.75" customHeight="1" x14ac:dyDescent="0.15">
      <c r="A643" s="206"/>
      <c r="B643" s="194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  <c r="AA643" s="206"/>
      <c r="AB643" s="544"/>
      <c r="AC643" s="416"/>
    </row>
    <row r="644" spans="1:29" ht="15.75" customHeight="1" x14ac:dyDescent="0.15">
      <c r="A644" s="206"/>
      <c r="B644" s="194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  <c r="AA644" s="206"/>
      <c r="AB644" s="544"/>
      <c r="AC644" s="416"/>
    </row>
    <row r="645" spans="1:29" ht="15.75" customHeight="1" x14ac:dyDescent="0.15">
      <c r="A645" s="206"/>
      <c r="B645" s="194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  <c r="AA645" s="206"/>
      <c r="AB645" s="544"/>
      <c r="AC645" s="416"/>
    </row>
    <row r="646" spans="1:29" ht="15.75" customHeight="1" x14ac:dyDescent="0.15">
      <c r="A646" s="206"/>
      <c r="B646" s="194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  <c r="AA646" s="206"/>
      <c r="AB646" s="544"/>
      <c r="AC646" s="416"/>
    </row>
    <row r="647" spans="1:29" ht="15.75" customHeight="1" x14ac:dyDescent="0.15">
      <c r="A647" s="206"/>
      <c r="B647" s="194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  <c r="AA647" s="206"/>
      <c r="AB647" s="544"/>
      <c r="AC647" s="416"/>
    </row>
    <row r="648" spans="1:29" ht="15.75" customHeight="1" x14ac:dyDescent="0.15">
      <c r="A648" s="206"/>
      <c r="B648" s="194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  <c r="AA648" s="206"/>
      <c r="AB648" s="544"/>
      <c r="AC648" s="416"/>
    </row>
    <row r="649" spans="1:29" ht="15.75" customHeight="1" x14ac:dyDescent="0.15">
      <c r="A649" s="206"/>
      <c r="B649" s="194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  <c r="AA649" s="206"/>
      <c r="AB649" s="544"/>
      <c r="AC649" s="416"/>
    </row>
    <row r="650" spans="1:29" ht="15.75" customHeight="1" x14ac:dyDescent="0.15">
      <c r="A650" s="206"/>
      <c r="B650" s="194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  <c r="AA650" s="206"/>
      <c r="AB650" s="544"/>
      <c r="AC650" s="416"/>
    </row>
    <row r="651" spans="1:29" ht="15.75" customHeight="1" x14ac:dyDescent="0.15">
      <c r="A651" s="206"/>
      <c r="B651" s="194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  <c r="AA651" s="206"/>
      <c r="AB651" s="544"/>
      <c r="AC651" s="416"/>
    </row>
    <row r="652" spans="1:29" ht="15.75" customHeight="1" x14ac:dyDescent="0.15">
      <c r="A652" s="206"/>
      <c r="B652" s="194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  <c r="AA652" s="206"/>
      <c r="AB652" s="544"/>
      <c r="AC652" s="416"/>
    </row>
    <row r="653" spans="1:29" ht="15.75" customHeight="1" x14ac:dyDescent="0.15">
      <c r="A653" s="206"/>
      <c r="B653" s="194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  <c r="AA653" s="206"/>
      <c r="AB653" s="544"/>
      <c r="AC653" s="416"/>
    </row>
    <row r="654" spans="1:29" ht="15.75" customHeight="1" x14ac:dyDescent="0.15">
      <c r="A654" s="206"/>
      <c r="B654" s="194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  <c r="AA654" s="206"/>
      <c r="AB654" s="544"/>
      <c r="AC654" s="416"/>
    </row>
    <row r="655" spans="1:29" ht="15.75" customHeight="1" x14ac:dyDescent="0.15">
      <c r="A655" s="206"/>
      <c r="B655" s="194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  <c r="AA655" s="206"/>
      <c r="AB655" s="544"/>
      <c r="AC655" s="416"/>
    </row>
    <row r="656" spans="1:29" ht="15.75" customHeight="1" x14ac:dyDescent="0.15">
      <c r="A656" s="206"/>
      <c r="B656" s="194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  <c r="AA656" s="206"/>
      <c r="AB656" s="544"/>
      <c r="AC656" s="416"/>
    </row>
    <row r="657" spans="1:29" ht="15.75" customHeight="1" x14ac:dyDescent="0.15">
      <c r="A657" s="206"/>
      <c r="B657" s="194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  <c r="AA657" s="206"/>
      <c r="AB657" s="544"/>
      <c r="AC657" s="416"/>
    </row>
    <row r="658" spans="1:29" ht="15.75" customHeight="1" x14ac:dyDescent="0.15">
      <c r="A658" s="206"/>
      <c r="B658" s="194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  <c r="AA658" s="206"/>
      <c r="AB658" s="544"/>
      <c r="AC658" s="416"/>
    </row>
    <row r="659" spans="1:29" ht="15.75" customHeight="1" x14ac:dyDescent="0.15">
      <c r="A659" s="206"/>
      <c r="B659" s="194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  <c r="AA659" s="206"/>
      <c r="AB659" s="544"/>
      <c r="AC659" s="416"/>
    </row>
    <row r="660" spans="1:29" ht="15.75" customHeight="1" x14ac:dyDescent="0.15">
      <c r="A660" s="206"/>
      <c r="B660" s="194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  <c r="AA660" s="206"/>
      <c r="AB660" s="544"/>
      <c r="AC660" s="416"/>
    </row>
    <row r="661" spans="1:29" ht="15.75" customHeight="1" x14ac:dyDescent="0.15">
      <c r="A661" s="206"/>
      <c r="B661" s="194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  <c r="AA661" s="206"/>
      <c r="AB661" s="544"/>
      <c r="AC661" s="416"/>
    </row>
    <row r="662" spans="1:29" ht="15.75" customHeight="1" x14ac:dyDescent="0.15">
      <c r="A662" s="206"/>
      <c r="B662" s="194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  <c r="AA662" s="206"/>
      <c r="AB662" s="544"/>
      <c r="AC662" s="416"/>
    </row>
    <row r="663" spans="1:29" ht="15.75" customHeight="1" x14ac:dyDescent="0.15">
      <c r="A663" s="206"/>
      <c r="B663" s="194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  <c r="AA663" s="206"/>
      <c r="AB663" s="544"/>
      <c r="AC663" s="416"/>
    </row>
    <row r="664" spans="1:29" ht="15.75" customHeight="1" x14ac:dyDescent="0.15">
      <c r="A664" s="206"/>
      <c r="B664" s="194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  <c r="AA664" s="206"/>
      <c r="AB664" s="544"/>
      <c r="AC664" s="416"/>
    </row>
    <row r="665" spans="1:29" ht="15.75" customHeight="1" x14ac:dyDescent="0.15">
      <c r="A665" s="206"/>
      <c r="B665" s="194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  <c r="AA665" s="206"/>
      <c r="AB665" s="544"/>
      <c r="AC665" s="416"/>
    </row>
    <row r="666" spans="1:29" ht="15.75" customHeight="1" x14ac:dyDescent="0.15">
      <c r="A666" s="206"/>
      <c r="B666" s="194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  <c r="AA666" s="206"/>
      <c r="AB666" s="544"/>
      <c r="AC666" s="416"/>
    </row>
    <row r="667" spans="1:29" ht="15.75" customHeight="1" x14ac:dyDescent="0.15">
      <c r="A667" s="206"/>
      <c r="B667" s="194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  <c r="AA667" s="206"/>
      <c r="AB667" s="544"/>
      <c r="AC667" s="416"/>
    </row>
    <row r="668" spans="1:29" ht="15.75" customHeight="1" x14ac:dyDescent="0.15">
      <c r="A668" s="206"/>
      <c r="B668" s="194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  <c r="AA668" s="206"/>
      <c r="AB668" s="544"/>
      <c r="AC668" s="416"/>
    </row>
    <row r="669" spans="1:29" ht="15.75" customHeight="1" x14ac:dyDescent="0.15">
      <c r="A669" s="206"/>
      <c r="B669" s="194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  <c r="AA669" s="206"/>
      <c r="AB669" s="544"/>
      <c r="AC669" s="416"/>
    </row>
    <row r="670" spans="1:29" ht="15.75" customHeight="1" x14ac:dyDescent="0.15">
      <c r="A670" s="206"/>
      <c r="B670" s="194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  <c r="AA670" s="206"/>
      <c r="AB670" s="544"/>
      <c r="AC670" s="416"/>
    </row>
    <row r="671" spans="1:29" ht="15.75" customHeight="1" x14ac:dyDescent="0.15">
      <c r="A671" s="206"/>
      <c r="B671" s="194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  <c r="AA671" s="206"/>
      <c r="AB671" s="544"/>
      <c r="AC671" s="416"/>
    </row>
    <row r="672" spans="1:29" ht="15.75" customHeight="1" x14ac:dyDescent="0.15">
      <c r="A672" s="206"/>
      <c r="B672" s="194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  <c r="AA672" s="206"/>
      <c r="AB672" s="544"/>
      <c r="AC672" s="416"/>
    </row>
    <row r="673" spans="1:29" ht="15.75" customHeight="1" x14ac:dyDescent="0.15">
      <c r="A673" s="206"/>
      <c r="B673" s="194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  <c r="AA673" s="206"/>
      <c r="AB673" s="544"/>
      <c r="AC673" s="416"/>
    </row>
    <row r="674" spans="1:29" ht="15.75" customHeight="1" x14ac:dyDescent="0.15">
      <c r="A674" s="206"/>
      <c r="B674" s="194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  <c r="AA674" s="206"/>
      <c r="AB674" s="544"/>
      <c r="AC674" s="416"/>
    </row>
    <row r="675" spans="1:29" ht="15.75" customHeight="1" x14ac:dyDescent="0.15">
      <c r="A675" s="206"/>
      <c r="B675" s="194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  <c r="AA675" s="206"/>
      <c r="AB675" s="544"/>
      <c r="AC675" s="416"/>
    </row>
    <row r="676" spans="1:29" ht="15.75" customHeight="1" x14ac:dyDescent="0.15">
      <c r="A676" s="206"/>
      <c r="B676" s="194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  <c r="AA676" s="206"/>
      <c r="AB676" s="544"/>
      <c r="AC676" s="416"/>
    </row>
    <row r="677" spans="1:29" ht="15.75" customHeight="1" x14ac:dyDescent="0.15">
      <c r="A677" s="206"/>
      <c r="B677" s="194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  <c r="AA677" s="206"/>
      <c r="AB677" s="544"/>
      <c r="AC677" s="416"/>
    </row>
    <row r="678" spans="1:29" ht="15.75" customHeight="1" x14ac:dyDescent="0.15">
      <c r="A678" s="206"/>
      <c r="B678" s="194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  <c r="AA678" s="206"/>
      <c r="AB678" s="544"/>
      <c r="AC678" s="416"/>
    </row>
    <row r="679" spans="1:29" ht="15.75" customHeight="1" x14ac:dyDescent="0.15">
      <c r="A679" s="206"/>
      <c r="B679" s="194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  <c r="AA679" s="206"/>
      <c r="AB679" s="544"/>
      <c r="AC679" s="416"/>
    </row>
    <row r="680" spans="1:29" ht="15.75" customHeight="1" x14ac:dyDescent="0.15">
      <c r="A680" s="206"/>
      <c r="B680" s="194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  <c r="AA680" s="206"/>
      <c r="AB680" s="544"/>
      <c r="AC680" s="416"/>
    </row>
    <row r="681" spans="1:29" ht="15.75" customHeight="1" x14ac:dyDescent="0.15">
      <c r="A681" s="206"/>
      <c r="B681" s="194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  <c r="AA681" s="206"/>
      <c r="AB681" s="544"/>
      <c r="AC681" s="416"/>
    </row>
    <row r="682" spans="1:29" ht="15.75" customHeight="1" x14ac:dyDescent="0.15">
      <c r="A682" s="206"/>
      <c r="B682" s="194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  <c r="AA682" s="206"/>
      <c r="AB682" s="544"/>
      <c r="AC682" s="416"/>
    </row>
    <row r="683" spans="1:29" ht="15.75" customHeight="1" x14ac:dyDescent="0.15">
      <c r="A683" s="206"/>
      <c r="B683" s="194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  <c r="AA683" s="206"/>
      <c r="AB683" s="544"/>
      <c r="AC683" s="416"/>
    </row>
    <row r="684" spans="1:29" ht="15.75" customHeight="1" x14ac:dyDescent="0.15">
      <c r="A684" s="206"/>
      <c r="B684" s="194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  <c r="AA684" s="206"/>
      <c r="AB684" s="544"/>
      <c r="AC684" s="416"/>
    </row>
    <row r="685" spans="1:29" ht="15.75" customHeight="1" x14ac:dyDescent="0.15">
      <c r="A685" s="206"/>
      <c r="B685" s="194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  <c r="AA685" s="206"/>
      <c r="AB685" s="544"/>
      <c r="AC685" s="416"/>
    </row>
    <row r="686" spans="1:29" ht="15.75" customHeight="1" x14ac:dyDescent="0.15">
      <c r="A686" s="206"/>
      <c r="B686" s="194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  <c r="AA686" s="206"/>
      <c r="AB686" s="544"/>
      <c r="AC686" s="416"/>
    </row>
    <row r="687" spans="1:29" ht="15.75" customHeight="1" x14ac:dyDescent="0.15">
      <c r="A687" s="206"/>
      <c r="B687" s="194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  <c r="AA687" s="206"/>
      <c r="AB687" s="544"/>
      <c r="AC687" s="416"/>
    </row>
    <row r="688" spans="1:29" ht="15.75" customHeight="1" x14ac:dyDescent="0.15">
      <c r="A688" s="206"/>
      <c r="B688" s="194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  <c r="AA688" s="206"/>
      <c r="AB688" s="544"/>
      <c r="AC688" s="416"/>
    </row>
    <row r="689" spans="1:29" ht="15.75" customHeight="1" x14ac:dyDescent="0.15">
      <c r="A689" s="206"/>
      <c r="B689" s="194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  <c r="AA689" s="206"/>
      <c r="AB689" s="544"/>
      <c r="AC689" s="416"/>
    </row>
    <row r="690" spans="1:29" ht="15.75" customHeight="1" x14ac:dyDescent="0.15">
      <c r="A690" s="206"/>
      <c r="B690" s="194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  <c r="AA690" s="206"/>
      <c r="AB690" s="544"/>
      <c r="AC690" s="416"/>
    </row>
    <row r="691" spans="1:29" ht="15.75" customHeight="1" x14ac:dyDescent="0.15">
      <c r="A691" s="206"/>
      <c r="B691" s="194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  <c r="AA691" s="206"/>
      <c r="AB691" s="544"/>
      <c r="AC691" s="416"/>
    </row>
    <row r="692" spans="1:29" ht="15.75" customHeight="1" x14ac:dyDescent="0.15">
      <c r="A692" s="206"/>
      <c r="B692" s="194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  <c r="AA692" s="206"/>
      <c r="AB692" s="544"/>
      <c r="AC692" s="416"/>
    </row>
    <row r="693" spans="1:29" ht="15.75" customHeight="1" x14ac:dyDescent="0.15">
      <c r="A693" s="206"/>
      <c r="B693" s="194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  <c r="AA693" s="206"/>
      <c r="AB693" s="544"/>
      <c r="AC693" s="416"/>
    </row>
    <row r="694" spans="1:29" ht="15.75" customHeight="1" x14ac:dyDescent="0.15">
      <c r="A694" s="206"/>
      <c r="B694" s="194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  <c r="AA694" s="206"/>
      <c r="AB694" s="544"/>
      <c r="AC694" s="416"/>
    </row>
    <row r="695" spans="1:29" ht="15.75" customHeight="1" x14ac:dyDescent="0.15">
      <c r="A695" s="206"/>
      <c r="B695" s="194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  <c r="AA695" s="206"/>
      <c r="AB695" s="544"/>
      <c r="AC695" s="416"/>
    </row>
    <row r="696" spans="1:29" ht="15.75" customHeight="1" x14ac:dyDescent="0.15">
      <c r="A696" s="206"/>
      <c r="B696" s="194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  <c r="AA696" s="206"/>
      <c r="AB696" s="544"/>
      <c r="AC696" s="416"/>
    </row>
    <row r="697" spans="1:29" ht="15.75" customHeight="1" x14ac:dyDescent="0.15">
      <c r="A697" s="206"/>
      <c r="B697" s="194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  <c r="AA697" s="206"/>
      <c r="AB697" s="544"/>
      <c r="AC697" s="416"/>
    </row>
    <row r="698" spans="1:29" ht="15.75" customHeight="1" x14ac:dyDescent="0.15">
      <c r="A698" s="206"/>
      <c r="B698" s="194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  <c r="AA698" s="206"/>
      <c r="AB698" s="544"/>
      <c r="AC698" s="416"/>
    </row>
    <row r="699" spans="1:29" ht="15.75" customHeight="1" x14ac:dyDescent="0.15">
      <c r="A699" s="206"/>
      <c r="B699" s="194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  <c r="AA699" s="206"/>
      <c r="AB699" s="544"/>
      <c r="AC699" s="416"/>
    </row>
    <row r="700" spans="1:29" ht="15.75" customHeight="1" x14ac:dyDescent="0.15">
      <c r="A700" s="206"/>
      <c r="B700" s="194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  <c r="AA700" s="206"/>
      <c r="AB700" s="544"/>
      <c r="AC700" s="416"/>
    </row>
    <row r="701" spans="1:29" ht="15.75" customHeight="1" x14ac:dyDescent="0.15">
      <c r="A701" s="206"/>
      <c r="B701" s="194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  <c r="AA701" s="206"/>
      <c r="AB701" s="544"/>
      <c r="AC701" s="416"/>
    </row>
    <row r="702" spans="1:29" ht="15.75" customHeight="1" x14ac:dyDescent="0.15">
      <c r="A702" s="206"/>
      <c r="B702" s="194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  <c r="AA702" s="206"/>
      <c r="AB702" s="544"/>
      <c r="AC702" s="416"/>
    </row>
    <row r="703" spans="1:29" ht="15.75" customHeight="1" x14ac:dyDescent="0.15">
      <c r="A703" s="206"/>
      <c r="B703" s="194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  <c r="AA703" s="206"/>
      <c r="AB703" s="544"/>
      <c r="AC703" s="416"/>
    </row>
    <row r="704" spans="1:29" ht="15.75" customHeight="1" x14ac:dyDescent="0.15">
      <c r="A704" s="206"/>
      <c r="B704" s="194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  <c r="AA704" s="206"/>
      <c r="AB704" s="544"/>
      <c r="AC704" s="416"/>
    </row>
    <row r="705" spans="1:29" ht="15.75" customHeight="1" x14ac:dyDescent="0.15">
      <c r="A705" s="206"/>
      <c r="B705" s="194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  <c r="AA705" s="206"/>
      <c r="AB705" s="544"/>
      <c r="AC705" s="416"/>
    </row>
    <row r="706" spans="1:29" ht="15.75" customHeight="1" x14ac:dyDescent="0.15">
      <c r="A706" s="206"/>
      <c r="B706" s="194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  <c r="AA706" s="206"/>
      <c r="AB706" s="544"/>
      <c r="AC706" s="416"/>
    </row>
    <row r="707" spans="1:29" ht="15.75" customHeight="1" x14ac:dyDescent="0.15">
      <c r="A707" s="206"/>
      <c r="B707" s="194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  <c r="AA707" s="206"/>
      <c r="AB707" s="544"/>
      <c r="AC707" s="416"/>
    </row>
    <row r="708" spans="1:29" ht="15.75" customHeight="1" x14ac:dyDescent="0.15">
      <c r="A708" s="206"/>
      <c r="B708" s="194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  <c r="AA708" s="206"/>
      <c r="AB708" s="544"/>
      <c r="AC708" s="416"/>
    </row>
    <row r="709" spans="1:29" ht="15.75" customHeight="1" x14ac:dyDescent="0.15">
      <c r="A709" s="206"/>
      <c r="B709" s="194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  <c r="AA709" s="206"/>
      <c r="AB709" s="544"/>
      <c r="AC709" s="416"/>
    </row>
    <row r="710" spans="1:29" ht="15.75" customHeight="1" x14ac:dyDescent="0.15">
      <c r="A710" s="206"/>
      <c r="B710" s="194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  <c r="AA710" s="206"/>
      <c r="AB710" s="544"/>
      <c r="AC710" s="416"/>
    </row>
    <row r="711" spans="1:29" ht="15.75" customHeight="1" x14ac:dyDescent="0.15">
      <c r="A711" s="206"/>
      <c r="B711" s="194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  <c r="AA711" s="206"/>
      <c r="AB711" s="544"/>
      <c r="AC711" s="416"/>
    </row>
    <row r="712" spans="1:29" ht="15.75" customHeight="1" x14ac:dyDescent="0.15">
      <c r="A712" s="206"/>
      <c r="B712" s="194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  <c r="AA712" s="206"/>
      <c r="AB712" s="544"/>
      <c r="AC712" s="416"/>
    </row>
    <row r="713" spans="1:29" ht="15.75" customHeight="1" x14ac:dyDescent="0.15">
      <c r="A713" s="206"/>
      <c r="B713" s="194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  <c r="AA713" s="206"/>
      <c r="AB713" s="544"/>
      <c r="AC713" s="416"/>
    </row>
    <row r="714" spans="1:29" ht="15.75" customHeight="1" x14ac:dyDescent="0.15">
      <c r="A714" s="206"/>
      <c r="B714" s="194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  <c r="AA714" s="206"/>
      <c r="AB714" s="544"/>
      <c r="AC714" s="416"/>
    </row>
    <row r="715" spans="1:29" ht="15.75" customHeight="1" x14ac:dyDescent="0.15">
      <c r="A715" s="206"/>
      <c r="B715" s="194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  <c r="AA715" s="206"/>
      <c r="AB715" s="544"/>
      <c r="AC715" s="416"/>
    </row>
    <row r="716" spans="1:29" ht="15.75" customHeight="1" x14ac:dyDescent="0.15">
      <c r="A716" s="206"/>
      <c r="B716" s="194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  <c r="AA716" s="206"/>
      <c r="AB716" s="544"/>
      <c r="AC716" s="416"/>
    </row>
    <row r="717" spans="1:29" ht="15.75" customHeight="1" x14ac:dyDescent="0.15">
      <c r="A717" s="206"/>
      <c r="B717" s="194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  <c r="AA717" s="206"/>
      <c r="AB717" s="544"/>
      <c r="AC717" s="416"/>
    </row>
    <row r="718" spans="1:29" ht="15.75" customHeight="1" x14ac:dyDescent="0.15">
      <c r="A718" s="206"/>
      <c r="B718" s="194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  <c r="AA718" s="206"/>
      <c r="AB718" s="544"/>
      <c r="AC718" s="416"/>
    </row>
    <row r="719" spans="1:29" ht="15.75" customHeight="1" x14ac:dyDescent="0.15">
      <c r="A719" s="206"/>
      <c r="B719" s="194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  <c r="AA719" s="206"/>
      <c r="AB719" s="544"/>
      <c r="AC719" s="416"/>
    </row>
    <row r="720" spans="1:29" ht="15.75" customHeight="1" x14ac:dyDescent="0.15">
      <c r="A720" s="206"/>
      <c r="B720" s="194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  <c r="AA720" s="206"/>
      <c r="AB720" s="544"/>
      <c r="AC720" s="416"/>
    </row>
    <row r="721" spans="1:29" ht="15.75" customHeight="1" x14ac:dyDescent="0.15">
      <c r="A721" s="206"/>
      <c r="B721" s="194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  <c r="AA721" s="206"/>
      <c r="AB721" s="544"/>
      <c r="AC721" s="416"/>
    </row>
    <row r="722" spans="1:29" ht="15.75" customHeight="1" x14ac:dyDescent="0.15">
      <c r="A722" s="206"/>
      <c r="B722" s="194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  <c r="AA722" s="206"/>
      <c r="AB722" s="544"/>
      <c r="AC722" s="416"/>
    </row>
    <row r="723" spans="1:29" ht="15.75" customHeight="1" x14ac:dyDescent="0.15">
      <c r="A723" s="206"/>
      <c r="B723" s="194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  <c r="AA723" s="206"/>
      <c r="AB723" s="544"/>
      <c r="AC723" s="416"/>
    </row>
    <row r="724" spans="1:29" ht="15.75" customHeight="1" x14ac:dyDescent="0.15">
      <c r="A724" s="206"/>
      <c r="B724" s="194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  <c r="AA724" s="206"/>
      <c r="AB724" s="544"/>
      <c r="AC724" s="416"/>
    </row>
    <row r="725" spans="1:29" ht="15.75" customHeight="1" x14ac:dyDescent="0.15">
      <c r="A725" s="206"/>
      <c r="B725" s="194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  <c r="AA725" s="206"/>
      <c r="AB725" s="544"/>
      <c r="AC725" s="416"/>
    </row>
    <row r="726" spans="1:29" ht="15.75" customHeight="1" x14ac:dyDescent="0.15">
      <c r="A726" s="206"/>
      <c r="B726" s="194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  <c r="AA726" s="206"/>
      <c r="AB726" s="544"/>
      <c r="AC726" s="416"/>
    </row>
    <row r="727" spans="1:29" ht="15.75" customHeight="1" x14ac:dyDescent="0.15">
      <c r="A727" s="206"/>
      <c r="B727" s="194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  <c r="AA727" s="206"/>
      <c r="AB727" s="544"/>
      <c r="AC727" s="416"/>
    </row>
    <row r="728" spans="1:29" ht="15.75" customHeight="1" x14ac:dyDescent="0.15">
      <c r="A728" s="206"/>
      <c r="B728" s="194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  <c r="AA728" s="206"/>
      <c r="AB728" s="544"/>
      <c r="AC728" s="416"/>
    </row>
    <row r="729" spans="1:29" ht="15.75" customHeight="1" x14ac:dyDescent="0.15">
      <c r="A729" s="206"/>
      <c r="B729" s="194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  <c r="AA729" s="206"/>
      <c r="AB729" s="544"/>
      <c r="AC729" s="416"/>
    </row>
    <row r="730" spans="1:29" ht="15.75" customHeight="1" x14ac:dyDescent="0.15">
      <c r="A730" s="206"/>
      <c r="B730" s="194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  <c r="AA730" s="206"/>
      <c r="AB730" s="544"/>
      <c r="AC730" s="416"/>
    </row>
    <row r="731" spans="1:29" ht="15.75" customHeight="1" x14ac:dyDescent="0.15">
      <c r="A731" s="206"/>
      <c r="B731" s="194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  <c r="AA731" s="206"/>
      <c r="AB731" s="544"/>
      <c r="AC731" s="416"/>
    </row>
    <row r="732" spans="1:29" ht="15.75" customHeight="1" x14ac:dyDescent="0.15">
      <c r="A732" s="206"/>
      <c r="B732" s="194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  <c r="AA732" s="206"/>
      <c r="AB732" s="544"/>
      <c r="AC732" s="416"/>
    </row>
    <row r="733" spans="1:29" ht="15.75" customHeight="1" x14ac:dyDescent="0.15">
      <c r="A733" s="206"/>
      <c r="B733" s="194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  <c r="AA733" s="206"/>
      <c r="AB733" s="544"/>
      <c r="AC733" s="416"/>
    </row>
    <row r="734" spans="1:29" ht="15.75" customHeight="1" x14ac:dyDescent="0.15">
      <c r="A734" s="206"/>
      <c r="B734" s="194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  <c r="AA734" s="206"/>
      <c r="AB734" s="544"/>
      <c r="AC734" s="416"/>
    </row>
    <row r="735" spans="1:29" ht="15.75" customHeight="1" x14ac:dyDescent="0.15">
      <c r="A735" s="206"/>
      <c r="B735" s="194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  <c r="AA735" s="206"/>
      <c r="AB735" s="544"/>
      <c r="AC735" s="416"/>
    </row>
    <row r="736" spans="1:29" ht="15.75" customHeight="1" x14ac:dyDescent="0.15">
      <c r="A736" s="206"/>
      <c r="B736" s="194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  <c r="AA736" s="206"/>
      <c r="AB736" s="544"/>
      <c r="AC736" s="416"/>
    </row>
    <row r="737" spans="1:29" ht="15.75" customHeight="1" x14ac:dyDescent="0.15">
      <c r="A737" s="206"/>
      <c r="B737" s="194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  <c r="AA737" s="206"/>
      <c r="AB737" s="544"/>
      <c r="AC737" s="416"/>
    </row>
    <row r="738" spans="1:29" ht="15.75" customHeight="1" x14ac:dyDescent="0.15">
      <c r="A738" s="206"/>
      <c r="B738" s="194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  <c r="AA738" s="206"/>
      <c r="AB738" s="544"/>
      <c r="AC738" s="416"/>
    </row>
    <row r="739" spans="1:29" ht="15.75" customHeight="1" x14ac:dyDescent="0.15">
      <c r="A739" s="206"/>
      <c r="B739" s="194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  <c r="AA739" s="206"/>
      <c r="AB739" s="544"/>
      <c r="AC739" s="416"/>
    </row>
    <row r="740" spans="1:29" ht="15.75" customHeight="1" x14ac:dyDescent="0.15">
      <c r="A740" s="206"/>
      <c r="B740" s="194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  <c r="AA740" s="206"/>
      <c r="AB740" s="544"/>
      <c r="AC740" s="416"/>
    </row>
    <row r="741" spans="1:29" ht="15.75" customHeight="1" x14ac:dyDescent="0.15">
      <c r="A741" s="206"/>
      <c r="B741" s="194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  <c r="AA741" s="206"/>
      <c r="AB741" s="544"/>
      <c r="AC741" s="416"/>
    </row>
    <row r="742" spans="1:29" ht="15.75" customHeight="1" x14ac:dyDescent="0.15">
      <c r="A742" s="206"/>
      <c r="B742" s="194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  <c r="AA742" s="206"/>
      <c r="AB742" s="544"/>
      <c r="AC742" s="416"/>
    </row>
    <row r="743" spans="1:29" ht="15.75" customHeight="1" x14ac:dyDescent="0.15">
      <c r="A743" s="206"/>
      <c r="B743" s="194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  <c r="AA743" s="206"/>
      <c r="AB743" s="544"/>
      <c r="AC743" s="416"/>
    </row>
    <row r="744" spans="1:29" ht="15.75" customHeight="1" x14ac:dyDescent="0.15">
      <c r="A744" s="206"/>
      <c r="B744" s="194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  <c r="AA744" s="206"/>
      <c r="AB744" s="544"/>
      <c r="AC744" s="416"/>
    </row>
    <row r="745" spans="1:29" ht="15.75" customHeight="1" x14ac:dyDescent="0.15">
      <c r="A745" s="206"/>
      <c r="B745" s="194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  <c r="AA745" s="206"/>
      <c r="AB745" s="544"/>
      <c r="AC745" s="416"/>
    </row>
    <row r="746" spans="1:29" ht="15.75" customHeight="1" x14ac:dyDescent="0.15">
      <c r="A746" s="206"/>
      <c r="B746" s="194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  <c r="AA746" s="206"/>
      <c r="AB746" s="544"/>
      <c r="AC746" s="416"/>
    </row>
    <row r="747" spans="1:29" ht="15.75" customHeight="1" x14ac:dyDescent="0.15">
      <c r="A747" s="206"/>
      <c r="B747" s="194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  <c r="AA747" s="206"/>
      <c r="AB747" s="544"/>
      <c r="AC747" s="416"/>
    </row>
    <row r="748" spans="1:29" ht="15.75" customHeight="1" x14ac:dyDescent="0.15">
      <c r="A748" s="206"/>
      <c r="B748" s="194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  <c r="AA748" s="206"/>
      <c r="AB748" s="544"/>
      <c r="AC748" s="416"/>
    </row>
    <row r="749" spans="1:29" ht="15.75" customHeight="1" x14ac:dyDescent="0.15">
      <c r="A749" s="206"/>
      <c r="B749" s="194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  <c r="AA749" s="206"/>
      <c r="AB749" s="544"/>
      <c r="AC749" s="416"/>
    </row>
    <row r="750" spans="1:29" ht="15.75" customHeight="1" x14ac:dyDescent="0.15">
      <c r="A750" s="206"/>
      <c r="B750" s="194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  <c r="AA750" s="206"/>
      <c r="AB750" s="544"/>
      <c r="AC750" s="416"/>
    </row>
    <row r="751" spans="1:29" ht="15.75" customHeight="1" x14ac:dyDescent="0.15">
      <c r="A751" s="206"/>
      <c r="B751" s="194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  <c r="AA751" s="206"/>
      <c r="AB751" s="544"/>
      <c r="AC751" s="416"/>
    </row>
    <row r="752" spans="1:29" ht="15.75" customHeight="1" x14ac:dyDescent="0.15">
      <c r="A752" s="206"/>
      <c r="B752" s="194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  <c r="AA752" s="206"/>
      <c r="AB752" s="544"/>
      <c r="AC752" s="416"/>
    </row>
    <row r="753" spans="1:29" ht="15.75" customHeight="1" x14ac:dyDescent="0.15">
      <c r="A753" s="206"/>
      <c r="B753" s="194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  <c r="AA753" s="206"/>
      <c r="AB753" s="544"/>
      <c r="AC753" s="416"/>
    </row>
    <row r="754" spans="1:29" ht="15.75" customHeight="1" x14ac:dyDescent="0.15">
      <c r="A754" s="206"/>
      <c r="B754" s="194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  <c r="AA754" s="206"/>
      <c r="AB754" s="544"/>
      <c r="AC754" s="416"/>
    </row>
    <row r="755" spans="1:29" ht="15.75" customHeight="1" x14ac:dyDescent="0.15">
      <c r="A755" s="206"/>
      <c r="B755" s="194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  <c r="AA755" s="206"/>
      <c r="AB755" s="544"/>
      <c r="AC755" s="416"/>
    </row>
    <row r="756" spans="1:29" ht="15.75" customHeight="1" x14ac:dyDescent="0.15">
      <c r="A756" s="206"/>
      <c r="B756" s="194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  <c r="AA756" s="206"/>
      <c r="AB756" s="544"/>
      <c r="AC756" s="416"/>
    </row>
    <row r="757" spans="1:29" ht="15.75" customHeight="1" x14ac:dyDescent="0.15">
      <c r="A757" s="206"/>
      <c r="B757" s="194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  <c r="AA757" s="206"/>
      <c r="AB757" s="544"/>
      <c r="AC757" s="416"/>
    </row>
    <row r="758" spans="1:29" ht="15.75" customHeight="1" x14ac:dyDescent="0.15">
      <c r="A758" s="206"/>
      <c r="B758" s="194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  <c r="AA758" s="206"/>
      <c r="AB758" s="544"/>
      <c r="AC758" s="416"/>
    </row>
    <row r="759" spans="1:29" ht="15.75" customHeight="1" x14ac:dyDescent="0.15">
      <c r="A759" s="206"/>
      <c r="B759" s="194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  <c r="AA759" s="206"/>
      <c r="AB759" s="544"/>
      <c r="AC759" s="416"/>
    </row>
    <row r="760" spans="1:29" ht="15.75" customHeight="1" x14ac:dyDescent="0.15">
      <c r="A760" s="206"/>
      <c r="B760" s="194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  <c r="AA760" s="206"/>
      <c r="AB760" s="544"/>
      <c r="AC760" s="416"/>
    </row>
    <row r="761" spans="1:29" ht="15.75" customHeight="1" x14ac:dyDescent="0.15">
      <c r="A761" s="206"/>
      <c r="B761" s="194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  <c r="AA761" s="206"/>
      <c r="AB761" s="544"/>
      <c r="AC761" s="416"/>
    </row>
    <row r="762" spans="1:29" ht="15.75" customHeight="1" x14ac:dyDescent="0.15">
      <c r="A762" s="206"/>
      <c r="B762" s="194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  <c r="AA762" s="206"/>
      <c r="AB762" s="544"/>
      <c r="AC762" s="416"/>
    </row>
    <row r="763" spans="1:29" ht="15.75" customHeight="1" x14ac:dyDescent="0.15">
      <c r="A763" s="206"/>
      <c r="B763" s="194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  <c r="AA763" s="206"/>
      <c r="AB763" s="544"/>
      <c r="AC763" s="416"/>
    </row>
    <row r="764" spans="1:29" ht="15.75" customHeight="1" x14ac:dyDescent="0.15">
      <c r="A764" s="206"/>
      <c r="B764" s="194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  <c r="AA764" s="206"/>
      <c r="AB764" s="544"/>
      <c r="AC764" s="416"/>
    </row>
    <row r="765" spans="1:29" ht="15.75" customHeight="1" x14ac:dyDescent="0.15">
      <c r="A765" s="206"/>
      <c r="B765" s="194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  <c r="AA765" s="206"/>
      <c r="AB765" s="544"/>
      <c r="AC765" s="416"/>
    </row>
    <row r="766" spans="1:29" ht="15.75" customHeight="1" x14ac:dyDescent="0.15">
      <c r="A766" s="206"/>
      <c r="B766" s="194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  <c r="AA766" s="206"/>
      <c r="AB766" s="544"/>
      <c r="AC766" s="416"/>
    </row>
    <row r="767" spans="1:29" ht="15.75" customHeight="1" x14ac:dyDescent="0.15">
      <c r="A767" s="206"/>
      <c r="B767" s="194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  <c r="AA767" s="206"/>
      <c r="AB767" s="544"/>
      <c r="AC767" s="416"/>
    </row>
    <row r="768" spans="1:29" ht="15.75" customHeight="1" x14ac:dyDescent="0.15">
      <c r="A768" s="206"/>
      <c r="B768" s="194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  <c r="AA768" s="206"/>
      <c r="AB768" s="544"/>
      <c r="AC768" s="416"/>
    </row>
    <row r="769" spans="1:29" ht="15.75" customHeight="1" x14ac:dyDescent="0.15">
      <c r="A769" s="206"/>
      <c r="B769" s="194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  <c r="AA769" s="206"/>
      <c r="AB769" s="544"/>
      <c r="AC769" s="416"/>
    </row>
    <row r="770" spans="1:29" ht="15.75" customHeight="1" x14ac:dyDescent="0.15">
      <c r="A770" s="206"/>
      <c r="B770" s="194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  <c r="AA770" s="206"/>
      <c r="AB770" s="544"/>
      <c r="AC770" s="416"/>
    </row>
    <row r="771" spans="1:29" ht="15.75" customHeight="1" x14ac:dyDescent="0.15">
      <c r="A771" s="206"/>
      <c r="B771" s="194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  <c r="AA771" s="206"/>
      <c r="AB771" s="544"/>
      <c r="AC771" s="416"/>
    </row>
    <row r="772" spans="1:29" ht="15.75" customHeight="1" x14ac:dyDescent="0.15">
      <c r="A772" s="206"/>
      <c r="B772" s="194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  <c r="AA772" s="206"/>
      <c r="AB772" s="544"/>
      <c r="AC772" s="416"/>
    </row>
    <row r="773" spans="1:29" ht="15.75" customHeight="1" x14ac:dyDescent="0.15">
      <c r="A773" s="206"/>
      <c r="B773" s="194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  <c r="AA773" s="206"/>
      <c r="AB773" s="544"/>
      <c r="AC773" s="416"/>
    </row>
    <row r="774" spans="1:29" ht="15.75" customHeight="1" x14ac:dyDescent="0.15">
      <c r="A774" s="206"/>
      <c r="B774" s="194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  <c r="AA774" s="206"/>
      <c r="AB774" s="544"/>
      <c r="AC774" s="416"/>
    </row>
    <row r="775" spans="1:29" ht="15.75" customHeight="1" x14ac:dyDescent="0.15">
      <c r="A775" s="206"/>
      <c r="B775" s="194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  <c r="AA775" s="206"/>
      <c r="AB775" s="544"/>
      <c r="AC775" s="416"/>
    </row>
    <row r="776" spans="1:29" ht="15.75" customHeight="1" x14ac:dyDescent="0.15">
      <c r="A776" s="206"/>
      <c r="B776" s="194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  <c r="AA776" s="206"/>
      <c r="AB776" s="544"/>
      <c r="AC776" s="416"/>
    </row>
    <row r="777" spans="1:29" ht="15.75" customHeight="1" x14ac:dyDescent="0.15">
      <c r="A777" s="206"/>
      <c r="B777" s="194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  <c r="AA777" s="206"/>
      <c r="AB777" s="544"/>
      <c r="AC777" s="416"/>
    </row>
    <row r="778" spans="1:29" ht="15.75" customHeight="1" x14ac:dyDescent="0.15">
      <c r="A778" s="206"/>
      <c r="B778" s="194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  <c r="AA778" s="206"/>
      <c r="AB778" s="544"/>
      <c r="AC778" s="416"/>
    </row>
    <row r="779" spans="1:29" ht="15.75" customHeight="1" x14ac:dyDescent="0.15">
      <c r="A779" s="206"/>
      <c r="B779" s="194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  <c r="AA779" s="206"/>
      <c r="AB779" s="544"/>
      <c r="AC779" s="416"/>
    </row>
    <row r="780" spans="1:29" ht="15.75" customHeight="1" x14ac:dyDescent="0.15">
      <c r="A780" s="206"/>
      <c r="B780" s="194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  <c r="AA780" s="206"/>
      <c r="AB780" s="544"/>
      <c r="AC780" s="416"/>
    </row>
    <row r="781" spans="1:29" ht="15.75" customHeight="1" x14ac:dyDescent="0.15">
      <c r="A781" s="206"/>
      <c r="B781" s="194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  <c r="AA781" s="206"/>
      <c r="AB781" s="544"/>
      <c r="AC781" s="416"/>
    </row>
    <row r="782" spans="1:29" ht="15.75" customHeight="1" x14ac:dyDescent="0.15">
      <c r="A782" s="206"/>
      <c r="B782" s="194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  <c r="AA782" s="206"/>
      <c r="AB782" s="544"/>
      <c r="AC782" s="416"/>
    </row>
    <row r="783" spans="1:29" ht="15.75" customHeight="1" x14ac:dyDescent="0.15">
      <c r="A783" s="206"/>
      <c r="B783" s="194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  <c r="AA783" s="206"/>
      <c r="AB783" s="544"/>
      <c r="AC783" s="416"/>
    </row>
    <row r="784" spans="1:29" ht="15.75" customHeight="1" x14ac:dyDescent="0.15">
      <c r="A784" s="206"/>
      <c r="B784" s="194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  <c r="AA784" s="206"/>
      <c r="AB784" s="544"/>
      <c r="AC784" s="416"/>
    </row>
    <row r="785" spans="1:29" ht="15.75" customHeight="1" x14ac:dyDescent="0.15">
      <c r="A785" s="206"/>
      <c r="B785" s="194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  <c r="AA785" s="206"/>
      <c r="AB785" s="544"/>
      <c r="AC785" s="416"/>
    </row>
    <row r="786" spans="1:29" ht="15.75" customHeight="1" x14ac:dyDescent="0.15">
      <c r="A786" s="206"/>
      <c r="B786" s="194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  <c r="AA786" s="206"/>
      <c r="AB786" s="544"/>
      <c r="AC786" s="416"/>
    </row>
    <row r="787" spans="1:29" ht="15.75" customHeight="1" x14ac:dyDescent="0.15">
      <c r="A787" s="206"/>
      <c r="B787" s="194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  <c r="AA787" s="206"/>
      <c r="AB787" s="544"/>
      <c r="AC787" s="416"/>
    </row>
    <row r="788" spans="1:29" ht="15.75" customHeight="1" x14ac:dyDescent="0.15">
      <c r="A788" s="206"/>
      <c r="B788" s="194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  <c r="AA788" s="206"/>
      <c r="AB788" s="544"/>
      <c r="AC788" s="416"/>
    </row>
    <row r="789" spans="1:29" ht="15.75" customHeight="1" x14ac:dyDescent="0.15">
      <c r="A789" s="206"/>
      <c r="B789" s="194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  <c r="AA789" s="206"/>
      <c r="AB789" s="544"/>
      <c r="AC789" s="416"/>
    </row>
    <row r="790" spans="1:29" ht="15.75" customHeight="1" x14ac:dyDescent="0.15">
      <c r="A790" s="206"/>
      <c r="B790" s="194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  <c r="AA790" s="206"/>
      <c r="AB790" s="544"/>
      <c r="AC790" s="416"/>
    </row>
    <row r="791" spans="1:29" ht="15.75" customHeight="1" x14ac:dyDescent="0.15">
      <c r="A791" s="206"/>
      <c r="B791" s="194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  <c r="AA791" s="206"/>
      <c r="AB791" s="544"/>
      <c r="AC791" s="416"/>
    </row>
    <row r="792" spans="1:29" ht="15.75" customHeight="1" x14ac:dyDescent="0.15">
      <c r="A792" s="206"/>
      <c r="B792" s="194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  <c r="AA792" s="206"/>
      <c r="AB792" s="544"/>
      <c r="AC792" s="416"/>
    </row>
    <row r="793" spans="1:29" ht="15.75" customHeight="1" x14ac:dyDescent="0.15">
      <c r="A793" s="206"/>
      <c r="B793" s="194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  <c r="AA793" s="206"/>
      <c r="AB793" s="544"/>
      <c r="AC793" s="416"/>
    </row>
    <row r="794" spans="1:29" ht="15.75" customHeight="1" x14ac:dyDescent="0.15">
      <c r="A794" s="206"/>
      <c r="B794" s="194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  <c r="AA794" s="206"/>
      <c r="AB794" s="544"/>
      <c r="AC794" s="416"/>
    </row>
    <row r="795" spans="1:29" ht="15.75" customHeight="1" x14ac:dyDescent="0.15">
      <c r="A795" s="206"/>
      <c r="B795" s="194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  <c r="AA795" s="206"/>
      <c r="AB795" s="544"/>
      <c r="AC795" s="416"/>
    </row>
    <row r="796" spans="1:29" ht="15.75" customHeight="1" x14ac:dyDescent="0.15">
      <c r="A796" s="206"/>
      <c r="B796" s="194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  <c r="AA796" s="206"/>
      <c r="AB796" s="544"/>
      <c r="AC796" s="416"/>
    </row>
    <row r="797" spans="1:29" ht="15.75" customHeight="1" x14ac:dyDescent="0.15">
      <c r="A797" s="206"/>
      <c r="B797" s="194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  <c r="AA797" s="206"/>
      <c r="AB797" s="544"/>
      <c r="AC797" s="416"/>
    </row>
    <row r="798" spans="1:29" ht="15.75" customHeight="1" x14ac:dyDescent="0.15">
      <c r="A798" s="206"/>
      <c r="B798" s="194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  <c r="AA798" s="206"/>
      <c r="AB798" s="544"/>
      <c r="AC798" s="416"/>
    </row>
    <row r="799" spans="1:29" ht="15.75" customHeight="1" x14ac:dyDescent="0.15">
      <c r="A799" s="206"/>
      <c r="B799" s="194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  <c r="AA799" s="206"/>
      <c r="AB799" s="544"/>
      <c r="AC799" s="416"/>
    </row>
    <row r="800" spans="1:29" ht="15.75" customHeight="1" x14ac:dyDescent="0.15">
      <c r="A800" s="206"/>
      <c r="B800" s="194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  <c r="AA800" s="206"/>
      <c r="AB800" s="544"/>
      <c r="AC800" s="416"/>
    </row>
    <row r="801" spans="1:29" ht="15.75" customHeight="1" x14ac:dyDescent="0.15">
      <c r="A801" s="206"/>
      <c r="B801" s="194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  <c r="AA801" s="206"/>
      <c r="AB801" s="544"/>
      <c r="AC801" s="416"/>
    </row>
    <row r="802" spans="1:29" ht="15.75" customHeight="1" x14ac:dyDescent="0.15">
      <c r="A802" s="206"/>
      <c r="B802" s="194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  <c r="AA802" s="206"/>
      <c r="AB802" s="544"/>
      <c r="AC802" s="416"/>
    </row>
    <row r="803" spans="1:29" ht="15.75" customHeight="1" x14ac:dyDescent="0.15">
      <c r="A803" s="206"/>
      <c r="B803" s="194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  <c r="AA803" s="206"/>
      <c r="AB803" s="544"/>
      <c r="AC803" s="416"/>
    </row>
    <row r="804" spans="1:29" ht="15.75" customHeight="1" x14ac:dyDescent="0.15">
      <c r="A804" s="206"/>
      <c r="B804" s="194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  <c r="AA804" s="206"/>
      <c r="AB804" s="544"/>
      <c r="AC804" s="416"/>
    </row>
    <row r="805" spans="1:29" ht="15.75" customHeight="1" x14ac:dyDescent="0.15">
      <c r="A805" s="206"/>
      <c r="B805" s="194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  <c r="AA805" s="206"/>
      <c r="AB805" s="544"/>
      <c r="AC805" s="416"/>
    </row>
    <row r="806" spans="1:29" ht="15.75" customHeight="1" x14ac:dyDescent="0.15">
      <c r="A806" s="206"/>
      <c r="B806" s="194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  <c r="AA806" s="206"/>
      <c r="AB806" s="544"/>
      <c r="AC806" s="416"/>
    </row>
    <row r="807" spans="1:29" ht="15.75" customHeight="1" x14ac:dyDescent="0.15">
      <c r="A807" s="206"/>
      <c r="B807" s="194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  <c r="AA807" s="206"/>
      <c r="AB807" s="544"/>
      <c r="AC807" s="416"/>
    </row>
    <row r="808" spans="1:29" ht="15.75" customHeight="1" x14ac:dyDescent="0.15">
      <c r="A808" s="206"/>
      <c r="B808" s="194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  <c r="AA808" s="206"/>
      <c r="AB808" s="544"/>
      <c r="AC808" s="416"/>
    </row>
    <row r="809" spans="1:29" ht="15.75" customHeight="1" x14ac:dyDescent="0.15">
      <c r="A809" s="206"/>
      <c r="B809" s="194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  <c r="AA809" s="206"/>
      <c r="AB809" s="544"/>
      <c r="AC809" s="416"/>
    </row>
    <row r="810" spans="1:29" ht="15.75" customHeight="1" x14ac:dyDescent="0.15">
      <c r="A810" s="206"/>
      <c r="B810" s="194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  <c r="AA810" s="206"/>
      <c r="AB810" s="544"/>
      <c r="AC810" s="416"/>
    </row>
    <row r="811" spans="1:29" ht="15.75" customHeight="1" x14ac:dyDescent="0.15">
      <c r="A811" s="206"/>
      <c r="B811" s="194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  <c r="AA811" s="206"/>
      <c r="AB811" s="544"/>
      <c r="AC811" s="416"/>
    </row>
    <row r="812" spans="1:29" ht="15.75" customHeight="1" x14ac:dyDescent="0.15">
      <c r="A812" s="206"/>
      <c r="B812" s="194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  <c r="AA812" s="206"/>
      <c r="AB812" s="544"/>
      <c r="AC812" s="416"/>
    </row>
    <row r="813" spans="1:29" ht="15.75" customHeight="1" x14ac:dyDescent="0.15">
      <c r="A813" s="206"/>
      <c r="B813" s="194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  <c r="AA813" s="206"/>
      <c r="AB813" s="544"/>
      <c r="AC813" s="416"/>
    </row>
    <row r="814" spans="1:29" ht="15.75" customHeight="1" x14ac:dyDescent="0.15">
      <c r="A814" s="206"/>
      <c r="B814" s="194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  <c r="AA814" s="206"/>
      <c r="AB814" s="544"/>
      <c r="AC814" s="416"/>
    </row>
    <row r="815" spans="1:29" ht="15.75" customHeight="1" x14ac:dyDescent="0.15">
      <c r="A815" s="206"/>
      <c r="B815" s="194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  <c r="AA815" s="206"/>
      <c r="AB815" s="544"/>
      <c r="AC815" s="416"/>
    </row>
    <row r="816" spans="1:29" ht="15.75" customHeight="1" x14ac:dyDescent="0.15">
      <c r="A816" s="206"/>
      <c r="B816" s="194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  <c r="AA816" s="206"/>
      <c r="AB816" s="544"/>
      <c r="AC816" s="416"/>
    </row>
    <row r="817" spans="1:29" ht="15.75" customHeight="1" x14ac:dyDescent="0.15">
      <c r="A817" s="206"/>
      <c r="B817" s="194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  <c r="AA817" s="206"/>
      <c r="AB817" s="544"/>
      <c r="AC817" s="416"/>
    </row>
    <row r="818" spans="1:29" ht="15.75" customHeight="1" x14ac:dyDescent="0.15">
      <c r="A818" s="206"/>
      <c r="B818" s="194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  <c r="AA818" s="206"/>
      <c r="AB818" s="544"/>
      <c r="AC818" s="416"/>
    </row>
    <row r="819" spans="1:29" ht="15.75" customHeight="1" x14ac:dyDescent="0.15">
      <c r="A819" s="206"/>
      <c r="B819" s="194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  <c r="AA819" s="206"/>
      <c r="AB819" s="544"/>
      <c r="AC819" s="416"/>
    </row>
    <row r="820" spans="1:29" ht="15.75" customHeight="1" x14ac:dyDescent="0.15">
      <c r="A820" s="206"/>
      <c r="B820" s="194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  <c r="AA820" s="206"/>
      <c r="AB820" s="544"/>
      <c r="AC820" s="416"/>
    </row>
    <row r="821" spans="1:29" ht="15.75" customHeight="1" x14ac:dyDescent="0.15">
      <c r="A821" s="206"/>
      <c r="B821" s="194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  <c r="AA821" s="206"/>
      <c r="AB821" s="544"/>
      <c r="AC821" s="416"/>
    </row>
    <row r="822" spans="1:29" ht="15.75" customHeight="1" x14ac:dyDescent="0.15">
      <c r="A822" s="206"/>
      <c r="B822" s="194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  <c r="AA822" s="206"/>
      <c r="AB822" s="544"/>
      <c r="AC822" s="416"/>
    </row>
    <row r="823" spans="1:29" ht="15.75" customHeight="1" x14ac:dyDescent="0.15">
      <c r="A823" s="206"/>
      <c r="B823" s="194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  <c r="AA823" s="206"/>
      <c r="AB823" s="544"/>
      <c r="AC823" s="416"/>
    </row>
    <row r="824" spans="1:29" ht="15.75" customHeight="1" x14ac:dyDescent="0.15">
      <c r="A824" s="206"/>
      <c r="B824" s="194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  <c r="AA824" s="206"/>
      <c r="AB824" s="544"/>
      <c r="AC824" s="416"/>
    </row>
    <row r="825" spans="1:29" ht="15.75" customHeight="1" x14ac:dyDescent="0.15">
      <c r="A825" s="206"/>
      <c r="B825" s="194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  <c r="AA825" s="206"/>
      <c r="AB825" s="544"/>
      <c r="AC825" s="416"/>
    </row>
    <row r="826" spans="1:29" ht="15.75" customHeight="1" x14ac:dyDescent="0.15">
      <c r="A826" s="206"/>
      <c r="B826" s="194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  <c r="AA826" s="206"/>
      <c r="AB826" s="544"/>
      <c r="AC826" s="416"/>
    </row>
    <row r="827" spans="1:29" ht="15.75" customHeight="1" x14ac:dyDescent="0.15">
      <c r="A827" s="206"/>
      <c r="B827" s="194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  <c r="AA827" s="206"/>
      <c r="AB827" s="544"/>
      <c r="AC827" s="416"/>
    </row>
    <row r="828" spans="1:29" ht="15.75" customHeight="1" x14ac:dyDescent="0.15">
      <c r="A828" s="206"/>
      <c r="B828" s="194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  <c r="AA828" s="206"/>
      <c r="AB828" s="544"/>
      <c r="AC828" s="416"/>
    </row>
    <row r="829" spans="1:29" ht="15.75" customHeight="1" x14ac:dyDescent="0.15">
      <c r="A829" s="206"/>
      <c r="B829" s="194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  <c r="AA829" s="206"/>
      <c r="AB829" s="544"/>
      <c r="AC829" s="416"/>
    </row>
    <row r="830" spans="1:29" ht="15.75" customHeight="1" x14ac:dyDescent="0.15">
      <c r="A830" s="206"/>
      <c r="B830" s="194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  <c r="AA830" s="206"/>
      <c r="AB830" s="544"/>
      <c r="AC830" s="416"/>
    </row>
    <row r="831" spans="1:29" ht="15.75" customHeight="1" x14ac:dyDescent="0.15">
      <c r="A831" s="206"/>
      <c r="B831" s="194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  <c r="AA831" s="206"/>
      <c r="AB831" s="544"/>
      <c r="AC831" s="416"/>
    </row>
    <row r="832" spans="1:29" ht="15.75" customHeight="1" x14ac:dyDescent="0.15">
      <c r="A832" s="206"/>
      <c r="B832" s="194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  <c r="AA832" s="206"/>
      <c r="AB832" s="544"/>
      <c r="AC832" s="416"/>
    </row>
    <row r="833" spans="1:29" ht="15.75" customHeight="1" x14ac:dyDescent="0.15">
      <c r="A833" s="206"/>
      <c r="B833" s="194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  <c r="AA833" s="206"/>
      <c r="AB833" s="544"/>
      <c r="AC833" s="416"/>
    </row>
    <row r="834" spans="1:29" ht="15.75" customHeight="1" x14ac:dyDescent="0.15">
      <c r="A834" s="206"/>
      <c r="B834" s="194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  <c r="AA834" s="206"/>
      <c r="AB834" s="544"/>
      <c r="AC834" s="416"/>
    </row>
    <row r="835" spans="1:29" ht="15.75" customHeight="1" x14ac:dyDescent="0.15">
      <c r="A835" s="206"/>
      <c r="B835" s="194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  <c r="AA835" s="206"/>
      <c r="AB835" s="544"/>
      <c r="AC835" s="416"/>
    </row>
    <row r="836" spans="1:29" ht="15.75" customHeight="1" x14ac:dyDescent="0.15">
      <c r="A836" s="206"/>
      <c r="B836" s="194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  <c r="AA836" s="206"/>
      <c r="AB836" s="544"/>
      <c r="AC836" s="416"/>
    </row>
    <row r="837" spans="1:29" ht="15.75" customHeight="1" x14ac:dyDescent="0.15">
      <c r="A837" s="206"/>
      <c r="B837" s="194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  <c r="AA837" s="206"/>
      <c r="AB837" s="544"/>
      <c r="AC837" s="416"/>
    </row>
    <row r="838" spans="1:29" ht="15.75" customHeight="1" x14ac:dyDescent="0.15">
      <c r="A838" s="206"/>
      <c r="B838" s="194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  <c r="AA838" s="206"/>
      <c r="AB838" s="544"/>
      <c r="AC838" s="416"/>
    </row>
    <row r="839" spans="1:29" ht="15.75" customHeight="1" x14ac:dyDescent="0.15">
      <c r="A839" s="206"/>
      <c r="B839" s="194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  <c r="AA839" s="206"/>
      <c r="AB839" s="544"/>
      <c r="AC839" s="416"/>
    </row>
    <row r="840" spans="1:29" ht="15.75" customHeight="1" x14ac:dyDescent="0.15">
      <c r="A840" s="206"/>
      <c r="B840" s="194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  <c r="AA840" s="206"/>
      <c r="AB840" s="544"/>
      <c r="AC840" s="416"/>
    </row>
    <row r="841" spans="1:29" ht="15.75" customHeight="1" x14ac:dyDescent="0.15">
      <c r="A841" s="206"/>
      <c r="B841" s="194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  <c r="AA841" s="206"/>
      <c r="AB841" s="544"/>
      <c r="AC841" s="416"/>
    </row>
    <row r="842" spans="1:29" ht="15.75" customHeight="1" x14ac:dyDescent="0.15">
      <c r="A842" s="206"/>
      <c r="B842" s="194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  <c r="AA842" s="206"/>
      <c r="AB842" s="544"/>
      <c r="AC842" s="416"/>
    </row>
    <row r="843" spans="1:29" ht="15.75" customHeight="1" x14ac:dyDescent="0.15">
      <c r="A843" s="206"/>
      <c r="B843" s="194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  <c r="AA843" s="206"/>
      <c r="AB843" s="544"/>
      <c r="AC843" s="416"/>
    </row>
    <row r="844" spans="1:29" ht="15.75" customHeight="1" x14ac:dyDescent="0.15">
      <c r="A844" s="206"/>
      <c r="B844" s="194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  <c r="AA844" s="206"/>
      <c r="AB844" s="544"/>
      <c r="AC844" s="416"/>
    </row>
    <row r="845" spans="1:29" ht="15.75" customHeight="1" x14ac:dyDescent="0.15">
      <c r="A845" s="206"/>
      <c r="B845" s="194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  <c r="AA845" s="206"/>
      <c r="AB845" s="544"/>
      <c r="AC845" s="416"/>
    </row>
    <row r="846" spans="1:29" ht="15.75" customHeight="1" x14ac:dyDescent="0.15">
      <c r="A846" s="206"/>
      <c r="B846" s="194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  <c r="AA846" s="206"/>
      <c r="AB846" s="544"/>
      <c r="AC846" s="416"/>
    </row>
    <row r="847" spans="1:29" ht="15.75" customHeight="1" x14ac:dyDescent="0.15">
      <c r="A847" s="206"/>
      <c r="B847" s="194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  <c r="AA847" s="206"/>
      <c r="AB847" s="544"/>
      <c r="AC847" s="416"/>
    </row>
    <row r="848" spans="1:29" ht="15.75" customHeight="1" x14ac:dyDescent="0.15">
      <c r="A848" s="206"/>
      <c r="B848" s="194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  <c r="AA848" s="206"/>
      <c r="AB848" s="544"/>
      <c r="AC848" s="416"/>
    </row>
    <row r="849" spans="1:29" ht="15.75" customHeight="1" x14ac:dyDescent="0.15">
      <c r="A849" s="206"/>
      <c r="B849" s="194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  <c r="AA849" s="206"/>
      <c r="AB849" s="544"/>
      <c r="AC849" s="416"/>
    </row>
    <row r="850" spans="1:29" ht="15.75" customHeight="1" x14ac:dyDescent="0.15">
      <c r="A850" s="206"/>
      <c r="B850" s="194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  <c r="AA850" s="206"/>
      <c r="AB850" s="544"/>
      <c r="AC850" s="416"/>
    </row>
    <row r="851" spans="1:29" ht="15.75" customHeight="1" x14ac:dyDescent="0.15">
      <c r="A851" s="206"/>
      <c r="B851" s="194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  <c r="AA851" s="206"/>
      <c r="AB851" s="544"/>
      <c r="AC851" s="416"/>
    </row>
    <row r="852" spans="1:29" ht="15.75" customHeight="1" x14ac:dyDescent="0.15">
      <c r="A852" s="206"/>
      <c r="B852" s="194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  <c r="AA852" s="206"/>
      <c r="AB852" s="544"/>
      <c r="AC852" s="416"/>
    </row>
    <row r="853" spans="1:29" ht="15.75" customHeight="1" x14ac:dyDescent="0.15">
      <c r="A853" s="206"/>
      <c r="B853" s="194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  <c r="AA853" s="206"/>
      <c r="AB853" s="544"/>
      <c r="AC853" s="416"/>
    </row>
    <row r="854" spans="1:29" ht="15.75" customHeight="1" x14ac:dyDescent="0.15">
      <c r="A854" s="206"/>
      <c r="B854" s="194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  <c r="AA854" s="206"/>
      <c r="AB854" s="544"/>
      <c r="AC854" s="416"/>
    </row>
    <row r="855" spans="1:29" ht="15.75" customHeight="1" x14ac:dyDescent="0.15">
      <c r="A855" s="206"/>
      <c r="B855" s="194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  <c r="AA855" s="206"/>
      <c r="AB855" s="544"/>
      <c r="AC855" s="416"/>
    </row>
    <row r="856" spans="1:29" ht="15.75" customHeight="1" x14ac:dyDescent="0.15">
      <c r="A856" s="206"/>
      <c r="B856" s="194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  <c r="AA856" s="206"/>
      <c r="AB856" s="544"/>
      <c r="AC856" s="416"/>
    </row>
    <row r="857" spans="1:29" ht="15.75" customHeight="1" x14ac:dyDescent="0.15">
      <c r="A857" s="206"/>
      <c r="B857" s="194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  <c r="AA857" s="206"/>
      <c r="AB857" s="544"/>
      <c r="AC857" s="416"/>
    </row>
    <row r="858" spans="1:29" ht="15.75" customHeight="1" x14ac:dyDescent="0.15">
      <c r="A858" s="206"/>
      <c r="B858" s="194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  <c r="AA858" s="206"/>
      <c r="AB858" s="544"/>
      <c r="AC858" s="416"/>
    </row>
    <row r="859" spans="1:29" ht="15.75" customHeight="1" x14ac:dyDescent="0.15">
      <c r="A859" s="206"/>
      <c r="B859" s="194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  <c r="AA859" s="206"/>
      <c r="AB859" s="544"/>
      <c r="AC859" s="416"/>
    </row>
    <row r="860" spans="1:29" ht="15.75" customHeight="1" x14ac:dyDescent="0.15">
      <c r="A860" s="206"/>
      <c r="B860" s="194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  <c r="AA860" s="206"/>
      <c r="AB860" s="544"/>
      <c r="AC860" s="416"/>
    </row>
    <row r="861" spans="1:29" ht="15.75" customHeight="1" x14ac:dyDescent="0.15">
      <c r="A861" s="206"/>
      <c r="B861" s="194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  <c r="AA861" s="206"/>
      <c r="AB861" s="544"/>
      <c r="AC861" s="416"/>
    </row>
    <row r="862" spans="1:29" ht="15.75" customHeight="1" x14ac:dyDescent="0.15">
      <c r="A862" s="206"/>
      <c r="B862" s="194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  <c r="AA862" s="206"/>
      <c r="AB862" s="544"/>
      <c r="AC862" s="416"/>
    </row>
    <row r="863" spans="1:29" ht="15.75" customHeight="1" x14ac:dyDescent="0.15">
      <c r="A863" s="206"/>
      <c r="B863" s="194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  <c r="AA863" s="206"/>
      <c r="AB863" s="544"/>
      <c r="AC863" s="416"/>
    </row>
    <row r="864" spans="1:29" ht="15.75" customHeight="1" x14ac:dyDescent="0.15">
      <c r="A864" s="206"/>
      <c r="B864" s="194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  <c r="AA864" s="206"/>
      <c r="AB864" s="544"/>
      <c r="AC864" s="416"/>
    </row>
    <row r="865" spans="1:29" ht="15.75" customHeight="1" x14ac:dyDescent="0.15">
      <c r="A865" s="206"/>
      <c r="B865" s="194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  <c r="AA865" s="206"/>
      <c r="AB865" s="544"/>
      <c r="AC865" s="416"/>
    </row>
    <row r="866" spans="1:29" ht="15.75" customHeight="1" x14ac:dyDescent="0.15">
      <c r="A866" s="206"/>
      <c r="B866" s="194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  <c r="AA866" s="206"/>
      <c r="AB866" s="544"/>
      <c r="AC866" s="416"/>
    </row>
    <row r="867" spans="1:29" ht="15.75" customHeight="1" x14ac:dyDescent="0.15">
      <c r="A867" s="206"/>
      <c r="B867" s="194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  <c r="AA867" s="206"/>
      <c r="AB867" s="544"/>
      <c r="AC867" s="416"/>
    </row>
    <row r="868" spans="1:29" ht="15.75" customHeight="1" x14ac:dyDescent="0.15">
      <c r="A868" s="206"/>
      <c r="B868" s="194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  <c r="AA868" s="206"/>
      <c r="AB868" s="544"/>
      <c r="AC868" s="416"/>
    </row>
    <row r="869" spans="1:29" ht="15.75" customHeight="1" x14ac:dyDescent="0.15">
      <c r="A869" s="206"/>
      <c r="B869" s="194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  <c r="AA869" s="206"/>
      <c r="AB869" s="544"/>
      <c r="AC869" s="416"/>
    </row>
    <row r="870" spans="1:29" ht="15.75" customHeight="1" x14ac:dyDescent="0.15">
      <c r="A870" s="206"/>
      <c r="B870" s="194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  <c r="AA870" s="206"/>
      <c r="AB870" s="544"/>
      <c r="AC870" s="416"/>
    </row>
    <row r="871" spans="1:29" ht="15.75" customHeight="1" x14ac:dyDescent="0.15">
      <c r="A871" s="206"/>
      <c r="B871" s="194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  <c r="AA871" s="206"/>
      <c r="AB871" s="544"/>
      <c r="AC871" s="416"/>
    </row>
    <row r="872" spans="1:29" ht="15.75" customHeight="1" x14ac:dyDescent="0.15">
      <c r="A872" s="206"/>
      <c r="B872" s="194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  <c r="AA872" s="206"/>
      <c r="AB872" s="544"/>
      <c r="AC872" s="416"/>
    </row>
    <row r="873" spans="1:29" ht="15.75" customHeight="1" x14ac:dyDescent="0.15">
      <c r="A873" s="206"/>
      <c r="B873" s="194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  <c r="AA873" s="206"/>
      <c r="AB873" s="544"/>
      <c r="AC873" s="416"/>
    </row>
    <row r="874" spans="1:29" ht="15.75" customHeight="1" x14ac:dyDescent="0.15">
      <c r="A874" s="206"/>
      <c r="B874" s="194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  <c r="AA874" s="206"/>
      <c r="AB874" s="544"/>
      <c r="AC874" s="416"/>
    </row>
    <row r="875" spans="1:29" ht="15.75" customHeight="1" x14ac:dyDescent="0.15">
      <c r="A875" s="206"/>
      <c r="B875" s="194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  <c r="AA875" s="206"/>
      <c r="AB875" s="544"/>
      <c r="AC875" s="416"/>
    </row>
    <row r="876" spans="1:29" ht="15.75" customHeight="1" x14ac:dyDescent="0.15">
      <c r="A876" s="206"/>
      <c r="B876" s="194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  <c r="AA876" s="206"/>
      <c r="AB876" s="544"/>
      <c r="AC876" s="416"/>
    </row>
    <row r="877" spans="1:29" ht="15.75" customHeight="1" x14ac:dyDescent="0.15">
      <c r="A877" s="206"/>
      <c r="B877" s="194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  <c r="AA877" s="206"/>
      <c r="AB877" s="544"/>
      <c r="AC877" s="416"/>
    </row>
    <row r="878" spans="1:29" ht="15.75" customHeight="1" x14ac:dyDescent="0.15">
      <c r="A878" s="206"/>
      <c r="B878" s="194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  <c r="AA878" s="206"/>
      <c r="AB878" s="544"/>
      <c r="AC878" s="416"/>
    </row>
    <row r="879" spans="1:29" ht="15.75" customHeight="1" x14ac:dyDescent="0.15">
      <c r="A879" s="206"/>
      <c r="B879" s="194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  <c r="AA879" s="206"/>
      <c r="AB879" s="544"/>
      <c r="AC879" s="416"/>
    </row>
    <row r="880" spans="1:29" ht="15.75" customHeight="1" x14ac:dyDescent="0.15">
      <c r="A880" s="206"/>
      <c r="B880" s="194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  <c r="AA880" s="206"/>
      <c r="AB880" s="544"/>
      <c r="AC880" s="416"/>
    </row>
    <row r="881" spans="1:29" ht="15.75" customHeight="1" x14ac:dyDescent="0.15">
      <c r="A881" s="206"/>
      <c r="B881" s="194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  <c r="AA881" s="206"/>
      <c r="AB881" s="544"/>
      <c r="AC881" s="416"/>
    </row>
    <row r="882" spans="1:29" ht="15.75" customHeight="1" x14ac:dyDescent="0.15">
      <c r="A882" s="206"/>
      <c r="B882" s="194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  <c r="AA882" s="206"/>
      <c r="AB882" s="544"/>
      <c r="AC882" s="416"/>
    </row>
    <row r="883" spans="1:29" ht="15.75" customHeight="1" x14ac:dyDescent="0.15">
      <c r="A883" s="206"/>
      <c r="B883" s="194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  <c r="AA883" s="206"/>
      <c r="AB883" s="544"/>
      <c r="AC883" s="416"/>
    </row>
    <row r="884" spans="1:29" ht="15.75" customHeight="1" x14ac:dyDescent="0.15">
      <c r="A884" s="206"/>
      <c r="B884" s="194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  <c r="AA884" s="206"/>
      <c r="AB884" s="544"/>
      <c r="AC884" s="416"/>
    </row>
    <row r="885" spans="1:29" ht="15.75" customHeight="1" x14ac:dyDescent="0.15">
      <c r="A885" s="206"/>
      <c r="B885" s="194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  <c r="AA885" s="206"/>
      <c r="AB885" s="544"/>
      <c r="AC885" s="416"/>
    </row>
    <row r="886" spans="1:29" ht="15.75" customHeight="1" x14ac:dyDescent="0.15">
      <c r="A886" s="206"/>
      <c r="B886" s="194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  <c r="AA886" s="206"/>
      <c r="AB886" s="544"/>
      <c r="AC886" s="416"/>
    </row>
    <row r="887" spans="1:29" ht="15.75" customHeight="1" x14ac:dyDescent="0.15">
      <c r="A887" s="206"/>
      <c r="B887" s="194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  <c r="AA887" s="206"/>
      <c r="AB887" s="544"/>
      <c r="AC887" s="416"/>
    </row>
    <row r="888" spans="1:29" ht="15.75" customHeight="1" x14ac:dyDescent="0.15">
      <c r="A888" s="206"/>
      <c r="B888" s="194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  <c r="AA888" s="206"/>
      <c r="AB888" s="544"/>
      <c r="AC888" s="416"/>
    </row>
    <row r="889" spans="1:29" ht="15.75" customHeight="1" x14ac:dyDescent="0.15">
      <c r="A889" s="206"/>
      <c r="B889" s="194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  <c r="AA889" s="206"/>
      <c r="AB889" s="544"/>
      <c r="AC889" s="416"/>
    </row>
    <row r="890" spans="1:29" ht="15.75" customHeight="1" x14ac:dyDescent="0.15">
      <c r="A890" s="206"/>
      <c r="B890" s="194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  <c r="AA890" s="206"/>
      <c r="AB890" s="544"/>
      <c r="AC890" s="416"/>
    </row>
    <row r="891" spans="1:29" ht="15.75" customHeight="1" x14ac:dyDescent="0.15">
      <c r="A891" s="206"/>
      <c r="B891" s="194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  <c r="AA891" s="206"/>
      <c r="AB891" s="544"/>
      <c r="AC891" s="416"/>
    </row>
    <row r="892" spans="1:29" ht="15.75" customHeight="1" x14ac:dyDescent="0.15">
      <c r="A892" s="206"/>
      <c r="B892" s="194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  <c r="AA892" s="206"/>
      <c r="AB892" s="544"/>
      <c r="AC892" s="416"/>
    </row>
    <row r="893" spans="1:29" ht="15.75" customHeight="1" x14ac:dyDescent="0.15">
      <c r="A893" s="206"/>
      <c r="B893" s="194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  <c r="AA893" s="206"/>
      <c r="AB893" s="544"/>
      <c r="AC893" s="416"/>
    </row>
    <row r="894" spans="1:29" ht="15.75" customHeight="1" x14ac:dyDescent="0.15">
      <c r="A894" s="206"/>
      <c r="B894" s="194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  <c r="AA894" s="206"/>
      <c r="AB894" s="544"/>
      <c r="AC894" s="416"/>
    </row>
    <row r="895" spans="1:29" ht="15.75" customHeight="1" x14ac:dyDescent="0.15">
      <c r="A895" s="206"/>
      <c r="B895" s="194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  <c r="AA895" s="206"/>
      <c r="AB895" s="544"/>
      <c r="AC895" s="416"/>
    </row>
    <row r="896" spans="1:29" ht="15.75" customHeight="1" x14ac:dyDescent="0.15">
      <c r="A896" s="206"/>
      <c r="B896" s="194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  <c r="AA896" s="206"/>
      <c r="AB896" s="544"/>
      <c r="AC896" s="416"/>
    </row>
    <row r="897" spans="1:29" ht="15.75" customHeight="1" x14ac:dyDescent="0.15">
      <c r="A897" s="206"/>
      <c r="B897" s="194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  <c r="AA897" s="206"/>
      <c r="AB897" s="544"/>
      <c r="AC897" s="416"/>
    </row>
    <row r="898" spans="1:29" ht="15.75" customHeight="1" x14ac:dyDescent="0.15">
      <c r="A898" s="206"/>
      <c r="B898" s="194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  <c r="AA898" s="206"/>
      <c r="AB898" s="544"/>
      <c r="AC898" s="416"/>
    </row>
    <row r="899" spans="1:29" ht="15.75" customHeight="1" x14ac:dyDescent="0.15">
      <c r="A899" s="206"/>
      <c r="B899" s="194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  <c r="AA899" s="206"/>
      <c r="AB899" s="544"/>
      <c r="AC899" s="416"/>
    </row>
    <row r="900" spans="1:29" ht="15.75" customHeight="1" x14ac:dyDescent="0.15">
      <c r="A900" s="206"/>
      <c r="B900" s="194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  <c r="AA900" s="206"/>
      <c r="AB900" s="544"/>
      <c r="AC900" s="416"/>
    </row>
    <row r="901" spans="1:29" ht="15.75" customHeight="1" x14ac:dyDescent="0.15">
      <c r="A901" s="206"/>
      <c r="B901" s="194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  <c r="AA901" s="206"/>
      <c r="AB901" s="544"/>
      <c r="AC901" s="416"/>
    </row>
    <row r="902" spans="1:29" ht="15.75" customHeight="1" x14ac:dyDescent="0.15">
      <c r="A902" s="206"/>
      <c r="B902" s="194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  <c r="AA902" s="206"/>
      <c r="AB902" s="544"/>
      <c r="AC902" s="416"/>
    </row>
    <row r="903" spans="1:29" ht="15.75" customHeight="1" x14ac:dyDescent="0.15">
      <c r="A903" s="206"/>
      <c r="B903" s="194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  <c r="AA903" s="206"/>
      <c r="AB903" s="544"/>
      <c r="AC903" s="416"/>
    </row>
    <row r="904" spans="1:29" ht="15.75" customHeight="1" x14ac:dyDescent="0.15">
      <c r="A904" s="206"/>
      <c r="B904" s="194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  <c r="AA904" s="206"/>
      <c r="AB904" s="544"/>
      <c r="AC904" s="416"/>
    </row>
    <row r="905" spans="1:29" ht="15.75" customHeight="1" x14ac:dyDescent="0.15">
      <c r="A905" s="206"/>
      <c r="B905" s="194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  <c r="AA905" s="206"/>
      <c r="AB905" s="544"/>
      <c r="AC905" s="416"/>
    </row>
    <row r="906" spans="1:29" ht="15.75" customHeight="1" x14ac:dyDescent="0.15">
      <c r="A906" s="206"/>
      <c r="B906" s="194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  <c r="AA906" s="206"/>
      <c r="AB906" s="544"/>
      <c r="AC906" s="416"/>
    </row>
    <row r="907" spans="1:29" ht="15.75" customHeight="1" x14ac:dyDescent="0.15">
      <c r="A907" s="206"/>
      <c r="B907" s="194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  <c r="AA907" s="206"/>
      <c r="AB907" s="544"/>
      <c r="AC907" s="416"/>
    </row>
    <row r="908" spans="1:29" ht="15.75" customHeight="1" x14ac:dyDescent="0.15">
      <c r="A908" s="206"/>
      <c r="B908" s="194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  <c r="AA908" s="206"/>
      <c r="AB908" s="544"/>
      <c r="AC908" s="416"/>
    </row>
    <row r="909" spans="1:29" ht="15.75" customHeight="1" x14ac:dyDescent="0.15">
      <c r="A909" s="206"/>
      <c r="B909" s="194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  <c r="AA909" s="206"/>
      <c r="AB909" s="544"/>
      <c r="AC909" s="416"/>
    </row>
    <row r="910" spans="1:29" ht="15.75" customHeight="1" x14ac:dyDescent="0.15">
      <c r="A910" s="206"/>
      <c r="B910" s="194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  <c r="AA910" s="206"/>
      <c r="AB910" s="544"/>
      <c r="AC910" s="416"/>
    </row>
    <row r="911" spans="1:29" ht="15.75" customHeight="1" x14ac:dyDescent="0.15">
      <c r="A911" s="206"/>
      <c r="B911" s="194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  <c r="AA911" s="206"/>
      <c r="AB911" s="544"/>
      <c r="AC911" s="416"/>
    </row>
    <row r="912" spans="1:29" ht="15.75" customHeight="1" x14ac:dyDescent="0.15">
      <c r="A912" s="206"/>
      <c r="B912" s="194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  <c r="AA912" s="206"/>
      <c r="AB912" s="544"/>
      <c r="AC912" s="416"/>
    </row>
    <row r="913" spans="1:29" ht="15.75" customHeight="1" x14ac:dyDescent="0.15">
      <c r="A913" s="206"/>
      <c r="B913" s="194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  <c r="AA913" s="206"/>
      <c r="AB913" s="544"/>
      <c r="AC913" s="416"/>
    </row>
    <row r="914" spans="1:29" ht="15.75" customHeight="1" x14ac:dyDescent="0.15">
      <c r="A914" s="206"/>
      <c r="B914" s="194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  <c r="AA914" s="206"/>
      <c r="AB914" s="544"/>
      <c r="AC914" s="416"/>
    </row>
    <row r="915" spans="1:29" ht="15.75" customHeight="1" x14ac:dyDescent="0.15">
      <c r="A915" s="206"/>
      <c r="B915" s="194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  <c r="AA915" s="206"/>
      <c r="AB915" s="544"/>
      <c r="AC915" s="416"/>
    </row>
    <row r="916" spans="1:29" ht="15.75" customHeight="1" x14ac:dyDescent="0.15">
      <c r="A916" s="206"/>
      <c r="B916" s="194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  <c r="AA916" s="206"/>
      <c r="AB916" s="544"/>
      <c r="AC916" s="416"/>
    </row>
    <row r="917" spans="1:29" ht="15.75" customHeight="1" x14ac:dyDescent="0.15">
      <c r="A917" s="206"/>
      <c r="B917" s="194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  <c r="AA917" s="206"/>
      <c r="AB917" s="544"/>
      <c r="AC917" s="416"/>
    </row>
    <row r="918" spans="1:29" ht="15.75" customHeight="1" x14ac:dyDescent="0.15">
      <c r="A918" s="206"/>
      <c r="B918" s="194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  <c r="AA918" s="206"/>
      <c r="AB918" s="544"/>
      <c r="AC918" s="416"/>
    </row>
    <row r="919" spans="1:29" ht="15.75" customHeight="1" x14ac:dyDescent="0.15">
      <c r="A919" s="206"/>
      <c r="B919" s="194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  <c r="AA919" s="206"/>
      <c r="AB919" s="544"/>
      <c r="AC919" s="416"/>
    </row>
    <row r="920" spans="1:29" ht="15.75" customHeight="1" x14ac:dyDescent="0.15">
      <c r="A920" s="206"/>
      <c r="B920" s="194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  <c r="AA920" s="206"/>
      <c r="AB920" s="544"/>
      <c r="AC920" s="416"/>
    </row>
    <row r="921" spans="1:29" ht="15.75" customHeight="1" x14ac:dyDescent="0.15">
      <c r="A921" s="206"/>
      <c r="B921" s="194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  <c r="AA921" s="206"/>
      <c r="AB921" s="544"/>
      <c r="AC921" s="416"/>
    </row>
    <row r="922" spans="1:29" ht="15.75" customHeight="1" x14ac:dyDescent="0.15">
      <c r="A922" s="206"/>
      <c r="B922" s="194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  <c r="AA922" s="206"/>
      <c r="AB922" s="544"/>
      <c r="AC922" s="416"/>
    </row>
    <row r="923" spans="1:29" ht="15.75" customHeight="1" x14ac:dyDescent="0.15">
      <c r="A923" s="206"/>
      <c r="B923" s="194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  <c r="AA923" s="206"/>
      <c r="AB923" s="544"/>
      <c r="AC923" s="416"/>
    </row>
    <row r="924" spans="1:29" ht="15.75" customHeight="1" x14ac:dyDescent="0.15">
      <c r="A924" s="206"/>
      <c r="B924" s="194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  <c r="AA924" s="206"/>
      <c r="AB924" s="544"/>
      <c r="AC924" s="416"/>
    </row>
    <row r="925" spans="1:29" ht="15.75" customHeight="1" x14ac:dyDescent="0.15">
      <c r="A925" s="206"/>
      <c r="B925" s="194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  <c r="AA925" s="206"/>
      <c r="AB925" s="544"/>
      <c r="AC925" s="416"/>
    </row>
    <row r="926" spans="1:29" ht="15.75" customHeight="1" x14ac:dyDescent="0.15">
      <c r="A926" s="206"/>
      <c r="B926" s="194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  <c r="AA926" s="206"/>
      <c r="AB926" s="544"/>
      <c r="AC926" s="416"/>
    </row>
    <row r="927" spans="1:29" ht="15.75" customHeight="1" x14ac:dyDescent="0.15">
      <c r="A927" s="206"/>
      <c r="B927" s="194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  <c r="AA927" s="206"/>
      <c r="AB927" s="544"/>
      <c r="AC927" s="416"/>
    </row>
    <row r="928" spans="1:29" ht="15.75" customHeight="1" x14ac:dyDescent="0.15">
      <c r="A928" s="206"/>
      <c r="B928" s="194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  <c r="AA928" s="206"/>
      <c r="AB928" s="544"/>
      <c r="AC928" s="416"/>
    </row>
    <row r="929" spans="1:29" ht="15.75" customHeight="1" x14ac:dyDescent="0.15">
      <c r="A929" s="206"/>
      <c r="B929" s="194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  <c r="AA929" s="206"/>
      <c r="AB929" s="544"/>
      <c r="AC929" s="416"/>
    </row>
    <row r="930" spans="1:29" ht="15.75" customHeight="1" x14ac:dyDescent="0.15">
      <c r="A930" s="206"/>
      <c r="B930" s="194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  <c r="AA930" s="206"/>
      <c r="AB930" s="544"/>
      <c r="AC930" s="416"/>
    </row>
    <row r="931" spans="1:29" ht="15.75" customHeight="1" x14ac:dyDescent="0.15">
      <c r="A931" s="206"/>
      <c r="B931" s="194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  <c r="AA931" s="206"/>
      <c r="AB931" s="544"/>
      <c r="AC931" s="416"/>
    </row>
    <row r="932" spans="1:29" ht="15.75" customHeight="1" x14ac:dyDescent="0.15">
      <c r="A932" s="206"/>
      <c r="B932" s="194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  <c r="AA932" s="206"/>
      <c r="AB932" s="544"/>
      <c r="AC932" s="416"/>
    </row>
    <row r="933" spans="1:29" ht="15.75" customHeight="1" x14ac:dyDescent="0.15">
      <c r="A933" s="206"/>
      <c r="B933" s="194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  <c r="AA933" s="206"/>
      <c r="AB933" s="544"/>
      <c r="AC933" s="416"/>
    </row>
    <row r="934" spans="1:29" ht="15.75" customHeight="1" x14ac:dyDescent="0.15">
      <c r="A934" s="206"/>
      <c r="B934" s="194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  <c r="AA934" s="206"/>
      <c r="AB934" s="544"/>
      <c r="AC934" s="416"/>
    </row>
    <row r="935" spans="1:29" ht="15.75" customHeight="1" x14ac:dyDescent="0.15">
      <c r="A935" s="206"/>
      <c r="B935" s="194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  <c r="AA935" s="206"/>
      <c r="AB935" s="544"/>
      <c r="AC935" s="416"/>
    </row>
    <row r="936" spans="1:29" ht="15.75" customHeight="1" x14ac:dyDescent="0.15">
      <c r="A936" s="206"/>
      <c r="B936" s="194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  <c r="AA936" s="206"/>
      <c r="AB936" s="544"/>
      <c r="AC936" s="416"/>
    </row>
    <row r="937" spans="1:29" ht="15.75" customHeight="1" x14ac:dyDescent="0.15">
      <c r="A937" s="206"/>
      <c r="B937" s="194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  <c r="AA937" s="206"/>
      <c r="AB937" s="544"/>
      <c r="AC937" s="416"/>
    </row>
    <row r="938" spans="1:29" ht="15.75" customHeight="1" x14ac:dyDescent="0.15">
      <c r="A938" s="206"/>
      <c r="B938" s="194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  <c r="AA938" s="206"/>
      <c r="AB938" s="544"/>
      <c r="AC938" s="416"/>
    </row>
    <row r="939" spans="1:29" ht="15.75" customHeight="1" x14ac:dyDescent="0.15">
      <c r="A939" s="206"/>
      <c r="B939" s="194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  <c r="AA939" s="206"/>
      <c r="AB939" s="544"/>
      <c r="AC939" s="416"/>
    </row>
    <row r="940" spans="1:29" ht="15.75" customHeight="1" x14ac:dyDescent="0.15">
      <c r="A940" s="206"/>
      <c r="B940" s="194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  <c r="AA940" s="206"/>
      <c r="AB940" s="544"/>
      <c r="AC940" s="416"/>
    </row>
    <row r="941" spans="1:29" ht="15.75" customHeight="1" x14ac:dyDescent="0.15">
      <c r="A941" s="206"/>
      <c r="B941" s="194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  <c r="AA941" s="206"/>
      <c r="AB941" s="544"/>
      <c r="AC941" s="416"/>
    </row>
    <row r="942" spans="1:29" ht="15.75" customHeight="1" x14ac:dyDescent="0.15">
      <c r="A942" s="206"/>
      <c r="B942" s="194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  <c r="AA942" s="206"/>
      <c r="AB942" s="544"/>
      <c r="AC942" s="416"/>
    </row>
    <row r="943" spans="1:29" ht="15.75" customHeight="1" x14ac:dyDescent="0.15">
      <c r="A943" s="206"/>
      <c r="B943" s="194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  <c r="AA943" s="206"/>
      <c r="AB943" s="544"/>
      <c r="AC943" s="416"/>
    </row>
    <row r="944" spans="1:29" ht="15.75" customHeight="1" x14ac:dyDescent="0.15">
      <c r="A944" s="206"/>
      <c r="B944" s="194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  <c r="AA944" s="206"/>
      <c r="AB944" s="544"/>
      <c r="AC944" s="416"/>
    </row>
    <row r="945" spans="1:29" ht="15.75" customHeight="1" x14ac:dyDescent="0.15">
      <c r="A945" s="206"/>
      <c r="B945" s="194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  <c r="AA945" s="206"/>
      <c r="AB945" s="544"/>
      <c r="AC945" s="416"/>
    </row>
    <row r="946" spans="1:29" ht="15.75" customHeight="1" x14ac:dyDescent="0.15">
      <c r="A946" s="206"/>
      <c r="B946" s="194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  <c r="AA946" s="206"/>
      <c r="AB946" s="544"/>
      <c r="AC946" s="416"/>
    </row>
    <row r="947" spans="1:29" ht="15.75" customHeight="1" x14ac:dyDescent="0.15">
      <c r="A947" s="206"/>
      <c r="B947" s="194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  <c r="AA947" s="206"/>
      <c r="AB947" s="544"/>
      <c r="AC947" s="416"/>
    </row>
    <row r="948" spans="1:29" ht="15.75" customHeight="1" x14ac:dyDescent="0.15">
      <c r="A948" s="206"/>
      <c r="B948" s="194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  <c r="AA948" s="206"/>
      <c r="AB948" s="544"/>
      <c r="AC948" s="416"/>
    </row>
    <row r="949" spans="1:29" ht="15.75" customHeight="1" x14ac:dyDescent="0.15">
      <c r="A949" s="206"/>
      <c r="B949" s="194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  <c r="AA949" s="206"/>
      <c r="AB949" s="544"/>
      <c r="AC949" s="416"/>
    </row>
    <row r="950" spans="1:29" ht="15.75" customHeight="1" x14ac:dyDescent="0.15">
      <c r="A950" s="206"/>
      <c r="B950" s="194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  <c r="AA950" s="206"/>
      <c r="AB950" s="544"/>
      <c r="AC950" s="416"/>
    </row>
    <row r="951" spans="1:29" ht="15.75" customHeight="1" x14ac:dyDescent="0.15">
      <c r="A951" s="206"/>
      <c r="B951" s="194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  <c r="AA951" s="206"/>
      <c r="AB951" s="544"/>
      <c r="AC951" s="416"/>
    </row>
    <row r="952" spans="1:29" ht="15.75" customHeight="1" x14ac:dyDescent="0.15">
      <c r="A952" s="206"/>
      <c r="B952" s="194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  <c r="AA952" s="206"/>
      <c r="AB952" s="544"/>
      <c r="AC952" s="416"/>
    </row>
    <row r="953" spans="1:29" ht="15.75" customHeight="1" x14ac:dyDescent="0.15">
      <c r="A953" s="206"/>
      <c r="B953" s="194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  <c r="AA953" s="206"/>
      <c r="AB953" s="544"/>
      <c r="AC953" s="416"/>
    </row>
    <row r="954" spans="1:29" ht="15.75" customHeight="1" x14ac:dyDescent="0.15">
      <c r="A954" s="206"/>
      <c r="B954" s="194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  <c r="AA954" s="206"/>
      <c r="AB954" s="544"/>
      <c r="AC954" s="416"/>
    </row>
    <row r="955" spans="1:29" ht="15.75" customHeight="1" x14ac:dyDescent="0.15">
      <c r="A955" s="206"/>
      <c r="B955" s="194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  <c r="AA955" s="206"/>
      <c r="AB955" s="544"/>
      <c r="AC955" s="416"/>
    </row>
    <row r="956" spans="1:29" ht="15.75" customHeight="1" x14ac:dyDescent="0.15">
      <c r="A956" s="206"/>
      <c r="B956" s="194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  <c r="AA956" s="206"/>
      <c r="AB956" s="544"/>
      <c r="AC956" s="416"/>
    </row>
    <row r="957" spans="1:29" ht="15.75" customHeight="1" x14ac:dyDescent="0.15">
      <c r="A957" s="206"/>
      <c r="B957" s="194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  <c r="AA957" s="206"/>
      <c r="AB957" s="544"/>
      <c r="AC957" s="416"/>
    </row>
    <row r="958" spans="1:29" ht="15.75" customHeight="1" x14ac:dyDescent="0.15">
      <c r="A958" s="206"/>
      <c r="B958" s="194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  <c r="AA958" s="206"/>
      <c r="AB958" s="544"/>
      <c r="AC958" s="416"/>
    </row>
    <row r="959" spans="1:29" ht="15.75" customHeight="1" x14ac:dyDescent="0.15">
      <c r="A959" s="206"/>
      <c r="B959" s="194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  <c r="AA959" s="206"/>
      <c r="AB959" s="544"/>
      <c r="AC959" s="416"/>
    </row>
    <row r="960" spans="1:29" ht="15.75" customHeight="1" x14ac:dyDescent="0.15">
      <c r="A960" s="206"/>
      <c r="B960" s="194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  <c r="AA960" s="206"/>
      <c r="AB960" s="544"/>
      <c r="AC960" s="416"/>
    </row>
    <row r="961" spans="1:29" ht="15.75" customHeight="1" x14ac:dyDescent="0.15">
      <c r="A961" s="206"/>
      <c r="B961" s="194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  <c r="AA961" s="206"/>
      <c r="AB961" s="544"/>
      <c r="AC961" s="416"/>
    </row>
    <row r="962" spans="1:29" ht="15.75" customHeight="1" x14ac:dyDescent="0.15">
      <c r="A962" s="206"/>
      <c r="B962" s="194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  <c r="AA962" s="206"/>
      <c r="AB962" s="544"/>
      <c r="AC962" s="416"/>
    </row>
    <row r="963" spans="1:29" ht="15.75" customHeight="1" x14ac:dyDescent="0.15">
      <c r="A963" s="206"/>
      <c r="B963" s="194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  <c r="AA963" s="206"/>
      <c r="AB963" s="544"/>
      <c r="AC963" s="416"/>
    </row>
    <row r="964" spans="1:29" ht="15.75" customHeight="1" x14ac:dyDescent="0.15">
      <c r="A964" s="206"/>
      <c r="B964" s="194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  <c r="AA964" s="206"/>
      <c r="AB964" s="544"/>
      <c r="AC964" s="416"/>
    </row>
    <row r="965" spans="1:29" ht="15.75" customHeight="1" x14ac:dyDescent="0.15">
      <c r="A965" s="206"/>
      <c r="B965" s="194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  <c r="AA965" s="206"/>
      <c r="AB965" s="544"/>
      <c r="AC965" s="416"/>
    </row>
    <row r="966" spans="1:29" ht="15.75" customHeight="1" x14ac:dyDescent="0.15">
      <c r="A966" s="206"/>
      <c r="B966" s="194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  <c r="AA966" s="206"/>
      <c r="AB966" s="544"/>
      <c r="AC966" s="416"/>
    </row>
    <row r="967" spans="1:29" ht="15.75" customHeight="1" x14ac:dyDescent="0.15">
      <c r="A967" s="206"/>
      <c r="B967" s="194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  <c r="AA967" s="206"/>
      <c r="AB967" s="544"/>
      <c r="AC967" s="416"/>
    </row>
    <row r="968" spans="1:29" ht="15.75" customHeight="1" x14ac:dyDescent="0.15">
      <c r="A968" s="206"/>
      <c r="B968" s="194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  <c r="AA968" s="206"/>
      <c r="AB968" s="544"/>
      <c r="AC968" s="416"/>
    </row>
  </sheetData>
  <mergeCells count="2">
    <mergeCell ref="A23:B23"/>
    <mergeCell ref="AD2:AE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  <outlinePr summaryBelow="0"/>
  </sheetPr>
  <dimension ref="A1:AE201"/>
  <sheetViews>
    <sheetView showGridLines="0" workbookViewId="0">
      <pane xSplit="1" ySplit="6" topLeftCell="J7" activePane="bottomRight" state="frozen"/>
      <selection pane="topRight" activeCell="B1" sqref="B1"/>
      <selection pane="bottomLeft" activeCell="A7" sqref="A7"/>
      <selection pane="bottomRight" activeCell="AC43" sqref="AC43"/>
    </sheetView>
  </sheetViews>
  <sheetFormatPr baseColWidth="10" defaultColWidth="12.6640625" defaultRowHeight="15" customHeight="1" x14ac:dyDescent="0.15"/>
  <cols>
    <col min="1" max="1" width="37.1640625" style="250" customWidth="1"/>
    <col min="2" max="2" width="11.1640625" style="250" customWidth="1"/>
    <col min="3" max="7" width="13.1640625" style="250" hidden="1" customWidth="1"/>
    <col min="8" max="27" width="13.1640625" style="250" customWidth="1"/>
    <col min="28" max="28" width="5.33203125" style="250" customWidth="1"/>
    <col min="29" max="29" width="13.1640625" style="250" customWidth="1"/>
    <col min="30" max="16384" width="12.6640625" style="250"/>
  </cols>
  <sheetData>
    <row r="1" spans="1:31" ht="15.75" customHeight="1" x14ac:dyDescent="0.15">
      <c r="A1" s="263" t="s">
        <v>235</v>
      </c>
      <c r="B1" s="264"/>
      <c r="C1" s="265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C1" s="249"/>
    </row>
    <row r="2" spans="1:31" ht="15.75" customHeight="1" x14ac:dyDescent="0.15">
      <c r="A2" s="266" t="s">
        <v>236</v>
      </c>
      <c r="B2" s="264"/>
      <c r="C2" s="267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C2" s="249"/>
    </row>
    <row r="3" spans="1:31" ht="15.75" customHeight="1" x14ac:dyDescent="0.15">
      <c r="A3" s="269">
        <f ca="1">+TODAY()</f>
        <v>44539</v>
      </c>
      <c r="B3" s="264"/>
      <c r="C3" s="265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68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C3" s="249"/>
      <c r="AD3" s="596" t="s">
        <v>430</v>
      </c>
      <c r="AE3" s="596"/>
    </row>
    <row r="4" spans="1:31" ht="15.75" customHeight="1" x14ac:dyDescent="0.15">
      <c r="A4" s="269"/>
      <c r="B4" s="270"/>
      <c r="C4" s="265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C4" s="249"/>
      <c r="AD4" s="657" t="s">
        <v>429</v>
      </c>
      <c r="AE4" s="658" t="s">
        <v>431</v>
      </c>
    </row>
    <row r="5" spans="1:31" ht="3.75" customHeight="1" x14ac:dyDescent="0.15">
      <c r="A5" s="269"/>
      <c r="B5" s="270"/>
      <c r="C5" s="271"/>
      <c r="D5" s="249"/>
      <c r="E5" s="252"/>
      <c r="F5" s="251"/>
      <c r="G5" s="249"/>
      <c r="H5" s="252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605"/>
      <c r="AA5" s="605"/>
      <c r="AC5" s="249"/>
      <c r="AD5" s="249"/>
      <c r="AE5" s="249"/>
    </row>
    <row r="6" spans="1:31" ht="15" customHeight="1" x14ac:dyDescent="0.15">
      <c r="A6" s="272"/>
      <c r="B6" s="273"/>
      <c r="C6" s="274">
        <f>'FS-Month'!C6</f>
        <v>43831</v>
      </c>
      <c r="D6" s="275">
        <f>'FS-Month'!D6</f>
        <v>43862</v>
      </c>
      <c r="E6" s="275">
        <f>'FS-Month'!E6</f>
        <v>43891</v>
      </c>
      <c r="F6" s="275">
        <f>'FS-Month'!F6</f>
        <v>43922</v>
      </c>
      <c r="G6" s="275">
        <f>'FS-Month'!G6</f>
        <v>43952</v>
      </c>
      <c r="H6" s="275">
        <f>'FS-Month'!H6</f>
        <v>43983</v>
      </c>
      <c r="I6" s="275">
        <f>'FS-Month'!I6</f>
        <v>44013</v>
      </c>
      <c r="J6" s="275">
        <f>'FS-Month'!J6</f>
        <v>44044</v>
      </c>
      <c r="K6" s="275">
        <f>'FS-Month'!K6</f>
        <v>44075</v>
      </c>
      <c r="L6" s="275">
        <f>'FS-Month'!L6</f>
        <v>44105</v>
      </c>
      <c r="M6" s="275">
        <f>'FS-Month'!M6</f>
        <v>44136</v>
      </c>
      <c r="N6" s="275">
        <f>'FS-Month'!N6</f>
        <v>44166</v>
      </c>
      <c r="O6" s="275">
        <f>'FS-Month'!O6</f>
        <v>44197</v>
      </c>
      <c r="P6" s="275">
        <f>'FS-Month'!P6</f>
        <v>44228</v>
      </c>
      <c r="Q6" s="275">
        <f>'FS-Month'!Q6</f>
        <v>44256</v>
      </c>
      <c r="R6" s="275">
        <f>'FS-Month'!R6</f>
        <v>44287</v>
      </c>
      <c r="S6" s="275">
        <f>'FS-Month'!S6</f>
        <v>44317</v>
      </c>
      <c r="T6" s="275">
        <f>'FS-Month'!T6</f>
        <v>44348</v>
      </c>
      <c r="U6" s="275">
        <f>'FS-Month'!U6</f>
        <v>44378</v>
      </c>
      <c r="V6" s="275">
        <f>'FS-Month'!V6</f>
        <v>44409</v>
      </c>
      <c r="W6" s="275">
        <f>'FS-Month'!W6</f>
        <v>44440</v>
      </c>
      <c r="X6" s="275">
        <f>'FS-Month'!X6</f>
        <v>44470</v>
      </c>
      <c r="Y6" s="275">
        <f>'FS-Month'!Y6</f>
        <v>44501</v>
      </c>
      <c r="Z6" s="606">
        <f>'FS-Month'!Z6</f>
        <v>44531</v>
      </c>
      <c r="AA6" s="606">
        <f>'FS-Month'!AA6</f>
        <v>44562</v>
      </c>
      <c r="AC6" s="275" t="s">
        <v>160</v>
      </c>
      <c r="AD6" s="275" t="s">
        <v>160</v>
      </c>
      <c r="AE6" s="275" t="s">
        <v>160</v>
      </c>
    </row>
    <row r="7" spans="1:31" ht="15.75" customHeight="1" x14ac:dyDescent="0.15">
      <c r="A7" s="253"/>
      <c r="B7" s="254" t="s">
        <v>164</v>
      </c>
      <c r="C7" s="276">
        <f>'FS-Month'!C7</f>
        <v>1</v>
      </c>
      <c r="D7" s="277">
        <f>'FS-Month'!D7</f>
        <v>2</v>
      </c>
      <c r="E7" s="277">
        <f>'FS-Month'!E7</f>
        <v>3</v>
      </c>
      <c r="F7" s="277">
        <f>'FS-Month'!F7</f>
        <v>4</v>
      </c>
      <c r="G7" s="277">
        <f>'FS-Month'!G7</f>
        <v>5</v>
      </c>
      <c r="H7" s="277">
        <f>'FS-Month'!H7</f>
        <v>1</v>
      </c>
      <c r="I7" s="277">
        <f>'FS-Month'!I7</f>
        <v>2</v>
      </c>
      <c r="J7" s="277">
        <f>'FS-Month'!J7</f>
        <v>3</v>
      </c>
      <c r="K7" s="277">
        <f>'FS-Month'!K7</f>
        <v>4</v>
      </c>
      <c r="L7" s="277">
        <f>'FS-Month'!L7</f>
        <v>5</v>
      </c>
      <c r="M7" s="277">
        <f>'FS-Month'!M7</f>
        <v>6</v>
      </c>
      <c r="N7" s="277">
        <f>'FS-Month'!N7</f>
        <v>7</v>
      </c>
      <c r="O7" s="277">
        <f>'FS-Month'!O7</f>
        <v>8</v>
      </c>
      <c r="P7" s="277">
        <f>'FS-Month'!P7</f>
        <v>9</v>
      </c>
      <c r="Q7" s="277">
        <f>'FS-Month'!Q7</f>
        <v>10</v>
      </c>
      <c r="R7" s="277">
        <f>'FS-Month'!R7</f>
        <v>11</v>
      </c>
      <c r="S7" s="277">
        <f>'FS-Month'!S7</f>
        <v>12</v>
      </c>
      <c r="T7" s="277">
        <f>'FS-Month'!T7</f>
        <v>13</v>
      </c>
      <c r="U7" s="277">
        <f>'FS-Month'!U7</f>
        <v>14</v>
      </c>
      <c r="V7" s="277">
        <f>'FS-Month'!V7</f>
        <v>15</v>
      </c>
      <c r="W7" s="277">
        <f>'FS-Month'!W7</f>
        <v>16</v>
      </c>
      <c r="X7" s="277">
        <f>'FS-Month'!X7</f>
        <v>17</v>
      </c>
      <c r="Y7" s="277">
        <f>'FS-Month'!Y7</f>
        <v>18</v>
      </c>
      <c r="Z7" s="607">
        <f>'FS-Month'!Z7</f>
        <v>19</v>
      </c>
      <c r="AA7" s="607">
        <f>'FS-Month'!AA7</f>
        <v>20</v>
      </c>
      <c r="AC7" s="277" t="s">
        <v>427</v>
      </c>
      <c r="AD7" s="277" t="s">
        <v>428</v>
      </c>
      <c r="AE7" s="277" t="s">
        <v>432</v>
      </c>
    </row>
    <row r="8" spans="1:31" ht="15.75" customHeight="1" x14ac:dyDescent="0.15">
      <c r="A8" s="253"/>
      <c r="B8" s="254"/>
      <c r="C8" s="278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608"/>
      <c r="AA8" s="608"/>
      <c r="AC8" s="256"/>
      <c r="AD8" s="256"/>
      <c r="AE8" s="256"/>
    </row>
    <row r="9" spans="1:31" ht="15.75" customHeight="1" thickBot="1" x14ac:dyDescent="0.2">
      <c r="A9" s="279" t="s">
        <v>165</v>
      </c>
      <c r="B9" s="280"/>
      <c r="C9" s="281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609"/>
      <c r="AA9" s="609"/>
      <c r="AC9" s="282"/>
      <c r="AD9" s="282"/>
      <c r="AE9" s="282"/>
    </row>
    <row r="10" spans="1:31" ht="6" customHeight="1" x14ac:dyDescent="0.15">
      <c r="A10" s="360"/>
      <c r="B10" s="361"/>
      <c r="C10" s="362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610"/>
      <c r="AA10" s="610"/>
      <c r="AC10" s="363"/>
      <c r="AD10" s="363"/>
      <c r="AE10" s="363"/>
    </row>
    <row r="11" spans="1:31" s="530" customFormat="1" ht="15.75" customHeight="1" x14ac:dyDescent="0.15">
      <c r="A11" s="489" t="str">
        <f>Revenue!A11</f>
        <v># of Loans</v>
      </c>
      <c r="B11" s="528"/>
      <c r="C11" s="529">
        <f>Revenue!C11</f>
        <v>0</v>
      </c>
      <c r="D11" s="529">
        <f>Revenue!D11</f>
        <v>0</v>
      </c>
      <c r="E11" s="529">
        <f>Revenue!E11</f>
        <v>0</v>
      </c>
      <c r="F11" s="529">
        <f>Revenue!F11</f>
        <v>0</v>
      </c>
      <c r="G11" s="529">
        <f>Revenue!G11</f>
        <v>0</v>
      </c>
      <c r="H11" s="529">
        <f>Revenue!H11</f>
        <v>31</v>
      </c>
      <c r="I11" s="529">
        <f>Revenue!I11</f>
        <v>114</v>
      </c>
      <c r="J11" s="529">
        <f>Revenue!J11</f>
        <v>167</v>
      </c>
      <c r="K11" s="529">
        <f>Revenue!K11</f>
        <v>136</v>
      </c>
      <c r="L11" s="529">
        <f>Revenue!L11</f>
        <v>95</v>
      </c>
      <c r="M11" s="529">
        <f>Revenue!M11</f>
        <v>113</v>
      </c>
      <c r="N11" s="529">
        <f>Revenue!N11</f>
        <v>104</v>
      </c>
      <c r="O11" s="529">
        <f>Revenue!O11</f>
        <v>87</v>
      </c>
      <c r="P11" s="529">
        <f>Revenue!P11</f>
        <v>113</v>
      </c>
      <c r="Q11" s="529">
        <f>Revenue!Q11</f>
        <v>199</v>
      </c>
      <c r="R11" s="529">
        <f>Revenue!R11</f>
        <v>234</v>
      </c>
      <c r="S11" s="529">
        <f>Revenue!S11</f>
        <v>239</v>
      </c>
      <c r="T11" s="529">
        <f>Revenue!T11</f>
        <v>284</v>
      </c>
      <c r="U11" s="529">
        <f>Revenue!U11</f>
        <v>332</v>
      </c>
      <c r="V11" s="529">
        <f>Revenue!V11</f>
        <v>341</v>
      </c>
      <c r="W11" s="529">
        <f>Revenue!W11</f>
        <v>336</v>
      </c>
      <c r="X11" s="529">
        <f>Revenue!X11</f>
        <v>265</v>
      </c>
      <c r="Y11" s="529">
        <f>Revenue!Y11</f>
        <v>363</v>
      </c>
      <c r="Z11" s="611">
        <f>Revenue!Z11</f>
        <v>372.07499999999999</v>
      </c>
      <c r="AA11" s="611">
        <f>Revenue!AA11</f>
        <v>381.37687499999993</v>
      </c>
      <c r="AC11" s="529">
        <f>Revenue!AC11</f>
        <v>4306.4518749999997</v>
      </c>
      <c r="AD11" s="529">
        <f>Revenue!AD11</f>
        <v>847</v>
      </c>
      <c r="AE11" s="529">
        <f>Revenue!AE11</f>
        <v>3459.4518749999997</v>
      </c>
    </row>
    <row r="12" spans="1:31" s="530" customFormat="1" ht="15.75" customHeight="1" x14ac:dyDescent="0.15">
      <c r="A12" s="489" t="str">
        <f>Revenue!A12</f>
        <v>Total # of Loans</v>
      </c>
      <c r="B12" s="528"/>
      <c r="C12" s="529">
        <f>Revenue!C12</f>
        <v>0</v>
      </c>
      <c r="D12" s="529">
        <f>Revenue!D12</f>
        <v>0</v>
      </c>
      <c r="E12" s="529">
        <f>Revenue!E12</f>
        <v>0</v>
      </c>
      <c r="F12" s="529">
        <f>Revenue!F12</f>
        <v>0</v>
      </c>
      <c r="G12" s="529">
        <f>Revenue!G12</f>
        <v>0</v>
      </c>
      <c r="H12" s="529">
        <f>Revenue!H12</f>
        <v>31</v>
      </c>
      <c r="I12" s="529">
        <f>Revenue!I12</f>
        <v>145</v>
      </c>
      <c r="J12" s="529">
        <f>Revenue!J12</f>
        <v>312</v>
      </c>
      <c r="K12" s="529">
        <f>Revenue!K12</f>
        <v>448</v>
      </c>
      <c r="L12" s="529">
        <f>Revenue!L12</f>
        <v>543</v>
      </c>
      <c r="M12" s="529">
        <f>Revenue!M12</f>
        <v>656</v>
      </c>
      <c r="N12" s="529">
        <f>Revenue!N12</f>
        <v>760</v>
      </c>
      <c r="O12" s="529">
        <f>Revenue!O12</f>
        <v>847</v>
      </c>
      <c r="P12" s="529">
        <f>Revenue!P12</f>
        <v>960</v>
      </c>
      <c r="Q12" s="529">
        <f>Revenue!Q12</f>
        <v>1159</v>
      </c>
      <c r="R12" s="529">
        <f>Revenue!R12</f>
        <v>1393</v>
      </c>
      <c r="S12" s="529">
        <f>Revenue!S12</f>
        <v>1632</v>
      </c>
      <c r="T12" s="529">
        <f>Revenue!T12</f>
        <v>1916</v>
      </c>
      <c r="U12" s="529">
        <f>Revenue!U12</f>
        <v>2248</v>
      </c>
      <c r="V12" s="529">
        <f>Revenue!V12</f>
        <v>2589</v>
      </c>
      <c r="W12" s="529">
        <f>Revenue!W12</f>
        <v>2925</v>
      </c>
      <c r="X12" s="529">
        <f>Revenue!X12</f>
        <v>3190</v>
      </c>
      <c r="Y12" s="529">
        <f>Revenue!Y12</f>
        <v>3553</v>
      </c>
      <c r="Z12" s="611">
        <f>Revenue!Z12</f>
        <v>3925.0749999999998</v>
      </c>
      <c r="AA12" s="611">
        <f>Revenue!AA12</f>
        <v>4306.4518749999997</v>
      </c>
      <c r="AC12" s="529">
        <f>Revenue!AC12</f>
        <v>4306.4518749999997</v>
      </c>
      <c r="AD12" s="529">
        <f>Revenue!AD12</f>
        <v>847</v>
      </c>
      <c r="AE12" s="529">
        <f>Revenue!AE12</f>
        <v>4306.4518749999997</v>
      </c>
    </row>
    <row r="13" spans="1:31" s="368" customFormat="1" ht="15.75" customHeight="1" x14ac:dyDescent="0.15">
      <c r="A13" s="249"/>
      <c r="B13" s="254"/>
      <c r="C13" s="372"/>
      <c r="D13" s="372"/>
      <c r="E13" s="372"/>
      <c r="F13" s="372"/>
      <c r="G13" s="372"/>
      <c r="H13" s="372"/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612"/>
      <c r="AA13" s="612"/>
      <c r="AC13" s="372"/>
      <c r="AD13" s="372"/>
      <c r="AE13" s="372"/>
    </row>
    <row r="14" spans="1:31" ht="15.75" customHeight="1" x14ac:dyDescent="0.15">
      <c r="A14" s="249" t="str">
        <f>Revenue!A14</f>
        <v>Total $ on Loan (Outstanding Loans) BOM</v>
      </c>
      <c r="B14" s="283"/>
      <c r="C14" s="372">
        <f>Revenue!C14</f>
        <v>0</v>
      </c>
      <c r="D14" s="372">
        <f>Revenue!D14</f>
        <v>0</v>
      </c>
      <c r="E14" s="372">
        <f>Revenue!E14</f>
        <v>0</v>
      </c>
      <c r="F14" s="372">
        <f>Revenue!F14</f>
        <v>0</v>
      </c>
      <c r="G14" s="372">
        <f>Revenue!G14</f>
        <v>0</v>
      </c>
      <c r="H14" s="372">
        <f>Revenue!H14</f>
        <v>0</v>
      </c>
      <c r="I14" s="372">
        <f>Revenue!I14</f>
        <v>110193.7</v>
      </c>
      <c r="J14" s="372">
        <f>Revenue!J14</f>
        <v>512017.5</v>
      </c>
      <c r="K14" s="372">
        <f>Revenue!K14</f>
        <v>1225616.25</v>
      </c>
      <c r="L14" s="372">
        <f>Revenue!L14</f>
        <v>1870749.26</v>
      </c>
      <c r="M14" s="372">
        <f>Revenue!M14</f>
        <v>2356378.4300000002</v>
      </c>
      <c r="N14" s="372">
        <f>Revenue!N14</f>
        <v>2943102.5900000003</v>
      </c>
      <c r="O14" s="372">
        <f>Revenue!O14</f>
        <v>3496682.43</v>
      </c>
      <c r="P14" s="372">
        <f>Revenue!P14</f>
        <v>3929213.93</v>
      </c>
      <c r="Q14" s="372">
        <f>Revenue!Q14</f>
        <v>4397617.46</v>
      </c>
      <c r="R14" s="372">
        <f>Revenue!R14</f>
        <v>5234978.96</v>
      </c>
      <c r="S14" s="372">
        <f>Revenue!S14</f>
        <v>6172493.0899999999</v>
      </c>
      <c r="T14" s="372">
        <f>Revenue!T14</f>
        <v>7027823.1799999997</v>
      </c>
      <c r="U14" s="372">
        <f>Revenue!U14</f>
        <v>8089332.6499999994</v>
      </c>
      <c r="V14" s="372">
        <f>Revenue!V14</f>
        <v>9387828.3299999982</v>
      </c>
      <c r="W14" s="372">
        <f>Revenue!W14</f>
        <v>10640549.419999998</v>
      </c>
      <c r="X14" s="372">
        <f>Revenue!X14</f>
        <v>10757662.419999998</v>
      </c>
      <c r="Y14" s="372">
        <f>Revenue!Y14</f>
        <v>11852432.779999997</v>
      </c>
      <c r="Z14" s="612">
        <f>Revenue!Z14</f>
        <v>13322341.789999997</v>
      </c>
      <c r="AA14" s="612">
        <f>Revenue!AA14</f>
        <v>14922264.289999997</v>
      </c>
      <c r="AC14" s="372">
        <f>Revenue!AC14</f>
        <v>16562184.852499997</v>
      </c>
      <c r="AD14" s="372">
        <f>Revenue!AD14</f>
        <v>3929213.93</v>
      </c>
      <c r="AE14" s="372">
        <f>Revenue!AE14</f>
        <v>16562184.852499997</v>
      </c>
    </row>
    <row r="15" spans="1:31" ht="15.75" customHeight="1" x14ac:dyDescent="0.15">
      <c r="A15" s="249" t="str">
        <f>Revenue!A15</f>
        <v>New Loans Written</v>
      </c>
      <c r="B15" s="283"/>
      <c r="C15" s="372">
        <f>Revenue!C15</f>
        <v>0</v>
      </c>
      <c r="D15" s="372">
        <f>Revenue!D15</f>
        <v>0</v>
      </c>
      <c r="E15" s="372">
        <f>Revenue!E15</f>
        <v>0</v>
      </c>
      <c r="F15" s="372">
        <f>Revenue!F15</f>
        <v>0</v>
      </c>
      <c r="G15" s="372">
        <f>Revenue!G15</f>
        <v>0</v>
      </c>
      <c r="H15" s="372">
        <f>Revenue!H15</f>
        <v>110193.7</v>
      </c>
      <c r="I15" s="372">
        <f>Revenue!I15</f>
        <v>401823.8</v>
      </c>
      <c r="J15" s="372">
        <f>Revenue!J15</f>
        <v>713598.75</v>
      </c>
      <c r="K15" s="372">
        <f>Revenue!K15</f>
        <v>645133.01</v>
      </c>
      <c r="L15" s="372">
        <f>Revenue!L15</f>
        <v>485629.17</v>
      </c>
      <c r="M15" s="372">
        <f>Revenue!M15</f>
        <v>586724.16</v>
      </c>
      <c r="N15" s="372">
        <f>Revenue!N15</f>
        <v>553579.84</v>
      </c>
      <c r="O15" s="372">
        <f>Revenue!O15</f>
        <v>432531.5</v>
      </c>
      <c r="P15" s="372">
        <f>Revenue!P15</f>
        <v>470357.4</v>
      </c>
      <c r="Q15" s="372">
        <f>Revenue!Q15</f>
        <v>843630.28</v>
      </c>
      <c r="R15" s="372">
        <f>Revenue!R15</f>
        <v>942528.59</v>
      </c>
      <c r="S15" s="372">
        <f>Revenue!S15</f>
        <v>874055.51</v>
      </c>
      <c r="T15" s="372">
        <f>Revenue!T15</f>
        <v>1063346</v>
      </c>
      <c r="U15" s="372">
        <f>Revenue!U15</f>
        <v>1308403</v>
      </c>
      <c r="V15" s="372">
        <f>Revenue!V15</f>
        <v>1268000</v>
      </c>
      <c r="W15" s="372">
        <f>Revenue!W15</f>
        <v>126624.05</v>
      </c>
      <c r="X15" s="372">
        <f>Revenue!X15</f>
        <v>1120389</v>
      </c>
      <c r="Y15" s="372">
        <f>Revenue!Y15</f>
        <v>1493430</v>
      </c>
      <c r="Z15" s="612">
        <f>Revenue!Z15</f>
        <v>1599922.5</v>
      </c>
      <c r="AA15" s="612">
        <f>Revenue!AA15</f>
        <v>1639920.5624999998</v>
      </c>
      <c r="AC15" s="372">
        <f>Revenue!AC15</f>
        <v>16679820.822500002</v>
      </c>
      <c r="AD15" s="372">
        <f>Revenue!AD15</f>
        <v>3929213.93</v>
      </c>
      <c r="AE15" s="372">
        <f>Revenue!AE15</f>
        <v>12750606.8925</v>
      </c>
    </row>
    <row r="16" spans="1:31" ht="15.75" customHeight="1" x14ac:dyDescent="0.15">
      <c r="A16" s="249"/>
      <c r="B16" s="283"/>
      <c r="C16" s="372"/>
      <c r="D16" s="372"/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612"/>
      <c r="AA16" s="612"/>
      <c r="AC16" s="372"/>
      <c r="AD16" s="372"/>
      <c r="AE16" s="372"/>
    </row>
    <row r="17" spans="1:31" ht="15.75" customHeight="1" x14ac:dyDescent="0.15">
      <c r="A17" s="249" t="str">
        <f>Revenue!A17</f>
        <v>CS Collect</v>
      </c>
      <c r="B17" s="283"/>
      <c r="C17" s="372">
        <f>Revenue!C17</f>
        <v>0</v>
      </c>
      <c r="D17" s="372">
        <f>Revenue!D17</f>
        <v>0</v>
      </c>
      <c r="E17" s="372">
        <f>Revenue!E17</f>
        <v>0</v>
      </c>
      <c r="F17" s="372">
        <f>Revenue!F17</f>
        <v>0</v>
      </c>
      <c r="G17" s="372">
        <f>Revenue!G17</f>
        <v>0</v>
      </c>
      <c r="H17" s="372">
        <f>Revenue!H17</f>
        <v>0</v>
      </c>
      <c r="I17" s="372">
        <f>Revenue!I17</f>
        <v>0</v>
      </c>
      <c r="J17" s="372">
        <f>Revenue!J17</f>
        <v>0</v>
      </c>
      <c r="K17" s="372">
        <f>Revenue!K17</f>
        <v>0</v>
      </c>
      <c r="L17" s="372">
        <f>Revenue!L17</f>
        <v>0</v>
      </c>
      <c r="M17" s="372">
        <f>Revenue!M17</f>
        <v>0</v>
      </c>
      <c r="N17" s="372">
        <f>Revenue!N17</f>
        <v>0</v>
      </c>
      <c r="O17" s="372">
        <f>Revenue!O17</f>
        <v>0</v>
      </c>
      <c r="P17" s="372">
        <f>Revenue!P17</f>
        <v>-1953.87</v>
      </c>
      <c r="Q17" s="372">
        <f>Revenue!Q17</f>
        <v>-6268.78</v>
      </c>
      <c r="R17" s="372">
        <f>Revenue!R17</f>
        <v>-5014.46</v>
      </c>
      <c r="S17" s="372">
        <f>Revenue!S17</f>
        <v>-18725.419999999998</v>
      </c>
      <c r="T17" s="372">
        <f>Revenue!T17</f>
        <v>-1836.53</v>
      </c>
      <c r="U17" s="372">
        <f>Revenue!U17</f>
        <v>-9907.32</v>
      </c>
      <c r="V17" s="372">
        <f>Revenue!V17</f>
        <v>-15278.91</v>
      </c>
      <c r="W17" s="372">
        <f>Revenue!W17</f>
        <v>-9511.0499999999993</v>
      </c>
      <c r="X17" s="372">
        <f>Revenue!X17</f>
        <v>-25618.639999999999</v>
      </c>
      <c r="Y17" s="372">
        <f>Revenue!Y17</f>
        <v>-23520.99</v>
      </c>
      <c r="Z17" s="612">
        <f>Revenue!Z17</f>
        <v>0</v>
      </c>
      <c r="AA17" s="612">
        <f>Revenue!AA17</f>
        <v>0</v>
      </c>
      <c r="AC17" s="372">
        <f>Revenue!AC17</f>
        <v>-117635.97</v>
      </c>
      <c r="AD17" s="372">
        <f>Revenue!AD17</f>
        <v>0</v>
      </c>
      <c r="AE17" s="372">
        <f>Revenue!AE17</f>
        <v>-117635.97</v>
      </c>
    </row>
    <row r="18" spans="1:31" ht="15.75" customHeight="1" x14ac:dyDescent="0.15">
      <c r="A18" s="249" t="str">
        <f>Revenue!A18</f>
        <v>Cosign Reserve Account</v>
      </c>
      <c r="B18" s="254"/>
      <c r="C18" s="372">
        <f>Revenue!C18</f>
        <v>0</v>
      </c>
      <c r="D18" s="372">
        <f>Revenue!D18</f>
        <v>0</v>
      </c>
      <c r="E18" s="372">
        <f>Revenue!E18</f>
        <v>0</v>
      </c>
      <c r="F18" s="372">
        <f>Revenue!F18</f>
        <v>0</v>
      </c>
      <c r="G18" s="372">
        <f>Revenue!G18</f>
        <v>0</v>
      </c>
      <c r="H18" s="372">
        <f>Revenue!H18</f>
        <v>2754.8425000000002</v>
      </c>
      <c r="I18" s="372">
        <f>Revenue!I18</f>
        <v>10045.595000000001</v>
      </c>
      <c r="J18" s="372">
        <f>Revenue!J18</f>
        <v>17839.96875</v>
      </c>
      <c r="K18" s="372">
        <f>Revenue!K18</f>
        <v>16128.325250000002</v>
      </c>
      <c r="L18" s="372">
        <f>Revenue!L18</f>
        <v>12140.72925</v>
      </c>
      <c r="M18" s="372">
        <f>Revenue!M18</f>
        <v>14668.104000000001</v>
      </c>
      <c r="N18" s="372">
        <f>Revenue!N18</f>
        <v>13839.495999999999</v>
      </c>
      <c r="O18" s="372">
        <f>Revenue!O18</f>
        <v>10813.2875</v>
      </c>
      <c r="P18" s="372">
        <f>Revenue!P18</f>
        <v>11758.935000000001</v>
      </c>
      <c r="Q18" s="372">
        <f>Revenue!Q18</f>
        <v>21090.757000000001</v>
      </c>
      <c r="R18" s="372">
        <f>Revenue!R18</f>
        <v>23563.214749999999</v>
      </c>
      <c r="S18" s="372">
        <f>Revenue!S18</f>
        <v>21851.387750000002</v>
      </c>
      <c r="T18" s="372">
        <f>Revenue!T18</f>
        <v>26583.65</v>
      </c>
      <c r="U18" s="372">
        <f>Revenue!U18</f>
        <v>32710.075000000001</v>
      </c>
      <c r="V18" s="372">
        <f>Revenue!V18</f>
        <v>31700</v>
      </c>
      <c r="W18" s="372">
        <f>Revenue!W18</f>
        <v>3165.6012500000002</v>
      </c>
      <c r="X18" s="372">
        <f>Revenue!X18</f>
        <v>28009.725000000002</v>
      </c>
      <c r="Y18" s="372">
        <f>Revenue!Y18</f>
        <v>37335.75</v>
      </c>
      <c r="Z18" s="612">
        <f>Revenue!Z18</f>
        <v>39998.0625</v>
      </c>
      <c r="AA18" s="612">
        <f>Revenue!AA18</f>
        <v>40998.014062499999</v>
      </c>
      <c r="AC18" s="372">
        <f>Revenue!AC18</f>
        <v>416995.52056249994</v>
      </c>
      <c r="AD18" s="372">
        <f>Revenue!AD18</f>
        <v>98230.34825000001</v>
      </c>
      <c r="AE18" s="372">
        <f>Revenue!AE18</f>
        <v>318765.17231250001</v>
      </c>
    </row>
    <row r="19" spans="1:31" s="359" customFormat="1" ht="15.75" customHeight="1" x14ac:dyDescent="0.15">
      <c r="A19" s="249" t="str">
        <f>Revenue!A19</f>
        <v>Total $ in Reserve Account EOM</v>
      </c>
      <c r="B19" s="371"/>
      <c r="C19" s="372">
        <f>Revenue!C19</f>
        <v>0</v>
      </c>
      <c r="D19" s="372">
        <f>Revenue!D19</f>
        <v>0</v>
      </c>
      <c r="E19" s="372">
        <f>Revenue!E19</f>
        <v>0</v>
      </c>
      <c r="F19" s="372">
        <f>Revenue!F19</f>
        <v>0</v>
      </c>
      <c r="G19" s="372">
        <f>Revenue!G19</f>
        <v>0</v>
      </c>
      <c r="H19" s="372">
        <f>Revenue!H19</f>
        <v>2754.8425000000002</v>
      </c>
      <c r="I19" s="372">
        <f>Revenue!I19</f>
        <v>12800.437500000002</v>
      </c>
      <c r="J19" s="372">
        <f>Revenue!J19</f>
        <v>30640.40625</v>
      </c>
      <c r="K19" s="372">
        <f>Revenue!K19</f>
        <v>46768.731500000002</v>
      </c>
      <c r="L19" s="372">
        <f>Revenue!L19</f>
        <v>58909.460749999998</v>
      </c>
      <c r="M19" s="372">
        <f>Revenue!M19</f>
        <v>73577.564750000005</v>
      </c>
      <c r="N19" s="372">
        <f>Revenue!N19</f>
        <v>87417.060750000004</v>
      </c>
      <c r="O19" s="372">
        <f>Revenue!O19</f>
        <v>98230.34825000001</v>
      </c>
      <c r="P19" s="372">
        <f>Revenue!P19</f>
        <v>108035.41325000001</v>
      </c>
      <c r="Q19" s="372">
        <f>Revenue!Q19</f>
        <v>122857.39025000001</v>
      </c>
      <c r="R19" s="372">
        <f>Revenue!R19</f>
        <v>141406.14500000002</v>
      </c>
      <c r="S19" s="372">
        <f>Revenue!S19</f>
        <v>144532.11275000003</v>
      </c>
      <c r="T19" s="372">
        <f>Revenue!T19</f>
        <v>169279.23275000002</v>
      </c>
      <c r="U19" s="372">
        <f>Revenue!U19</f>
        <v>192081.98775000003</v>
      </c>
      <c r="V19" s="372">
        <f>Revenue!V19</f>
        <v>208503.07775000003</v>
      </c>
      <c r="W19" s="372">
        <f>Revenue!W19</f>
        <v>202157.62900000004</v>
      </c>
      <c r="X19" s="372">
        <f>Revenue!X19</f>
        <v>204548.71400000004</v>
      </c>
      <c r="Y19" s="372">
        <f>Revenue!Y19</f>
        <v>218363.47400000005</v>
      </c>
      <c r="Z19" s="612">
        <f>Revenue!Z19</f>
        <v>258361.53650000005</v>
      </c>
      <c r="AA19" s="612">
        <f>Revenue!AA19</f>
        <v>299359.55056250002</v>
      </c>
      <c r="AC19" s="372">
        <f>Revenue!AC19</f>
        <v>299359.55056250002</v>
      </c>
      <c r="AD19" s="372">
        <f>Revenue!AD19</f>
        <v>98230.34825000001</v>
      </c>
      <c r="AE19" s="372">
        <f>Revenue!AE19</f>
        <v>299359.55056250002</v>
      </c>
    </row>
    <row r="20" spans="1:31" s="359" customFormat="1" ht="15.75" customHeight="1" x14ac:dyDescent="0.15">
      <c r="A20" s="249" t="str">
        <f>Revenue!A20</f>
        <v>Total $ on Loan (Outstanding Loans) EOM</v>
      </c>
      <c r="B20" s="371"/>
      <c r="C20" s="372">
        <f>Revenue!C20</f>
        <v>0</v>
      </c>
      <c r="D20" s="372">
        <f>Revenue!D20</f>
        <v>0</v>
      </c>
      <c r="E20" s="372">
        <f>Revenue!E20</f>
        <v>0</v>
      </c>
      <c r="F20" s="372">
        <f>Revenue!F20</f>
        <v>0</v>
      </c>
      <c r="G20" s="372">
        <f>Revenue!G20</f>
        <v>0</v>
      </c>
      <c r="H20" s="372">
        <f>Revenue!H20</f>
        <v>110193.7</v>
      </c>
      <c r="I20" s="372">
        <f>Revenue!I20</f>
        <v>512017.5</v>
      </c>
      <c r="J20" s="372">
        <f>Revenue!J20</f>
        <v>1225616.25</v>
      </c>
      <c r="K20" s="372">
        <f>Revenue!K20</f>
        <v>1870749.26</v>
      </c>
      <c r="L20" s="372">
        <f>Revenue!L20</f>
        <v>2356378.4300000002</v>
      </c>
      <c r="M20" s="372">
        <f>Revenue!M20</f>
        <v>2943102.5900000003</v>
      </c>
      <c r="N20" s="372">
        <f>Revenue!N20</f>
        <v>3496682.43</v>
      </c>
      <c r="O20" s="372">
        <f>Revenue!O20</f>
        <v>3929213.93</v>
      </c>
      <c r="P20" s="372">
        <f>Revenue!P20</f>
        <v>4397617.46</v>
      </c>
      <c r="Q20" s="372">
        <f>Revenue!Q20</f>
        <v>5234978.96</v>
      </c>
      <c r="R20" s="372">
        <f>Revenue!R20</f>
        <v>6172493.0899999999</v>
      </c>
      <c r="S20" s="372">
        <f>Revenue!S20</f>
        <v>7027823.1799999997</v>
      </c>
      <c r="T20" s="372">
        <f>Revenue!T20</f>
        <v>8089332.6499999994</v>
      </c>
      <c r="U20" s="372">
        <f>Revenue!U20</f>
        <v>9387828.3299999982</v>
      </c>
      <c r="V20" s="372">
        <f>Revenue!V20</f>
        <v>10640549.419999998</v>
      </c>
      <c r="W20" s="372">
        <f>Revenue!W20</f>
        <v>10757662.419999998</v>
      </c>
      <c r="X20" s="372">
        <f>Revenue!X20</f>
        <v>11852432.779999997</v>
      </c>
      <c r="Y20" s="372">
        <f>Revenue!Y20</f>
        <v>13322341.789999997</v>
      </c>
      <c r="Z20" s="612">
        <f>Revenue!Z20</f>
        <v>14922264.289999997</v>
      </c>
      <c r="AA20" s="612">
        <f>Revenue!AA20</f>
        <v>16562184.852499997</v>
      </c>
      <c r="AC20" s="372">
        <f>Revenue!AC20</f>
        <v>16562184.852499997</v>
      </c>
      <c r="AD20" s="372">
        <f>Revenue!AD20</f>
        <v>3929213.93</v>
      </c>
      <c r="AE20" s="372">
        <f>Revenue!AE20</f>
        <v>16562184.852499997</v>
      </c>
    </row>
    <row r="21" spans="1:31" s="359" customFormat="1" ht="15.75" customHeight="1" x14ac:dyDescent="0.15">
      <c r="A21" s="249"/>
      <c r="B21" s="371"/>
      <c r="C21" s="372">
        <f>Revenue!C21</f>
        <v>0</v>
      </c>
      <c r="D21" s="372">
        <f>Revenue!D21</f>
        <v>0</v>
      </c>
      <c r="E21" s="372">
        <f>Revenue!E21</f>
        <v>0</v>
      </c>
      <c r="F21" s="372">
        <f>Revenue!F21</f>
        <v>0</v>
      </c>
      <c r="G21" s="372">
        <f>Revenue!G21</f>
        <v>0</v>
      </c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612"/>
      <c r="AA21" s="612"/>
      <c r="AC21" s="372"/>
      <c r="AD21" s="372"/>
      <c r="AE21" s="372"/>
    </row>
    <row r="22" spans="1:31" ht="15.75" customHeight="1" thickBot="1" x14ac:dyDescent="0.2">
      <c r="A22" s="279" t="s">
        <v>237</v>
      </c>
      <c r="B22" s="280"/>
      <c r="C22" s="281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609"/>
      <c r="AA22" s="609"/>
      <c r="AC22" s="282"/>
      <c r="AD22" s="282"/>
      <c r="AE22" s="282"/>
    </row>
    <row r="23" spans="1:31" s="354" customFormat="1" ht="15.75" customHeight="1" x14ac:dyDescent="0.15">
      <c r="A23" s="387" t="str">
        <f>A32</f>
        <v>COST OF SERVICE</v>
      </c>
      <c r="B23" s="388" t="str">
        <f>Settings!$C$6</f>
        <v>CAD</v>
      </c>
      <c r="C23" s="387">
        <v>0</v>
      </c>
      <c r="D23" s="387">
        <v>0</v>
      </c>
      <c r="E23" s="387">
        <v>0</v>
      </c>
      <c r="F23" s="387">
        <v>0</v>
      </c>
      <c r="G23" s="387">
        <v>0</v>
      </c>
      <c r="H23" s="387">
        <f t="shared" ref="H23:T23" si="0">H37</f>
        <v>0</v>
      </c>
      <c r="I23" s="387">
        <f t="shared" si="0"/>
        <v>0</v>
      </c>
      <c r="J23" s="387">
        <f t="shared" si="0"/>
        <v>0</v>
      </c>
      <c r="K23" s="387">
        <f t="shared" si="0"/>
        <v>0</v>
      </c>
      <c r="L23" s="387">
        <f t="shared" si="0"/>
        <v>0</v>
      </c>
      <c r="M23" s="387">
        <f t="shared" si="0"/>
        <v>0</v>
      </c>
      <c r="N23" s="387">
        <f t="shared" si="0"/>
        <v>0</v>
      </c>
      <c r="O23" s="387">
        <f t="shared" si="0"/>
        <v>0</v>
      </c>
      <c r="P23" s="387">
        <f t="shared" si="0"/>
        <v>0</v>
      </c>
      <c r="Q23" s="387">
        <f t="shared" si="0"/>
        <v>0</v>
      </c>
      <c r="R23" s="387">
        <f t="shared" si="0"/>
        <v>0</v>
      </c>
      <c r="S23" s="387">
        <f t="shared" si="0"/>
        <v>0</v>
      </c>
      <c r="T23" s="387">
        <f t="shared" si="0"/>
        <v>0</v>
      </c>
      <c r="U23" s="387">
        <f t="shared" ref="U23:X23" si="1">U37</f>
        <v>0</v>
      </c>
      <c r="V23" s="387">
        <f t="shared" si="1"/>
        <v>0</v>
      </c>
      <c r="W23" s="387">
        <f t="shared" si="1"/>
        <v>0</v>
      </c>
      <c r="X23" s="387">
        <f t="shared" si="1"/>
        <v>0</v>
      </c>
      <c r="Y23" s="387">
        <f t="shared" ref="Y23:AA23" si="2">Y37</f>
        <v>0</v>
      </c>
      <c r="Z23" s="613">
        <f t="shared" si="2"/>
        <v>-39998.0625</v>
      </c>
      <c r="AA23" s="613">
        <f t="shared" si="2"/>
        <v>-40998.014062499999</v>
      </c>
      <c r="AC23" s="387">
        <f>SUM(H23:AA23)</f>
        <v>-80996.076562500006</v>
      </c>
      <c r="AD23" s="387">
        <f>SUM(H23:O23)</f>
        <v>0</v>
      </c>
      <c r="AE23" s="387">
        <f>SUM(P23:AA23)</f>
        <v>-80996.076562500006</v>
      </c>
    </row>
    <row r="24" spans="1:31" s="354" customFormat="1" ht="15.75" customHeight="1" x14ac:dyDescent="0.15">
      <c r="A24" s="387" t="str">
        <f>A38</f>
        <v>PAYROLL</v>
      </c>
      <c r="B24" s="388" t="str">
        <f>Settings!$C$6</f>
        <v>CAD</v>
      </c>
      <c r="C24" s="387">
        <v>0</v>
      </c>
      <c r="D24" s="387">
        <v>0</v>
      </c>
      <c r="E24" s="387">
        <v>0</v>
      </c>
      <c r="F24" s="387">
        <v>0</v>
      </c>
      <c r="G24" s="387">
        <v>0</v>
      </c>
      <c r="H24" s="387">
        <f t="shared" ref="H24:T24" si="3">H47</f>
        <v>0</v>
      </c>
      <c r="I24" s="387">
        <f t="shared" si="3"/>
        <v>0</v>
      </c>
      <c r="J24" s="387">
        <f t="shared" si="3"/>
        <v>0</v>
      </c>
      <c r="K24" s="387">
        <f t="shared" si="3"/>
        <v>0</v>
      </c>
      <c r="L24" s="387">
        <f t="shared" si="3"/>
        <v>0</v>
      </c>
      <c r="M24" s="387">
        <f t="shared" si="3"/>
        <v>0</v>
      </c>
      <c r="N24" s="387">
        <f t="shared" si="3"/>
        <v>-5225</v>
      </c>
      <c r="O24" s="387">
        <f t="shared" si="3"/>
        <v>-5225</v>
      </c>
      <c r="P24" s="387">
        <f t="shared" si="3"/>
        <v>-5225</v>
      </c>
      <c r="Q24" s="387">
        <f t="shared" si="3"/>
        <v>-5225</v>
      </c>
      <c r="R24" s="387">
        <f t="shared" si="3"/>
        <v>-5225</v>
      </c>
      <c r="S24" s="387">
        <f t="shared" si="3"/>
        <v>-10924.999999999998</v>
      </c>
      <c r="T24" s="387">
        <f t="shared" si="3"/>
        <v>-10924.999999999998</v>
      </c>
      <c r="U24" s="387">
        <f t="shared" ref="U24:X24" si="4">U47</f>
        <v>-10924.999999999998</v>
      </c>
      <c r="V24" s="387">
        <f t="shared" si="4"/>
        <v>-10924.999999999998</v>
      </c>
      <c r="W24" s="387">
        <f t="shared" si="4"/>
        <v>-10924.999999999998</v>
      </c>
      <c r="X24" s="387">
        <f t="shared" si="4"/>
        <v>-10924.999999999998</v>
      </c>
      <c r="Y24" s="387">
        <f t="shared" ref="Y24:Z24" si="5">Y47</f>
        <v>-10924.999999999998</v>
      </c>
      <c r="Z24" s="613">
        <f t="shared" si="5"/>
        <v>-9975</v>
      </c>
      <c r="AA24" s="613">
        <f t="shared" ref="AA24" si="6">AA47</f>
        <v>-9975</v>
      </c>
      <c r="AC24" s="387">
        <f t="shared" ref="AC24:AC29" si="7">SUM(H24:AA24)</f>
        <v>-122550</v>
      </c>
      <c r="AD24" s="387">
        <f t="shared" ref="AD24:AD29" si="8">SUM(H24:O24)</f>
        <v>-10450</v>
      </c>
      <c r="AE24" s="387">
        <f t="shared" ref="AE24:AE29" si="9">SUM(P24:AA24)</f>
        <v>-112100</v>
      </c>
    </row>
    <row r="25" spans="1:31" s="354" customFormat="1" ht="15.75" customHeight="1" x14ac:dyDescent="0.15">
      <c r="A25" s="387" t="str">
        <f>A50</f>
        <v>MARKETING &amp; GROWTH</v>
      </c>
      <c r="B25" s="388" t="str">
        <f>Settings!$C$6</f>
        <v>CAD</v>
      </c>
      <c r="C25" s="387">
        <v>0</v>
      </c>
      <c r="D25" s="387">
        <v>0</v>
      </c>
      <c r="E25" s="387">
        <v>0</v>
      </c>
      <c r="F25" s="387">
        <v>0</v>
      </c>
      <c r="G25" s="387">
        <v>0</v>
      </c>
      <c r="H25" s="387">
        <f t="shared" ref="H25:T25" si="10">H68</f>
        <v>0</v>
      </c>
      <c r="I25" s="387">
        <f t="shared" si="10"/>
        <v>0</v>
      </c>
      <c r="J25" s="387">
        <f t="shared" si="10"/>
        <v>0</v>
      </c>
      <c r="K25" s="387">
        <f t="shared" si="10"/>
        <v>0</v>
      </c>
      <c r="L25" s="387">
        <f t="shared" si="10"/>
        <v>0</v>
      </c>
      <c r="M25" s="387">
        <f t="shared" si="10"/>
        <v>0</v>
      </c>
      <c r="N25" s="387">
        <f t="shared" si="10"/>
        <v>0</v>
      </c>
      <c r="O25" s="387">
        <f t="shared" si="10"/>
        <v>0</v>
      </c>
      <c r="P25" s="387">
        <f t="shared" si="10"/>
        <v>0</v>
      </c>
      <c r="Q25" s="387">
        <f t="shared" si="10"/>
        <v>0</v>
      </c>
      <c r="R25" s="387">
        <f t="shared" si="10"/>
        <v>0</v>
      </c>
      <c r="S25" s="387">
        <f t="shared" si="10"/>
        <v>0</v>
      </c>
      <c r="T25" s="387">
        <f t="shared" si="10"/>
        <v>-435</v>
      </c>
      <c r="U25" s="387">
        <f t="shared" ref="U25:X25" si="11">U68</f>
        <v>-764.43000000000006</v>
      </c>
      <c r="V25" s="387">
        <f t="shared" si="11"/>
        <v>-887.93</v>
      </c>
      <c r="W25" s="387">
        <f t="shared" si="11"/>
        <v>-1029.1500000000001</v>
      </c>
      <c r="X25" s="387">
        <f t="shared" si="11"/>
        <v>-2139.2600000000002</v>
      </c>
      <c r="Y25" s="387">
        <f t="shared" ref="Y25:Z25" si="12">Y68</f>
        <v>-3337.17</v>
      </c>
      <c r="Z25" s="613">
        <f t="shared" si="12"/>
        <v>-3717</v>
      </c>
      <c r="AA25" s="613">
        <f t="shared" ref="AA25" si="13">AA68</f>
        <v>-3717</v>
      </c>
      <c r="AC25" s="387">
        <f t="shared" si="7"/>
        <v>-16026.94</v>
      </c>
      <c r="AD25" s="387">
        <f t="shared" si="8"/>
        <v>0</v>
      </c>
      <c r="AE25" s="387">
        <f t="shared" si="9"/>
        <v>-16026.94</v>
      </c>
    </row>
    <row r="26" spans="1:31" s="354" customFormat="1" ht="15.75" customHeight="1" x14ac:dyDescent="0.15">
      <c r="A26" s="387" t="str">
        <f>A70</f>
        <v>ADVISORY &amp; PROF. SERVICES</v>
      </c>
      <c r="B26" s="388" t="str">
        <f>Settings!$C$6</f>
        <v>CAD</v>
      </c>
      <c r="C26" s="387">
        <v>0</v>
      </c>
      <c r="D26" s="387">
        <v>0</v>
      </c>
      <c r="E26" s="387">
        <v>0</v>
      </c>
      <c r="F26" s="387">
        <v>0</v>
      </c>
      <c r="G26" s="387">
        <v>0</v>
      </c>
      <c r="H26" s="387">
        <f t="shared" ref="H26:T26" si="14">H78</f>
        <v>-300</v>
      </c>
      <c r="I26" s="387">
        <f t="shared" si="14"/>
        <v>-300</v>
      </c>
      <c r="J26" s="387">
        <f t="shared" si="14"/>
        <v>-300</v>
      </c>
      <c r="K26" s="387">
        <f t="shared" si="14"/>
        <v>-300</v>
      </c>
      <c r="L26" s="387">
        <f t="shared" si="14"/>
        <v>-300</v>
      </c>
      <c r="M26" s="387">
        <f t="shared" si="14"/>
        <v>-300</v>
      </c>
      <c r="N26" s="387">
        <f t="shared" si="14"/>
        <v>-300</v>
      </c>
      <c r="O26" s="387">
        <f t="shared" si="14"/>
        <v>-300</v>
      </c>
      <c r="P26" s="387">
        <f t="shared" si="14"/>
        <v>-300</v>
      </c>
      <c r="Q26" s="387">
        <f t="shared" si="14"/>
        <v>-300</v>
      </c>
      <c r="R26" s="387">
        <f t="shared" si="14"/>
        <v>-300</v>
      </c>
      <c r="S26" s="387">
        <f t="shared" si="14"/>
        <v>-300</v>
      </c>
      <c r="T26" s="387">
        <f t="shared" si="14"/>
        <v>-300</v>
      </c>
      <c r="U26" s="387">
        <f t="shared" ref="U26:X26" si="15">U78</f>
        <v>-300</v>
      </c>
      <c r="V26" s="387">
        <f t="shared" si="15"/>
        <v>-300</v>
      </c>
      <c r="W26" s="387">
        <f t="shared" si="15"/>
        <v>-300</v>
      </c>
      <c r="X26" s="387">
        <f t="shared" si="15"/>
        <v>-300</v>
      </c>
      <c r="Y26" s="387">
        <f t="shared" ref="Y26:Z26" si="16">Y78</f>
        <v>-300</v>
      </c>
      <c r="Z26" s="613">
        <f t="shared" si="16"/>
        <v>-300</v>
      </c>
      <c r="AA26" s="613">
        <f t="shared" ref="AA26" si="17">AA78</f>
        <v>-300</v>
      </c>
      <c r="AC26" s="387">
        <f t="shared" si="7"/>
        <v>-6000</v>
      </c>
      <c r="AD26" s="387">
        <f t="shared" si="8"/>
        <v>-2400</v>
      </c>
      <c r="AE26" s="387">
        <f t="shared" si="9"/>
        <v>-3600</v>
      </c>
    </row>
    <row r="27" spans="1:31" s="354" customFormat="1" ht="15.75" customHeight="1" x14ac:dyDescent="0.15">
      <c r="A27" s="387" t="str">
        <f>A80</f>
        <v>RENT</v>
      </c>
      <c r="B27" s="388" t="str">
        <f>Settings!$C$6</f>
        <v>CAD</v>
      </c>
      <c r="C27" s="387">
        <v>0</v>
      </c>
      <c r="D27" s="387">
        <v>0</v>
      </c>
      <c r="E27" s="387">
        <v>0</v>
      </c>
      <c r="F27" s="387">
        <v>0</v>
      </c>
      <c r="G27" s="387">
        <v>0</v>
      </c>
      <c r="H27" s="387">
        <f t="shared" ref="H27:T27" si="18">H83</f>
        <v>0</v>
      </c>
      <c r="I27" s="387">
        <f t="shared" si="18"/>
        <v>0</v>
      </c>
      <c r="J27" s="387">
        <f t="shared" si="18"/>
        <v>0</v>
      </c>
      <c r="K27" s="387">
        <f t="shared" si="18"/>
        <v>0</v>
      </c>
      <c r="L27" s="387">
        <f t="shared" si="18"/>
        <v>0</v>
      </c>
      <c r="M27" s="387">
        <f t="shared" si="18"/>
        <v>0</v>
      </c>
      <c r="N27" s="387">
        <f t="shared" si="18"/>
        <v>0</v>
      </c>
      <c r="O27" s="387">
        <f t="shared" si="18"/>
        <v>0</v>
      </c>
      <c r="P27" s="387">
        <f t="shared" si="18"/>
        <v>0</v>
      </c>
      <c r="Q27" s="387">
        <f t="shared" si="18"/>
        <v>0</v>
      </c>
      <c r="R27" s="387">
        <f t="shared" si="18"/>
        <v>0</v>
      </c>
      <c r="S27" s="387">
        <f t="shared" si="18"/>
        <v>0</v>
      </c>
      <c r="T27" s="387">
        <f t="shared" si="18"/>
        <v>0</v>
      </c>
      <c r="U27" s="387">
        <f t="shared" ref="U27:X27" si="19">U83</f>
        <v>0</v>
      </c>
      <c r="V27" s="387">
        <f t="shared" si="19"/>
        <v>0</v>
      </c>
      <c r="W27" s="387">
        <f t="shared" si="19"/>
        <v>0</v>
      </c>
      <c r="X27" s="387">
        <f t="shared" si="19"/>
        <v>0</v>
      </c>
      <c r="Y27" s="387">
        <f t="shared" ref="Y27:Z27" si="20">Y83</f>
        <v>0</v>
      </c>
      <c r="Z27" s="613">
        <f t="shared" si="20"/>
        <v>0</v>
      </c>
      <c r="AA27" s="613">
        <v>0</v>
      </c>
      <c r="AC27" s="387">
        <f t="shared" si="7"/>
        <v>0</v>
      </c>
      <c r="AD27" s="387">
        <f t="shared" si="8"/>
        <v>0</v>
      </c>
      <c r="AE27" s="387">
        <f t="shared" si="9"/>
        <v>0</v>
      </c>
    </row>
    <row r="28" spans="1:31" s="354" customFormat="1" ht="15.75" customHeight="1" x14ac:dyDescent="0.15">
      <c r="A28" s="387" t="str">
        <f>A86</f>
        <v>SERVICE AGREEMENTS</v>
      </c>
      <c r="B28" s="388" t="str">
        <f>Settings!$C$6</f>
        <v>CAD</v>
      </c>
      <c r="C28" s="387">
        <v>0</v>
      </c>
      <c r="D28" s="387">
        <v>0</v>
      </c>
      <c r="E28" s="387">
        <v>0</v>
      </c>
      <c r="F28" s="387">
        <v>0</v>
      </c>
      <c r="G28" s="387">
        <v>0</v>
      </c>
      <c r="H28" s="387">
        <f t="shared" ref="H28:T28" si="21">H90</f>
        <v>0</v>
      </c>
      <c r="I28" s="387">
        <f t="shared" si="21"/>
        <v>0</v>
      </c>
      <c r="J28" s="387">
        <f t="shared" si="21"/>
        <v>0</v>
      </c>
      <c r="K28" s="387">
        <f t="shared" si="21"/>
        <v>0</v>
      </c>
      <c r="L28" s="387">
        <f t="shared" si="21"/>
        <v>0</v>
      </c>
      <c r="M28" s="387">
        <f t="shared" si="21"/>
        <v>0</v>
      </c>
      <c r="N28" s="387">
        <f t="shared" si="21"/>
        <v>0</v>
      </c>
      <c r="O28" s="387">
        <f t="shared" si="21"/>
        <v>0</v>
      </c>
      <c r="P28" s="387">
        <f t="shared" si="21"/>
        <v>0</v>
      </c>
      <c r="Q28" s="387">
        <f t="shared" si="21"/>
        <v>0</v>
      </c>
      <c r="R28" s="387">
        <f t="shared" si="21"/>
        <v>0</v>
      </c>
      <c r="S28" s="387">
        <f t="shared" si="21"/>
        <v>0</v>
      </c>
      <c r="T28" s="387">
        <f t="shared" si="21"/>
        <v>0</v>
      </c>
      <c r="U28" s="387">
        <f t="shared" ref="U28:X28" si="22">U90</f>
        <v>0</v>
      </c>
      <c r="V28" s="387">
        <f t="shared" si="22"/>
        <v>0</v>
      </c>
      <c r="W28" s="387">
        <f t="shared" si="22"/>
        <v>0</v>
      </c>
      <c r="X28" s="387">
        <f t="shared" si="22"/>
        <v>0</v>
      </c>
      <c r="Y28" s="387">
        <f t="shared" ref="Y28:Z28" si="23">Y90</f>
        <v>0</v>
      </c>
      <c r="Z28" s="613">
        <f t="shared" si="23"/>
        <v>0</v>
      </c>
      <c r="AA28" s="613">
        <v>0</v>
      </c>
      <c r="AC28" s="387">
        <f t="shared" si="7"/>
        <v>0</v>
      </c>
      <c r="AD28" s="387">
        <f t="shared" si="8"/>
        <v>0</v>
      </c>
      <c r="AE28" s="387">
        <f t="shared" si="9"/>
        <v>0</v>
      </c>
    </row>
    <row r="29" spans="1:31" s="354" customFormat="1" ht="15.75" customHeight="1" x14ac:dyDescent="0.15">
      <c r="A29" s="387" t="str">
        <f>A92</f>
        <v>OTHER EXPENSES</v>
      </c>
      <c r="B29" s="388" t="str">
        <f>Settings!$C$6</f>
        <v>CAD</v>
      </c>
      <c r="C29" s="387">
        <v>0</v>
      </c>
      <c r="D29" s="387">
        <v>0</v>
      </c>
      <c r="E29" s="387">
        <v>0</v>
      </c>
      <c r="F29" s="387">
        <v>0</v>
      </c>
      <c r="G29" s="387">
        <v>0</v>
      </c>
      <c r="H29" s="387">
        <f t="shared" ref="H29:T29" si="24">H103</f>
        <v>-439.88670000000002</v>
      </c>
      <c r="I29" s="387">
        <f t="shared" si="24"/>
        <v>-439.88670000000002</v>
      </c>
      <c r="J29" s="387">
        <f t="shared" si="24"/>
        <v>-439.88670000000002</v>
      </c>
      <c r="K29" s="387">
        <f t="shared" si="24"/>
        <v>-439.88670000000002</v>
      </c>
      <c r="L29" s="387">
        <f t="shared" si="24"/>
        <v>-439.88670000000002</v>
      </c>
      <c r="M29" s="387">
        <f t="shared" si="24"/>
        <v>-439.88670000000002</v>
      </c>
      <c r="N29" s="387">
        <f t="shared" si="24"/>
        <v>-439.88670000000002</v>
      </c>
      <c r="O29" s="387">
        <f t="shared" si="24"/>
        <v>-439.88670000000002</v>
      </c>
      <c r="P29" s="387">
        <f t="shared" si="24"/>
        <v>-439.88670000000002</v>
      </c>
      <c r="Q29" s="387">
        <f t="shared" si="24"/>
        <v>-439.88670000000002</v>
      </c>
      <c r="R29" s="387">
        <f t="shared" si="24"/>
        <v>-439.88670000000002</v>
      </c>
      <c r="S29" s="387">
        <f t="shared" si="24"/>
        <v>-439.88670000000002</v>
      </c>
      <c r="T29" s="387">
        <f t="shared" si="24"/>
        <v>-439.88670000000002</v>
      </c>
      <c r="U29" s="387">
        <f t="shared" ref="U29:X29" si="25">U103</f>
        <v>-439.88670000000002</v>
      </c>
      <c r="V29" s="387">
        <f t="shared" si="25"/>
        <v>-439.88670000000002</v>
      </c>
      <c r="W29" s="387">
        <f t="shared" si="25"/>
        <v>-439.88670000000002</v>
      </c>
      <c r="X29" s="387">
        <f t="shared" si="25"/>
        <v>-439.88670000000002</v>
      </c>
      <c r="Y29" s="387">
        <f t="shared" ref="Y29:Z29" si="26">Y103</f>
        <v>-439.88670000000002</v>
      </c>
      <c r="Z29" s="613">
        <f t="shared" si="26"/>
        <v>-439.88670000000002</v>
      </c>
      <c r="AA29" s="613">
        <f t="shared" ref="AA29" si="27">AA103</f>
        <v>-439.88670000000002</v>
      </c>
      <c r="AC29" s="387">
        <f t="shared" si="7"/>
        <v>-8797.7340000000004</v>
      </c>
      <c r="AD29" s="387">
        <f t="shared" si="8"/>
        <v>-3519.0936000000002</v>
      </c>
      <c r="AE29" s="387">
        <f t="shared" si="9"/>
        <v>-5278.6404000000002</v>
      </c>
    </row>
    <row r="30" spans="1:31" s="359" customFormat="1" ht="16" customHeight="1" x14ac:dyDescent="0.15">
      <c r="A30" s="364" t="s">
        <v>160</v>
      </c>
      <c r="B30" s="365" t="str">
        <f>Settings!$C$6</f>
        <v>CAD</v>
      </c>
      <c r="C30" s="366">
        <f t="shared" ref="C30:T30" si="28">SUM(C23:C29)</f>
        <v>0</v>
      </c>
      <c r="D30" s="367">
        <f t="shared" si="28"/>
        <v>0</v>
      </c>
      <c r="E30" s="367">
        <f t="shared" si="28"/>
        <v>0</v>
      </c>
      <c r="F30" s="367">
        <f t="shared" si="28"/>
        <v>0</v>
      </c>
      <c r="G30" s="367">
        <f t="shared" si="28"/>
        <v>0</v>
      </c>
      <c r="H30" s="367">
        <f t="shared" si="28"/>
        <v>-739.88670000000002</v>
      </c>
      <c r="I30" s="367">
        <f t="shared" si="28"/>
        <v>-739.88670000000002</v>
      </c>
      <c r="J30" s="367">
        <f t="shared" si="28"/>
        <v>-739.88670000000002</v>
      </c>
      <c r="K30" s="367">
        <f t="shared" si="28"/>
        <v>-739.88670000000002</v>
      </c>
      <c r="L30" s="367">
        <f t="shared" si="28"/>
        <v>-739.88670000000002</v>
      </c>
      <c r="M30" s="367">
        <f t="shared" si="28"/>
        <v>-739.88670000000002</v>
      </c>
      <c r="N30" s="367">
        <f t="shared" si="28"/>
        <v>-5964.8867</v>
      </c>
      <c r="O30" s="367">
        <f t="shared" si="28"/>
        <v>-5964.8867</v>
      </c>
      <c r="P30" s="367">
        <f t="shared" si="28"/>
        <v>-5964.8867</v>
      </c>
      <c r="Q30" s="367">
        <f t="shared" si="28"/>
        <v>-5964.8867</v>
      </c>
      <c r="R30" s="367">
        <f t="shared" si="28"/>
        <v>-5964.8867</v>
      </c>
      <c r="S30" s="367">
        <f t="shared" si="28"/>
        <v>-11664.886699999999</v>
      </c>
      <c r="T30" s="367">
        <f t="shared" si="28"/>
        <v>-12099.886699999999</v>
      </c>
      <c r="U30" s="367">
        <f t="shared" ref="U30:X30" si="29">SUM(U23:U29)</f>
        <v>-12429.316699999999</v>
      </c>
      <c r="V30" s="367">
        <f t="shared" si="29"/>
        <v>-12552.816699999999</v>
      </c>
      <c r="W30" s="367">
        <f t="shared" si="29"/>
        <v>-12694.036699999997</v>
      </c>
      <c r="X30" s="367">
        <f t="shared" si="29"/>
        <v>-13804.146699999998</v>
      </c>
      <c r="Y30" s="367">
        <f t="shared" ref="Y30:Z30" si="30">SUM(Y23:Y29)</f>
        <v>-15002.056699999997</v>
      </c>
      <c r="Z30" s="614">
        <f t="shared" si="30"/>
        <v>-54429.949200000003</v>
      </c>
      <c r="AA30" s="614">
        <f t="shared" ref="AA30" si="31">SUM(AA23:AA29)</f>
        <v>-55429.900762500001</v>
      </c>
      <c r="AC30" s="367">
        <f>SUM(AC23:AC29)</f>
        <v>-234370.7505625</v>
      </c>
      <c r="AD30" s="367">
        <f t="shared" ref="AD30:AE30" si="32">SUM(AD23:AD29)</f>
        <v>-16369.0936</v>
      </c>
      <c r="AE30" s="367">
        <f t="shared" si="32"/>
        <v>-218001.65696250001</v>
      </c>
    </row>
    <row r="31" spans="1:31" ht="22.5" customHeight="1" x14ac:dyDescent="0.15">
      <c r="A31" s="249"/>
      <c r="B31" s="283"/>
      <c r="C31" s="288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615"/>
      <c r="AA31" s="615"/>
      <c r="AC31" s="289"/>
      <c r="AD31" s="289"/>
      <c r="AE31" s="289"/>
    </row>
    <row r="32" spans="1:31" ht="22.5" customHeight="1" thickBot="1" x14ac:dyDescent="0.2">
      <c r="A32" s="279" t="s">
        <v>238</v>
      </c>
      <c r="B32" s="280"/>
      <c r="C32" s="281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609"/>
      <c r="AA32" s="609"/>
      <c r="AC32" s="282"/>
      <c r="AD32" s="282"/>
      <c r="AE32" s="282"/>
    </row>
    <row r="33" spans="1:31" ht="15.75" customHeight="1" x14ac:dyDescent="0.15">
      <c r="A33" s="357"/>
      <c r="B33" s="290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616"/>
      <c r="AA33" s="616"/>
      <c r="AC33" s="295"/>
      <c r="AD33" s="295"/>
      <c r="AE33" s="295"/>
    </row>
    <row r="34" spans="1:31" s="359" customFormat="1" ht="15.75" customHeight="1" x14ac:dyDescent="0.15">
      <c r="A34" s="370" t="s">
        <v>433</v>
      </c>
      <c r="B34" s="376" t="str">
        <f>Settings!$C$6</f>
        <v>CAD</v>
      </c>
      <c r="C34" s="370">
        <f>C17</f>
        <v>0</v>
      </c>
      <c r="D34" s="370">
        <f>D17</f>
        <v>0</v>
      </c>
      <c r="E34" s="370">
        <f>E17</f>
        <v>0</v>
      </c>
      <c r="F34" s="370">
        <f>F17</f>
        <v>0</v>
      </c>
      <c r="G34" s="370">
        <f>G17</f>
        <v>0</v>
      </c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617">
        <f t="shared" ref="Y34:AA34" si="33">-Z18</f>
        <v>-39998.0625</v>
      </c>
      <c r="AA34" s="617">
        <f t="shared" ref="AA34" si="34">-AA18</f>
        <v>-40998.014062499999</v>
      </c>
      <c r="AC34" s="655">
        <f t="shared" ref="AC34" si="35">SUM(H34:AA34)</f>
        <v>-80996.076562500006</v>
      </c>
      <c r="AD34" s="655">
        <f t="shared" ref="AD34" si="36">SUM(H34:O34)</f>
        <v>0</v>
      </c>
      <c r="AE34" s="655">
        <f t="shared" ref="AE34" si="37">SUM(P34:AA34)</f>
        <v>-80996.076562500006</v>
      </c>
    </row>
    <row r="35" spans="1:31" s="354" customFormat="1" ht="15.75" customHeight="1" x14ac:dyDescent="0.15">
      <c r="A35" s="370" t="s">
        <v>434</v>
      </c>
      <c r="B35" s="384" t="str">
        <f>Settings!$C$6</f>
        <v>CAD</v>
      </c>
      <c r="C35" s="383" t="e">
        <f>-Revenue!#REF!*'CSS Settings'!$I$28</f>
        <v>#REF!</v>
      </c>
      <c r="D35" s="383" t="e">
        <f>-Revenue!#REF!*'CSS Settings'!$I$28</f>
        <v>#REF!</v>
      </c>
      <c r="E35" s="383" t="e">
        <f>-Revenue!#REF!*'CSS Settings'!$I$28</f>
        <v>#REF!</v>
      </c>
      <c r="F35" s="383" t="e">
        <f>-Revenue!#REF!*'CSS Settings'!$I$28</f>
        <v>#REF!</v>
      </c>
      <c r="G35" s="383" t="e">
        <f>-Revenue!#REF!*'CSS Settings'!$I$28</f>
        <v>#REF!</v>
      </c>
      <c r="H35" s="383">
        <v>0</v>
      </c>
      <c r="I35" s="383">
        <v>0</v>
      </c>
      <c r="J35" s="383">
        <v>0</v>
      </c>
      <c r="K35" s="383">
        <v>0</v>
      </c>
      <c r="L35" s="383">
        <v>0</v>
      </c>
      <c r="M35" s="383">
        <v>0</v>
      </c>
      <c r="N35" s="383">
        <v>0</v>
      </c>
      <c r="O35" s="383">
        <v>0</v>
      </c>
      <c r="P35" s="383">
        <v>0</v>
      </c>
      <c r="Q35" s="383">
        <v>0</v>
      </c>
      <c r="R35" s="383">
        <v>0</v>
      </c>
      <c r="S35" s="383">
        <v>0</v>
      </c>
      <c r="T35" s="383">
        <v>0</v>
      </c>
      <c r="U35" s="383">
        <v>0</v>
      </c>
      <c r="V35" s="383">
        <v>0</v>
      </c>
      <c r="W35" s="383">
        <v>0</v>
      </c>
      <c r="X35" s="383">
        <v>0</v>
      </c>
      <c r="Y35" s="383">
        <v>0</v>
      </c>
      <c r="Z35" s="618">
        <v>0</v>
      </c>
      <c r="AA35" s="618">
        <v>0</v>
      </c>
      <c r="AC35" s="655">
        <f t="shared" ref="AC35:AC36" si="38">SUM(H35:AA35)</f>
        <v>0</v>
      </c>
      <c r="AD35" s="655">
        <f t="shared" ref="AD35:AD36" si="39">SUM(H35:O35)</f>
        <v>0</v>
      </c>
      <c r="AE35" s="655">
        <f t="shared" ref="AE35:AE36" si="40">SUM(P35:AA35)</f>
        <v>0</v>
      </c>
    </row>
    <row r="36" spans="1:31" s="354" customFormat="1" ht="15.75" customHeight="1" x14ac:dyDescent="0.15">
      <c r="A36" s="370" t="s">
        <v>87</v>
      </c>
      <c r="B36" s="384" t="str">
        <f>Settings!$C$6</f>
        <v>CAD</v>
      </c>
      <c r="C36" s="383"/>
      <c r="D36" s="383"/>
      <c r="E36" s="383"/>
      <c r="F36" s="383"/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  <c r="Z36" s="618"/>
      <c r="AA36" s="618"/>
      <c r="AC36" s="655">
        <f t="shared" si="38"/>
        <v>0</v>
      </c>
      <c r="AD36" s="655">
        <f t="shared" si="39"/>
        <v>0</v>
      </c>
      <c r="AE36" s="655">
        <f t="shared" si="40"/>
        <v>0</v>
      </c>
    </row>
    <row r="37" spans="1:31" s="359" customFormat="1" ht="16.5" customHeight="1" x14ac:dyDescent="0.15">
      <c r="A37" s="377" t="s">
        <v>240</v>
      </c>
      <c r="B37" s="378" t="str">
        <f>Settings!$C$6</f>
        <v>CAD</v>
      </c>
      <c r="C37" s="379" t="e">
        <f t="shared" ref="C37:T37" si="41">SUM(C34:C36)+C33</f>
        <v>#REF!</v>
      </c>
      <c r="D37" s="379" t="e">
        <f t="shared" si="41"/>
        <v>#REF!</v>
      </c>
      <c r="E37" s="379" t="e">
        <f t="shared" si="41"/>
        <v>#REF!</v>
      </c>
      <c r="F37" s="379" t="e">
        <f t="shared" si="41"/>
        <v>#REF!</v>
      </c>
      <c r="G37" s="379" t="e">
        <f t="shared" si="41"/>
        <v>#REF!</v>
      </c>
      <c r="H37" s="379">
        <f t="shared" si="41"/>
        <v>0</v>
      </c>
      <c r="I37" s="379">
        <f t="shared" si="41"/>
        <v>0</v>
      </c>
      <c r="J37" s="379">
        <f t="shared" si="41"/>
        <v>0</v>
      </c>
      <c r="K37" s="379">
        <f t="shared" si="41"/>
        <v>0</v>
      </c>
      <c r="L37" s="379">
        <f t="shared" si="41"/>
        <v>0</v>
      </c>
      <c r="M37" s="379">
        <f t="shared" si="41"/>
        <v>0</v>
      </c>
      <c r="N37" s="379">
        <f t="shared" si="41"/>
        <v>0</v>
      </c>
      <c r="O37" s="379">
        <f t="shared" si="41"/>
        <v>0</v>
      </c>
      <c r="P37" s="379">
        <f t="shared" si="41"/>
        <v>0</v>
      </c>
      <c r="Q37" s="379">
        <f t="shared" si="41"/>
        <v>0</v>
      </c>
      <c r="R37" s="379">
        <f t="shared" si="41"/>
        <v>0</v>
      </c>
      <c r="S37" s="379">
        <f t="shared" si="41"/>
        <v>0</v>
      </c>
      <c r="T37" s="379">
        <f t="shared" si="41"/>
        <v>0</v>
      </c>
      <c r="U37" s="379">
        <f t="shared" ref="U37:X37" si="42">SUM(U34:U36)+U33</f>
        <v>0</v>
      </c>
      <c r="V37" s="379">
        <f t="shared" si="42"/>
        <v>0</v>
      </c>
      <c r="W37" s="379">
        <f t="shared" si="42"/>
        <v>0</v>
      </c>
      <c r="X37" s="379">
        <f t="shared" si="42"/>
        <v>0</v>
      </c>
      <c r="Y37" s="379">
        <f t="shared" ref="Y37:Z37" si="43">SUM(Y34:Y36)+Y33</f>
        <v>0</v>
      </c>
      <c r="Z37" s="619">
        <f t="shared" si="43"/>
        <v>-39998.0625</v>
      </c>
      <c r="AA37" s="619">
        <f t="shared" ref="AA37" si="44">SUM(AA34:AA36)+AA33</f>
        <v>-40998.014062499999</v>
      </c>
      <c r="AC37" s="379">
        <f t="shared" ref="AC37:AE37" si="45">SUM(AC34:AC36)+AC33</f>
        <v>-80996.076562500006</v>
      </c>
      <c r="AD37" s="379">
        <f t="shared" si="45"/>
        <v>0</v>
      </c>
      <c r="AE37" s="379">
        <f t="shared" si="45"/>
        <v>-80996.076562500006</v>
      </c>
    </row>
    <row r="38" spans="1:31" ht="22.5" customHeight="1" thickBot="1" x14ac:dyDescent="0.2">
      <c r="A38" s="279" t="s">
        <v>241</v>
      </c>
      <c r="B38" s="280"/>
      <c r="C38" s="281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609"/>
      <c r="AA38" s="609"/>
      <c r="AC38" s="282"/>
      <c r="AD38" s="282"/>
      <c r="AE38" s="282"/>
    </row>
    <row r="39" spans="1:31" ht="15.75" customHeight="1" x14ac:dyDescent="0.15">
      <c r="A39" s="357" t="s">
        <v>242</v>
      </c>
      <c r="B39" s="290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616"/>
      <c r="AA39" s="616"/>
      <c r="AC39" s="295"/>
      <c r="AD39" s="295"/>
      <c r="AE39" s="295"/>
    </row>
    <row r="40" spans="1:31" s="359" customFormat="1" ht="15.75" customHeight="1" x14ac:dyDescent="0.15">
      <c r="A40" s="370" t="str">
        <f>'CSS Settings'!H5</f>
        <v>EIR (part time)</v>
      </c>
      <c r="B40" s="376" t="str">
        <f>Settings!$C$6</f>
        <v>CAD</v>
      </c>
      <c r="C40" s="370">
        <v>0</v>
      </c>
      <c r="D40" s="370">
        <v>0</v>
      </c>
      <c r="E40" s="370">
        <v>0</v>
      </c>
      <c r="F40" s="370">
        <v>0</v>
      </c>
      <c r="G40" s="370">
        <v>0</v>
      </c>
      <c r="H40" s="370">
        <v>0</v>
      </c>
      <c r="I40" s="370">
        <v>0</v>
      </c>
      <c r="J40" s="370">
        <v>0</v>
      </c>
      <c r="K40" s="370">
        <v>0</v>
      </c>
      <c r="L40" s="370">
        <v>0</v>
      </c>
      <c r="M40" s="370">
        <v>0</v>
      </c>
      <c r="N40" s="370">
        <f>'CSS Settings'!$I$5/12</f>
        <v>-4583.333333333333</v>
      </c>
      <c r="O40" s="370">
        <f>'CSS Settings'!$I$5/12</f>
        <v>-4583.333333333333</v>
      </c>
      <c r="P40" s="370">
        <f>'CSS Settings'!$I$5/12</f>
        <v>-4583.333333333333</v>
      </c>
      <c r="Q40" s="370">
        <f>'CSS Settings'!$I$5/12</f>
        <v>-4583.333333333333</v>
      </c>
      <c r="R40" s="370">
        <f>'CSS Settings'!$I$5/12</f>
        <v>-4583.333333333333</v>
      </c>
      <c r="S40" s="370">
        <f>'CSS Settings'!$I$5/12</f>
        <v>-4583.333333333333</v>
      </c>
      <c r="T40" s="370">
        <f>'CSS Settings'!$I$5/12</f>
        <v>-4583.333333333333</v>
      </c>
      <c r="U40" s="370">
        <f>'CSS Settings'!$I$5/12</f>
        <v>-4583.333333333333</v>
      </c>
      <c r="V40" s="370">
        <f>'CSS Settings'!$I$5/12</f>
        <v>-4583.333333333333</v>
      </c>
      <c r="W40" s="370">
        <f>'CSS Settings'!$I$5/12</f>
        <v>-4583.333333333333</v>
      </c>
      <c r="X40" s="370">
        <f>'CSS Settings'!$I$5/12</f>
        <v>-4583.333333333333</v>
      </c>
      <c r="Y40" s="370">
        <f>'CSS Settings'!$I$5/12</f>
        <v>-4583.333333333333</v>
      </c>
      <c r="Z40" s="617">
        <f>'CSS Settings'!$I$5/12</f>
        <v>-4583.333333333333</v>
      </c>
      <c r="AA40" s="617">
        <f>'CSS Settings'!$I$5/12</f>
        <v>-4583.333333333333</v>
      </c>
      <c r="AC40" s="370">
        <f>SUM(H40:AA40)</f>
        <v>-64166.666666666679</v>
      </c>
      <c r="AD40" s="370">
        <f>SUM(H40:O40)</f>
        <v>-9166.6666666666661</v>
      </c>
      <c r="AE40" s="370">
        <f>SUM(P40:AA40)</f>
        <v>-55000.000000000007</v>
      </c>
    </row>
    <row r="41" spans="1:31" s="354" customFormat="1" ht="15.75" customHeight="1" x14ac:dyDescent="0.15">
      <c r="A41" s="370" t="str">
        <f>'CSS Settings'!H6</f>
        <v>Growth Operations Manager</v>
      </c>
      <c r="B41" s="384" t="str">
        <f>Settings!$C$6</f>
        <v>CAD</v>
      </c>
      <c r="C41" s="383">
        <v>0</v>
      </c>
      <c r="D41" s="383">
        <v>0</v>
      </c>
      <c r="E41" s="383">
        <v>0</v>
      </c>
      <c r="F41" s="383">
        <v>0</v>
      </c>
      <c r="G41" s="383">
        <v>0</v>
      </c>
      <c r="H41" s="383">
        <v>0</v>
      </c>
      <c r="I41" s="383">
        <v>0</v>
      </c>
      <c r="J41" s="383">
        <v>0</v>
      </c>
      <c r="K41" s="383">
        <v>0</v>
      </c>
      <c r="L41" s="383">
        <v>0</v>
      </c>
      <c r="M41" s="383">
        <v>0</v>
      </c>
      <c r="N41" s="383">
        <v>0</v>
      </c>
      <c r="O41" s="383">
        <v>0</v>
      </c>
      <c r="P41" s="383">
        <v>0</v>
      </c>
      <c r="Q41" s="383">
        <v>0</v>
      </c>
      <c r="R41" s="383">
        <v>0</v>
      </c>
      <c r="S41" s="370">
        <f>'CSS Settings'!$I$6/12</f>
        <v>-5000</v>
      </c>
      <c r="T41" s="370">
        <f>'CSS Settings'!$I$6/12</f>
        <v>-5000</v>
      </c>
      <c r="U41" s="370">
        <f>'CSS Settings'!$I$6/12</f>
        <v>-5000</v>
      </c>
      <c r="V41" s="370">
        <f>'CSS Settings'!$I$6/12</f>
        <v>-5000</v>
      </c>
      <c r="W41" s="370">
        <f>'CSS Settings'!$I$6/12</f>
        <v>-5000</v>
      </c>
      <c r="X41" s="370">
        <f>'CSS Settings'!$I$6/12</f>
        <v>-5000</v>
      </c>
      <c r="Y41" s="370">
        <f>'CSS Settings'!$I$6/12</f>
        <v>-5000</v>
      </c>
      <c r="Z41" s="617">
        <v>0</v>
      </c>
      <c r="AA41" s="617">
        <v>0</v>
      </c>
      <c r="AC41" s="370">
        <f t="shared" ref="AC41:AC45" si="46">SUM(H41:AA41)</f>
        <v>-35000</v>
      </c>
      <c r="AD41" s="370">
        <f t="shared" ref="AD41:AD45" si="47">SUM(H41:O41)</f>
        <v>0</v>
      </c>
      <c r="AE41" s="370">
        <f t="shared" ref="AE41:AE45" si="48">SUM(P41:AA41)</f>
        <v>-35000</v>
      </c>
    </row>
    <row r="42" spans="1:31" s="354" customFormat="1" ht="15.75" customHeight="1" x14ac:dyDescent="0.15">
      <c r="A42" s="370" t="str">
        <f>'CSS Settings'!H7</f>
        <v>Business Analyst</v>
      </c>
      <c r="B42" s="384" t="str">
        <f>Settings!$C$6</f>
        <v>CAD</v>
      </c>
      <c r="C42" s="383">
        <v>0</v>
      </c>
      <c r="D42" s="383">
        <v>0</v>
      </c>
      <c r="E42" s="383">
        <v>0</v>
      </c>
      <c r="F42" s="383">
        <v>0</v>
      </c>
      <c r="G42" s="383">
        <v>0</v>
      </c>
      <c r="H42" s="383">
        <v>0</v>
      </c>
      <c r="I42" s="383">
        <v>0</v>
      </c>
      <c r="J42" s="383">
        <v>0</v>
      </c>
      <c r="K42" s="383">
        <v>0</v>
      </c>
      <c r="L42" s="383">
        <v>0</v>
      </c>
      <c r="M42" s="383">
        <v>0</v>
      </c>
      <c r="N42" s="383">
        <v>0</v>
      </c>
      <c r="O42" s="383">
        <v>0</v>
      </c>
      <c r="P42" s="383">
        <v>0</v>
      </c>
      <c r="Q42" s="383">
        <v>0</v>
      </c>
      <c r="R42" s="383">
        <v>0</v>
      </c>
      <c r="S42" s="383">
        <v>0</v>
      </c>
      <c r="T42" s="383">
        <v>0</v>
      </c>
      <c r="U42" s="383">
        <v>0</v>
      </c>
      <c r="V42" s="383">
        <v>0</v>
      </c>
      <c r="W42" s="383">
        <v>0</v>
      </c>
      <c r="X42" s="383">
        <v>0</v>
      </c>
      <c r="Y42" s="383">
        <v>0</v>
      </c>
      <c r="Z42" s="618">
        <v>0</v>
      </c>
      <c r="AA42" s="618">
        <v>0</v>
      </c>
      <c r="AC42" s="370">
        <f t="shared" si="46"/>
        <v>0</v>
      </c>
      <c r="AD42" s="370">
        <f t="shared" si="47"/>
        <v>0</v>
      </c>
      <c r="AE42" s="370">
        <f t="shared" si="48"/>
        <v>0</v>
      </c>
    </row>
    <row r="43" spans="1:31" s="354" customFormat="1" ht="15.75" customHeight="1" x14ac:dyDescent="0.15">
      <c r="A43" s="370" t="str">
        <f>'CSS Settings'!H8</f>
        <v>Collector</v>
      </c>
      <c r="B43" s="384" t="str">
        <f>Settings!$C$6</f>
        <v>CAD</v>
      </c>
      <c r="C43" s="383">
        <v>0</v>
      </c>
      <c r="D43" s="383">
        <v>0</v>
      </c>
      <c r="E43" s="383">
        <v>0</v>
      </c>
      <c r="F43" s="383">
        <v>0</v>
      </c>
      <c r="G43" s="383">
        <v>0</v>
      </c>
      <c r="H43" s="383">
        <v>0</v>
      </c>
      <c r="I43" s="383">
        <v>0</v>
      </c>
      <c r="J43" s="383">
        <v>0</v>
      </c>
      <c r="K43" s="383">
        <v>0</v>
      </c>
      <c r="L43" s="383">
        <v>0</v>
      </c>
      <c r="M43" s="383">
        <v>0</v>
      </c>
      <c r="N43" s="383">
        <v>0</v>
      </c>
      <c r="O43" s="383">
        <v>0</v>
      </c>
      <c r="P43" s="383">
        <v>0</v>
      </c>
      <c r="Q43" s="383">
        <v>0</v>
      </c>
      <c r="R43" s="383">
        <v>0</v>
      </c>
      <c r="S43" s="383">
        <v>0</v>
      </c>
      <c r="T43" s="383">
        <v>0</v>
      </c>
      <c r="U43" s="383">
        <v>0</v>
      </c>
      <c r="V43" s="383">
        <v>0</v>
      </c>
      <c r="W43" s="383">
        <v>0</v>
      </c>
      <c r="X43" s="383">
        <v>0</v>
      </c>
      <c r="Y43" s="383">
        <v>0</v>
      </c>
      <c r="Z43" s="617">
        <f>+'CSS Settings'!$I$8/12</f>
        <v>-4166.666666666667</v>
      </c>
      <c r="AA43" s="617">
        <f>+'CSS Settings'!$I$8/12</f>
        <v>-4166.666666666667</v>
      </c>
      <c r="AC43" s="370">
        <f t="shared" si="46"/>
        <v>-8333.3333333333339</v>
      </c>
      <c r="AD43" s="370">
        <f t="shared" si="47"/>
        <v>0</v>
      </c>
      <c r="AE43" s="370">
        <f t="shared" si="48"/>
        <v>-8333.3333333333339</v>
      </c>
    </row>
    <row r="44" spans="1:31" s="354" customFormat="1" ht="15.75" customHeight="1" x14ac:dyDescent="0.15">
      <c r="A44" s="383"/>
      <c r="B44" s="384"/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618"/>
      <c r="AA44" s="618"/>
      <c r="AC44" s="370">
        <f t="shared" si="46"/>
        <v>0</v>
      </c>
      <c r="AD44" s="370">
        <f t="shared" si="47"/>
        <v>0</v>
      </c>
      <c r="AE44" s="370">
        <f t="shared" si="48"/>
        <v>0</v>
      </c>
    </row>
    <row r="45" spans="1:31" s="354" customFormat="1" ht="15.75" customHeight="1" x14ac:dyDescent="0.15">
      <c r="A45" s="385" t="s">
        <v>50</v>
      </c>
      <c r="B45" s="384" t="str">
        <f>Settings!$C$6</f>
        <v>CAD</v>
      </c>
      <c r="C45" s="383">
        <f>SUM(C40:C44)*'CSS Settings'!$I$10</f>
        <v>0</v>
      </c>
      <c r="D45" s="383">
        <f>SUM(D40:D44)*'CSS Settings'!$I$10</f>
        <v>0</v>
      </c>
      <c r="E45" s="383">
        <f>SUM(E40:E44)*'CSS Settings'!$I$10</f>
        <v>0</v>
      </c>
      <c r="F45" s="383">
        <f>SUM(F40:F44)*'CSS Settings'!$I$10</f>
        <v>0</v>
      </c>
      <c r="G45" s="383">
        <f>SUM(G40:G44)*'CSS Settings'!$I$10</f>
        <v>0</v>
      </c>
      <c r="H45" s="383">
        <f>SUM(H40:H44)*'CSS Settings'!$I$10</f>
        <v>0</v>
      </c>
      <c r="I45" s="383">
        <f>SUM(I40:I44)*'CSS Settings'!$I$10</f>
        <v>0</v>
      </c>
      <c r="J45" s="383">
        <f>SUM(J40:J44)*'CSS Settings'!$I$10</f>
        <v>0</v>
      </c>
      <c r="K45" s="383">
        <f>SUM(K40:K44)*'CSS Settings'!$I$10</f>
        <v>0</v>
      </c>
      <c r="L45" s="383">
        <f>SUM(L40:L44)*'CSS Settings'!$I$10</f>
        <v>0</v>
      </c>
      <c r="M45" s="383">
        <f>SUM(M40:M44)*'CSS Settings'!$I$10</f>
        <v>0</v>
      </c>
      <c r="N45" s="383">
        <f>SUM(N40:N44)*'CSS Settings'!$I$10</f>
        <v>-641.66666666666663</v>
      </c>
      <c r="O45" s="383">
        <f>SUM(O40:O44)*'CSS Settings'!$I$10</f>
        <v>-641.66666666666663</v>
      </c>
      <c r="P45" s="383">
        <f>SUM(P40:P44)*'CSS Settings'!$I$10</f>
        <v>-641.66666666666663</v>
      </c>
      <c r="Q45" s="383">
        <f>SUM(Q40:Q44)*'CSS Settings'!$I$10</f>
        <v>-641.66666666666663</v>
      </c>
      <c r="R45" s="383">
        <f>SUM(R40:R44)*'CSS Settings'!$I$10</f>
        <v>-641.66666666666663</v>
      </c>
      <c r="S45" s="383">
        <f>SUM(S40:S44)*'CSS Settings'!$I$10</f>
        <v>-1341.6666666666665</v>
      </c>
      <c r="T45" s="383">
        <f>SUM(T40:T44)*'CSS Settings'!$I$10</f>
        <v>-1341.6666666666665</v>
      </c>
      <c r="U45" s="383">
        <f>SUM(U40:U44)*'CSS Settings'!$I$10</f>
        <v>-1341.6666666666665</v>
      </c>
      <c r="V45" s="383">
        <f>SUM(V40:V44)*'CSS Settings'!$I$10</f>
        <v>-1341.6666666666665</v>
      </c>
      <c r="W45" s="383">
        <f>SUM(W40:W44)*'CSS Settings'!$I$10</f>
        <v>-1341.6666666666665</v>
      </c>
      <c r="X45" s="383">
        <f>SUM(X40:X44)*'CSS Settings'!$I$10</f>
        <v>-1341.6666666666665</v>
      </c>
      <c r="Y45" s="383">
        <f>SUM(Y40:Y44)*'CSS Settings'!$I$10</f>
        <v>-1341.6666666666665</v>
      </c>
      <c r="Z45" s="618">
        <f>SUM(Z40:Z44)*'CSS Settings'!$I$10</f>
        <v>-1225.0000000000002</v>
      </c>
      <c r="AA45" s="618">
        <f>SUM(AA40:AA44)*'CSS Settings'!$I$10</f>
        <v>-1225.0000000000002</v>
      </c>
      <c r="AC45" s="370">
        <f t="shared" si="46"/>
        <v>-15049.999999999996</v>
      </c>
      <c r="AD45" s="370">
        <f t="shared" si="47"/>
        <v>-1283.3333333333333</v>
      </c>
      <c r="AE45" s="370">
        <f t="shared" si="48"/>
        <v>-13766.666666666664</v>
      </c>
    </row>
    <row r="46" spans="1:31" s="354" customFormat="1" ht="15.75" customHeight="1" x14ac:dyDescent="0.15">
      <c r="A46" s="385" t="s">
        <v>425</v>
      </c>
      <c r="B46" s="384" t="str">
        <f>Settings!$C$6</f>
        <v>CAD</v>
      </c>
      <c r="C46" s="386">
        <v>0</v>
      </c>
      <c r="D46" s="386">
        <v>0</v>
      </c>
      <c r="E46" s="386">
        <v>0</v>
      </c>
      <c r="F46" s="386">
        <v>0</v>
      </c>
      <c r="G46" s="386">
        <v>0</v>
      </c>
      <c r="H46" s="386">
        <v>0</v>
      </c>
      <c r="I46" s="386">
        <v>0</v>
      </c>
      <c r="J46" s="386">
        <v>0</v>
      </c>
      <c r="K46" s="386">
        <v>0</v>
      </c>
      <c r="L46" s="386">
        <v>0</v>
      </c>
      <c r="M46" s="386">
        <v>0</v>
      </c>
      <c r="N46" s="386">
        <f>-'CSS Settings'!$I$11*4</f>
        <v>0</v>
      </c>
      <c r="O46" s="386">
        <f>-'CSS Settings'!$I$11*4</f>
        <v>0</v>
      </c>
      <c r="P46" s="386">
        <f>-'CSS Settings'!$I$11*4</f>
        <v>0</v>
      </c>
      <c r="Q46" s="386">
        <f>-'CSS Settings'!$I$11*4</f>
        <v>0</v>
      </c>
      <c r="R46" s="386">
        <f>-'CSS Settings'!$I$11*4</f>
        <v>0</v>
      </c>
      <c r="S46" s="386">
        <f>-'CSS Settings'!$I$11*4</f>
        <v>0</v>
      </c>
      <c r="T46" s="386">
        <f>-'CSS Settings'!$I$11*4</f>
        <v>0</v>
      </c>
      <c r="U46" s="386">
        <f>-'CSS Settings'!$I$11*4</f>
        <v>0</v>
      </c>
      <c r="V46" s="386">
        <f>-'CSS Settings'!$I$11*4</f>
        <v>0</v>
      </c>
      <c r="W46" s="386">
        <f>-'CSS Settings'!$I$11*4</f>
        <v>0</v>
      </c>
      <c r="X46" s="386">
        <f>-'CSS Settings'!$I$11*4</f>
        <v>0</v>
      </c>
      <c r="Y46" s="386">
        <f>-'CSS Settings'!$I$11*4</f>
        <v>0</v>
      </c>
      <c r="Z46" s="620">
        <f>-'CSS Settings'!$I$11*4</f>
        <v>0</v>
      </c>
      <c r="AA46" s="620">
        <f>-'CSS Settings'!$I$11*4</f>
        <v>0</v>
      </c>
      <c r="AC46" s="370">
        <f>SUM(H46:AA46)</f>
        <v>0</v>
      </c>
      <c r="AD46" s="370">
        <f>SUM(H46:O46)</f>
        <v>0</v>
      </c>
      <c r="AE46" s="370">
        <f>SUM(P46:AA46)</f>
        <v>0</v>
      </c>
    </row>
    <row r="47" spans="1:31" s="359" customFormat="1" ht="16.5" customHeight="1" x14ac:dyDescent="0.15">
      <c r="A47" s="377" t="s">
        <v>243</v>
      </c>
      <c r="B47" s="378" t="str">
        <f>Settings!$C$6</f>
        <v>CAD</v>
      </c>
      <c r="C47" s="379">
        <f t="shared" ref="C47:T47" si="49">SUM(C40:C46)+C39</f>
        <v>0</v>
      </c>
      <c r="D47" s="379">
        <f t="shared" si="49"/>
        <v>0</v>
      </c>
      <c r="E47" s="379">
        <f t="shared" si="49"/>
        <v>0</v>
      </c>
      <c r="F47" s="379">
        <f t="shared" si="49"/>
        <v>0</v>
      </c>
      <c r="G47" s="379">
        <f t="shared" si="49"/>
        <v>0</v>
      </c>
      <c r="H47" s="379">
        <f t="shared" si="49"/>
        <v>0</v>
      </c>
      <c r="I47" s="379">
        <f t="shared" si="49"/>
        <v>0</v>
      </c>
      <c r="J47" s="379">
        <f t="shared" si="49"/>
        <v>0</v>
      </c>
      <c r="K47" s="379">
        <f t="shared" si="49"/>
        <v>0</v>
      </c>
      <c r="L47" s="379">
        <f t="shared" si="49"/>
        <v>0</v>
      </c>
      <c r="M47" s="379">
        <f t="shared" si="49"/>
        <v>0</v>
      </c>
      <c r="N47" s="379">
        <f t="shared" si="49"/>
        <v>-5225</v>
      </c>
      <c r="O47" s="379">
        <f t="shared" si="49"/>
        <v>-5225</v>
      </c>
      <c r="P47" s="379">
        <f t="shared" si="49"/>
        <v>-5225</v>
      </c>
      <c r="Q47" s="379">
        <f t="shared" si="49"/>
        <v>-5225</v>
      </c>
      <c r="R47" s="379">
        <f t="shared" si="49"/>
        <v>-5225</v>
      </c>
      <c r="S47" s="379">
        <f t="shared" si="49"/>
        <v>-10924.999999999998</v>
      </c>
      <c r="T47" s="379">
        <f t="shared" si="49"/>
        <v>-10924.999999999998</v>
      </c>
      <c r="U47" s="379">
        <f t="shared" ref="U47:X47" si="50">SUM(U40:U46)+U39</f>
        <v>-10924.999999999998</v>
      </c>
      <c r="V47" s="379">
        <f t="shared" si="50"/>
        <v>-10924.999999999998</v>
      </c>
      <c r="W47" s="379">
        <f t="shared" si="50"/>
        <v>-10924.999999999998</v>
      </c>
      <c r="X47" s="379">
        <f t="shared" si="50"/>
        <v>-10924.999999999998</v>
      </c>
      <c r="Y47" s="379">
        <f t="shared" ref="Y47:Z47" si="51">SUM(Y40:Y46)+Y39</f>
        <v>-10924.999999999998</v>
      </c>
      <c r="Z47" s="619">
        <f t="shared" si="51"/>
        <v>-9975</v>
      </c>
      <c r="AA47" s="619">
        <f t="shared" ref="AA47" si="52">SUM(AA40:AA46)+AA39</f>
        <v>-9975</v>
      </c>
      <c r="AC47" s="379">
        <f t="shared" ref="AC47:AE47" si="53">SUM(AC40:AC46)+AC39</f>
        <v>-122550.00000000001</v>
      </c>
      <c r="AD47" s="379">
        <f t="shared" si="53"/>
        <v>-10450</v>
      </c>
      <c r="AE47" s="379">
        <f t="shared" si="53"/>
        <v>-112100</v>
      </c>
    </row>
    <row r="48" spans="1:31" ht="16.5" customHeight="1" x14ac:dyDescent="0.15">
      <c r="A48" s="296"/>
      <c r="B48" s="297"/>
      <c r="C48" s="28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621"/>
      <c r="AA48" s="621"/>
      <c r="AC48" s="298"/>
      <c r="AD48" s="298"/>
      <c r="AE48" s="298"/>
    </row>
    <row r="49" spans="1:31" ht="15.75" customHeight="1" x14ac:dyDescent="0.15">
      <c r="A49" s="249"/>
      <c r="B49" s="283"/>
      <c r="C49" s="299"/>
      <c r="D49" s="262"/>
      <c r="E49" s="262"/>
      <c r="F49" s="285"/>
      <c r="G49" s="285"/>
      <c r="H49" s="285"/>
      <c r="I49" s="285"/>
      <c r="J49" s="285"/>
      <c r="K49" s="285"/>
      <c r="L49" s="303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622"/>
      <c r="AA49" s="622"/>
      <c r="AC49" s="285"/>
      <c r="AD49" s="285"/>
      <c r="AE49" s="285"/>
    </row>
    <row r="50" spans="1:31" ht="22.5" customHeight="1" thickBot="1" x14ac:dyDescent="0.2">
      <c r="A50" s="279" t="s">
        <v>244</v>
      </c>
      <c r="B50" s="280"/>
      <c r="C50" s="281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609"/>
      <c r="AA50" s="609"/>
      <c r="AC50" s="282"/>
      <c r="AD50" s="282"/>
      <c r="AE50" s="282"/>
    </row>
    <row r="51" spans="1:31" ht="4.5" customHeight="1" x14ac:dyDescent="0.15">
      <c r="A51" s="249"/>
      <c r="B51" s="283"/>
      <c r="C51" s="265"/>
      <c r="D51" s="249"/>
      <c r="E51" s="249"/>
      <c r="F51" s="249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605"/>
      <c r="AA51" s="605"/>
      <c r="AC51" s="249"/>
      <c r="AD51" s="249"/>
      <c r="AE51" s="249"/>
    </row>
    <row r="52" spans="1:31" ht="15.75" customHeight="1" x14ac:dyDescent="0.15">
      <c r="A52" s="308" t="s">
        <v>245</v>
      </c>
      <c r="B52" s="305"/>
      <c r="C52" s="306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623"/>
      <c r="AA52" s="623"/>
      <c r="AC52" s="307"/>
      <c r="AD52" s="307"/>
      <c r="AE52" s="307"/>
    </row>
    <row r="53" spans="1:31" s="495" customFormat="1" ht="15.75" customHeight="1" x14ac:dyDescent="0.15">
      <c r="A53" s="354" t="s">
        <v>246</v>
      </c>
      <c r="B53" s="369" t="str">
        <f>Settings!$C$6</f>
        <v>CAD</v>
      </c>
      <c r="C53" s="490">
        <v>0</v>
      </c>
      <c r="D53" s="380">
        <f t="shared" ref="D53:T53" si="54">C53</f>
        <v>0</v>
      </c>
      <c r="E53" s="380">
        <f t="shared" si="54"/>
        <v>0</v>
      </c>
      <c r="F53" s="380">
        <f t="shared" si="54"/>
        <v>0</v>
      </c>
      <c r="G53" s="380">
        <f t="shared" si="54"/>
        <v>0</v>
      </c>
      <c r="H53" s="380">
        <f t="shared" si="54"/>
        <v>0</v>
      </c>
      <c r="I53" s="380">
        <f t="shared" si="54"/>
        <v>0</v>
      </c>
      <c r="J53" s="380">
        <f t="shared" si="54"/>
        <v>0</v>
      </c>
      <c r="K53" s="380">
        <f t="shared" si="54"/>
        <v>0</v>
      </c>
      <c r="L53" s="380">
        <f t="shared" si="54"/>
        <v>0</v>
      </c>
      <c r="M53" s="380">
        <f t="shared" si="54"/>
        <v>0</v>
      </c>
      <c r="N53" s="380">
        <f t="shared" si="54"/>
        <v>0</v>
      </c>
      <c r="O53" s="380">
        <f t="shared" si="54"/>
        <v>0</v>
      </c>
      <c r="P53" s="380">
        <f t="shared" si="54"/>
        <v>0</v>
      </c>
      <c r="Q53" s="380">
        <f t="shared" si="54"/>
        <v>0</v>
      </c>
      <c r="R53" s="380">
        <f t="shared" si="54"/>
        <v>0</v>
      </c>
      <c r="S53" s="380">
        <f t="shared" si="54"/>
        <v>0</v>
      </c>
      <c r="T53" s="380">
        <f t="shared" si="54"/>
        <v>0</v>
      </c>
      <c r="U53" s="380">
        <f t="shared" ref="U53:U57" si="55">T53</f>
        <v>0</v>
      </c>
      <c r="V53" s="380">
        <f t="shared" ref="V53:V57" si="56">U53</f>
        <v>0</v>
      </c>
      <c r="W53" s="380">
        <f t="shared" ref="W53:W57" si="57">V53</f>
        <v>0</v>
      </c>
      <c r="X53" s="380">
        <f t="shared" ref="X53:X57" si="58">W53</f>
        <v>0</v>
      </c>
      <c r="Y53" s="380">
        <f t="shared" ref="Y53:Y57" si="59">X53</f>
        <v>0</v>
      </c>
      <c r="Z53" s="624">
        <f t="shared" ref="Z53:AA57" si="60">Y53</f>
        <v>0</v>
      </c>
      <c r="AA53" s="624">
        <f t="shared" si="60"/>
        <v>0</v>
      </c>
      <c r="AC53" s="370">
        <f>SUM(H53:AA53)</f>
        <v>0</v>
      </c>
      <c r="AD53" s="370">
        <f>SUM(H53:O53)</f>
        <v>0</v>
      </c>
      <c r="AE53" s="370">
        <f>SUM(P53:AA53)</f>
        <v>0</v>
      </c>
    </row>
    <row r="54" spans="1:31" s="495" customFormat="1" ht="15.75" customHeight="1" x14ac:dyDescent="0.15">
      <c r="A54" s="354" t="s">
        <v>247</v>
      </c>
      <c r="B54" s="369" t="str">
        <f>Settings!$C$6</f>
        <v>CAD</v>
      </c>
      <c r="C54" s="490">
        <v>0</v>
      </c>
      <c r="D54" s="380">
        <f t="shared" ref="D54:T54" si="61">C54</f>
        <v>0</v>
      </c>
      <c r="E54" s="380">
        <f t="shared" si="61"/>
        <v>0</v>
      </c>
      <c r="F54" s="380">
        <f t="shared" si="61"/>
        <v>0</v>
      </c>
      <c r="G54" s="380">
        <f t="shared" si="61"/>
        <v>0</v>
      </c>
      <c r="H54" s="380">
        <f t="shared" si="61"/>
        <v>0</v>
      </c>
      <c r="I54" s="380">
        <f t="shared" si="61"/>
        <v>0</v>
      </c>
      <c r="J54" s="380">
        <f t="shared" si="61"/>
        <v>0</v>
      </c>
      <c r="K54" s="380">
        <f t="shared" si="61"/>
        <v>0</v>
      </c>
      <c r="L54" s="380">
        <f t="shared" si="61"/>
        <v>0</v>
      </c>
      <c r="M54" s="380">
        <f t="shared" si="61"/>
        <v>0</v>
      </c>
      <c r="N54" s="380">
        <f t="shared" si="61"/>
        <v>0</v>
      </c>
      <c r="O54" s="380">
        <f t="shared" si="61"/>
        <v>0</v>
      </c>
      <c r="P54" s="380">
        <f t="shared" si="61"/>
        <v>0</v>
      </c>
      <c r="Q54" s="380">
        <f t="shared" si="61"/>
        <v>0</v>
      </c>
      <c r="R54" s="380">
        <f t="shared" si="61"/>
        <v>0</v>
      </c>
      <c r="S54" s="380">
        <f t="shared" si="61"/>
        <v>0</v>
      </c>
      <c r="T54" s="380">
        <f t="shared" si="61"/>
        <v>0</v>
      </c>
      <c r="U54" s="380">
        <f t="shared" si="55"/>
        <v>0</v>
      </c>
      <c r="V54" s="380">
        <f t="shared" si="56"/>
        <v>0</v>
      </c>
      <c r="W54" s="380">
        <f t="shared" si="57"/>
        <v>0</v>
      </c>
      <c r="X54" s="380">
        <f t="shared" si="58"/>
        <v>0</v>
      </c>
      <c r="Y54" s="380">
        <f t="shared" si="59"/>
        <v>0</v>
      </c>
      <c r="Z54" s="624">
        <f t="shared" si="60"/>
        <v>0</v>
      </c>
      <c r="AA54" s="624">
        <f t="shared" si="60"/>
        <v>0</v>
      </c>
      <c r="AC54" s="370">
        <f t="shared" ref="AC54:AC57" si="62">SUM(H54:AA54)</f>
        <v>0</v>
      </c>
      <c r="AD54" s="370">
        <f t="shared" ref="AD54:AD57" si="63">SUM(H54:O54)</f>
        <v>0</v>
      </c>
      <c r="AE54" s="370">
        <f t="shared" ref="AE54:AE57" si="64">SUM(P54:AA54)</f>
        <v>0</v>
      </c>
    </row>
    <row r="55" spans="1:31" s="495" customFormat="1" ht="15.75" customHeight="1" x14ac:dyDescent="0.15">
      <c r="A55" s="493" t="s">
        <v>248</v>
      </c>
      <c r="B55" s="496" t="str">
        <f>Settings!$C$6</f>
        <v>CAD</v>
      </c>
      <c r="C55" s="492">
        <v>0</v>
      </c>
      <c r="D55" s="493">
        <f t="shared" ref="D55:T55" si="65">C55</f>
        <v>0</v>
      </c>
      <c r="E55" s="493">
        <f t="shared" si="65"/>
        <v>0</v>
      </c>
      <c r="F55" s="493">
        <f t="shared" si="65"/>
        <v>0</v>
      </c>
      <c r="G55" s="493">
        <f t="shared" si="65"/>
        <v>0</v>
      </c>
      <c r="H55" s="493">
        <f t="shared" si="65"/>
        <v>0</v>
      </c>
      <c r="I55" s="493">
        <f t="shared" si="65"/>
        <v>0</v>
      </c>
      <c r="J55" s="493">
        <f t="shared" si="65"/>
        <v>0</v>
      </c>
      <c r="K55" s="493">
        <f t="shared" si="65"/>
        <v>0</v>
      </c>
      <c r="L55" s="493">
        <f t="shared" si="65"/>
        <v>0</v>
      </c>
      <c r="M55" s="493">
        <f t="shared" si="65"/>
        <v>0</v>
      </c>
      <c r="N55" s="493">
        <f t="shared" si="65"/>
        <v>0</v>
      </c>
      <c r="O55" s="493">
        <f t="shared" si="65"/>
        <v>0</v>
      </c>
      <c r="P55" s="493">
        <f t="shared" si="65"/>
        <v>0</v>
      </c>
      <c r="Q55" s="493">
        <f t="shared" si="65"/>
        <v>0</v>
      </c>
      <c r="R55" s="493">
        <f t="shared" si="65"/>
        <v>0</v>
      </c>
      <c r="S55" s="493">
        <f t="shared" si="65"/>
        <v>0</v>
      </c>
      <c r="T55" s="493">
        <f t="shared" si="65"/>
        <v>0</v>
      </c>
      <c r="U55" s="493">
        <f t="shared" si="55"/>
        <v>0</v>
      </c>
      <c r="V55" s="493">
        <f t="shared" si="56"/>
        <v>0</v>
      </c>
      <c r="W55" s="493">
        <f t="shared" si="57"/>
        <v>0</v>
      </c>
      <c r="X55" s="493">
        <f t="shared" si="58"/>
        <v>0</v>
      </c>
      <c r="Y55" s="493">
        <f t="shared" si="59"/>
        <v>0</v>
      </c>
      <c r="Z55" s="625">
        <f t="shared" si="60"/>
        <v>0</v>
      </c>
      <c r="AA55" s="625">
        <f t="shared" si="60"/>
        <v>0</v>
      </c>
      <c r="AC55" s="370">
        <f t="shared" si="62"/>
        <v>0</v>
      </c>
      <c r="AD55" s="370">
        <f t="shared" si="63"/>
        <v>0</v>
      </c>
      <c r="AE55" s="370">
        <f t="shared" si="64"/>
        <v>0</v>
      </c>
    </row>
    <row r="56" spans="1:31" s="495" customFormat="1" ht="15.75" customHeight="1" x14ac:dyDescent="0.15">
      <c r="A56" s="493" t="s">
        <v>248</v>
      </c>
      <c r="B56" s="496" t="str">
        <f>Settings!$C$6</f>
        <v>CAD</v>
      </c>
      <c r="C56" s="492">
        <v>0</v>
      </c>
      <c r="D56" s="493">
        <f t="shared" ref="D56:T56" si="66">C56</f>
        <v>0</v>
      </c>
      <c r="E56" s="493">
        <f t="shared" si="66"/>
        <v>0</v>
      </c>
      <c r="F56" s="493">
        <f t="shared" si="66"/>
        <v>0</v>
      </c>
      <c r="G56" s="493">
        <f t="shared" si="66"/>
        <v>0</v>
      </c>
      <c r="H56" s="493">
        <f t="shared" si="66"/>
        <v>0</v>
      </c>
      <c r="I56" s="493">
        <f t="shared" si="66"/>
        <v>0</v>
      </c>
      <c r="J56" s="493">
        <f t="shared" si="66"/>
        <v>0</v>
      </c>
      <c r="K56" s="493">
        <f t="shared" si="66"/>
        <v>0</v>
      </c>
      <c r="L56" s="493">
        <f t="shared" si="66"/>
        <v>0</v>
      </c>
      <c r="M56" s="493">
        <f t="shared" si="66"/>
        <v>0</v>
      </c>
      <c r="N56" s="493">
        <f t="shared" si="66"/>
        <v>0</v>
      </c>
      <c r="O56" s="493">
        <f t="shared" si="66"/>
        <v>0</v>
      </c>
      <c r="P56" s="493">
        <f t="shared" si="66"/>
        <v>0</v>
      </c>
      <c r="Q56" s="493">
        <f t="shared" si="66"/>
        <v>0</v>
      </c>
      <c r="R56" s="493">
        <f t="shared" si="66"/>
        <v>0</v>
      </c>
      <c r="S56" s="493">
        <f t="shared" si="66"/>
        <v>0</v>
      </c>
      <c r="T56" s="493">
        <f t="shared" si="66"/>
        <v>0</v>
      </c>
      <c r="U56" s="493">
        <f t="shared" si="55"/>
        <v>0</v>
      </c>
      <c r="V56" s="493">
        <f t="shared" si="56"/>
        <v>0</v>
      </c>
      <c r="W56" s="493">
        <f t="shared" si="57"/>
        <v>0</v>
      </c>
      <c r="X56" s="493">
        <f t="shared" si="58"/>
        <v>0</v>
      </c>
      <c r="Y56" s="493">
        <f t="shared" si="59"/>
        <v>0</v>
      </c>
      <c r="Z56" s="625">
        <f t="shared" si="60"/>
        <v>0</v>
      </c>
      <c r="AA56" s="625">
        <f t="shared" si="60"/>
        <v>0</v>
      </c>
      <c r="AC56" s="370">
        <f t="shared" si="62"/>
        <v>0</v>
      </c>
      <c r="AD56" s="370">
        <f t="shared" si="63"/>
        <v>0</v>
      </c>
      <c r="AE56" s="370">
        <f t="shared" si="64"/>
        <v>0</v>
      </c>
    </row>
    <row r="57" spans="1:31" s="495" customFormat="1" ht="15.75" customHeight="1" x14ac:dyDescent="0.15">
      <c r="A57" s="493" t="s">
        <v>249</v>
      </c>
      <c r="B57" s="496" t="str">
        <f>Settings!$C$6</f>
        <v>CAD</v>
      </c>
      <c r="C57" s="492">
        <v>0</v>
      </c>
      <c r="D57" s="493">
        <f t="shared" ref="D57:T57" si="67">C57</f>
        <v>0</v>
      </c>
      <c r="E57" s="493">
        <f t="shared" si="67"/>
        <v>0</v>
      </c>
      <c r="F57" s="493">
        <f t="shared" si="67"/>
        <v>0</v>
      </c>
      <c r="G57" s="493">
        <f t="shared" si="67"/>
        <v>0</v>
      </c>
      <c r="H57" s="493">
        <f t="shared" si="67"/>
        <v>0</v>
      </c>
      <c r="I57" s="493">
        <f t="shared" si="67"/>
        <v>0</v>
      </c>
      <c r="J57" s="493">
        <f t="shared" si="67"/>
        <v>0</v>
      </c>
      <c r="K57" s="493">
        <f t="shared" si="67"/>
        <v>0</v>
      </c>
      <c r="L57" s="493">
        <f t="shared" si="67"/>
        <v>0</v>
      </c>
      <c r="M57" s="493">
        <f t="shared" si="67"/>
        <v>0</v>
      </c>
      <c r="N57" s="493">
        <f t="shared" si="67"/>
        <v>0</v>
      </c>
      <c r="O57" s="493">
        <f t="shared" si="67"/>
        <v>0</v>
      </c>
      <c r="P57" s="493">
        <f t="shared" si="67"/>
        <v>0</v>
      </c>
      <c r="Q57" s="493">
        <f t="shared" si="67"/>
        <v>0</v>
      </c>
      <c r="R57" s="493">
        <f t="shared" si="67"/>
        <v>0</v>
      </c>
      <c r="S57" s="493">
        <f t="shared" si="67"/>
        <v>0</v>
      </c>
      <c r="T57" s="493">
        <f t="shared" si="67"/>
        <v>0</v>
      </c>
      <c r="U57" s="493">
        <f t="shared" si="55"/>
        <v>0</v>
      </c>
      <c r="V57" s="493">
        <f t="shared" si="56"/>
        <v>0</v>
      </c>
      <c r="W57" s="493">
        <f t="shared" si="57"/>
        <v>0</v>
      </c>
      <c r="X57" s="493">
        <f t="shared" si="58"/>
        <v>0</v>
      </c>
      <c r="Y57" s="493">
        <f t="shared" si="59"/>
        <v>0</v>
      </c>
      <c r="Z57" s="625">
        <f t="shared" si="60"/>
        <v>0</v>
      </c>
      <c r="AA57" s="625">
        <f t="shared" si="60"/>
        <v>0</v>
      </c>
      <c r="AC57" s="370">
        <f t="shared" si="62"/>
        <v>0</v>
      </c>
      <c r="AD57" s="370">
        <f t="shared" si="63"/>
        <v>0</v>
      </c>
      <c r="AE57" s="370">
        <f t="shared" si="64"/>
        <v>0</v>
      </c>
    </row>
    <row r="58" spans="1:31" ht="15.75" customHeight="1" x14ac:dyDescent="0.15">
      <c r="A58" s="286" t="s">
        <v>160</v>
      </c>
      <c r="B58" s="287" t="str">
        <f>Settings!$C$6</f>
        <v>CAD</v>
      </c>
      <c r="C58" s="310">
        <f t="shared" ref="C58:T58" si="68">SUM(C53:C57)</f>
        <v>0</v>
      </c>
      <c r="D58" s="301">
        <f t="shared" si="68"/>
        <v>0</v>
      </c>
      <c r="E58" s="301">
        <f t="shared" si="68"/>
        <v>0</v>
      </c>
      <c r="F58" s="301">
        <f t="shared" si="68"/>
        <v>0</v>
      </c>
      <c r="G58" s="301">
        <f t="shared" si="68"/>
        <v>0</v>
      </c>
      <c r="H58" s="301">
        <f t="shared" si="68"/>
        <v>0</v>
      </c>
      <c r="I58" s="301">
        <f t="shared" si="68"/>
        <v>0</v>
      </c>
      <c r="J58" s="301">
        <f t="shared" si="68"/>
        <v>0</v>
      </c>
      <c r="K58" s="301">
        <f t="shared" si="68"/>
        <v>0</v>
      </c>
      <c r="L58" s="301">
        <f t="shared" si="68"/>
        <v>0</v>
      </c>
      <c r="M58" s="301">
        <f t="shared" si="68"/>
        <v>0</v>
      </c>
      <c r="N58" s="301">
        <f t="shared" si="68"/>
        <v>0</v>
      </c>
      <c r="O58" s="301">
        <f t="shared" si="68"/>
        <v>0</v>
      </c>
      <c r="P58" s="301">
        <f t="shared" si="68"/>
        <v>0</v>
      </c>
      <c r="Q58" s="301">
        <f t="shared" si="68"/>
        <v>0</v>
      </c>
      <c r="R58" s="301">
        <f t="shared" si="68"/>
        <v>0</v>
      </c>
      <c r="S58" s="301">
        <f t="shared" si="68"/>
        <v>0</v>
      </c>
      <c r="T58" s="301">
        <f t="shared" si="68"/>
        <v>0</v>
      </c>
      <c r="U58" s="301">
        <f t="shared" ref="U58:X58" si="69">SUM(U53:U57)</f>
        <v>0</v>
      </c>
      <c r="V58" s="301">
        <f t="shared" si="69"/>
        <v>0</v>
      </c>
      <c r="W58" s="301">
        <f t="shared" si="69"/>
        <v>0</v>
      </c>
      <c r="X58" s="301">
        <f t="shared" si="69"/>
        <v>0</v>
      </c>
      <c r="Y58" s="301">
        <f t="shared" ref="Y58:Z58" si="70">SUM(Y53:Y57)</f>
        <v>0</v>
      </c>
      <c r="Z58" s="626">
        <f t="shared" si="70"/>
        <v>0</v>
      </c>
      <c r="AA58" s="626">
        <f t="shared" ref="AA58" si="71">SUM(AA53:AA57)</f>
        <v>0</v>
      </c>
      <c r="AC58" s="301">
        <f t="shared" ref="AC58:AE58" si="72">SUM(AC53:AC57)</f>
        <v>0</v>
      </c>
      <c r="AD58" s="301">
        <f t="shared" si="72"/>
        <v>0</v>
      </c>
      <c r="AE58" s="301">
        <f t="shared" si="72"/>
        <v>0</v>
      </c>
    </row>
    <row r="59" spans="1:31" ht="15.75" customHeight="1" x14ac:dyDescent="0.15">
      <c r="A59" s="292"/>
      <c r="B59" s="293"/>
      <c r="C59" s="304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627"/>
      <c r="AA59" s="627"/>
      <c r="AC59" s="311"/>
      <c r="AD59" s="311"/>
      <c r="AE59" s="311"/>
    </row>
    <row r="60" spans="1:31" ht="15.75" customHeight="1" x14ac:dyDescent="0.15">
      <c r="A60" s="308" t="s">
        <v>250</v>
      </c>
      <c r="B60" s="291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628"/>
      <c r="AA60" s="628"/>
      <c r="AC60" s="312"/>
      <c r="AD60" s="312"/>
      <c r="AE60" s="312"/>
    </row>
    <row r="61" spans="1:31" s="495" customFormat="1" ht="15" customHeight="1" x14ac:dyDescent="0.15">
      <c r="A61" s="354" t="s">
        <v>251</v>
      </c>
      <c r="B61" s="369" t="str">
        <f>Settings!$C$6</f>
        <v>CAD</v>
      </c>
      <c r="C61" s="490">
        <v>0</v>
      </c>
      <c r="D61" s="380">
        <f t="shared" ref="D61:S61" si="73">C61</f>
        <v>0</v>
      </c>
      <c r="E61" s="380">
        <f t="shared" si="73"/>
        <v>0</v>
      </c>
      <c r="F61" s="380">
        <f t="shared" si="73"/>
        <v>0</v>
      </c>
      <c r="G61" s="380">
        <f t="shared" si="73"/>
        <v>0</v>
      </c>
      <c r="H61" s="380">
        <f t="shared" si="73"/>
        <v>0</v>
      </c>
      <c r="I61" s="380">
        <f t="shared" si="73"/>
        <v>0</v>
      </c>
      <c r="J61" s="380">
        <f t="shared" si="73"/>
        <v>0</v>
      </c>
      <c r="K61" s="380">
        <f t="shared" si="73"/>
        <v>0</v>
      </c>
      <c r="L61" s="380">
        <f t="shared" si="73"/>
        <v>0</v>
      </c>
      <c r="M61" s="380">
        <f t="shared" si="73"/>
        <v>0</v>
      </c>
      <c r="N61" s="380">
        <f t="shared" si="73"/>
        <v>0</v>
      </c>
      <c r="O61" s="380">
        <f t="shared" si="73"/>
        <v>0</v>
      </c>
      <c r="P61" s="380">
        <f t="shared" si="73"/>
        <v>0</v>
      </c>
      <c r="Q61" s="380">
        <f t="shared" si="73"/>
        <v>0</v>
      </c>
      <c r="R61" s="380">
        <f t="shared" si="73"/>
        <v>0</v>
      </c>
      <c r="S61" s="380">
        <f t="shared" si="73"/>
        <v>0</v>
      </c>
      <c r="T61" s="380">
        <v>-367</v>
      </c>
      <c r="U61" s="380">
        <v>-367</v>
      </c>
      <c r="V61" s="380">
        <v>-367</v>
      </c>
      <c r="W61" s="380">
        <v>-367</v>
      </c>
      <c r="X61" s="380">
        <v>-367</v>
      </c>
      <c r="Y61" s="380">
        <v>-367</v>
      </c>
      <c r="Z61" s="624">
        <v>-367</v>
      </c>
      <c r="AA61" s="624">
        <v>-367</v>
      </c>
      <c r="AC61" s="370">
        <f t="shared" ref="AC61" si="74">SUM(H61:AA61)</f>
        <v>-2936</v>
      </c>
      <c r="AD61" s="370">
        <f t="shared" ref="AD61" si="75">SUM(H61:O61)</f>
        <v>0</v>
      </c>
      <c r="AE61" s="370">
        <f t="shared" ref="AE61" si="76">SUM(P61:AA61)</f>
        <v>-2936</v>
      </c>
    </row>
    <row r="62" spans="1:31" s="495" customFormat="1" ht="15.75" customHeight="1" x14ac:dyDescent="0.15">
      <c r="A62" s="354" t="s">
        <v>252</v>
      </c>
      <c r="B62" s="369" t="str">
        <f>Settings!$C$6</f>
        <v>CAD</v>
      </c>
      <c r="C62" s="490">
        <v>0</v>
      </c>
      <c r="D62" s="380">
        <f t="shared" ref="D62:S62" si="77">C62</f>
        <v>0</v>
      </c>
      <c r="E62" s="380">
        <f t="shared" si="77"/>
        <v>0</v>
      </c>
      <c r="F62" s="380">
        <f t="shared" si="77"/>
        <v>0</v>
      </c>
      <c r="G62" s="380">
        <f t="shared" si="77"/>
        <v>0</v>
      </c>
      <c r="H62" s="380">
        <f t="shared" si="77"/>
        <v>0</v>
      </c>
      <c r="I62" s="380">
        <f t="shared" si="77"/>
        <v>0</v>
      </c>
      <c r="J62" s="380">
        <f t="shared" si="77"/>
        <v>0</v>
      </c>
      <c r="K62" s="380">
        <f t="shared" si="77"/>
        <v>0</v>
      </c>
      <c r="L62" s="380">
        <f t="shared" si="77"/>
        <v>0</v>
      </c>
      <c r="M62" s="380">
        <f t="shared" si="77"/>
        <v>0</v>
      </c>
      <c r="N62" s="380">
        <f t="shared" si="77"/>
        <v>0</v>
      </c>
      <c r="O62" s="380">
        <f t="shared" si="77"/>
        <v>0</v>
      </c>
      <c r="P62" s="380">
        <f t="shared" si="77"/>
        <v>0</v>
      </c>
      <c r="Q62" s="380">
        <f t="shared" si="77"/>
        <v>0</v>
      </c>
      <c r="R62" s="380">
        <f t="shared" si="77"/>
        <v>0</v>
      </c>
      <c r="S62" s="380">
        <f t="shared" si="77"/>
        <v>0</v>
      </c>
      <c r="T62" s="380">
        <v>-68</v>
      </c>
      <c r="U62" s="380">
        <v>-397.43</v>
      </c>
      <c r="V62" s="380">
        <v>-520.92999999999995</v>
      </c>
      <c r="W62" s="380">
        <v>-662.15</v>
      </c>
      <c r="X62" s="380">
        <v>-1772.26</v>
      </c>
      <c r="Y62" s="380">
        <v>-2970.17</v>
      </c>
      <c r="Z62" s="624">
        <v>-3000</v>
      </c>
      <c r="AA62" s="624">
        <v>-3000</v>
      </c>
      <c r="AC62" s="370">
        <f t="shared" ref="AC62:AC65" si="78">SUM(H62:AA62)</f>
        <v>-12390.939999999999</v>
      </c>
      <c r="AD62" s="370">
        <f t="shared" ref="AD62:AD65" si="79">SUM(H62:O62)</f>
        <v>0</v>
      </c>
      <c r="AE62" s="370">
        <f t="shared" ref="AE62:AE65" si="80">SUM(P62:AA62)</f>
        <v>-12390.939999999999</v>
      </c>
    </row>
    <row r="63" spans="1:31" s="495" customFormat="1" ht="15.75" customHeight="1" x14ac:dyDescent="0.15">
      <c r="A63" s="354" t="s">
        <v>253</v>
      </c>
      <c r="B63" s="369" t="str">
        <f>Settings!$C$6</f>
        <v>CAD</v>
      </c>
      <c r="C63" s="490">
        <v>0</v>
      </c>
      <c r="D63" s="380">
        <f t="shared" ref="D63:S63" si="81">C63</f>
        <v>0</v>
      </c>
      <c r="E63" s="380">
        <f t="shared" si="81"/>
        <v>0</v>
      </c>
      <c r="F63" s="380">
        <f t="shared" si="81"/>
        <v>0</v>
      </c>
      <c r="G63" s="380">
        <f t="shared" si="81"/>
        <v>0</v>
      </c>
      <c r="H63" s="380">
        <f t="shared" si="81"/>
        <v>0</v>
      </c>
      <c r="I63" s="380">
        <f t="shared" si="81"/>
        <v>0</v>
      </c>
      <c r="J63" s="380">
        <f t="shared" si="81"/>
        <v>0</v>
      </c>
      <c r="K63" s="380">
        <f t="shared" si="81"/>
        <v>0</v>
      </c>
      <c r="L63" s="380">
        <f t="shared" si="81"/>
        <v>0</v>
      </c>
      <c r="M63" s="380">
        <f t="shared" si="81"/>
        <v>0</v>
      </c>
      <c r="N63" s="380">
        <f t="shared" si="81"/>
        <v>0</v>
      </c>
      <c r="O63" s="380">
        <f t="shared" si="81"/>
        <v>0</v>
      </c>
      <c r="P63" s="380">
        <f t="shared" si="81"/>
        <v>0</v>
      </c>
      <c r="Q63" s="380">
        <f t="shared" si="81"/>
        <v>0</v>
      </c>
      <c r="R63" s="380">
        <f t="shared" si="81"/>
        <v>0</v>
      </c>
      <c r="S63" s="380">
        <f t="shared" si="81"/>
        <v>0</v>
      </c>
      <c r="T63" s="380">
        <v>0</v>
      </c>
      <c r="U63" s="380">
        <v>0</v>
      </c>
      <c r="V63" s="380">
        <v>0</v>
      </c>
      <c r="W63" s="380">
        <v>0</v>
      </c>
      <c r="X63" s="380">
        <v>0</v>
      </c>
      <c r="Y63" s="380">
        <v>0</v>
      </c>
      <c r="Z63" s="625">
        <v>-350</v>
      </c>
      <c r="AA63" s="625">
        <v>-350</v>
      </c>
      <c r="AC63" s="370">
        <f t="shared" si="78"/>
        <v>-700</v>
      </c>
      <c r="AD63" s="370">
        <f t="shared" si="79"/>
        <v>0</v>
      </c>
      <c r="AE63" s="370">
        <f t="shared" si="80"/>
        <v>-700</v>
      </c>
    </row>
    <row r="64" spans="1:31" s="495" customFormat="1" ht="15.75" customHeight="1" x14ac:dyDescent="0.15">
      <c r="A64" s="493" t="s">
        <v>87</v>
      </c>
      <c r="B64" s="496" t="str">
        <f>Settings!$C$6</f>
        <v>CAD</v>
      </c>
      <c r="C64" s="492">
        <v>0</v>
      </c>
      <c r="D64" s="493">
        <f t="shared" ref="D64:S64" si="82">C64</f>
        <v>0</v>
      </c>
      <c r="E64" s="493">
        <f t="shared" si="82"/>
        <v>0</v>
      </c>
      <c r="F64" s="493">
        <f t="shared" si="82"/>
        <v>0</v>
      </c>
      <c r="G64" s="493">
        <f t="shared" si="82"/>
        <v>0</v>
      </c>
      <c r="H64" s="493">
        <f t="shared" si="82"/>
        <v>0</v>
      </c>
      <c r="I64" s="493">
        <f t="shared" si="82"/>
        <v>0</v>
      </c>
      <c r="J64" s="493">
        <f t="shared" si="82"/>
        <v>0</v>
      </c>
      <c r="K64" s="493">
        <f t="shared" si="82"/>
        <v>0</v>
      </c>
      <c r="L64" s="493">
        <f t="shared" si="82"/>
        <v>0</v>
      </c>
      <c r="M64" s="493">
        <f t="shared" si="82"/>
        <v>0</v>
      </c>
      <c r="N64" s="493">
        <f t="shared" si="82"/>
        <v>0</v>
      </c>
      <c r="O64" s="493">
        <f t="shared" si="82"/>
        <v>0</v>
      </c>
      <c r="P64" s="493">
        <f t="shared" si="82"/>
        <v>0</v>
      </c>
      <c r="Q64" s="493">
        <f t="shared" si="82"/>
        <v>0</v>
      </c>
      <c r="R64" s="493">
        <f t="shared" si="82"/>
        <v>0</v>
      </c>
      <c r="S64" s="493">
        <f t="shared" si="82"/>
        <v>0</v>
      </c>
      <c r="T64" s="493">
        <f>S64</f>
        <v>0</v>
      </c>
      <c r="U64" s="493">
        <f t="shared" ref="U64:X65" si="83">T64</f>
        <v>0</v>
      </c>
      <c r="V64" s="493">
        <f t="shared" si="83"/>
        <v>0</v>
      </c>
      <c r="W64" s="493">
        <f t="shared" si="83"/>
        <v>0</v>
      </c>
      <c r="X64" s="493">
        <f t="shared" si="83"/>
        <v>0</v>
      </c>
      <c r="Y64" s="493">
        <f t="shared" ref="Y64:Z64" si="84">X64</f>
        <v>0</v>
      </c>
      <c r="Z64" s="625">
        <f t="shared" si="84"/>
        <v>0</v>
      </c>
      <c r="AA64" s="625">
        <f t="shared" ref="AA64" si="85">Z64</f>
        <v>0</v>
      </c>
      <c r="AC64" s="370">
        <f t="shared" si="78"/>
        <v>0</v>
      </c>
      <c r="AD64" s="370">
        <f t="shared" si="79"/>
        <v>0</v>
      </c>
      <c r="AE64" s="370">
        <f t="shared" si="80"/>
        <v>0</v>
      </c>
    </row>
    <row r="65" spans="1:31" s="495" customFormat="1" ht="15.75" customHeight="1" x14ac:dyDescent="0.15">
      <c r="A65" s="493" t="s">
        <v>87</v>
      </c>
      <c r="B65" s="496" t="str">
        <f>Settings!$C$6</f>
        <v>CAD</v>
      </c>
      <c r="C65" s="492">
        <v>0</v>
      </c>
      <c r="D65" s="493">
        <f t="shared" ref="D65:T65" si="86">C65</f>
        <v>0</v>
      </c>
      <c r="E65" s="493">
        <f t="shared" si="86"/>
        <v>0</v>
      </c>
      <c r="F65" s="493">
        <f t="shared" si="86"/>
        <v>0</v>
      </c>
      <c r="G65" s="493">
        <f t="shared" si="86"/>
        <v>0</v>
      </c>
      <c r="H65" s="493">
        <f t="shared" si="86"/>
        <v>0</v>
      </c>
      <c r="I65" s="493">
        <f t="shared" si="86"/>
        <v>0</v>
      </c>
      <c r="J65" s="493">
        <f t="shared" si="86"/>
        <v>0</v>
      </c>
      <c r="K65" s="493">
        <f t="shared" si="86"/>
        <v>0</v>
      </c>
      <c r="L65" s="493">
        <f t="shared" si="86"/>
        <v>0</v>
      </c>
      <c r="M65" s="493">
        <f t="shared" si="86"/>
        <v>0</v>
      </c>
      <c r="N65" s="493">
        <f t="shared" si="86"/>
        <v>0</v>
      </c>
      <c r="O65" s="493">
        <f t="shared" si="86"/>
        <v>0</v>
      </c>
      <c r="P65" s="493">
        <f t="shared" si="86"/>
        <v>0</v>
      </c>
      <c r="Q65" s="493">
        <f t="shared" si="86"/>
        <v>0</v>
      </c>
      <c r="R65" s="493">
        <f t="shared" si="86"/>
        <v>0</v>
      </c>
      <c r="S65" s="493">
        <f t="shared" si="86"/>
        <v>0</v>
      </c>
      <c r="T65" s="493">
        <f t="shared" si="86"/>
        <v>0</v>
      </c>
      <c r="U65" s="493">
        <f t="shared" si="83"/>
        <v>0</v>
      </c>
      <c r="V65" s="493">
        <f t="shared" si="83"/>
        <v>0</v>
      </c>
      <c r="W65" s="493">
        <f t="shared" si="83"/>
        <v>0</v>
      </c>
      <c r="X65" s="493">
        <f t="shared" si="83"/>
        <v>0</v>
      </c>
      <c r="Y65" s="493">
        <f t="shared" ref="Y65:Z65" si="87">X65</f>
        <v>0</v>
      </c>
      <c r="Z65" s="625">
        <f t="shared" si="87"/>
        <v>0</v>
      </c>
      <c r="AA65" s="625">
        <f t="shared" ref="AA65" si="88">Z65</f>
        <v>0</v>
      </c>
      <c r="AC65" s="370">
        <f t="shared" si="78"/>
        <v>0</v>
      </c>
      <c r="AD65" s="370">
        <f t="shared" si="79"/>
        <v>0</v>
      </c>
      <c r="AE65" s="370">
        <f t="shared" si="80"/>
        <v>0</v>
      </c>
    </row>
    <row r="66" spans="1:31" ht="15.75" customHeight="1" x14ac:dyDescent="0.15">
      <c r="A66" s="286" t="s">
        <v>160</v>
      </c>
      <c r="B66" s="287" t="str">
        <f>Settings!$C$6</f>
        <v>CAD</v>
      </c>
      <c r="C66" s="310">
        <f t="shared" ref="C66:T66" si="89">SUM(C61:C65)</f>
        <v>0</v>
      </c>
      <c r="D66" s="301">
        <f t="shared" si="89"/>
        <v>0</v>
      </c>
      <c r="E66" s="301">
        <f t="shared" si="89"/>
        <v>0</v>
      </c>
      <c r="F66" s="301">
        <f t="shared" si="89"/>
        <v>0</v>
      </c>
      <c r="G66" s="301">
        <f t="shared" si="89"/>
        <v>0</v>
      </c>
      <c r="H66" s="301">
        <f t="shared" si="89"/>
        <v>0</v>
      </c>
      <c r="I66" s="301">
        <f t="shared" si="89"/>
        <v>0</v>
      </c>
      <c r="J66" s="301">
        <f t="shared" si="89"/>
        <v>0</v>
      </c>
      <c r="K66" s="301">
        <f t="shared" si="89"/>
        <v>0</v>
      </c>
      <c r="L66" s="301">
        <f t="shared" si="89"/>
        <v>0</v>
      </c>
      <c r="M66" s="301">
        <f t="shared" si="89"/>
        <v>0</v>
      </c>
      <c r="N66" s="301">
        <f t="shared" si="89"/>
        <v>0</v>
      </c>
      <c r="O66" s="301">
        <f t="shared" si="89"/>
        <v>0</v>
      </c>
      <c r="P66" s="301">
        <f t="shared" si="89"/>
        <v>0</v>
      </c>
      <c r="Q66" s="301">
        <f t="shared" si="89"/>
        <v>0</v>
      </c>
      <c r="R66" s="301">
        <f t="shared" si="89"/>
        <v>0</v>
      </c>
      <c r="S66" s="301">
        <f t="shared" si="89"/>
        <v>0</v>
      </c>
      <c r="T66" s="301">
        <f t="shared" si="89"/>
        <v>-435</v>
      </c>
      <c r="U66" s="301">
        <f t="shared" ref="U66:X66" si="90">SUM(U61:U65)</f>
        <v>-764.43000000000006</v>
      </c>
      <c r="V66" s="301">
        <f t="shared" si="90"/>
        <v>-887.93</v>
      </c>
      <c r="W66" s="301">
        <f t="shared" si="90"/>
        <v>-1029.1500000000001</v>
      </c>
      <c r="X66" s="301">
        <f t="shared" si="90"/>
        <v>-2139.2600000000002</v>
      </c>
      <c r="Y66" s="301">
        <f t="shared" ref="Y66:Z66" si="91">SUM(Y61:Y65)</f>
        <v>-3337.17</v>
      </c>
      <c r="Z66" s="626">
        <f t="shared" si="91"/>
        <v>-3717</v>
      </c>
      <c r="AA66" s="626">
        <f t="shared" ref="AA66" si="92">SUM(AA61:AA65)</f>
        <v>-3717</v>
      </c>
      <c r="AC66" s="656">
        <f t="shared" ref="AC66:AE66" si="93">SUM(AC61:AC65)</f>
        <v>-16026.939999999999</v>
      </c>
      <c r="AD66" s="656">
        <v>0</v>
      </c>
      <c r="AE66" s="656">
        <f t="shared" si="93"/>
        <v>-16026.939999999999</v>
      </c>
    </row>
    <row r="67" spans="1:31" ht="15.75" customHeight="1" x14ac:dyDescent="0.15">
      <c r="A67" s="261"/>
      <c r="B67" s="302"/>
      <c r="C67" s="30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629"/>
      <c r="AA67" s="629"/>
      <c r="AC67" s="259"/>
      <c r="AD67" s="259"/>
      <c r="AE67" s="259"/>
    </row>
    <row r="68" spans="1:31" s="359" customFormat="1" ht="15.75" customHeight="1" x14ac:dyDescent="0.15">
      <c r="A68" s="377" t="s">
        <v>254</v>
      </c>
      <c r="B68" s="378" t="str">
        <f>Settings!$C$6</f>
        <v>CAD</v>
      </c>
      <c r="C68" s="382">
        <f>C66+C58</f>
        <v>0</v>
      </c>
      <c r="D68" s="382">
        <f t="shared" ref="D68:T68" si="94">D66+D58</f>
        <v>0</v>
      </c>
      <c r="E68" s="382">
        <f t="shared" si="94"/>
        <v>0</v>
      </c>
      <c r="F68" s="382">
        <f t="shared" si="94"/>
        <v>0</v>
      </c>
      <c r="G68" s="382">
        <f t="shared" si="94"/>
        <v>0</v>
      </c>
      <c r="H68" s="382">
        <f t="shared" si="94"/>
        <v>0</v>
      </c>
      <c r="I68" s="382">
        <f t="shared" si="94"/>
        <v>0</v>
      </c>
      <c r="J68" s="382">
        <f t="shared" si="94"/>
        <v>0</v>
      </c>
      <c r="K68" s="382">
        <f t="shared" si="94"/>
        <v>0</v>
      </c>
      <c r="L68" s="382">
        <f t="shared" si="94"/>
        <v>0</v>
      </c>
      <c r="M68" s="382">
        <f t="shared" si="94"/>
        <v>0</v>
      </c>
      <c r="N68" s="382">
        <f t="shared" si="94"/>
        <v>0</v>
      </c>
      <c r="O68" s="382">
        <f t="shared" si="94"/>
        <v>0</v>
      </c>
      <c r="P68" s="382">
        <f t="shared" si="94"/>
        <v>0</v>
      </c>
      <c r="Q68" s="382">
        <f t="shared" si="94"/>
        <v>0</v>
      </c>
      <c r="R68" s="382">
        <f t="shared" si="94"/>
        <v>0</v>
      </c>
      <c r="S68" s="382">
        <f t="shared" si="94"/>
        <v>0</v>
      </c>
      <c r="T68" s="382">
        <f t="shared" si="94"/>
        <v>-435</v>
      </c>
      <c r="U68" s="382">
        <f t="shared" ref="U68:X68" si="95">U66+U58</f>
        <v>-764.43000000000006</v>
      </c>
      <c r="V68" s="382">
        <f t="shared" si="95"/>
        <v>-887.93</v>
      </c>
      <c r="W68" s="382">
        <f t="shared" si="95"/>
        <v>-1029.1500000000001</v>
      </c>
      <c r="X68" s="382">
        <f t="shared" si="95"/>
        <v>-2139.2600000000002</v>
      </c>
      <c r="Y68" s="382">
        <f t="shared" ref="Y68:Z68" si="96">Y66+Y58</f>
        <v>-3337.17</v>
      </c>
      <c r="Z68" s="630">
        <f t="shared" si="96"/>
        <v>-3717</v>
      </c>
      <c r="AA68" s="630">
        <f t="shared" ref="AA68" si="97">AA66+AA58</f>
        <v>-3717</v>
      </c>
      <c r="AC68" s="382">
        <f t="shared" ref="AC68:AE68" si="98">AC66+AC58</f>
        <v>-16026.939999999999</v>
      </c>
      <c r="AD68" s="382">
        <f t="shared" si="98"/>
        <v>0</v>
      </c>
      <c r="AE68" s="382">
        <f t="shared" si="98"/>
        <v>-16026.939999999999</v>
      </c>
    </row>
    <row r="69" spans="1:31" ht="15.75" customHeight="1" x14ac:dyDescent="0.15">
      <c r="A69" s="249"/>
      <c r="B69" s="283"/>
      <c r="C69" s="299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631"/>
      <c r="AA69" s="631"/>
      <c r="AC69" s="262"/>
      <c r="AD69" s="262"/>
      <c r="AE69" s="262"/>
    </row>
    <row r="70" spans="1:31" ht="22.5" customHeight="1" thickBot="1" x14ac:dyDescent="0.2">
      <c r="A70" s="279" t="s">
        <v>255</v>
      </c>
      <c r="B70" s="280"/>
      <c r="C70" s="281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609"/>
      <c r="AA70" s="609"/>
      <c r="AC70" s="282"/>
      <c r="AD70" s="282"/>
      <c r="AE70" s="282"/>
    </row>
    <row r="71" spans="1:31" ht="15.75" customHeight="1" x14ac:dyDescent="0.15">
      <c r="A71" s="261"/>
      <c r="B71" s="302"/>
      <c r="C71" s="265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632"/>
      <c r="AA71" s="632"/>
      <c r="AC71" s="258"/>
      <c r="AD71" s="258"/>
      <c r="AE71" s="258"/>
    </row>
    <row r="72" spans="1:31" ht="15.75" customHeight="1" x14ac:dyDescent="0.15">
      <c r="A72" s="308" t="s">
        <v>256</v>
      </c>
      <c r="B72" s="291"/>
      <c r="C72" s="313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633"/>
      <c r="AA72" s="633"/>
      <c r="AC72" s="314"/>
      <c r="AD72" s="314"/>
      <c r="AE72" s="314"/>
    </row>
    <row r="73" spans="1:31" s="354" customFormat="1" ht="15" customHeight="1" x14ac:dyDescent="0.15">
      <c r="A73" s="380" t="s">
        <v>84</v>
      </c>
      <c r="B73" s="369" t="str">
        <f>Settings!$C$6</f>
        <v>CAD</v>
      </c>
      <c r="C73" s="490">
        <f>-'CSS Settings'!$I$34</f>
        <v>-150</v>
      </c>
      <c r="D73" s="380">
        <f>-'CSS Settings'!$I$34</f>
        <v>-150</v>
      </c>
      <c r="E73" s="380">
        <f>-'CSS Settings'!$I$34</f>
        <v>-150</v>
      </c>
      <c r="F73" s="380">
        <f>-'CSS Settings'!$I$34</f>
        <v>-150</v>
      </c>
      <c r="G73" s="380">
        <f>-'CSS Settings'!$I$34</f>
        <v>-150</v>
      </c>
      <c r="H73" s="380">
        <f>-'CSS Settings'!$I$34</f>
        <v>-150</v>
      </c>
      <c r="I73" s="380">
        <f>-'CSS Settings'!$I$34</f>
        <v>-150</v>
      </c>
      <c r="J73" s="380">
        <f>-'CSS Settings'!$I$34</f>
        <v>-150</v>
      </c>
      <c r="K73" s="380">
        <f>-'CSS Settings'!$I$34</f>
        <v>-150</v>
      </c>
      <c r="L73" s="380">
        <f>-'CSS Settings'!$I$34</f>
        <v>-150</v>
      </c>
      <c r="M73" s="380">
        <f>-'CSS Settings'!$I$34</f>
        <v>-150</v>
      </c>
      <c r="N73" s="380">
        <f>-'CSS Settings'!$I$34</f>
        <v>-150</v>
      </c>
      <c r="O73" s="380">
        <f>-'CSS Settings'!$I$34</f>
        <v>-150</v>
      </c>
      <c r="P73" s="380">
        <f>-'CSS Settings'!$I$34</f>
        <v>-150</v>
      </c>
      <c r="Q73" s="380">
        <f>-'CSS Settings'!$I$34</f>
        <v>-150</v>
      </c>
      <c r="R73" s="380">
        <f>-'CSS Settings'!$I$34</f>
        <v>-150</v>
      </c>
      <c r="S73" s="380">
        <f>-'CSS Settings'!$I$34</f>
        <v>-150</v>
      </c>
      <c r="T73" s="380">
        <f>-'CSS Settings'!$I$34</f>
        <v>-150</v>
      </c>
      <c r="U73" s="380">
        <f>-'CSS Settings'!$I$34</f>
        <v>-150</v>
      </c>
      <c r="V73" s="380">
        <f>-'CSS Settings'!$I$34</f>
        <v>-150</v>
      </c>
      <c r="W73" s="380">
        <f>-'CSS Settings'!$I$34</f>
        <v>-150</v>
      </c>
      <c r="X73" s="380">
        <f>-'CSS Settings'!$I$34</f>
        <v>-150</v>
      </c>
      <c r="Y73" s="380">
        <f>-'CSS Settings'!$I$34</f>
        <v>-150</v>
      </c>
      <c r="Z73" s="624">
        <f>-'CSS Settings'!$I$34</f>
        <v>-150</v>
      </c>
      <c r="AA73" s="624">
        <f>-'CSS Settings'!$I$34</f>
        <v>-150</v>
      </c>
      <c r="AC73" s="370">
        <f t="shared" ref="AC73" si="99">SUM(H73:AA73)</f>
        <v>-3000</v>
      </c>
      <c r="AD73" s="370">
        <f t="shared" ref="AD73" si="100">SUM(H73:O73)</f>
        <v>-1200</v>
      </c>
      <c r="AE73" s="370">
        <f t="shared" ref="AE73" si="101">SUM(P73:AA73)</f>
        <v>-1800</v>
      </c>
    </row>
    <row r="74" spans="1:31" s="354" customFormat="1" ht="15.75" customHeight="1" x14ac:dyDescent="0.15">
      <c r="A74" s="354" t="s">
        <v>85</v>
      </c>
      <c r="B74" s="369" t="str">
        <f>Settings!$C$6</f>
        <v>CAD</v>
      </c>
      <c r="C74" s="490">
        <f>-'CSS Settings'!$I$35</f>
        <v>-150</v>
      </c>
      <c r="D74" s="380">
        <f>-'CSS Settings'!$I$35</f>
        <v>-150</v>
      </c>
      <c r="E74" s="380">
        <f>-'CSS Settings'!$I$35</f>
        <v>-150</v>
      </c>
      <c r="F74" s="380">
        <f>-'CSS Settings'!$I$35</f>
        <v>-150</v>
      </c>
      <c r="G74" s="380">
        <f>-'CSS Settings'!$I$35</f>
        <v>-150</v>
      </c>
      <c r="H74" s="380">
        <f>-'CSS Settings'!$I$35</f>
        <v>-150</v>
      </c>
      <c r="I74" s="380">
        <f>-'CSS Settings'!$I$35</f>
        <v>-150</v>
      </c>
      <c r="J74" s="380">
        <f>-'CSS Settings'!$I$35</f>
        <v>-150</v>
      </c>
      <c r="K74" s="380">
        <f>-'CSS Settings'!$I$35</f>
        <v>-150</v>
      </c>
      <c r="L74" s="380">
        <f>-'CSS Settings'!$I$35</f>
        <v>-150</v>
      </c>
      <c r="M74" s="380">
        <f>-'CSS Settings'!$I$35</f>
        <v>-150</v>
      </c>
      <c r="N74" s="380">
        <f>-'CSS Settings'!$I$35</f>
        <v>-150</v>
      </c>
      <c r="O74" s="380">
        <f>-'CSS Settings'!$I$35</f>
        <v>-150</v>
      </c>
      <c r="P74" s="380">
        <f>-'CSS Settings'!$I$35</f>
        <v>-150</v>
      </c>
      <c r="Q74" s="380">
        <f>-'CSS Settings'!$I$35</f>
        <v>-150</v>
      </c>
      <c r="R74" s="380">
        <f>-'CSS Settings'!$I$35</f>
        <v>-150</v>
      </c>
      <c r="S74" s="380">
        <f>-'CSS Settings'!$I$35</f>
        <v>-150</v>
      </c>
      <c r="T74" s="380">
        <f>-'CSS Settings'!$I$35</f>
        <v>-150</v>
      </c>
      <c r="U74" s="380">
        <f>-'CSS Settings'!$I$35</f>
        <v>-150</v>
      </c>
      <c r="V74" s="380">
        <f>-'CSS Settings'!$I$35</f>
        <v>-150</v>
      </c>
      <c r="W74" s="380">
        <f>-'CSS Settings'!$I$35</f>
        <v>-150</v>
      </c>
      <c r="X74" s="380">
        <f>-'CSS Settings'!$I$35</f>
        <v>-150</v>
      </c>
      <c r="Y74" s="380">
        <f>-'CSS Settings'!$I$35</f>
        <v>-150</v>
      </c>
      <c r="Z74" s="624">
        <f>-'CSS Settings'!$I$35</f>
        <v>-150</v>
      </c>
      <c r="AA74" s="624">
        <f>-'CSS Settings'!$I$35</f>
        <v>-150</v>
      </c>
      <c r="AC74" s="370">
        <f t="shared" ref="AC74:AC77" si="102">SUM(H74:AA74)</f>
        <v>-3000</v>
      </c>
      <c r="AD74" s="370">
        <f t="shared" ref="AD74:AD77" si="103">SUM(H74:O74)</f>
        <v>-1200</v>
      </c>
      <c r="AE74" s="370">
        <f t="shared" ref="AE74:AE77" si="104">SUM(P74:AA74)</f>
        <v>-1800</v>
      </c>
    </row>
    <row r="75" spans="1:31" s="354" customFormat="1" ht="15.75" customHeight="1" x14ac:dyDescent="0.15">
      <c r="A75" s="380" t="s">
        <v>86</v>
      </c>
      <c r="B75" s="369" t="str">
        <f>Settings!$C$6</f>
        <v>CAD</v>
      </c>
      <c r="C75" s="490">
        <f>+'CSS Settings'!$I$36</f>
        <v>0</v>
      </c>
      <c r="D75" s="380">
        <f>+'CSS Settings'!$I$36</f>
        <v>0</v>
      </c>
      <c r="E75" s="380">
        <f>+'CSS Settings'!$I$36</f>
        <v>0</v>
      </c>
      <c r="F75" s="380">
        <f>+'CSS Settings'!$I$36</f>
        <v>0</v>
      </c>
      <c r="G75" s="380">
        <f>+'CSS Settings'!$I$36</f>
        <v>0</v>
      </c>
      <c r="H75" s="380">
        <f>+'CSS Settings'!$I$36</f>
        <v>0</v>
      </c>
      <c r="I75" s="380">
        <f>+'CSS Settings'!$I$36</f>
        <v>0</v>
      </c>
      <c r="J75" s="380">
        <f>+'CSS Settings'!$I$36</f>
        <v>0</v>
      </c>
      <c r="K75" s="380">
        <f>+'CSS Settings'!$I$36</f>
        <v>0</v>
      </c>
      <c r="L75" s="380">
        <f>+'CSS Settings'!$I$36</f>
        <v>0</v>
      </c>
      <c r="M75" s="380">
        <f>+'CSS Settings'!$I$36</f>
        <v>0</v>
      </c>
      <c r="N75" s="380">
        <f>+'CSS Settings'!$I$36</f>
        <v>0</v>
      </c>
      <c r="O75" s="380">
        <f>+'CSS Settings'!$I$36</f>
        <v>0</v>
      </c>
      <c r="P75" s="380">
        <f>+'CSS Settings'!$I$36</f>
        <v>0</v>
      </c>
      <c r="Q75" s="380">
        <f>+'CSS Settings'!$I$36</f>
        <v>0</v>
      </c>
      <c r="R75" s="380">
        <f>+'CSS Settings'!$I$36</f>
        <v>0</v>
      </c>
      <c r="S75" s="380">
        <f>+'CSS Settings'!$I$36</f>
        <v>0</v>
      </c>
      <c r="T75" s="380">
        <f>+'CSS Settings'!$I$36</f>
        <v>0</v>
      </c>
      <c r="U75" s="380">
        <f>+'CSS Settings'!$I$36</f>
        <v>0</v>
      </c>
      <c r="V75" s="380">
        <f>+'CSS Settings'!$I$36</f>
        <v>0</v>
      </c>
      <c r="W75" s="380">
        <f>+'CSS Settings'!$I$36</f>
        <v>0</v>
      </c>
      <c r="X75" s="380">
        <f>+'CSS Settings'!$I$36</f>
        <v>0</v>
      </c>
      <c r="Y75" s="380">
        <f>+'CSS Settings'!$I$36</f>
        <v>0</v>
      </c>
      <c r="Z75" s="624">
        <f>+'CSS Settings'!$I$36</f>
        <v>0</v>
      </c>
      <c r="AA75" s="624">
        <f>+'CSS Settings'!$I$36</f>
        <v>0</v>
      </c>
      <c r="AC75" s="370">
        <f t="shared" si="102"/>
        <v>0</v>
      </c>
      <c r="AD75" s="370">
        <f t="shared" si="103"/>
        <v>0</v>
      </c>
      <c r="AE75" s="370">
        <f t="shared" si="104"/>
        <v>0</v>
      </c>
    </row>
    <row r="76" spans="1:31" s="354" customFormat="1" ht="15.75" customHeight="1" x14ac:dyDescent="0.15">
      <c r="A76" s="380" t="s">
        <v>87</v>
      </c>
      <c r="B76" s="369" t="str">
        <f>Settings!$C$6</f>
        <v>CAD</v>
      </c>
      <c r="C76" s="490">
        <f>-'CSS Settings'!$I$37</f>
        <v>0</v>
      </c>
      <c r="D76" s="380">
        <f>-'CSS Settings'!$I$37</f>
        <v>0</v>
      </c>
      <c r="E76" s="380">
        <f>-'CSS Settings'!$I$37</f>
        <v>0</v>
      </c>
      <c r="F76" s="380">
        <f>-'CSS Settings'!$I$37</f>
        <v>0</v>
      </c>
      <c r="G76" s="380">
        <f>-'CSS Settings'!$I$37</f>
        <v>0</v>
      </c>
      <c r="H76" s="380">
        <f>-'CSS Settings'!$I$37</f>
        <v>0</v>
      </c>
      <c r="I76" s="380">
        <f>-'CSS Settings'!$I$37</f>
        <v>0</v>
      </c>
      <c r="J76" s="380">
        <f>-'CSS Settings'!$I$37</f>
        <v>0</v>
      </c>
      <c r="K76" s="380">
        <f>-'CSS Settings'!$I$37</f>
        <v>0</v>
      </c>
      <c r="L76" s="380">
        <f>-'CSS Settings'!$I$37</f>
        <v>0</v>
      </c>
      <c r="M76" s="380">
        <f>-'CSS Settings'!$I$37</f>
        <v>0</v>
      </c>
      <c r="N76" s="380">
        <f>-'CSS Settings'!$I$37</f>
        <v>0</v>
      </c>
      <c r="O76" s="380">
        <f>-'CSS Settings'!$I$37</f>
        <v>0</v>
      </c>
      <c r="P76" s="380">
        <f>-'CSS Settings'!$I$37</f>
        <v>0</v>
      </c>
      <c r="Q76" s="380">
        <f>-'CSS Settings'!$I$37</f>
        <v>0</v>
      </c>
      <c r="R76" s="380">
        <f>-'CSS Settings'!$I$37</f>
        <v>0</v>
      </c>
      <c r="S76" s="380">
        <f>-'CSS Settings'!$I$37</f>
        <v>0</v>
      </c>
      <c r="T76" s="380">
        <f>-'CSS Settings'!$I$37</f>
        <v>0</v>
      </c>
      <c r="U76" s="380">
        <f>-'CSS Settings'!$I$37</f>
        <v>0</v>
      </c>
      <c r="V76" s="380">
        <f>-'CSS Settings'!$I$37</f>
        <v>0</v>
      </c>
      <c r="W76" s="380">
        <f>-'CSS Settings'!$I$37</f>
        <v>0</v>
      </c>
      <c r="X76" s="380">
        <f>-'CSS Settings'!$I$37</f>
        <v>0</v>
      </c>
      <c r="Y76" s="380">
        <f>-'CSS Settings'!$I$37</f>
        <v>0</v>
      </c>
      <c r="Z76" s="624">
        <f>-'CSS Settings'!$I$37</f>
        <v>0</v>
      </c>
      <c r="AA76" s="624">
        <f>-'CSS Settings'!$I$37</f>
        <v>0</v>
      </c>
      <c r="AC76" s="370">
        <f t="shared" si="102"/>
        <v>0</v>
      </c>
      <c r="AD76" s="370">
        <f t="shared" si="103"/>
        <v>0</v>
      </c>
      <c r="AE76" s="370">
        <f t="shared" si="104"/>
        <v>0</v>
      </c>
    </row>
    <row r="77" spans="1:31" ht="15.75" customHeight="1" x14ac:dyDescent="0.15">
      <c r="A77" s="260"/>
      <c r="B77" s="283"/>
      <c r="C77" s="30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629"/>
      <c r="AA77" s="629"/>
      <c r="AC77" s="370">
        <f t="shared" si="102"/>
        <v>0</v>
      </c>
      <c r="AD77" s="370">
        <f t="shared" si="103"/>
        <v>0</v>
      </c>
      <c r="AE77" s="370">
        <f t="shared" si="104"/>
        <v>0</v>
      </c>
    </row>
    <row r="78" spans="1:31" s="359" customFormat="1" ht="15.75" customHeight="1" x14ac:dyDescent="0.15">
      <c r="A78" s="377" t="s">
        <v>257</v>
      </c>
      <c r="B78" s="378" t="str">
        <f>Settings!$C$6</f>
        <v>CAD</v>
      </c>
      <c r="C78" s="382">
        <f t="shared" ref="C78:T78" si="105">SUM(C73:C77)</f>
        <v>-300</v>
      </c>
      <c r="D78" s="379">
        <f t="shared" si="105"/>
        <v>-300</v>
      </c>
      <c r="E78" s="379">
        <f t="shared" si="105"/>
        <v>-300</v>
      </c>
      <c r="F78" s="379">
        <f t="shared" si="105"/>
        <v>-300</v>
      </c>
      <c r="G78" s="379">
        <f t="shared" si="105"/>
        <v>-300</v>
      </c>
      <c r="H78" s="379">
        <f t="shared" si="105"/>
        <v>-300</v>
      </c>
      <c r="I78" s="379">
        <f t="shared" si="105"/>
        <v>-300</v>
      </c>
      <c r="J78" s="379">
        <f t="shared" si="105"/>
        <v>-300</v>
      </c>
      <c r="K78" s="379">
        <f t="shared" si="105"/>
        <v>-300</v>
      </c>
      <c r="L78" s="379">
        <f t="shared" si="105"/>
        <v>-300</v>
      </c>
      <c r="M78" s="379">
        <f t="shared" si="105"/>
        <v>-300</v>
      </c>
      <c r="N78" s="379">
        <f t="shared" si="105"/>
        <v>-300</v>
      </c>
      <c r="O78" s="379">
        <f t="shared" si="105"/>
        <v>-300</v>
      </c>
      <c r="P78" s="379">
        <f t="shared" si="105"/>
        <v>-300</v>
      </c>
      <c r="Q78" s="379">
        <f t="shared" si="105"/>
        <v>-300</v>
      </c>
      <c r="R78" s="379">
        <f t="shared" si="105"/>
        <v>-300</v>
      </c>
      <c r="S78" s="379">
        <f t="shared" si="105"/>
        <v>-300</v>
      </c>
      <c r="T78" s="379">
        <f t="shared" si="105"/>
        <v>-300</v>
      </c>
      <c r="U78" s="379">
        <f t="shared" ref="U78:X78" si="106">SUM(U73:U77)</f>
        <v>-300</v>
      </c>
      <c r="V78" s="379">
        <f t="shared" si="106"/>
        <v>-300</v>
      </c>
      <c r="W78" s="379">
        <f t="shared" si="106"/>
        <v>-300</v>
      </c>
      <c r="X78" s="379">
        <f t="shared" si="106"/>
        <v>-300</v>
      </c>
      <c r="Y78" s="379">
        <f t="shared" ref="Y78:Z78" si="107">SUM(Y73:Y77)</f>
        <v>-300</v>
      </c>
      <c r="Z78" s="619">
        <f t="shared" si="107"/>
        <v>-300</v>
      </c>
      <c r="AA78" s="619">
        <f t="shared" ref="AA78" si="108">SUM(AA73:AA77)</f>
        <v>-300</v>
      </c>
      <c r="AC78" s="379">
        <f t="shared" ref="AC78:AE78" si="109">SUM(AC73:AC77)</f>
        <v>-6000</v>
      </c>
      <c r="AD78" s="379">
        <f t="shared" si="109"/>
        <v>-2400</v>
      </c>
      <c r="AE78" s="379">
        <f t="shared" si="109"/>
        <v>-3600</v>
      </c>
    </row>
    <row r="79" spans="1:31" ht="15.75" customHeight="1" x14ac:dyDescent="0.15">
      <c r="A79" s="249"/>
      <c r="B79" s="283"/>
      <c r="C79" s="299"/>
      <c r="D79" s="262"/>
      <c r="E79" s="262"/>
      <c r="F79" s="262"/>
      <c r="G79" s="315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634"/>
      <c r="AA79" s="634"/>
      <c r="AC79" s="303"/>
      <c r="AD79" s="303"/>
      <c r="AE79" s="303"/>
    </row>
    <row r="80" spans="1:31" ht="22.5" customHeight="1" thickBot="1" x14ac:dyDescent="0.2">
      <c r="A80" s="279" t="s">
        <v>258</v>
      </c>
      <c r="B80" s="280"/>
      <c r="C80" s="281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609"/>
      <c r="AA80" s="609"/>
      <c r="AC80" s="282"/>
      <c r="AD80" s="282"/>
      <c r="AE80" s="282"/>
    </row>
    <row r="81" spans="1:31" ht="15.75" customHeight="1" x14ac:dyDescent="0.15">
      <c r="A81" s="249" t="s">
        <v>259</v>
      </c>
      <c r="B81" s="283" t="str">
        <f>Settings!$C$6</f>
        <v>CAD</v>
      </c>
      <c r="C81" s="380">
        <f>+'CSS Settings'!$I$15</f>
        <v>0</v>
      </c>
      <c r="D81" s="380">
        <f>+'CSS Settings'!$I$15</f>
        <v>0</v>
      </c>
      <c r="E81" s="380">
        <f>+'CSS Settings'!$I$15</f>
        <v>0</v>
      </c>
      <c r="F81" s="380">
        <f>+'CSS Settings'!$I$15</f>
        <v>0</v>
      </c>
      <c r="G81" s="380">
        <f>+'CSS Settings'!$I$15</f>
        <v>0</v>
      </c>
      <c r="H81" s="380">
        <f>+'CSS Settings'!$I$15</f>
        <v>0</v>
      </c>
      <c r="I81" s="380">
        <f>+'CSS Settings'!$I$15</f>
        <v>0</v>
      </c>
      <c r="J81" s="380">
        <f>+'CSS Settings'!$I$15</f>
        <v>0</v>
      </c>
      <c r="K81" s="380">
        <f>+'CSS Settings'!$I$15</f>
        <v>0</v>
      </c>
      <c r="L81" s="380">
        <f>+'CSS Settings'!$I$15</f>
        <v>0</v>
      </c>
      <c r="M81" s="380">
        <f>+'CSS Settings'!$I$15</f>
        <v>0</v>
      </c>
      <c r="N81" s="380">
        <f>+'CSS Settings'!$I$15</f>
        <v>0</v>
      </c>
      <c r="O81" s="380">
        <f>+'CSS Settings'!$I$15</f>
        <v>0</v>
      </c>
      <c r="P81" s="380">
        <f>+'CSS Settings'!$I$15</f>
        <v>0</v>
      </c>
      <c r="Q81" s="380">
        <f>+'CSS Settings'!$I$15</f>
        <v>0</v>
      </c>
      <c r="R81" s="380">
        <f>+'CSS Settings'!$I$15</f>
        <v>0</v>
      </c>
      <c r="S81" s="380">
        <f>+'CSS Settings'!$I$15</f>
        <v>0</v>
      </c>
      <c r="T81" s="380">
        <f>+'CSS Settings'!$I$15</f>
        <v>0</v>
      </c>
      <c r="U81" s="380">
        <f>+'CSS Settings'!$I$15</f>
        <v>0</v>
      </c>
      <c r="V81" s="380">
        <f>+'CSS Settings'!$I$15</f>
        <v>0</v>
      </c>
      <c r="W81" s="380">
        <f>+'CSS Settings'!$I$15</f>
        <v>0</v>
      </c>
      <c r="X81" s="380">
        <f>+'CSS Settings'!$I$15</f>
        <v>0</v>
      </c>
      <c r="Y81" s="380">
        <f>+'CSS Settings'!$I$15</f>
        <v>0</v>
      </c>
      <c r="Z81" s="624">
        <f>+'CSS Settings'!$I$15</f>
        <v>0</v>
      </c>
      <c r="AA81" s="624">
        <f>+'CSS Settings'!$I$15</f>
        <v>0</v>
      </c>
      <c r="AC81" s="370">
        <f t="shared" ref="AC81:AC82" si="110">SUM(H81:AA81)</f>
        <v>0</v>
      </c>
      <c r="AD81" s="370">
        <f t="shared" ref="AD81:AD82" si="111">SUM(H81:O81)</f>
        <v>0</v>
      </c>
      <c r="AE81" s="370">
        <f t="shared" ref="AE81:AE82" si="112">SUM(P81:AA81)</f>
        <v>0</v>
      </c>
    </row>
    <row r="82" spans="1:31" s="354" customFormat="1" ht="15.75" customHeight="1" x14ac:dyDescent="0.15">
      <c r="A82" s="380" t="s">
        <v>87</v>
      </c>
      <c r="B82" s="369" t="str">
        <f>Settings!$C$6</f>
        <v>CAD</v>
      </c>
      <c r="C82" s="492">
        <v>0</v>
      </c>
      <c r="D82" s="494">
        <v>0</v>
      </c>
      <c r="E82" s="494">
        <v>0</v>
      </c>
      <c r="F82" s="494">
        <v>0</v>
      </c>
      <c r="G82" s="494">
        <v>0</v>
      </c>
      <c r="H82" s="494">
        <v>0</v>
      </c>
      <c r="I82" s="494">
        <v>0</v>
      </c>
      <c r="J82" s="494">
        <v>0</v>
      </c>
      <c r="K82" s="494">
        <v>0</v>
      </c>
      <c r="L82" s="494">
        <v>0</v>
      </c>
      <c r="M82" s="494">
        <v>0</v>
      </c>
      <c r="N82" s="494">
        <v>0</v>
      </c>
      <c r="O82" s="494">
        <v>0</v>
      </c>
      <c r="P82" s="494">
        <v>0</v>
      </c>
      <c r="Q82" s="494">
        <v>0</v>
      </c>
      <c r="R82" s="494">
        <v>0</v>
      </c>
      <c r="S82" s="494">
        <v>0</v>
      </c>
      <c r="T82" s="494">
        <v>0</v>
      </c>
      <c r="U82" s="494">
        <v>0</v>
      </c>
      <c r="V82" s="494">
        <v>0</v>
      </c>
      <c r="W82" s="494">
        <v>0</v>
      </c>
      <c r="X82" s="494">
        <v>0</v>
      </c>
      <c r="Y82" s="494">
        <v>0</v>
      </c>
      <c r="Z82" s="635">
        <v>0</v>
      </c>
      <c r="AA82" s="635">
        <v>0</v>
      </c>
      <c r="AC82" s="370">
        <f t="shared" si="110"/>
        <v>0</v>
      </c>
      <c r="AD82" s="370">
        <f t="shared" si="111"/>
        <v>0</v>
      </c>
      <c r="AE82" s="370">
        <f t="shared" si="112"/>
        <v>0</v>
      </c>
    </row>
    <row r="83" spans="1:31" s="354" customFormat="1" ht="15.75" customHeight="1" x14ac:dyDescent="0.15">
      <c r="A83" s="373" t="s">
        <v>260</v>
      </c>
      <c r="B83" s="374" t="str">
        <f>Settings!$C$6</f>
        <v>CAD</v>
      </c>
      <c r="C83" s="381">
        <f t="shared" ref="C83:T83" si="113">SUM(C81:C82)</f>
        <v>0</v>
      </c>
      <c r="D83" s="373">
        <f t="shared" si="113"/>
        <v>0</v>
      </c>
      <c r="E83" s="375">
        <f t="shared" si="113"/>
        <v>0</v>
      </c>
      <c r="F83" s="375">
        <f t="shared" si="113"/>
        <v>0</v>
      </c>
      <c r="G83" s="375">
        <f t="shared" si="113"/>
        <v>0</v>
      </c>
      <c r="H83" s="375">
        <f t="shared" si="113"/>
        <v>0</v>
      </c>
      <c r="I83" s="375">
        <f t="shared" si="113"/>
        <v>0</v>
      </c>
      <c r="J83" s="375">
        <f t="shared" si="113"/>
        <v>0</v>
      </c>
      <c r="K83" s="375">
        <f t="shared" si="113"/>
        <v>0</v>
      </c>
      <c r="L83" s="375">
        <f t="shared" si="113"/>
        <v>0</v>
      </c>
      <c r="M83" s="375">
        <f t="shared" si="113"/>
        <v>0</v>
      </c>
      <c r="N83" s="375">
        <f t="shared" si="113"/>
        <v>0</v>
      </c>
      <c r="O83" s="375">
        <f t="shared" si="113"/>
        <v>0</v>
      </c>
      <c r="P83" s="375">
        <f t="shared" si="113"/>
        <v>0</v>
      </c>
      <c r="Q83" s="375">
        <f t="shared" si="113"/>
        <v>0</v>
      </c>
      <c r="R83" s="375">
        <f t="shared" si="113"/>
        <v>0</v>
      </c>
      <c r="S83" s="375">
        <f t="shared" si="113"/>
        <v>0</v>
      </c>
      <c r="T83" s="375">
        <f t="shared" si="113"/>
        <v>0</v>
      </c>
      <c r="U83" s="375">
        <f t="shared" ref="U83:X83" si="114">SUM(U81:U82)</f>
        <v>0</v>
      </c>
      <c r="V83" s="375">
        <f t="shared" si="114"/>
        <v>0</v>
      </c>
      <c r="W83" s="375">
        <f t="shared" si="114"/>
        <v>0</v>
      </c>
      <c r="X83" s="375">
        <f t="shared" si="114"/>
        <v>0</v>
      </c>
      <c r="Y83" s="375">
        <f t="shared" ref="Y83:Z83" si="115">SUM(Y81:Y82)</f>
        <v>0</v>
      </c>
      <c r="Z83" s="636">
        <f t="shared" si="115"/>
        <v>0</v>
      </c>
      <c r="AA83" s="636">
        <f t="shared" ref="AA83" si="116">SUM(AA81:AA82)</f>
        <v>0</v>
      </c>
      <c r="AC83" s="375">
        <f t="shared" ref="AC83:AE83" si="117">SUM(AC81:AC82)</f>
        <v>0</v>
      </c>
      <c r="AD83" s="375">
        <f t="shared" si="117"/>
        <v>0</v>
      </c>
      <c r="AE83" s="375">
        <f t="shared" si="117"/>
        <v>0</v>
      </c>
    </row>
    <row r="84" spans="1:31" ht="15.75" customHeight="1" x14ac:dyDescent="0.15">
      <c r="A84" s="249"/>
      <c r="B84" s="283"/>
      <c r="C84" s="316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632"/>
      <c r="AA84" s="632"/>
      <c r="AC84" s="258"/>
      <c r="AD84" s="258"/>
      <c r="AE84" s="258"/>
    </row>
    <row r="85" spans="1:31" ht="15.75" customHeight="1" x14ac:dyDescent="0.15">
      <c r="A85" s="249"/>
      <c r="B85" s="283"/>
      <c r="C85" s="299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631"/>
      <c r="AA85" s="631"/>
      <c r="AC85" s="262"/>
      <c r="AD85" s="262"/>
      <c r="AE85" s="262"/>
    </row>
    <row r="86" spans="1:31" ht="22.5" customHeight="1" thickBot="1" x14ac:dyDescent="0.2">
      <c r="A86" s="279" t="s">
        <v>261</v>
      </c>
      <c r="B86" s="280"/>
      <c r="C86" s="281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609"/>
      <c r="AA86" s="609"/>
      <c r="AC86" s="282"/>
      <c r="AD86" s="282"/>
      <c r="AE86" s="282"/>
    </row>
    <row r="87" spans="1:31" s="354" customFormat="1" ht="15.75" customHeight="1" x14ac:dyDescent="0.15">
      <c r="A87" s="380" t="s">
        <v>426</v>
      </c>
      <c r="B87" s="369" t="str">
        <f>Settings!$C$6</f>
        <v>CAD</v>
      </c>
      <c r="C87" s="491">
        <f>-'CSS Settings'!$I$39</f>
        <v>-2000</v>
      </c>
      <c r="D87" s="491">
        <f>-'CSS Settings'!$I$39</f>
        <v>-2000</v>
      </c>
      <c r="E87" s="491">
        <f>-'CSS Settings'!$I$39</f>
        <v>-2000</v>
      </c>
      <c r="F87" s="491">
        <f>-'CSS Settings'!$I$39</f>
        <v>-2000</v>
      </c>
      <c r="G87" s="491">
        <f>-'CSS Settings'!$I$39</f>
        <v>-2000</v>
      </c>
      <c r="H87" s="491">
        <v>0</v>
      </c>
      <c r="I87" s="491">
        <v>0</v>
      </c>
      <c r="J87" s="491">
        <v>0</v>
      </c>
      <c r="K87" s="491">
        <v>0</v>
      </c>
      <c r="L87" s="491">
        <v>0</v>
      </c>
      <c r="M87" s="491">
        <v>0</v>
      </c>
      <c r="N87" s="491">
        <v>0</v>
      </c>
      <c r="O87" s="491">
        <v>0</v>
      </c>
      <c r="P87" s="491">
        <v>0</v>
      </c>
      <c r="Q87" s="491">
        <v>0</v>
      </c>
      <c r="R87" s="491">
        <v>0</v>
      </c>
      <c r="S87" s="491">
        <v>0</v>
      </c>
      <c r="T87" s="491">
        <v>0</v>
      </c>
      <c r="U87" s="491">
        <v>0</v>
      </c>
      <c r="V87" s="491">
        <v>0</v>
      </c>
      <c r="W87" s="491">
        <v>0</v>
      </c>
      <c r="X87" s="491">
        <v>0</v>
      </c>
      <c r="Y87" s="491">
        <v>0</v>
      </c>
      <c r="Z87" s="637">
        <v>0</v>
      </c>
      <c r="AA87" s="637">
        <v>0</v>
      </c>
      <c r="AC87" s="370">
        <f t="shared" ref="AC87:AC89" si="118">SUM(H87:AA87)</f>
        <v>0</v>
      </c>
      <c r="AD87" s="370">
        <f t="shared" ref="AD87:AD89" si="119">SUM(H87:O87)</f>
        <v>0</v>
      </c>
      <c r="AE87" s="370">
        <f t="shared" ref="AE87:AE89" si="120">SUM(P87:AA87)</f>
        <v>0</v>
      </c>
    </row>
    <row r="88" spans="1:31" s="495" customFormat="1" ht="15.75" customHeight="1" x14ac:dyDescent="0.15">
      <c r="A88" s="380" t="s">
        <v>262</v>
      </c>
      <c r="B88" s="369" t="str">
        <f>Settings!$C$6</f>
        <v>CAD</v>
      </c>
      <c r="C88" s="497">
        <v>0</v>
      </c>
      <c r="D88" s="497">
        <v>0</v>
      </c>
      <c r="E88" s="497">
        <v>0</v>
      </c>
      <c r="F88" s="497">
        <v>0</v>
      </c>
      <c r="G88" s="497">
        <v>0</v>
      </c>
      <c r="H88" s="497">
        <v>0</v>
      </c>
      <c r="I88" s="497">
        <v>0</v>
      </c>
      <c r="J88" s="497">
        <v>0</v>
      </c>
      <c r="K88" s="497">
        <v>0</v>
      </c>
      <c r="L88" s="497">
        <v>0</v>
      </c>
      <c r="M88" s="497">
        <v>0</v>
      </c>
      <c r="N88" s="497">
        <v>0</v>
      </c>
      <c r="O88" s="497">
        <v>0</v>
      </c>
      <c r="P88" s="497">
        <v>0</v>
      </c>
      <c r="Q88" s="497">
        <v>0</v>
      </c>
      <c r="R88" s="497">
        <v>0</v>
      </c>
      <c r="S88" s="497">
        <v>0</v>
      </c>
      <c r="T88" s="497">
        <v>0</v>
      </c>
      <c r="U88" s="497">
        <v>0</v>
      </c>
      <c r="V88" s="497">
        <v>0</v>
      </c>
      <c r="W88" s="497">
        <v>0</v>
      </c>
      <c r="X88" s="497">
        <v>0</v>
      </c>
      <c r="Y88" s="497">
        <v>0</v>
      </c>
      <c r="Z88" s="638">
        <v>0</v>
      </c>
      <c r="AA88" s="638">
        <v>0</v>
      </c>
      <c r="AC88" s="370">
        <f t="shared" si="118"/>
        <v>0</v>
      </c>
      <c r="AD88" s="370">
        <f t="shared" si="119"/>
        <v>0</v>
      </c>
      <c r="AE88" s="370">
        <f t="shared" si="120"/>
        <v>0</v>
      </c>
    </row>
    <row r="89" spans="1:31" s="495" customFormat="1" ht="15.75" customHeight="1" x14ac:dyDescent="0.15">
      <c r="A89" s="380" t="s">
        <v>263</v>
      </c>
      <c r="B89" s="369" t="str">
        <f>Settings!$C$6</f>
        <v>CAD</v>
      </c>
      <c r="C89" s="492">
        <v>0</v>
      </c>
      <c r="D89" s="493">
        <f t="shared" ref="D89:T89" si="121">C89</f>
        <v>0</v>
      </c>
      <c r="E89" s="493">
        <f t="shared" si="121"/>
        <v>0</v>
      </c>
      <c r="F89" s="493">
        <f t="shared" si="121"/>
        <v>0</v>
      </c>
      <c r="G89" s="493">
        <f t="shared" si="121"/>
        <v>0</v>
      </c>
      <c r="H89" s="493">
        <f t="shared" si="121"/>
        <v>0</v>
      </c>
      <c r="I89" s="493">
        <f t="shared" si="121"/>
        <v>0</v>
      </c>
      <c r="J89" s="493">
        <f t="shared" si="121"/>
        <v>0</v>
      </c>
      <c r="K89" s="493">
        <f t="shared" si="121"/>
        <v>0</v>
      </c>
      <c r="L89" s="493">
        <f t="shared" si="121"/>
        <v>0</v>
      </c>
      <c r="M89" s="493">
        <f t="shared" si="121"/>
        <v>0</v>
      </c>
      <c r="N89" s="493">
        <f t="shared" si="121"/>
        <v>0</v>
      </c>
      <c r="O89" s="493">
        <f t="shared" si="121"/>
        <v>0</v>
      </c>
      <c r="P89" s="493">
        <f t="shared" si="121"/>
        <v>0</v>
      </c>
      <c r="Q89" s="493">
        <f t="shared" si="121"/>
        <v>0</v>
      </c>
      <c r="R89" s="493">
        <f t="shared" si="121"/>
        <v>0</v>
      </c>
      <c r="S89" s="493">
        <f t="shared" si="121"/>
        <v>0</v>
      </c>
      <c r="T89" s="493">
        <f t="shared" si="121"/>
        <v>0</v>
      </c>
      <c r="U89" s="493">
        <f t="shared" ref="U89" si="122">T89</f>
        <v>0</v>
      </c>
      <c r="V89" s="493">
        <f t="shared" ref="V89" si="123">U89</f>
        <v>0</v>
      </c>
      <c r="W89" s="493">
        <f t="shared" ref="W89" si="124">V89</f>
        <v>0</v>
      </c>
      <c r="X89" s="493">
        <f t="shared" ref="X89" si="125">W89</f>
        <v>0</v>
      </c>
      <c r="Y89" s="493">
        <f t="shared" ref="Y89" si="126">X89</f>
        <v>0</v>
      </c>
      <c r="Z89" s="625">
        <f t="shared" ref="Z89:AA89" si="127">Y89</f>
        <v>0</v>
      </c>
      <c r="AA89" s="625">
        <f t="shared" si="127"/>
        <v>0</v>
      </c>
      <c r="AC89" s="370">
        <f t="shared" si="118"/>
        <v>0</v>
      </c>
      <c r="AD89" s="370">
        <f t="shared" si="119"/>
        <v>0</v>
      </c>
      <c r="AE89" s="370">
        <f t="shared" si="120"/>
        <v>0</v>
      </c>
    </row>
    <row r="90" spans="1:31" s="354" customFormat="1" ht="15.75" customHeight="1" x14ac:dyDescent="0.15">
      <c r="A90" s="373" t="s">
        <v>264</v>
      </c>
      <c r="B90" s="374" t="str">
        <f>Settings!$C$6</f>
        <v>CAD</v>
      </c>
      <c r="C90" s="381">
        <f t="shared" ref="C90:T90" si="128">SUM(C87:C89)</f>
        <v>-2000</v>
      </c>
      <c r="D90" s="375">
        <f t="shared" si="128"/>
        <v>-2000</v>
      </c>
      <c r="E90" s="375">
        <f t="shared" si="128"/>
        <v>-2000</v>
      </c>
      <c r="F90" s="375">
        <f t="shared" si="128"/>
        <v>-2000</v>
      </c>
      <c r="G90" s="375">
        <f t="shared" si="128"/>
        <v>-2000</v>
      </c>
      <c r="H90" s="375">
        <f t="shared" si="128"/>
        <v>0</v>
      </c>
      <c r="I90" s="375">
        <f t="shared" si="128"/>
        <v>0</v>
      </c>
      <c r="J90" s="375">
        <f t="shared" si="128"/>
        <v>0</v>
      </c>
      <c r="K90" s="375">
        <f t="shared" si="128"/>
        <v>0</v>
      </c>
      <c r="L90" s="375">
        <f t="shared" si="128"/>
        <v>0</v>
      </c>
      <c r="M90" s="375">
        <f t="shared" si="128"/>
        <v>0</v>
      </c>
      <c r="N90" s="375">
        <f t="shared" si="128"/>
        <v>0</v>
      </c>
      <c r="O90" s="375">
        <f t="shared" si="128"/>
        <v>0</v>
      </c>
      <c r="P90" s="375">
        <f t="shared" si="128"/>
        <v>0</v>
      </c>
      <c r="Q90" s="375">
        <f t="shared" si="128"/>
        <v>0</v>
      </c>
      <c r="R90" s="375">
        <f t="shared" si="128"/>
        <v>0</v>
      </c>
      <c r="S90" s="375">
        <f t="shared" si="128"/>
        <v>0</v>
      </c>
      <c r="T90" s="375">
        <f t="shared" si="128"/>
        <v>0</v>
      </c>
      <c r="U90" s="375">
        <f t="shared" ref="U90:X90" si="129">SUM(U87:U89)</f>
        <v>0</v>
      </c>
      <c r="V90" s="375">
        <f t="shared" si="129"/>
        <v>0</v>
      </c>
      <c r="W90" s="375">
        <f t="shared" si="129"/>
        <v>0</v>
      </c>
      <c r="X90" s="375">
        <f t="shared" si="129"/>
        <v>0</v>
      </c>
      <c r="Y90" s="375">
        <f t="shared" ref="Y90:Z90" si="130">SUM(Y87:Y89)</f>
        <v>0</v>
      </c>
      <c r="Z90" s="636">
        <f t="shared" si="130"/>
        <v>0</v>
      </c>
      <c r="AA90" s="636">
        <f t="shared" ref="AA90" si="131">SUM(AA87:AA89)</f>
        <v>0</v>
      </c>
      <c r="AC90" s="375">
        <f t="shared" ref="AC90:AE90" si="132">SUM(AC87:AC89)</f>
        <v>0</v>
      </c>
      <c r="AD90" s="375">
        <f t="shared" si="132"/>
        <v>0</v>
      </c>
      <c r="AE90" s="375">
        <f t="shared" si="132"/>
        <v>0</v>
      </c>
    </row>
    <row r="91" spans="1:31" ht="15.75" customHeight="1" x14ac:dyDescent="0.15">
      <c r="A91" s="249"/>
      <c r="B91" s="283"/>
      <c r="C91" s="299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631"/>
      <c r="AA91" s="631"/>
      <c r="AC91" s="262"/>
      <c r="AD91" s="262"/>
      <c r="AE91" s="262"/>
    </row>
    <row r="92" spans="1:31" ht="22.5" customHeight="1" thickBot="1" x14ac:dyDescent="0.2">
      <c r="A92" s="279" t="s">
        <v>265</v>
      </c>
      <c r="B92" s="280"/>
      <c r="C92" s="281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609"/>
      <c r="AA92" s="609"/>
      <c r="AC92" s="282"/>
      <c r="AD92" s="282"/>
      <c r="AE92" s="282"/>
    </row>
    <row r="93" spans="1:31" ht="15.75" customHeight="1" x14ac:dyDescent="0.15">
      <c r="A93" s="249" t="str">
        <f>'CSS Settings'!H17</f>
        <v>Insurance Expense - Corporate</v>
      </c>
      <c r="B93" s="283" t="str">
        <f>Settings!$C$6</f>
        <v>CAD</v>
      </c>
      <c r="C93" s="491">
        <f>-'CSS Settings'!$I$17</f>
        <v>-150</v>
      </c>
      <c r="D93" s="491">
        <f>-'CSS Settings'!$I$17</f>
        <v>-150</v>
      </c>
      <c r="E93" s="491">
        <f>-'CSS Settings'!$I$17</f>
        <v>-150</v>
      </c>
      <c r="F93" s="491">
        <f>-'CSS Settings'!$I$17</f>
        <v>-150</v>
      </c>
      <c r="G93" s="491">
        <f>-'CSS Settings'!$I$17</f>
        <v>-150</v>
      </c>
      <c r="H93" s="491">
        <f>-'CSS Settings'!$I$17</f>
        <v>-150</v>
      </c>
      <c r="I93" s="491">
        <f>-'CSS Settings'!$I$17</f>
        <v>-150</v>
      </c>
      <c r="J93" s="491">
        <f>-'CSS Settings'!$I$17</f>
        <v>-150</v>
      </c>
      <c r="K93" s="491">
        <f>-'CSS Settings'!$I$17</f>
        <v>-150</v>
      </c>
      <c r="L93" s="491">
        <f>-'CSS Settings'!$I$17</f>
        <v>-150</v>
      </c>
      <c r="M93" s="491">
        <f>-'CSS Settings'!$I$17</f>
        <v>-150</v>
      </c>
      <c r="N93" s="491">
        <f>-'CSS Settings'!$I$17</f>
        <v>-150</v>
      </c>
      <c r="O93" s="491">
        <f>-'CSS Settings'!$I$17</f>
        <v>-150</v>
      </c>
      <c r="P93" s="491">
        <f>-'CSS Settings'!$I$17</f>
        <v>-150</v>
      </c>
      <c r="Q93" s="491">
        <f>-'CSS Settings'!$I$17</f>
        <v>-150</v>
      </c>
      <c r="R93" s="491">
        <f>-'CSS Settings'!$I$17</f>
        <v>-150</v>
      </c>
      <c r="S93" s="491">
        <f>-'CSS Settings'!$I$17</f>
        <v>-150</v>
      </c>
      <c r="T93" s="491">
        <f>-'CSS Settings'!$I$17</f>
        <v>-150</v>
      </c>
      <c r="U93" s="491">
        <f>-'CSS Settings'!$I$17</f>
        <v>-150</v>
      </c>
      <c r="V93" s="491">
        <f>-'CSS Settings'!$I$17</f>
        <v>-150</v>
      </c>
      <c r="W93" s="491">
        <f>-'CSS Settings'!$I$17</f>
        <v>-150</v>
      </c>
      <c r="X93" s="491">
        <f>-'CSS Settings'!$I$17</f>
        <v>-150</v>
      </c>
      <c r="Y93" s="491">
        <f>-'CSS Settings'!$I$17</f>
        <v>-150</v>
      </c>
      <c r="Z93" s="637">
        <f>-'CSS Settings'!$I$17</f>
        <v>-150</v>
      </c>
      <c r="AA93" s="637">
        <f>-'CSS Settings'!$I$17</f>
        <v>-150</v>
      </c>
      <c r="AC93" s="370">
        <f t="shared" ref="AC93:AC102" si="133">SUM(H93:AA93)</f>
        <v>-3000</v>
      </c>
      <c r="AD93" s="370">
        <f t="shared" ref="AD93:AD102" si="134">SUM(H93:O93)</f>
        <v>-1200</v>
      </c>
      <c r="AE93" s="370">
        <f t="shared" ref="AE93:AE102" si="135">SUM(P93:AA93)</f>
        <v>-1800</v>
      </c>
    </row>
    <row r="94" spans="1:31" ht="15.75" customHeight="1" x14ac:dyDescent="0.15">
      <c r="A94" s="249" t="str">
        <f>'CSS Settings'!H22</f>
        <v>Telephone Expense - Voip and Cell</v>
      </c>
      <c r="B94" s="283" t="s">
        <v>99</v>
      </c>
      <c r="C94" s="491">
        <f>-'CSS Settings'!$I$22</f>
        <v>-39.886699999999998</v>
      </c>
      <c r="D94" s="491">
        <f>-'CSS Settings'!$I$22</f>
        <v>-39.886699999999998</v>
      </c>
      <c r="E94" s="491">
        <f>-'CSS Settings'!$I$22</f>
        <v>-39.886699999999998</v>
      </c>
      <c r="F94" s="491">
        <f>-'CSS Settings'!$I$22</f>
        <v>-39.886699999999998</v>
      </c>
      <c r="G94" s="491">
        <f>-'CSS Settings'!$I$22</f>
        <v>-39.886699999999998</v>
      </c>
      <c r="H94" s="491">
        <f>-'CSS Settings'!$I$22</f>
        <v>-39.886699999999998</v>
      </c>
      <c r="I94" s="491">
        <f>-'CSS Settings'!$I$22</f>
        <v>-39.886699999999998</v>
      </c>
      <c r="J94" s="491">
        <f>-'CSS Settings'!$I$22</f>
        <v>-39.886699999999998</v>
      </c>
      <c r="K94" s="491">
        <f>-'CSS Settings'!$I$22</f>
        <v>-39.886699999999998</v>
      </c>
      <c r="L94" s="491">
        <f>-'CSS Settings'!$I$22</f>
        <v>-39.886699999999998</v>
      </c>
      <c r="M94" s="491">
        <f>-'CSS Settings'!$I$22</f>
        <v>-39.886699999999998</v>
      </c>
      <c r="N94" s="491">
        <f>-'CSS Settings'!$I$22</f>
        <v>-39.886699999999998</v>
      </c>
      <c r="O94" s="491">
        <f>-'CSS Settings'!$I$22</f>
        <v>-39.886699999999998</v>
      </c>
      <c r="P94" s="491">
        <f>-'CSS Settings'!$I$22</f>
        <v>-39.886699999999998</v>
      </c>
      <c r="Q94" s="491">
        <f>-'CSS Settings'!$I$22</f>
        <v>-39.886699999999998</v>
      </c>
      <c r="R94" s="491">
        <f>-'CSS Settings'!$I$22</f>
        <v>-39.886699999999998</v>
      </c>
      <c r="S94" s="491">
        <f>-'CSS Settings'!$I$22</f>
        <v>-39.886699999999998</v>
      </c>
      <c r="T94" s="491">
        <f>-'CSS Settings'!$I$22</f>
        <v>-39.886699999999998</v>
      </c>
      <c r="U94" s="491">
        <f>-'CSS Settings'!$I$22</f>
        <v>-39.886699999999998</v>
      </c>
      <c r="V94" s="491">
        <f>-'CSS Settings'!$I$22</f>
        <v>-39.886699999999998</v>
      </c>
      <c r="W94" s="491">
        <f>-'CSS Settings'!$I$22</f>
        <v>-39.886699999999998</v>
      </c>
      <c r="X94" s="491">
        <f>-'CSS Settings'!$I$22</f>
        <v>-39.886699999999998</v>
      </c>
      <c r="Y94" s="491">
        <f>-'CSS Settings'!$I$22</f>
        <v>-39.886699999999998</v>
      </c>
      <c r="Z94" s="637">
        <f>-'CSS Settings'!$I$22</f>
        <v>-39.886699999999998</v>
      </c>
      <c r="AA94" s="637">
        <f>-'CSS Settings'!$I$22</f>
        <v>-39.886699999999998</v>
      </c>
      <c r="AC94" s="370">
        <f t="shared" si="133"/>
        <v>-797.73400000000015</v>
      </c>
      <c r="AD94" s="370">
        <f t="shared" si="134"/>
        <v>-319.09359999999998</v>
      </c>
      <c r="AE94" s="370">
        <f t="shared" si="135"/>
        <v>-478.64040000000006</v>
      </c>
    </row>
    <row r="95" spans="1:31" ht="15.75" customHeight="1" x14ac:dyDescent="0.15">
      <c r="A95" s="249" t="str">
        <f>'CSS Settings'!H23</f>
        <v>Internet Expense</v>
      </c>
      <c r="B95" s="283" t="str">
        <f>Settings!$C$6</f>
        <v>CAD</v>
      </c>
      <c r="C95" s="491">
        <f>-'CSS Settings'!$I$23</f>
        <v>0</v>
      </c>
      <c r="D95" s="491">
        <f>-'CSS Settings'!$I$23</f>
        <v>0</v>
      </c>
      <c r="E95" s="491">
        <f>-'CSS Settings'!$I$23</f>
        <v>0</v>
      </c>
      <c r="F95" s="491">
        <f>-'CSS Settings'!$I$23</f>
        <v>0</v>
      </c>
      <c r="G95" s="491">
        <f>-'CSS Settings'!$I$23</f>
        <v>0</v>
      </c>
      <c r="H95" s="491">
        <f>-'CSS Settings'!$I$23</f>
        <v>0</v>
      </c>
      <c r="I95" s="491">
        <f>-'CSS Settings'!$I$23</f>
        <v>0</v>
      </c>
      <c r="J95" s="491">
        <f>-'CSS Settings'!$I$23</f>
        <v>0</v>
      </c>
      <c r="K95" s="491">
        <f>-'CSS Settings'!$I$23</f>
        <v>0</v>
      </c>
      <c r="L95" s="491">
        <f>-'CSS Settings'!$I$23</f>
        <v>0</v>
      </c>
      <c r="M95" s="491">
        <f>-'CSS Settings'!$I$23</f>
        <v>0</v>
      </c>
      <c r="N95" s="491">
        <f>-'CSS Settings'!$I$23</f>
        <v>0</v>
      </c>
      <c r="O95" s="491">
        <f>-'CSS Settings'!$I$23</f>
        <v>0</v>
      </c>
      <c r="P95" s="491">
        <f>-'CSS Settings'!$I$23</f>
        <v>0</v>
      </c>
      <c r="Q95" s="491">
        <f>-'CSS Settings'!$I$23</f>
        <v>0</v>
      </c>
      <c r="R95" s="491">
        <f>-'CSS Settings'!$I$23</f>
        <v>0</v>
      </c>
      <c r="S95" s="491">
        <f>-'CSS Settings'!$I$23</f>
        <v>0</v>
      </c>
      <c r="T95" s="491">
        <f>-'CSS Settings'!$I$23</f>
        <v>0</v>
      </c>
      <c r="U95" s="491">
        <f>-'CSS Settings'!$I$23</f>
        <v>0</v>
      </c>
      <c r="V95" s="491">
        <f>-'CSS Settings'!$I$23</f>
        <v>0</v>
      </c>
      <c r="W95" s="491">
        <f>-'CSS Settings'!$I$23</f>
        <v>0</v>
      </c>
      <c r="X95" s="491">
        <f>-'CSS Settings'!$I$23</f>
        <v>0</v>
      </c>
      <c r="Y95" s="491">
        <f>-'CSS Settings'!$I$23</f>
        <v>0</v>
      </c>
      <c r="Z95" s="637">
        <f>-'CSS Settings'!$I$23</f>
        <v>0</v>
      </c>
      <c r="AA95" s="637">
        <f>-'CSS Settings'!$I$23</f>
        <v>0</v>
      </c>
      <c r="AC95" s="370">
        <f t="shared" si="133"/>
        <v>0</v>
      </c>
      <c r="AD95" s="370">
        <f t="shared" si="134"/>
        <v>0</v>
      </c>
      <c r="AE95" s="370">
        <f t="shared" si="135"/>
        <v>0</v>
      </c>
    </row>
    <row r="96" spans="1:31" ht="15.75" customHeight="1" x14ac:dyDescent="0.15">
      <c r="A96" s="249" t="str">
        <f>'CSS Settings'!H24</f>
        <v>Utilities Expense</v>
      </c>
      <c r="B96" s="283" t="str">
        <f>Settings!$C$6</f>
        <v>CAD</v>
      </c>
      <c r="C96" s="491">
        <f>-'CSS Settings'!$I$24</f>
        <v>0</v>
      </c>
      <c r="D96" s="491">
        <f>-'CSS Settings'!$I$24</f>
        <v>0</v>
      </c>
      <c r="E96" s="491">
        <f>-'CSS Settings'!$I$24</f>
        <v>0</v>
      </c>
      <c r="F96" s="491">
        <f>-'CSS Settings'!$I$24</f>
        <v>0</v>
      </c>
      <c r="G96" s="491">
        <f>-'CSS Settings'!$I$24</f>
        <v>0</v>
      </c>
      <c r="H96" s="491">
        <f>-'CSS Settings'!$I$24</f>
        <v>0</v>
      </c>
      <c r="I96" s="491">
        <f>-'CSS Settings'!$I$24</f>
        <v>0</v>
      </c>
      <c r="J96" s="491">
        <f>-'CSS Settings'!$I$24</f>
        <v>0</v>
      </c>
      <c r="K96" s="491">
        <f>-'CSS Settings'!$I$24</f>
        <v>0</v>
      </c>
      <c r="L96" s="491">
        <f>-'CSS Settings'!$I$24</f>
        <v>0</v>
      </c>
      <c r="M96" s="491">
        <f>-'CSS Settings'!$I$24</f>
        <v>0</v>
      </c>
      <c r="N96" s="491">
        <f>-'CSS Settings'!$I$24</f>
        <v>0</v>
      </c>
      <c r="O96" s="491">
        <f>-'CSS Settings'!$I$24</f>
        <v>0</v>
      </c>
      <c r="P96" s="491">
        <f>-'CSS Settings'!$I$24</f>
        <v>0</v>
      </c>
      <c r="Q96" s="491">
        <f>-'CSS Settings'!$I$24</f>
        <v>0</v>
      </c>
      <c r="R96" s="491">
        <f>-'CSS Settings'!$I$24</f>
        <v>0</v>
      </c>
      <c r="S96" s="491">
        <f>-'CSS Settings'!$I$24</f>
        <v>0</v>
      </c>
      <c r="T96" s="491">
        <f>-'CSS Settings'!$I$24</f>
        <v>0</v>
      </c>
      <c r="U96" s="491">
        <f>-'CSS Settings'!$I$24</f>
        <v>0</v>
      </c>
      <c r="V96" s="491">
        <f>-'CSS Settings'!$I$24</f>
        <v>0</v>
      </c>
      <c r="W96" s="491">
        <f>-'CSS Settings'!$I$24</f>
        <v>0</v>
      </c>
      <c r="X96" s="491">
        <f>-'CSS Settings'!$I$24</f>
        <v>0</v>
      </c>
      <c r="Y96" s="491">
        <f>-'CSS Settings'!$I$24</f>
        <v>0</v>
      </c>
      <c r="Z96" s="637">
        <f>-'CSS Settings'!$I$24</f>
        <v>0</v>
      </c>
      <c r="AA96" s="637">
        <f>-'CSS Settings'!$I$24</f>
        <v>0</v>
      </c>
      <c r="AC96" s="370">
        <f t="shared" si="133"/>
        <v>0</v>
      </c>
      <c r="AD96" s="370">
        <f t="shared" si="134"/>
        <v>0</v>
      </c>
      <c r="AE96" s="370">
        <f t="shared" si="135"/>
        <v>0</v>
      </c>
    </row>
    <row r="97" spans="1:31" ht="15.75" customHeight="1" x14ac:dyDescent="0.15">
      <c r="A97" s="249" t="str">
        <f>'CSS Settings'!H25</f>
        <v>Bank Charges</v>
      </c>
      <c r="B97" s="283" t="str">
        <f>Settings!$C$6</f>
        <v>CAD</v>
      </c>
      <c r="C97" s="491">
        <f>-'CSS Settings'!$I$25</f>
        <v>-50</v>
      </c>
      <c r="D97" s="491">
        <f>-'CSS Settings'!$I$25</f>
        <v>-50</v>
      </c>
      <c r="E97" s="491">
        <f>-'CSS Settings'!$I$25</f>
        <v>-50</v>
      </c>
      <c r="F97" s="491">
        <f>-'CSS Settings'!$I$25</f>
        <v>-50</v>
      </c>
      <c r="G97" s="491">
        <f>-'CSS Settings'!$I$25</f>
        <v>-50</v>
      </c>
      <c r="H97" s="491">
        <f>-'CSS Settings'!$I$25</f>
        <v>-50</v>
      </c>
      <c r="I97" s="491">
        <f>-'CSS Settings'!$I$25</f>
        <v>-50</v>
      </c>
      <c r="J97" s="491">
        <f>-'CSS Settings'!$I$25</f>
        <v>-50</v>
      </c>
      <c r="K97" s="491">
        <f>-'CSS Settings'!$I$25</f>
        <v>-50</v>
      </c>
      <c r="L97" s="491">
        <f>-'CSS Settings'!$I$25</f>
        <v>-50</v>
      </c>
      <c r="M97" s="491">
        <f>-'CSS Settings'!$I$25</f>
        <v>-50</v>
      </c>
      <c r="N97" s="491">
        <f>-'CSS Settings'!$I$25</f>
        <v>-50</v>
      </c>
      <c r="O97" s="491">
        <f>-'CSS Settings'!$I$25</f>
        <v>-50</v>
      </c>
      <c r="P97" s="491">
        <f>-'CSS Settings'!$I$25</f>
        <v>-50</v>
      </c>
      <c r="Q97" s="491">
        <f>-'CSS Settings'!$I$25</f>
        <v>-50</v>
      </c>
      <c r="R97" s="491">
        <f>-'CSS Settings'!$I$25</f>
        <v>-50</v>
      </c>
      <c r="S97" s="491">
        <f>-'CSS Settings'!$I$25</f>
        <v>-50</v>
      </c>
      <c r="T97" s="491">
        <f>-'CSS Settings'!$I$25</f>
        <v>-50</v>
      </c>
      <c r="U97" s="491">
        <f>-'CSS Settings'!$I$25</f>
        <v>-50</v>
      </c>
      <c r="V97" s="491">
        <f>-'CSS Settings'!$I$25</f>
        <v>-50</v>
      </c>
      <c r="W97" s="491">
        <f>-'CSS Settings'!$I$25</f>
        <v>-50</v>
      </c>
      <c r="X97" s="491">
        <f>-'CSS Settings'!$I$25</f>
        <v>-50</v>
      </c>
      <c r="Y97" s="491">
        <f>-'CSS Settings'!$I$25</f>
        <v>-50</v>
      </c>
      <c r="Z97" s="637">
        <f>-'CSS Settings'!$I$25</f>
        <v>-50</v>
      </c>
      <c r="AA97" s="637">
        <f>-'CSS Settings'!$I$25</f>
        <v>-50</v>
      </c>
      <c r="AC97" s="370">
        <f t="shared" si="133"/>
        <v>-1000</v>
      </c>
      <c r="AD97" s="370">
        <f t="shared" si="134"/>
        <v>-400</v>
      </c>
      <c r="AE97" s="370">
        <f t="shared" si="135"/>
        <v>-600</v>
      </c>
    </row>
    <row r="98" spans="1:31" ht="15.75" customHeight="1" x14ac:dyDescent="0.15">
      <c r="A98" s="249" t="str">
        <f>'CSS Settings'!H26</f>
        <v>Computer &amp; Licensing Expense</v>
      </c>
      <c r="B98" s="283" t="str">
        <f>Settings!$C$6</f>
        <v>CAD</v>
      </c>
      <c r="C98" s="491">
        <f>-'CSS Settings'!$I$26</f>
        <v>-150</v>
      </c>
      <c r="D98" s="491">
        <f>-'CSS Settings'!$I$26</f>
        <v>-150</v>
      </c>
      <c r="E98" s="491">
        <f>-'CSS Settings'!$I$26</f>
        <v>-150</v>
      </c>
      <c r="F98" s="491">
        <f>-'CSS Settings'!$I$26</f>
        <v>-150</v>
      </c>
      <c r="G98" s="491">
        <f>-'CSS Settings'!$I$26</f>
        <v>-150</v>
      </c>
      <c r="H98" s="491">
        <f>-'CSS Settings'!$I$26</f>
        <v>-150</v>
      </c>
      <c r="I98" s="491">
        <f>-'CSS Settings'!$I$26</f>
        <v>-150</v>
      </c>
      <c r="J98" s="491">
        <f>-'CSS Settings'!$I$26</f>
        <v>-150</v>
      </c>
      <c r="K98" s="491">
        <f>-'CSS Settings'!$I$26</f>
        <v>-150</v>
      </c>
      <c r="L98" s="491">
        <f>-'CSS Settings'!$I$26</f>
        <v>-150</v>
      </c>
      <c r="M98" s="491">
        <f>-'CSS Settings'!$I$26</f>
        <v>-150</v>
      </c>
      <c r="N98" s="491">
        <f>-'CSS Settings'!$I$26</f>
        <v>-150</v>
      </c>
      <c r="O98" s="491">
        <f>-'CSS Settings'!$I$26</f>
        <v>-150</v>
      </c>
      <c r="P98" s="491">
        <f>-'CSS Settings'!$I$26</f>
        <v>-150</v>
      </c>
      <c r="Q98" s="491">
        <f>-'CSS Settings'!$I$26</f>
        <v>-150</v>
      </c>
      <c r="R98" s="491">
        <f>-'CSS Settings'!$I$26</f>
        <v>-150</v>
      </c>
      <c r="S98" s="491">
        <f>-'CSS Settings'!$I$26</f>
        <v>-150</v>
      </c>
      <c r="T98" s="491">
        <f>-'CSS Settings'!$I$26</f>
        <v>-150</v>
      </c>
      <c r="U98" s="491">
        <f>-'CSS Settings'!$I$26</f>
        <v>-150</v>
      </c>
      <c r="V98" s="491">
        <f>-'CSS Settings'!$I$26</f>
        <v>-150</v>
      </c>
      <c r="W98" s="491">
        <f>-'CSS Settings'!$I$26</f>
        <v>-150</v>
      </c>
      <c r="X98" s="491">
        <f>-'CSS Settings'!$I$26</f>
        <v>-150</v>
      </c>
      <c r="Y98" s="491">
        <f>-'CSS Settings'!$I$26</f>
        <v>-150</v>
      </c>
      <c r="Z98" s="637">
        <f>-'CSS Settings'!$I$26</f>
        <v>-150</v>
      </c>
      <c r="AA98" s="637">
        <f>-'CSS Settings'!$I$26</f>
        <v>-150</v>
      </c>
      <c r="AC98" s="370">
        <f t="shared" si="133"/>
        <v>-3000</v>
      </c>
      <c r="AD98" s="370">
        <f t="shared" si="134"/>
        <v>-1200</v>
      </c>
      <c r="AE98" s="370">
        <f t="shared" si="135"/>
        <v>-1800</v>
      </c>
    </row>
    <row r="99" spans="1:31" ht="15.75" customHeight="1" x14ac:dyDescent="0.15">
      <c r="A99" s="249" t="str">
        <f>'CSS Settings'!H27</f>
        <v>Courier/Postage</v>
      </c>
      <c r="B99" s="283" t="str">
        <f>Settings!$C$6</f>
        <v>CAD</v>
      </c>
      <c r="C99" s="491">
        <f>-'CSS Settings'!$I$27</f>
        <v>0</v>
      </c>
      <c r="D99" s="491">
        <f>-'CSS Settings'!$I$27</f>
        <v>0</v>
      </c>
      <c r="E99" s="491">
        <f>-'CSS Settings'!$I$27</f>
        <v>0</v>
      </c>
      <c r="F99" s="491">
        <f>-'CSS Settings'!$I$27</f>
        <v>0</v>
      </c>
      <c r="G99" s="491">
        <f>-'CSS Settings'!$I$27</f>
        <v>0</v>
      </c>
      <c r="H99" s="491">
        <f>-'CSS Settings'!$I$27</f>
        <v>0</v>
      </c>
      <c r="I99" s="491">
        <f>-'CSS Settings'!$I$27</f>
        <v>0</v>
      </c>
      <c r="J99" s="491">
        <f>-'CSS Settings'!$I$27</f>
        <v>0</v>
      </c>
      <c r="K99" s="491">
        <f>-'CSS Settings'!$I$27</f>
        <v>0</v>
      </c>
      <c r="L99" s="491">
        <f>-'CSS Settings'!$I$27</f>
        <v>0</v>
      </c>
      <c r="M99" s="491">
        <f>-'CSS Settings'!$I$27</f>
        <v>0</v>
      </c>
      <c r="N99" s="491">
        <f>-'CSS Settings'!$I$27</f>
        <v>0</v>
      </c>
      <c r="O99" s="491">
        <f>-'CSS Settings'!$I$27</f>
        <v>0</v>
      </c>
      <c r="P99" s="491">
        <f>-'CSS Settings'!$I$27</f>
        <v>0</v>
      </c>
      <c r="Q99" s="491">
        <f>-'CSS Settings'!$I$27</f>
        <v>0</v>
      </c>
      <c r="R99" s="491">
        <f>-'CSS Settings'!$I$27</f>
        <v>0</v>
      </c>
      <c r="S99" s="491">
        <f>-'CSS Settings'!$I$27</f>
        <v>0</v>
      </c>
      <c r="T99" s="491">
        <f>-'CSS Settings'!$I$27</f>
        <v>0</v>
      </c>
      <c r="U99" s="491">
        <f>-'CSS Settings'!$I$27</f>
        <v>0</v>
      </c>
      <c r="V99" s="491">
        <f>-'CSS Settings'!$I$27</f>
        <v>0</v>
      </c>
      <c r="W99" s="491">
        <f>-'CSS Settings'!$I$27</f>
        <v>0</v>
      </c>
      <c r="X99" s="491">
        <f>-'CSS Settings'!$I$27</f>
        <v>0</v>
      </c>
      <c r="Y99" s="491">
        <f>-'CSS Settings'!$I$27</f>
        <v>0</v>
      </c>
      <c r="Z99" s="637">
        <f>-'CSS Settings'!$I$27</f>
        <v>0</v>
      </c>
      <c r="AA99" s="637">
        <f>-'CSS Settings'!$I$27</f>
        <v>0</v>
      </c>
      <c r="AC99" s="370">
        <f t="shared" si="133"/>
        <v>0</v>
      </c>
      <c r="AD99" s="370">
        <f t="shared" si="134"/>
        <v>0</v>
      </c>
      <c r="AE99" s="370">
        <f t="shared" si="135"/>
        <v>0</v>
      </c>
    </row>
    <row r="100" spans="1:31" ht="15.75" customHeight="1" x14ac:dyDescent="0.15">
      <c r="A100" s="249" t="str">
        <f>'CSS Settings'!H30</f>
        <v>Office Expense</v>
      </c>
      <c r="B100" s="283" t="str">
        <f>Settings!$C$6</f>
        <v>CAD</v>
      </c>
      <c r="C100" s="491">
        <f>-'CSS Settings'!$I$30</f>
        <v>-50</v>
      </c>
      <c r="D100" s="491">
        <f>-'CSS Settings'!$I$30</f>
        <v>-50</v>
      </c>
      <c r="E100" s="491">
        <f>-'CSS Settings'!$I$30</f>
        <v>-50</v>
      </c>
      <c r="F100" s="491">
        <f>-'CSS Settings'!$I$30</f>
        <v>-50</v>
      </c>
      <c r="G100" s="491">
        <f>-'CSS Settings'!$I$30</f>
        <v>-50</v>
      </c>
      <c r="H100" s="491">
        <f>-'CSS Settings'!$I$30</f>
        <v>-50</v>
      </c>
      <c r="I100" s="491">
        <f>-'CSS Settings'!$I$30</f>
        <v>-50</v>
      </c>
      <c r="J100" s="491">
        <f>-'CSS Settings'!$I$30</f>
        <v>-50</v>
      </c>
      <c r="K100" s="491">
        <f>-'CSS Settings'!$I$30</f>
        <v>-50</v>
      </c>
      <c r="L100" s="491">
        <f>-'CSS Settings'!$I$30</f>
        <v>-50</v>
      </c>
      <c r="M100" s="491">
        <f>-'CSS Settings'!$I$30</f>
        <v>-50</v>
      </c>
      <c r="N100" s="491">
        <f>-'CSS Settings'!$I$30</f>
        <v>-50</v>
      </c>
      <c r="O100" s="491">
        <f>-'CSS Settings'!$I$30</f>
        <v>-50</v>
      </c>
      <c r="P100" s="491">
        <f>-'CSS Settings'!$I$30</f>
        <v>-50</v>
      </c>
      <c r="Q100" s="491">
        <f>-'CSS Settings'!$I$30</f>
        <v>-50</v>
      </c>
      <c r="R100" s="491">
        <f>-'CSS Settings'!$I$30</f>
        <v>-50</v>
      </c>
      <c r="S100" s="491">
        <f>-'CSS Settings'!$I$30</f>
        <v>-50</v>
      </c>
      <c r="T100" s="491">
        <f>-'CSS Settings'!$I$30</f>
        <v>-50</v>
      </c>
      <c r="U100" s="491">
        <f>-'CSS Settings'!$I$30</f>
        <v>-50</v>
      </c>
      <c r="V100" s="491">
        <f>-'CSS Settings'!$I$30</f>
        <v>-50</v>
      </c>
      <c r="W100" s="491">
        <f>-'CSS Settings'!$I$30</f>
        <v>-50</v>
      </c>
      <c r="X100" s="491">
        <f>-'CSS Settings'!$I$30</f>
        <v>-50</v>
      </c>
      <c r="Y100" s="491">
        <f>-'CSS Settings'!$I$30</f>
        <v>-50</v>
      </c>
      <c r="Z100" s="637">
        <f>-'CSS Settings'!$I$30</f>
        <v>-50</v>
      </c>
      <c r="AA100" s="637">
        <f>-'CSS Settings'!$I$30</f>
        <v>-50</v>
      </c>
      <c r="AC100" s="370">
        <f t="shared" si="133"/>
        <v>-1000</v>
      </c>
      <c r="AD100" s="370">
        <f t="shared" si="134"/>
        <v>-400</v>
      </c>
      <c r="AE100" s="370">
        <f t="shared" si="135"/>
        <v>-600</v>
      </c>
    </row>
    <row r="101" spans="1:31" ht="15.75" customHeight="1" x14ac:dyDescent="0.15">
      <c r="A101" s="249" t="str">
        <f>'CSS Settings'!H31</f>
        <v>Travel</v>
      </c>
      <c r="B101" s="283" t="str">
        <f>Settings!$C$6</f>
        <v>CAD</v>
      </c>
      <c r="C101" s="491">
        <f>-'CSS Settings'!$I$31</f>
        <v>0</v>
      </c>
      <c r="D101" s="491">
        <f>-'CSS Settings'!$I$31</f>
        <v>0</v>
      </c>
      <c r="E101" s="491">
        <f>-'CSS Settings'!$I$31</f>
        <v>0</v>
      </c>
      <c r="F101" s="491">
        <f>-'CSS Settings'!$I$31</f>
        <v>0</v>
      </c>
      <c r="G101" s="491">
        <f>-'CSS Settings'!$I$31</f>
        <v>0</v>
      </c>
      <c r="H101" s="491">
        <f>-'CSS Settings'!$I$31</f>
        <v>0</v>
      </c>
      <c r="I101" s="491">
        <f>-'CSS Settings'!$I$31</f>
        <v>0</v>
      </c>
      <c r="J101" s="491">
        <f>-'CSS Settings'!$I$31</f>
        <v>0</v>
      </c>
      <c r="K101" s="491">
        <f>-'CSS Settings'!$I$31</f>
        <v>0</v>
      </c>
      <c r="L101" s="491">
        <f>-'CSS Settings'!$I$31</f>
        <v>0</v>
      </c>
      <c r="M101" s="491">
        <f>-'CSS Settings'!$I$31</f>
        <v>0</v>
      </c>
      <c r="N101" s="491">
        <f>-'CSS Settings'!$I$31</f>
        <v>0</v>
      </c>
      <c r="O101" s="491">
        <f>-'CSS Settings'!$I$31</f>
        <v>0</v>
      </c>
      <c r="P101" s="491">
        <f>-'CSS Settings'!$I$31</f>
        <v>0</v>
      </c>
      <c r="Q101" s="491">
        <f>-'CSS Settings'!$I$31</f>
        <v>0</v>
      </c>
      <c r="R101" s="491">
        <f>-'CSS Settings'!$I$31</f>
        <v>0</v>
      </c>
      <c r="S101" s="491">
        <f>-'CSS Settings'!$I$31</f>
        <v>0</v>
      </c>
      <c r="T101" s="491">
        <f>-'CSS Settings'!$I$31</f>
        <v>0</v>
      </c>
      <c r="U101" s="491">
        <f>-'CSS Settings'!$I$31</f>
        <v>0</v>
      </c>
      <c r="V101" s="491">
        <f>-'CSS Settings'!$I$31</f>
        <v>0</v>
      </c>
      <c r="W101" s="491">
        <f>-'CSS Settings'!$I$31</f>
        <v>0</v>
      </c>
      <c r="X101" s="491">
        <f>-'CSS Settings'!$I$31</f>
        <v>0</v>
      </c>
      <c r="Y101" s="491">
        <f>-'CSS Settings'!$I$31</f>
        <v>0</v>
      </c>
      <c r="Z101" s="637">
        <f>-'CSS Settings'!$I$31</f>
        <v>0</v>
      </c>
      <c r="AA101" s="637">
        <f>-'CSS Settings'!$I$31</f>
        <v>0</v>
      </c>
      <c r="AC101" s="370">
        <f t="shared" si="133"/>
        <v>0</v>
      </c>
      <c r="AD101" s="370">
        <f t="shared" si="134"/>
        <v>0</v>
      </c>
      <c r="AE101" s="370">
        <f t="shared" si="135"/>
        <v>0</v>
      </c>
    </row>
    <row r="102" spans="1:31" ht="15.75" customHeight="1" x14ac:dyDescent="0.15">
      <c r="A102" s="249" t="str">
        <f>'CSS Settings'!H32</f>
        <v>Meals and Entertainment</v>
      </c>
      <c r="B102" s="283" t="str">
        <f>Settings!$C$6</f>
        <v>CAD</v>
      </c>
      <c r="C102" s="491">
        <f>-'CSS Settings'!$I$32</f>
        <v>-50</v>
      </c>
      <c r="D102" s="491">
        <f>-'CSS Settings'!$I$32</f>
        <v>-50</v>
      </c>
      <c r="E102" s="491">
        <f>-'CSS Settings'!$I$32</f>
        <v>-50</v>
      </c>
      <c r="F102" s="491">
        <f>-'CSS Settings'!$I$32</f>
        <v>-50</v>
      </c>
      <c r="G102" s="491">
        <f>-'CSS Settings'!$I$32</f>
        <v>-50</v>
      </c>
      <c r="H102" s="491">
        <f>-'CSS Settings'!$I$32</f>
        <v>-50</v>
      </c>
      <c r="I102" s="491">
        <f>-'CSS Settings'!$I$32</f>
        <v>-50</v>
      </c>
      <c r="J102" s="491">
        <f>-'CSS Settings'!$I$32</f>
        <v>-50</v>
      </c>
      <c r="K102" s="491">
        <f>-'CSS Settings'!$I$32</f>
        <v>-50</v>
      </c>
      <c r="L102" s="491">
        <f>-'CSS Settings'!$I$32</f>
        <v>-50</v>
      </c>
      <c r="M102" s="491">
        <f>-'CSS Settings'!$I$32</f>
        <v>-50</v>
      </c>
      <c r="N102" s="491">
        <f>-'CSS Settings'!$I$32</f>
        <v>-50</v>
      </c>
      <c r="O102" s="491">
        <f>-'CSS Settings'!$I$32</f>
        <v>-50</v>
      </c>
      <c r="P102" s="491">
        <f>-'CSS Settings'!$I$32</f>
        <v>-50</v>
      </c>
      <c r="Q102" s="491">
        <f>-'CSS Settings'!$I$32</f>
        <v>-50</v>
      </c>
      <c r="R102" s="491">
        <f>-'CSS Settings'!$I$32</f>
        <v>-50</v>
      </c>
      <c r="S102" s="491">
        <f>-'CSS Settings'!$I$32</f>
        <v>-50</v>
      </c>
      <c r="T102" s="491">
        <f>-'CSS Settings'!$I$32</f>
        <v>-50</v>
      </c>
      <c r="U102" s="491">
        <f>-'CSS Settings'!$I$32</f>
        <v>-50</v>
      </c>
      <c r="V102" s="491">
        <f>-'CSS Settings'!$I$32</f>
        <v>-50</v>
      </c>
      <c r="W102" s="491">
        <f>-'CSS Settings'!$I$32</f>
        <v>-50</v>
      </c>
      <c r="X102" s="491">
        <f>-'CSS Settings'!$I$32</f>
        <v>-50</v>
      </c>
      <c r="Y102" s="491">
        <f>-'CSS Settings'!$I$32</f>
        <v>-50</v>
      </c>
      <c r="Z102" s="637">
        <f>-'CSS Settings'!$I$32</f>
        <v>-50</v>
      </c>
      <c r="AA102" s="637">
        <f>-'CSS Settings'!$I$32</f>
        <v>-50</v>
      </c>
      <c r="AC102" s="370">
        <f t="shared" si="133"/>
        <v>-1000</v>
      </c>
      <c r="AD102" s="370">
        <f t="shared" si="134"/>
        <v>-400</v>
      </c>
      <c r="AE102" s="370">
        <f t="shared" si="135"/>
        <v>-600</v>
      </c>
    </row>
    <row r="103" spans="1:31" s="354" customFormat="1" ht="15.75" customHeight="1" x14ac:dyDescent="0.15">
      <c r="A103" s="373" t="s">
        <v>266</v>
      </c>
      <c r="B103" s="374" t="str">
        <f>Settings!$C$6</f>
        <v>CAD</v>
      </c>
      <c r="C103" s="381">
        <f t="shared" ref="C103:T103" si="136">SUM(C93:C100)</f>
        <v>-439.88670000000002</v>
      </c>
      <c r="D103" s="375">
        <f t="shared" si="136"/>
        <v>-439.88670000000002</v>
      </c>
      <c r="E103" s="375">
        <f t="shared" si="136"/>
        <v>-439.88670000000002</v>
      </c>
      <c r="F103" s="375">
        <f t="shared" si="136"/>
        <v>-439.88670000000002</v>
      </c>
      <c r="G103" s="375">
        <f t="shared" si="136"/>
        <v>-439.88670000000002</v>
      </c>
      <c r="H103" s="375">
        <f t="shared" si="136"/>
        <v>-439.88670000000002</v>
      </c>
      <c r="I103" s="375">
        <f t="shared" si="136"/>
        <v>-439.88670000000002</v>
      </c>
      <c r="J103" s="375">
        <f t="shared" si="136"/>
        <v>-439.88670000000002</v>
      </c>
      <c r="K103" s="375">
        <f t="shared" si="136"/>
        <v>-439.88670000000002</v>
      </c>
      <c r="L103" s="375">
        <f t="shared" si="136"/>
        <v>-439.88670000000002</v>
      </c>
      <c r="M103" s="375">
        <f t="shared" si="136"/>
        <v>-439.88670000000002</v>
      </c>
      <c r="N103" s="375">
        <f t="shared" si="136"/>
        <v>-439.88670000000002</v>
      </c>
      <c r="O103" s="375">
        <f t="shared" si="136"/>
        <v>-439.88670000000002</v>
      </c>
      <c r="P103" s="375">
        <f t="shared" si="136"/>
        <v>-439.88670000000002</v>
      </c>
      <c r="Q103" s="375">
        <f t="shared" si="136"/>
        <v>-439.88670000000002</v>
      </c>
      <c r="R103" s="375">
        <f t="shared" si="136"/>
        <v>-439.88670000000002</v>
      </c>
      <c r="S103" s="375">
        <f t="shared" si="136"/>
        <v>-439.88670000000002</v>
      </c>
      <c r="T103" s="375">
        <f t="shared" si="136"/>
        <v>-439.88670000000002</v>
      </c>
      <c r="U103" s="375">
        <f t="shared" ref="U103:X103" si="137">SUM(U93:U100)</f>
        <v>-439.88670000000002</v>
      </c>
      <c r="V103" s="375">
        <f t="shared" si="137"/>
        <v>-439.88670000000002</v>
      </c>
      <c r="W103" s="375">
        <f t="shared" si="137"/>
        <v>-439.88670000000002</v>
      </c>
      <c r="X103" s="375">
        <f t="shared" si="137"/>
        <v>-439.88670000000002</v>
      </c>
      <c r="Y103" s="375">
        <f t="shared" ref="Y103:Z103" si="138">SUM(Y93:Y100)</f>
        <v>-439.88670000000002</v>
      </c>
      <c r="Z103" s="636">
        <f t="shared" si="138"/>
        <v>-439.88670000000002</v>
      </c>
      <c r="AA103" s="636">
        <f t="shared" ref="AA103" si="139">SUM(AA93:AA100)</f>
        <v>-439.88670000000002</v>
      </c>
      <c r="AC103" s="375">
        <f t="shared" ref="AC103:AE103" si="140">SUM(AC93:AC100)</f>
        <v>-8797.7340000000004</v>
      </c>
      <c r="AD103" s="375">
        <f t="shared" si="140"/>
        <v>-3519.0936000000002</v>
      </c>
      <c r="AE103" s="375">
        <f t="shared" si="140"/>
        <v>-5278.6404000000002</v>
      </c>
    </row>
    <row r="104" spans="1:31" ht="15.75" customHeight="1" x14ac:dyDescent="0.15">
      <c r="A104" s="249"/>
      <c r="B104" s="283"/>
      <c r="C104" s="299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C104" s="262"/>
      <c r="AD104" s="262"/>
      <c r="AE104" s="262"/>
    </row>
    <row r="105" spans="1:31" ht="15.75" customHeight="1" x14ac:dyDescent="0.15">
      <c r="A105" s="249"/>
      <c r="B105" s="283"/>
      <c r="C105" s="299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C105" s="262"/>
      <c r="AD105" s="262"/>
      <c r="AE105" s="262"/>
    </row>
    <row r="106" spans="1:31" ht="15.75" customHeight="1" x14ac:dyDescent="0.15">
      <c r="A106" s="249"/>
      <c r="B106" s="283"/>
      <c r="C106" s="284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85"/>
      <c r="AC106" s="285"/>
      <c r="AD106" s="285"/>
      <c r="AE106" s="285"/>
    </row>
    <row r="107" spans="1:31" ht="15.75" customHeight="1" x14ac:dyDescent="0.15">
      <c r="A107" s="249"/>
      <c r="B107" s="283"/>
      <c r="C107" s="284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85"/>
      <c r="AC107" s="285"/>
    </row>
    <row r="108" spans="1:31" ht="15.75" customHeight="1" x14ac:dyDescent="0.15">
      <c r="A108" s="249"/>
      <c r="B108" s="283"/>
      <c r="C108" s="284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A108" s="285"/>
      <c r="AC108" s="285"/>
    </row>
    <row r="109" spans="1:31" ht="15.75" customHeight="1" x14ac:dyDescent="0.15">
      <c r="A109" s="249"/>
      <c r="B109" s="283"/>
      <c r="C109" s="284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A109" s="285"/>
      <c r="AC109" s="285"/>
    </row>
    <row r="110" spans="1:31" ht="15.75" customHeight="1" x14ac:dyDescent="0.15">
      <c r="A110" s="249"/>
      <c r="B110" s="283"/>
      <c r="C110" s="284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C110" s="285"/>
    </row>
    <row r="111" spans="1:31" ht="15.75" customHeight="1" x14ac:dyDescent="0.15">
      <c r="A111" s="249"/>
      <c r="B111" s="283"/>
      <c r="C111" s="284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85"/>
      <c r="AC111" s="285"/>
    </row>
    <row r="112" spans="1:31" ht="15.75" customHeight="1" x14ac:dyDescent="0.15">
      <c r="A112" s="249"/>
      <c r="B112" s="283"/>
      <c r="C112" s="284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85"/>
      <c r="AC112" s="285"/>
    </row>
    <row r="113" spans="1:29" ht="15.75" customHeight="1" x14ac:dyDescent="0.15">
      <c r="A113" s="249"/>
      <c r="B113" s="283"/>
      <c r="C113" s="284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A113" s="285"/>
      <c r="AC113" s="285"/>
    </row>
    <row r="114" spans="1:29" ht="15.75" customHeight="1" x14ac:dyDescent="0.15">
      <c r="A114" s="249"/>
      <c r="B114" s="283"/>
      <c r="C114" s="299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C114" s="262"/>
    </row>
    <row r="115" spans="1:29" ht="15.75" customHeight="1" x14ac:dyDescent="0.15">
      <c r="A115" s="249"/>
      <c r="B115" s="283"/>
      <c r="C115" s="299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  <c r="AC115" s="262"/>
    </row>
    <row r="116" spans="1:29" ht="15.75" customHeight="1" x14ac:dyDescent="0.15">
      <c r="A116" s="249"/>
      <c r="B116" s="283"/>
      <c r="C116" s="299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C116" s="262"/>
    </row>
    <row r="117" spans="1:29" ht="15.75" customHeight="1" x14ac:dyDescent="0.15">
      <c r="A117" s="249"/>
      <c r="B117" s="283"/>
      <c r="C117" s="299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  <c r="AC117" s="262"/>
    </row>
    <row r="118" spans="1:29" ht="15.75" customHeight="1" x14ac:dyDescent="0.15">
      <c r="A118" s="249"/>
      <c r="B118" s="283"/>
      <c r="C118" s="299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C118" s="262"/>
    </row>
    <row r="119" spans="1:29" ht="15.75" customHeight="1" x14ac:dyDescent="0.15">
      <c r="A119" s="249"/>
      <c r="B119" s="283"/>
      <c r="C119" s="299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C119" s="262"/>
    </row>
    <row r="120" spans="1:29" ht="15.75" customHeight="1" x14ac:dyDescent="0.15">
      <c r="A120" s="249"/>
      <c r="B120" s="283"/>
      <c r="C120" s="299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C120" s="262"/>
    </row>
    <row r="121" spans="1:29" ht="15.75" customHeight="1" x14ac:dyDescent="0.15">
      <c r="A121" s="249"/>
      <c r="B121" s="283"/>
      <c r="C121" s="299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  <c r="AC121" s="262"/>
    </row>
    <row r="122" spans="1:29" ht="15.75" customHeight="1" x14ac:dyDescent="0.15">
      <c r="A122" s="249"/>
      <c r="B122" s="283"/>
      <c r="C122" s="299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C122" s="262"/>
    </row>
    <row r="123" spans="1:29" ht="15.75" customHeight="1" x14ac:dyDescent="0.15">
      <c r="A123" s="249"/>
      <c r="B123" s="283"/>
      <c r="C123" s="299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C123" s="262"/>
    </row>
    <row r="124" spans="1:29" ht="15.75" customHeight="1" x14ac:dyDescent="0.15">
      <c r="A124" s="249"/>
      <c r="B124" s="283"/>
      <c r="C124" s="299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  <c r="AC124" s="262"/>
    </row>
    <row r="125" spans="1:29" ht="15.75" customHeight="1" x14ac:dyDescent="0.15">
      <c r="A125" s="249"/>
      <c r="B125" s="283"/>
      <c r="C125" s="299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C125" s="262"/>
    </row>
    <row r="126" spans="1:29" ht="15.75" customHeight="1" x14ac:dyDescent="0.15">
      <c r="A126" s="249"/>
      <c r="B126" s="283"/>
      <c r="C126" s="299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C126" s="262"/>
    </row>
    <row r="127" spans="1:29" ht="15.75" customHeight="1" x14ac:dyDescent="0.15">
      <c r="A127" s="249"/>
      <c r="B127" s="283"/>
      <c r="C127" s="299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C127" s="262"/>
    </row>
    <row r="128" spans="1:29" ht="15.75" customHeight="1" x14ac:dyDescent="0.15">
      <c r="A128" s="249"/>
      <c r="B128" s="283"/>
      <c r="C128" s="299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C128" s="262"/>
    </row>
    <row r="129" spans="1:29" ht="15.75" customHeight="1" x14ac:dyDescent="0.15">
      <c r="A129" s="249"/>
      <c r="B129" s="283"/>
      <c r="C129" s="299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C129" s="262"/>
    </row>
    <row r="130" spans="1:29" ht="15.75" customHeight="1" x14ac:dyDescent="0.15">
      <c r="A130" s="249"/>
      <c r="B130" s="283"/>
      <c r="C130" s="299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C130" s="262"/>
    </row>
    <row r="131" spans="1:29" ht="15.75" customHeight="1" x14ac:dyDescent="0.15">
      <c r="A131" s="249"/>
      <c r="B131" s="283"/>
      <c r="C131" s="299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  <c r="AC131" s="262"/>
    </row>
    <row r="132" spans="1:29" ht="15.75" customHeight="1" x14ac:dyDescent="0.15">
      <c r="A132" s="249"/>
      <c r="B132" s="283"/>
      <c r="C132" s="299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C132" s="262"/>
    </row>
    <row r="133" spans="1:29" ht="15.75" customHeight="1" x14ac:dyDescent="0.15">
      <c r="A133" s="249"/>
      <c r="B133" s="283"/>
      <c r="C133" s="299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C133" s="262"/>
    </row>
    <row r="134" spans="1:29" ht="15.75" customHeight="1" x14ac:dyDescent="0.15">
      <c r="A134" s="249"/>
      <c r="B134" s="283"/>
      <c r="C134" s="299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C134" s="262"/>
    </row>
    <row r="135" spans="1:29" ht="15.75" customHeight="1" x14ac:dyDescent="0.15">
      <c r="A135" s="249"/>
      <c r="B135" s="283"/>
      <c r="C135" s="299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C135" s="262"/>
    </row>
    <row r="136" spans="1:29" ht="15.75" customHeight="1" x14ac:dyDescent="0.15">
      <c r="A136" s="249"/>
      <c r="B136" s="283"/>
      <c r="C136" s="299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C136" s="262"/>
    </row>
    <row r="137" spans="1:29" ht="15.75" customHeight="1" x14ac:dyDescent="0.15">
      <c r="A137" s="249"/>
      <c r="B137" s="283"/>
      <c r="C137" s="299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C137" s="262"/>
    </row>
    <row r="138" spans="1:29" ht="15.75" customHeight="1" x14ac:dyDescent="0.15">
      <c r="A138" s="249"/>
      <c r="B138" s="283"/>
      <c r="C138" s="299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C138" s="262"/>
    </row>
    <row r="139" spans="1:29" ht="15.75" customHeight="1" x14ac:dyDescent="0.15">
      <c r="A139" s="249"/>
      <c r="B139" s="283"/>
      <c r="C139" s="299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C139" s="262"/>
    </row>
    <row r="140" spans="1:29" ht="15.75" customHeight="1" x14ac:dyDescent="0.15">
      <c r="A140" s="249"/>
      <c r="B140" s="283"/>
      <c r="C140" s="299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C140" s="262"/>
    </row>
    <row r="141" spans="1:29" ht="15.75" customHeight="1" x14ac:dyDescent="0.15">
      <c r="A141" s="249"/>
      <c r="B141" s="283"/>
      <c r="C141" s="299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  <c r="AC141" s="262"/>
    </row>
    <row r="142" spans="1:29" ht="15.75" customHeight="1" x14ac:dyDescent="0.15">
      <c r="A142" s="249"/>
      <c r="B142" s="283"/>
      <c r="C142" s="299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C142" s="262"/>
    </row>
    <row r="143" spans="1:29" ht="15.75" customHeight="1" x14ac:dyDescent="0.15">
      <c r="A143" s="249"/>
      <c r="B143" s="283"/>
      <c r="C143" s="299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  <c r="AC143" s="262"/>
    </row>
    <row r="144" spans="1:29" ht="15.75" customHeight="1" x14ac:dyDescent="0.15">
      <c r="A144" s="249"/>
      <c r="B144" s="283"/>
      <c r="C144" s="299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C144" s="262"/>
    </row>
    <row r="145" spans="1:29" ht="15.75" customHeight="1" x14ac:dyDescent="0.15">
      <c r="A145" s="249"/>
      <c r="B145" s="283"/>
      <c r="C145" s="299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C145" s="262"/>
    </row>
    <row r="146" spans="1:29" ht="15.75" customHeight="1" x14ac:dyDescent="0.15">
      <c r="A146" s="249"/>
      <c r="B146" s="283"/>
      <c r="C146" s="299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C146" s="262"/>
    </row>
    <row r="147" spans="1:29" ht="15.75" customHeight="1" x14ac:dyDescent="0.15">
      <c r="A147" s="249"/>
      <c r="B147" s="283"/>
      <c r="C147" s="299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  <c r="AC147" s="262"/>
    </row>
    <row r="148" spans="1:29" ht="15.75" customHeight="1" x14ac:dyDescent="0.15">
      <c r="A148" s="249"/>
      <c r="B148" s="283"/>
      <c r="C148" s="299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C148" s="262"/>
    </row>
    <row r="149" spans="1:29" ht="15.75" customHeight="1" x14ac:dyDescent="0.15">
      <c r="A149" s="249"/>
      <c r="B149" s="283"/>
      <c r="C149" s="299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  <c r="AC149" s="262"/>
    </row>
    <row r="150" spans="1:29" ht="15.75" customHeight="1" x14ac:dyDescent="0.15">
      <c r="A150" s="249"/>
      <c r="B150" s="283"/>
      <c r="C150" s="299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C150" s="262"/>
    </row>
    <row r="151" spans="1:29" ht="15.75" customHeight="1" x14ac:dyDescent="0.15">
      <c r="A151" s="249"/>
      <c r="B151" s="283"/>
      <c r="C151" s="299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C151" s="262"/>
    </row>
    <row r="152" spans="1:29" ht="15.75" customHeight="1" x14ac:dyDescent="0.15">
      <c r="A152" s="249"/>
      <c r="B152" s="283"/>
      <c r="C152" s="299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  <c r="AC152" s="262"/>
    </row>
    <row r="153" spans="1:29" ht="15.75" customHeight="1" x14ac:dyDescent="0.15">
      <c r="A153" s="249"/>
      <c r="B153" s="283"/>
      <c r="C153" s="299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C153" s="262"/>
    </row>
    <row r="154" spans="1:29" ht="15.75" customHeight="1" x14ac:dyDescent="0.15">
      <c r="A154" s="249"/>
      <c r="B154" s="283"/>
      <c r="C154" s="299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C154" s="262"/>
    </row>
    <row r="155" spans="1:29" ht="15.75" customHeight="1" x14ac:dyDescent="0.15">
      <c r="A155" s="249"/>
      <c r="B155" s="283"/>
      <c r="C155" s="299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C155" s="262"/>
    </row>
    <row r="156" spans="1:29" ht="15.75" customHeight="1" x14ac:dyDescent="0.15">
      <c r="A156" s="249"/>
      <c r="B156" s="283"/>
      <c r="C156" s="299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C156" s="262"/>
    </row>
    <row r="157" spans="1:29" ht="15.75" customHeight="1" x14ac:dyDescent="0.15">
      <c r="A157" s="249"/>
      <c r="B157" s="283"/>
      <c r="C157" s="299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C157" s="262"/>
    </row>
    <row r="158" spans="1:29" ht="15.75" customHeight="1" x14ac:dyDescent="0.15">
      <c r="A158" s="249"/>
      <c r="B158" s="283"/>
      <c r="C158" s="299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C158" s="262"/>
    </row>
    <row r="159" spans="1:29" ht="15.75" customHeight="1" x14ac:dyDescent="0.15">
      <c r="A159" s="249"/>
      <c r="B159" s="283"/>
      <c r="C159" s="299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C159" s="262"/>
    </row>
    <row r="160" spans="1:29" ht="15.75" customHeight="1" x14ac:dyDescent="0.15">
      <c r="A160" s="249"/>
      <c r="B160" s="283"/>
      <c r="C160" s="299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  <c r="AC160" s="262"/>
    </row>
    <row r="161" spans="1:29" ht="15.75" customHeight="1" x14ac:dyDescent="0.15">
      <c r="A161" s="249"/>
      <c r="B161" s="283"/>
      <c r="C161" s="299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C161" s="262"/>
    </row>
    <row r="162" spans="1:29" ht="15.75" customHeight="1" x14ac:dyDescent="0.15">
      <c r="A162" s="249"/>
      <c r="B162" s="283"/>
      <c r="C162" s="299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  <c r="AC162" s="262"/>
    </row>
    <row r="163" spans="1:29" ht="15.75" customHeight="1" x14ac:dyDescent="0.15">
      <c r="A163" s="249"/>
      <c r="B163" s="283"/>
      <c r="C163" s="299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  <c r="AC163" s="262"/>
    </row>
    <row r="164" spans="1:29" ht="15.75" customHeight="1" x14ac:dyDescent="0.15">
      <c r="A164" s="249"/>
      <c r="B164" s="283"/>
      <c r="C164" s="299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C164" s="262"/>
    </row>
    <row r="165" spans="1:29" ht="15.75" customHeight="1" x14ac:dyDescent="0.15">
      <c r="A165" s="249"/>
      <c r="B165" s="283"/>
      <c r="C165" s="299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C165" s="262"/>
    </row>
    <row r="166" spans="1:29" ht="15.75" customHeight="1" x14ac:dyDescent="0.15">
      <c r="A166" s="249"/>
      <c r="B166" s="283"/>
      <c r="C166" s="299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  <c r="AA166" s="262"/>
      <c r="AC166" s="262"/>
    </row>
    <row r="167" spans="1:29" ht="15.75" customHeight="1" x14ac:dyDescent="0.15">
      <c r="A167" s="249"/>
      <c r="B167" s="283"/>
      <c r="C167" s="299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  <c r="AC167" s="262"/>
    </row>
    <row r="168" spans="1:29" ht="15.75" customHeight="1" x14ac:dyDescent="0.15">
      <c r="A168" s="249"/>
      <c r="B168" s="283"/>
      <c r="C168" s="299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62"/>
      <c r="AA168" s="262"/>
      <c r="AC168" s="262"/>
    </row>
    <row r="169" spans="1:29" ht="15.75" customHeight="1" x14ac:dyDescent="0.15">
      <c r="A169" s="249"/>
      <c r="B169" s="283"/>
      <c r="C169" s="299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62"/>
      <c r="AA169" s="262"/>
      <c r="AC169" s="262"/>
    </row>
    <row r="170" spans="1:29" ht="15.75" customHeight="1" x14ac:dyDescent="0.15">
      <c r="A170" s="249"/>
      <c r="B170" s="283"/>
      <c r="C170" s="299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  <c r="AC170" s="262"/>
    </row>
    <row r="171" spans="1:29" ht="15.75" customHeight="1" x14ac:dyDescent="0.15">
      <c r="A171" s="249"/>
      <c r="B171" s="283"/>
      <c r="C171" s="299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62"/>
      <c r="AA171" s="262"/>
      <c r="AC171" s="262"/>
    </row>
    <row r="172" spans="1:29" ht="15.75" customHeight="1" x14ac:dyDescent="0.15">
      <c r="A172" s="249"/>
      <c r="B172" s="283"/>
      <c r="C172" s="299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  <c r="AA172" s="262"/>
      <c r="AC172" s="262"/>
    </row>
    <row r="173" spans="1:29" ht="15.75" customHeight="1" x14ac:dyDescent="0.15">
      <c r="A173" s="249"/>
      <c r="B173" s="283"/>
      <c r="C173" s="299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62"/>
      <c r="AA173" s="262"/>
      <c r="AC173" s="262"/>
    </row>
    <row r="174" spans="1:29" ht="15.75" customHeight="1" x14ac:dyDescent="0.15">
      <c r="A174" s="249"/>
      <c r="B174" s="283"/>
      <c r="C174" s="299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  <c r="AA174" s="262"/>
      <c r="AC174" s="262"/>
    </row>
    <row r="175" spans="1:29" ht="15.75" customHeight="1" x14ac:dyDescent="0.15">
      <c r="A175" s="249"/>
      <c r="B175" s="283"/>
      <c r="C175" s="299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C175" s="262"/>
    </row>
    <row r="176" spans="1:29" ht="15.75" customHeight="1" x14ac:dyDescent="0.15">
      <c r="A176" s="249"/>
      <c r="B176" s="283"/>
      <c r="C176" s="299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C176" s="262"/>
    </row>
    <row r="177" spans="1:29" ht="15.75" customHeight="1" x14ac:dyDescent="0.15">
      <c r="A177" s="249"/>
      <c r="B177" s="283"/>
      <c r="C177" s="299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C177" s="262"/>
    </row>
    <row r="178" spans="1:29" ht="15.75" customHeight="1" x14ac:dyDescent="0.15">
      <c r="A178" s="249"/>
      <c r="B178" s="283"/>
      <c r="C178" s="299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C178" s="262"/>
    </row>
    <row r="179" spans="1:29" ht="15.75" customHeight="1" x14ac:dyDescent="0.15">
      <c r="A179" s="249"/>
      <c r="B179" s="283"/>
      <c r="C179" s="299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C179" s="262"/>
    </row>
    <row r="180" spans="1:29" ht="15.75" customHeight="1" x14ac:dyDescent="0.15">
      <c r="A180" s="249"/>
      <c r="B180" s="283"/>
      <c r="C180" s="299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C180" s="262"/>
    </row>
    <row r="181" spans="1:29" ht="15.75" customHeight="1" x14ac:dyDescent="0.15">
      <c r="A181" s="249"/>
      <c r="B181" s="283"/>
      <c r="C181" s="299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C181" s="262"/>
    </row>
    <row r="182" spans="1:29" ht="15.75" customHeight="1" x14ac:dyDescent="0.15">
      <c r="A182" s="249"/>
      <c r="B182" s="283"/>
      <c r="C182" s="299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C182" s="262"/>
    </row>
    <row r="183" spans="1:29" ht="15.75" customHeight="1" x14ac:dyDescent="0.15">
      <c r="A183" s="249"/>
      <c r="B183" s="283"/>
      <c r="C183" s="299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C183" s="262"/>
    </row>
    <row r="184" spans="1:29" ht="15.75" customHeight="1" x14ac:dyDescent="0.15">
      <c r="A184" s="249"/>
      <c r="B184" s="283"/>
      <c r="C184" s="299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C184" s="262"/>
    </row>
    <row r="185" spans="1:29" ht="15.75" customHeight="1" x14ac:dyDescent="0.15">
      <c r="A185" s="249"/>
      <c r="B185" s="283"/>
      <c r="C185" s="299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C185" s="262"/>
    </row>
    <row r="186" spans="1:29" ht="15.75" customHeight="1" x14ac:dyDescent="0.15">
      <c r="A186" s="249"/>
      <c r="B186" s="283"/>
      <c r="C186" s="299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C186" s="262"/>
    </row>
    <row r="187" spans="1:29" ht="15.75" customHeight="1" x14ac:dyDescent="0.15">
      <c r="A187" s="249"/>
      <c r="B187" s="283"/>
      <c r="C187" s="299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C187" s="262"/>
    </row>
    <row r="188" spans="1:29" ht="15.75" customHeight="1" x14ac:dyDescent="0.15">
      <c r="A188" s="249"/>
      <c r="B188" s="283"/>
      <c r="C188" s="299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C188" s="262"/>
    </row>
    <row r="189" spans="1:29" ht="15.75" customHeight="1" x14ac:dyDescent="0.15">
      <c r="A189" s="249"/>
      <c r="B189" s="283"/>
      <c r="C189" s="299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C189" s="262"/>
    </row>
    <row r="190" spans="1:29" ht="15.75" customHeight="1" x14ac:dyDescent="0.15">
      <c r="A190" s="249"/>
      <c r="B190" s="283"/>
      <c r="C190" s="299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C190" s="262"/>
    </row>
    <row r="191" spans="1:29" ht="15.75" customHeight="1" x14ac:dyDescent="0.15">
      <c r="A191" s="249"/>
      <c r="B191" s="283"/>
      <c r="C191" s="299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C191" s="262"/>
    </row>
    <row r="192" spans="1:29" ht="15.75" customHeight="1" x14ac:dyDescent="0.15">
      <c r="A192" s="249"/>
      <c r="B192" s="283"/>
      <c r="C192" s="299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C192" s="262"/>
    </row>
    <row r="193" spans="1:29" ht="15.75" customHeight="1" x14ac:dyDescent="0.15">
      <c r="A193" s="249"/>
      <c r="B193" s="283"/>
      <c r="C193" s="299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C193" s="262"/>
    </row>
    <row r="194" spans="1:29" ht="15.75" customHeight="1" x14ac:dyDescent="0.15">
      <c r="A194" s="249"/>
      <c r="B194" s="283"/>
      <c r="C194" s="299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C194" s="262"/>
    </row>
    <row r="195" spans="1:29" ht="15.75" customHeight="1" x14ac:dyDescent="0.15">
      <c r="A195" s="249"/>
      <c r="B195" s="283"/>
      <c r="C195" s="299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C195" s="262"/>
    </row>
    <row r="196" spans="1:29" ht="15.75" customHeight="1" x14ac:dyDescent="0.15">
      <c r="A196" s="249"/>
      <c r="B196" s="283"/>
      <c r="C196" s="299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C196" s="262"/>
    </row>
    <row r="197" spans="1:29" ht="15.75" customHeight="1" x14ac:dyDescent="0.15">
      <c r="A197" s="249"/>
      <c r="B197" s="283"/>
      <c r="C197" s="299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C197" s="262"/>
    </row>
    <row r="198" spans="1:29" ht="15.75" customHeight="1" x14ac:dyDescent="0.15">
      <c r="A198" s="249"/>
      <c r="B198" s="283"/>
      <c r="C198" s="299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C198" s="262"/>
    </row>
    <row r="199" spans="1:29" ht="15.75" customHeight="1" x14ac:dyDescent="0.15">
      <c r="A199" s="249"/>
      <c r="B199" s="283"/>
      <c r="C199" s="299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C199" s="262"/>
    </row>
    <row r="200" spans="1:29" ht="15.75" customHeight="1" x14ac:dyDescent="0.15">
      <c r="A200" s="249"/>
      <c r="B200" s="283"/>
      <c r="C200" s="299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C200" s="262"/>
    </row>
    <row r="201" spans="1:29" ht="15.75" customHeight="1" x14ac:dyDescent="0.15">
      <c r="A201" s="249"/>
      <c r="B201" s="283"/>
      <c r="C201" s="299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C201" s="262"/>
    </row>
  </sheetData>
  <mergeCells count="1">
    <mergeCell ref="AD3:AE3"/>
  </mergeCells>
  <phoneticPr fontId="101" type="noConversion"/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E066"/>
  </sheetPr>
  <dimension ref="A1:T994"/>
  <sheetViews>
    <sheetView showGridLines="0" workbookViewId="0">
      <pane xSplit="2" ySplit="7" topLeftCell="H8" activePane="bottomRight" state="frozen"/>
      <selection pane="topRight" activeCell="D1" sqref="D1"/>
      <selection pane="bottomLeft" activeCell="A8" sqref="A8"/>
      <selection pane="bottomRight" activeCell="K78" sqref="K78"/>
    </sheetView>
  </sheetViews>
  <sheetFormatPr baseColWidth="10" defaultColWidth="12.6640625" defaultRowHeight="15" customHeight="1" outlineLevelRow="1" x14ac:dyDescent="0.15"/>
  <cols>
    <col min="1" max="1" width="46.33203125" style="250" customWidth="1"/>
    <col min="2" max="2" width="11.1640625" style="250" customWidth="1"/>
    <col min="3" max="7" width="11.1640625" style="250" hidden="1" customWidth="1"/>
    <col min="8" max="20" width="11.1640625" style="250" customWidth="1"/>
    <col min="21" max="16384" width="12.6640625" style="250"/>
  </cols>
  <sheetData>
    <row r="1" spans="1:20" ht="13.5" customHeight="1" x14ac:dyDescent="0.15">
      <c r="A1" s="317"/>
      <c r="B1" s="318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</row>
    <row r="2" spans="1:20" ht="13.5" customHeight="1" x14ac:dyDescent="0.15">
      <c r="A2" s="319" t="s">
        <v>267</v>
      </c>
      <c r="B2" s="31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49"/>
      <c r="R2" s="249"/>
      <c r="S2" s="249"/>
      <c r="T2" s="249"/>
    </row>
    <row r="3" spans="1:20" ht="13.5" customHeight="1" x14ac:dyDescent="0.15">
      <c r="A3" s="320">
        <f ca="1">+TODAY()</f>
        <v>44539</v>
      </c>
      <c r="B3" s="318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68"/>
      <c r="Q3" s="249"/>
      <c r="R3" s="249"/>
      <c r="S3" s="249"/>
      <c r="T3" s="249"/>
    </row>
    <row r="4" spans="1:20" ht="13.5" customHeight="1" x14ac:dyDescent="0.15">
      <c r="A4" s="320"/>
      <c r="B4" s="321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</row>
    <row r="5" spans="1:20" ht="3.75" customHeight="1" x14ac:dyDescent="0.15">
      <c r="A5" s="320"/>
      <c r="B5" s="321"/>
      <c r="C5" s="251"/>
      <c r="D5" s="249"/>
      <c r="E5" s="252"/>
      <c r="F5" s="251"/>
      <c r="G5" s="249"/>
      <c r="H5" s="252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</row>
    <row r="6" spans="1:20" ht="15" customHeight="1" x14ac:dyDescent="0.15">
      <c r="A6" s="322"/>
      <c r="B6" s="323"/>
      <c r="C6" s="324">
        <f>'FS-Month'!C6</f>
        <v>43831</v>
      </c>
      <c r="D6" s="324">
        <f>'FS-Month'!D6</f>
        <v>43862</v>
      </c>
      <c r="E6" s="324">
        <f>'FS-Month'!E6</f>
        <v>43891</v>
      </c>
      <c r="F6" s="324">
        <f>'FS-Month'!F6</f>
        <v>43922</v>
      </c>
      <c r="G6" s="324">
        <f>'FS-Month'!G6</f>
        <v>43952</v>
      </c>
      <c r="H6" s="324">
        <f>'FS-Month'!H6</f>
        <v>43983</v>
      </c>
      <c r="I6" s="324">
        <f>'FS-Month'!I6</f>
        <v>44013</v>
      </c>
      <c r="J6" s="324">
        <f>'FS-Month'!J6</f>
        <v>44044</v>
      </c>
      <c r="K6" s="324">
        <f>'FS-Month'!K6</f>
        <v>44075</v>
      </c>
      <c r="L6" s="324">
        <f>'FS-Month'!L6</f>
        <v>44105</v>
      </c>
      <c r="M6" s="324">
        <f>'FS-Month'!M6</f>
        <v>44136</v>
      </c>
      <c r="N6" s="324">
        <f>'FS-Month'!N6</f>
        <v>44166</v>
      </c>
      <c r="O6" s="324">
        <f>'FS-Month'!O6</f>
        <v>44197</v>
      </c>
      <c r="P6" s="324">
        <f>'FS-Month'!P6</f>
        <v>44228</v>
      </c>
      <c r="Q6" s="324">
        <f>'FS-Month'!Q6</f>
        <v>44256</v>
      </c>
      <c r="R6" s="324">
        <f>'FS-Month'!R6</f>
        <v>44287</v>
      </c>
      <c r="S6" s="324">
        <f>'FS-Month'!S6</f>
        <v>44317</v>
      </c>
      <c r="T6" s="324">
        <f>'FS-Month'!T6</f>
        <v>44348</v>
      </c>
    </row>
    <row r="7" spans="1:20" ht="13.5" customHeight="1" x14ac:dyDescent="0.15">
      <c r="A7" s="253"/>
      <c r="B7" s="325" t="s">
        <v>164</v>
      </c>
      <c r="C7" s="326">
        <f>'FS-Month'!C7</f>
        <v>1</v>
      </c>
      <c r="D7" s="326">
        <f>'FS-Month'!D7</f>
        <v>2</v>
      </c>
      <c r="E7" s="326">
        <f>'FS-Month'!E7</f>
        <v>3</v>
      </c>
      <c r="F7" s="326">
        <f>'FS-Month'!F7</f>
        <v>4</v>
      </c>
      <c r="G7" s="326">
        <f>'FS-Month'!G7</f>
        <v>5</v>
      </c>
      <c r="H7" s="326">
        <f>'FS-Month'!H7</f>
        <v>1</v>
      </c>
      <c r="I7" s="326">
        <f>'FS-Month'!I7</f>
        <v>2</v>
      </c>
      <c r="J7" s="326">
        <f>'FS-Month'!J7</f>
        <v>3</v>
      </c>
      <c r="K7" s="326">
        <f>'FS-Month'!K7</f>
        <v>4</v>
      </c>
      <c r="L7" s="326">
        <f>'FS-Month'!L7</f>
        <v>5</v>
      </c>
      <c r="M7" s="326">
        <f>'FS-Month'!M7</f>
        <v>6</v>
      </c>
      <c r="N7" s="326">
        <f>'FS-Month'!N7</f>
        <v>7</v>
      </c>
      <c r="O7" s="326">
        <f>'FS-Month'!O7</f>
        <v>8</v>
      </c>
      <c r="P7" s="326">
        <f>'FS-Month'!P7</f>
        <v>9</v>
      </c>
      <c r="Q7" s="326">
        <f>'FS-Month'!Q7</f>
        <v>10</v>
      </c>
      <c r="R7" s="326">
        <f>'FS-Month'!R7</f>
        <v>11</v>
      </c>
      <c r="S7" s="326">
        <f>'FS-Month'!S7</f>
        <v>12</v>
      </c>
      <c r="T7" s="326">
        <f>'FS-Month'!T7</f>
        <v>13</v>
      </c>
    </row>
    <row r="8" spans="1:20" ht="13.5" customHeight="1" x14ac:dyDescent="0.15">
      <c r="A8" s="253"/>
      <c r="B8" s="325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</row>
    <row r="9" spans="1:20" ht="13.5" customHeight="1" thickBot="1" x14ac:dyDescent="0.2">
      <c r="A9" s="327" t="s">
        <v>165</v>
      </c>
      <c r="B9" s="329"/>
      <c r="C9" s="330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</row>
    <row r="10" spans="1:20" ht="4.5" customHeight="1" x14ac:dyDescent="0.15">
      <c r="A10" s="249"/>
      <c r="B10" s="331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</row>
    <row r="11" spans="1:20" ht="13.5" customHeight="1" x14ac:dyDescent="0.15">
      <c r="A11" s="255"/>
      <c r="B11" s="325"/>
      <c r="C11" s="256"/>
      <c r="D11" s="256"/>
      <c r="E11" s="256"/>
      <c r="F11" s="256"/>
      <c r="G11" s="285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</row>
    <row r="12" spans="1:20" ht="13.5" customHeight="1" x14ac:dyDescent="0.15">
      <c r="A12" s="255"/>
      <c r="B12" s="325"/>
      <c r="C12" s="256"/>
      <c r="D12" s="256"/>
      <c r="E12" s="256"/>
      <c r="F12" s="256"/>
      <c r="G12" s="285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</row>
    <row r="13" spans="1:20" ht="13.5" customHeight="1" x14ac:dyDescent="0.15">
      <c r="A13" s="255"/>
      <c r="B13" s="325"/>
      <c r="C13" s="256"/>
      <c r="D13" s="256"/>
      <c r="E13" s="256"/>
      <c r="F13" s="256"/>
      <c r="G13" s="285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</row>
    <row r="14" spans="1:20" ht="13.5" customHeight="1" x14ac:dyDescent="0.15">
      <c r="A14" s="255"/>
      <c r="B14" s="325"/>
      <c r="C14" s="256"/>
      <c r="D14" s="256"/>
      <c r="E14" s="256"/>
      <c r="F14" s="256"/>
      <c r="G14" s="285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</row>
    <row r="15" spans="1:20" ht="13.5" customHeight="1" x14ac:dyDescent="0.15">
      <c r="A15" s="255"/>
      <c r="B15" s="325"/>
      <c r="C15" s="256"/>
      <c r="D15" s="256"/>
      <c r="E15" s="256"/>
      <c r="F15" s="256"/>
      <c r="G15" s="285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</row>
    <row r="16" spans="1:20" ht="13.5" customHeight="1" x14ac:dyDescent="0.15">
      <c r="A16" s="255"/>
      <c r="B16" s="325"/>
      <c r="C16" s="256"/>
      <c r="D16" s="256"/>
      <c r="E16" s="256"/>
      <c r="F16" s="256"/>
      <c r="G16" s="285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</row>
    <row r="17" spans="1:20" ht="13.5" customHeight="1" thickBot="1" x14ac:dyDescent="0.2">
      <c r="A17" s="327" t="s">
        <v>268</v>
      </c>
      <c r="B17" s="329"/>
      <c r="C17" s="330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</row>
    <row r="18" spans="1:20" ht="4.5" customHeight="1" x14ac:dyDescent="0.15">
      <c r="A18" s="249"/>
      <c r="B18" s="331"/>
      <c r="C18" s="249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</row>
    <row r="19" spans="1:20" ht="13.5" customHeight="1" x14ac:dyDescent="0.15">
      <c r="A19" s="332" t="s">
        <v>121</v>
      </c>
      <c r="B19" s="333"/>
      <c r="C19" s="294"/>
      <c r="D19" s="294"/>
      <c r="E19" s="294"/>
      <c r="F19" s="294"/>
      <c r="G19" s="294"/>
      <c r="H19" s="294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</row>
    <row r="20" spans="1:20" ht="13.5" customHeight="1" x14ac:dyDescent="0.15">
      <c r="A20" s="292" t="s">
        <v>122</v>
      </c>
      <c r="B20" s="333" t="str">
        <f>Settings!$C$6</f>
        <v>CAD</v>
      </c>
      <c r="C20" s="294">
        <f>Settings!$C$29</f>
        <v>0</v>
      </c>
      <c r="D20" s="294">
        <f t="shared" ref="D20:T20" si="0">C20</f>
        <v>0</v>
      </c>
      <c r="E20" s="294">
        <f t="shared" si="0"/>
        <v>0</v>
      </c>
      <c r="F20" s="294">
        <f t="shared" si="0"/>
        <v>0</v>
      </c>
      <c r="G20" s="294">
        <f t="shared" si="0"/>
        <v>0</v>
      </c>
      <c r="H20" s="294">
        <f t="shared" si="0"/>
        <v>0</v>
      </c>
      <c r="I20" s="294">
        <f t="shared" si="0"/>
        <v>0</v>
      </c>
      <c r="J20" s="294">
        <f t="shared" si="0"/>
        <v>0</v>
      </c>
      <c r="K20" s="294">
        <f t="shared" si="0"/>
        <v>0</v>
      </c>
      <c r="L20" s="294">
        <f t="shared" si="0"/>
        <v>0</v>
      </c>
      <c r="M20" s="294">
        <f t="shared" si="0"/>
        <v>0</v>
      </c>
      <c r="N20" s="294">
        <f t="shared" si="0"/>
        <v>0</v>
      </c>
      <c r="O20" s="294">
        <f t="shared" si="0"/>
        <v>0</v>
      </c>
      <c r="P20" s="294">
        <f t="shared" si="0"/>
        <v>0</v>
      </c>
      <c r="Q20" s="294">
        <f t="shared" si="0"/>
        <v>0</v>
      </c>
      <c r="R20" s="294">
        <f t="shared" si="0"/>
        <v>0</v>
      </c>
      <c r="S20" s="294">
        <f t="shared" si="0"/>
        <v>0</v>
      </c>
      <c r="T20" s="294">
        <f t="shared" si="0"/>
        <v>0</v>
      </c>
    </row>
    <row r="21" spans="1:20" ht="13.5" customHeight="1" x14ac:dyDescent="0.15">
      <c r="A21" s="292" t="s">
        <v>123</v>
      </c>
      <c r="B21" s="333" t="s">
        <v>107</v>
      </c>
      <c r="C21" s="334">
        <f>Settings!$C$30</f>
        <v>0.1</v>
      </c>
      <c r="D21" s="334">
        <f t="shared" ref="D21:T21" si="1">C21</f>
        <v>0.1</v>
      </c>
      <c r="E21" s="334">
        <f t="shared" si="1"/>
        <v>0.1</v>
      </c>
      <c r="F21" s="334">
        <f t="shared" si="1"/>
        <v>0.1</v>
      </c>
      <c r="G21" s="334">
        <f t="shared" si="1"/>
        <v>0.1</v>
      </c>
      <c r="H21" s="334">
        <f t="shared" si="1"/>
        <v>0.1</v>
      </c>
      <c r="I21" s="334">
        <f t="shared" si="1"/>
        <v>0.1</v>
      </c>
      <c r="J21" s="334">
        <f t="shared" si="1"/>
        <v>0.1</v>
      </c>
      <c r="K21" s="334">
        <f t="shared" si="1"/>
        <v>0.1</v>
      </c>
      <c r="L21" s="334">
        <f t="shared" si="1"/>
        <v>0.1</v>
      </c>
      <c r="M21" s="334">
        <f t="shared" si="1"/>
        <v>0.1</v>
      </c>
      <c r="N21" s="334">
        <f t="shared" si="1"/>
        <v>0.1</v>
      </c>
      <c r="O21" s="334">
        <f t="shared" si="1"/>
        <v>0.1</v>
      </c>
      <c r="P21" s="334">
        <f t="shared" si="1"/>
        <v>0.1</v>
      </c>
      <c r="Q21" s="334">
        <f t="shared" si="1"/>
        <v>0.1</v>
      </c>
      <c r="R21" s="334">
        <f t="shared" si="1"/>
        <v>0.1</v>
      </c>
      <c r="S21" s="334">
        <f t="shared" si="1"/>
        <v>0.1</v>
      </c>
      <c r="T21" s="334">
        <f t="shared" si="1"/>
        <v>0.1</v>
      </c>
    </row>
    <row r="22" spans="1:20" ht="4.5" customHeight="1" x14ac:dyDescent="0.15">
      <c r="A22" s="292"/>
      <c r="B22" s="333"/>
      <c r="C22" s="335"/>
      <c r="D22" s="335"/>
      <c r="E22" s="335"/>
      <c r="F22" s="335"/>
      <c r="G22" s="335"/>
      <c r="H22" s="335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</row>
    <row r="23" spans="1:20" ht="13.5" customHeight="1" x14ac:dyDescent="0.15">
      <c r="A23" s="332" t="s">
        <v>124</v>
      </c>
      <c r="B23" s="333"/>
      <c r="C23" s="294"/>
      <c r="D23" s="294"/>
      <c r="E23" s="294"/>
      <c r="F23" s="294"/>
      <c r="G23" s="294"/>
      <c r="H23" s="294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</row>
    <row r="24" spans="1:20" ht="13.5" customHeight="1" x14ac:dyDescent="0.15">
      <c r="A24" s="292" t="s">
        <v>269</v>
      </c>
      <c r="B24" s="333"/>
      <c r="C24" s="294"/>
      <c r="D24" s="294"/>
      <c r="E24" s="294"/>
      <c r="F24" s="294"/>
      <c r="G24" s="294"/>
      <c r="H24" s="294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</row>
    <row r="25" spans="1:20" ht="13.5" customHeight="1" x14ac:dyDescent="0.15">
      <c r="A25" s="336" t="s">
        <v>122</v>
      </c>
      <c r="B25" s="333" t="str">
        <f>Settings!$C$6</f>
        <v>CAD</v>
      </c>
      <c r="C25" s="294" t="e">
        <f>C26*Revenue!#REF!</f>
        <v>#REF!</v>
      </c>
      <c r="D25" s="294" t="e">
        <f>D26*Revenue!#REF!</f>
        <v>#REF!</v>
      </c>
      <c r="E25" s="294" t="e">
        <f>E26*Revenue!#REF!</f>
        <v>#REF!</v>
      </c>
      <c r="F25" s="294" t="e">
        <f>F26*Revenue!#REF!</f>
        <v>#REF!</v>
      </c>
      <c r="G25" s="294" t="e">
        <f>G26*Revenue!#REF!</f>
        <v>#REF!</v>
      </c>
      <c r="H25" s="294" t="e">
        <f>H26*Revenue!#REF!</f>
        <v>#REF!</v>
      </c>
      <c r="I25" s="294" t="e">
        <f>I26*Revenue!#REF!</f>
        <v>#REF!</v>
      </c>
      <c r="J25" s="294" t="e">
        <f>J26*Revenue!#REF!</f>
        <v>#REF!</v>
      </c>
      <c r="K25" s="294" t="e">
        <f>K26*Revenue!#REF!</f>
        <v>#REF!</v>
      </c>
      <c r="L25" s="294" t="e">
        <f>L26*Revenue!#REF!</f>
        <v>#REF!</v>
      </c>
      <c r="M25" s="294" t="e">
        <f>M26*Revenue!#REF!</f>
        <v>#REF!</v>
      </c>
      <c r="N25" s="294" t="e">
        <f>N26*Revenue!#REF!</f>
        <v>#REF!</v>
      </c>
      <c r="O25" s="294" t="e">
        <f>O26*Revenue!#REF!</f>
        <v>#REF!</v>
      </c>
      <c r="P25" s="294" t="e">
        <f>P26*Revenue!#REF!</f>
        <v>#REF!</v>
      </c>
      <c r="Q25" s="294" t="e">
        <f>Q26*Revenue!#REF!</f>
        <v>#REF!</v>
      </c>
      <c r="R25" s="294" t="e">
        <f>R26*Revenue!#REF!</f>
        <v>#REF!</v>
      </c>
      <c r="S25" s="294" t="e">
        <f>S26*Revenue!#REF!</f>
        <v>#REF!</v>
      </c>
      <c r="T25" s="294" t="e">
        <f>T26*Revenue!#REF!</f>
        <v>#REF!</v>
      </c>
    </row>
    <row r="26" spans="1:20" ht="13.5" customHeight="1" x14ac:dyDescent="0.15">
      <c r="A26" s="336" t="s">
        <v>125</v>
      </c>
      <c r="B26" s="333" t="s">
        <v>107</v>
      </c>
      <c r="C26" s="337">
        <f>Settings!C33</f>
        <v>0</v>
      </c>
      <c r="D26" s="337">
        <f t="shared" ref="D26:T26" si="2">C26</f>
        <v>0</v>
      </c>
      <c r="E26" s="337">
        <f t="shared" si="2"/>
        <v>0</v>
      </c>
      <c r="F26" s="337">
        <f t="shared" si="2"/>
        <v>0</v>
      </c>
      <c r="G26" s="337">
        <f t="shared" si="2"/>
        <v>0</v>
      </c>
      <c r="H26" s="337">
        <f t="shared" si="2"/>
        <v>0</v>
      </c>
      <c r="I26" s="337">
        <f t="shared" si="2"/>
        <v>0</v>
      </c>
      <c r="J26" s="337">
        <f t="shared" si="2"/>
        <v>0</v>
      </c>
      <c r="K26" s="337">
        <f t="shared" si="2"/>
        <v>0</v>
      </c>
      <c r="L26" s="337">
        <f t="shared" si="2"/>
        <v>0</v>
      </c>
      <c r="M26" s="337">
        <f t="shared" si="2"/>
        <v>0</v>
      </c>
      <c r="N26" s="337">
        <f t="shared" si="2"/>
        <v>0</v>
      </c>
      <c r="O26" s="337">
        <f t="shared" si="2"/>
        <v>0</v>
      </c>
      <c r="P26" s="337">
        <f t="shared" si="2"/>
        <v>0</v>
      </c>
      <c r="Q26" s="337">
        <f t="shared" si="2"/>
        <v>0</v>
      </c>
      <c r="R26" s="337">
        <f t="shared" si="2"/>
        <v>0</v>
      </c>
      <c r="S26" s="337">
        <f t="shared" si="2"/>
        <v>0</v>
      </c>
      <c r="T26" s="337">
        <f t="shared" si="2"/>
        <v>0</v>
      </c>
    </row>
    <row r="27" spans="1:20" ht="13.5" customHeight="1" x14ac:dyDescent="0.15">
      <c r="A27" s="292" t="s">
        <v>126</v>
      </c>
      <c r="B27" s="333"/>
      <c r="C27" s="335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P27" s="337"/>
      <c r="Q27" s="337"/>
      <c r="R27" s="337"/>
      <c r="S27" s="337"/>
      <c r="T27" s="337"/>
    </row>
    <row r="28" spans="1:20" ht="13.5" customHeight="1" x14ac:dyDescent="0.15">
      <c r="A28" s="336" t="s">
        <v>122</v>
      </c>
      <c r="B28" s="333" t="str">
        <f>Settings!$C$6</f>
        <v>CAD</v>
      </c>
      <c r="C28" s="294">
        <f t="shared" ref="C28:T28" si="3">HLOOKUP(C6+C30+1,$D$6:$T$30,16,TRUE)</f>
        <v>0.1</v>
      </c>
      <c r="D28" s="294">
        <f t="shared" si="3"/>
        <v>0.1</v>
      </c>
      <c r="E28" s="294">
        <f t="shared" si="3"/>
        <v>0.1</v>
      </c>
      <c r="F28" s="294">
        <f t="shared" si="3"/>
        <v>0.1</v>
      </c>
      <c r="G28" s="294">
        <f t="shared" si="3"/>
        <v>0.1</v>
      </c>
      <c r="H28" s="294">
        <f t="shared" si="3"/>
        <v>0.1</v>
      </c>
      <c r="I28" s="294">
        <f t="shared" si="3"/>
        <v>0.1</v>
      </c>
      <c r="J28" s="294">
        <f t="shared" si="3"/>
        <v>0.1</v>
      </c>
      <c r="K28" s="294">
        <f t="shared" si="3"/>
        <v>0.1</v>
      </c>
      <c r="L28" s="294">
        <f t="shared" si="3"/>
        <v>0.1</v>
      </c>
      <c r="M28" s="294">
        <f t="shared" si="3"/>
        <v>0.1</v>
      </c>
      <c r="N28" s="294">
        <f t="shared" si="3"/>
        <v>0.1</v>
      </c>
      <c r="O28" s="294">
        <f t="shared" si="3"/>
        <v>0.1</v>
      </c>
      <c r="P28" s="294">
        <f t="shared" si="3"/>
        <v>0.1</v>
      </c>
      <c r="Q28" s="294">
        <f t="shared" si="3"/>
        <v>0.1</v>
      </c>
      <c r="R28" s="294">
        <f t="shared" si="3"/>
        <v>0.1</v>
      </c>
      <c r="S28" s="294">
        <f t="shared" si="3"/>
        <v>0.1</v>
      </c>
      <c r="T28" s="294">
        <f t="shared" si="3"/>
        <v>0.1</v>
      </c>
    </row>
    <row r="29" spans="1:20" ht="13.5" customHeight="1" x14ac:dyDescent="0.15">
      <c r="A29" s="336" t="s">
        <v>270</v>
      </c>
      <c r="B29" s="333" t="str">
        <f>Settings!$C$6</f>
        <v>CAD</v>
      </c>
      <c r="C29" s="294">
        <f>'COS and SG&amp;A'!C23</f>
        <v>0</v>
      </c>
      <c r="D29" s="294">
        <f>'COS and SG&amp;A'!D23</f>
        <v>0</v>
      </c>
      <c r="E29" s="294">
        <f>'COS and SG&amp;A'!E23</f>
        <v>0</v>
      </c>
      <c r="F29" s="294">
        <f>'COS and SG&amp;A'!F23</f>
        <v>0</v>
      </c>
      <c r="G29" s="294">
        <f>'COS and SG&amp;A'!G23</f>
        <v>0</v>
      </c>
      <c r="H29" s="294">
        <f>'COS and SG&amp;A'!H23</f>
        <v>0</v>
      </c>
      <c r="I29" s="294">
        <f>'COS and SG&amp;A'!I23</f>
        <v>0</v>
      </c>
      <c r="J29" s="294">
        <f>'COS and SG&amp;A'!J23</f>
        <v>0</v>
      </c>
      <c r="K29" s="294">
        <f>'COS and SG&amp;A'!K23</f>
        <v>0</v>
      </c>
      <c r="L29" s="294">
        <f>'COS and SG&amp;A'!L23</f>
        <v>0</v>
      </c>
      <c r="M29" s="294">
        <f>'COS and SG&amp;A'!M23</f>
        <v>0</v>
      </c>
      <c r="N29" s="294">
        <f>'COS and SG&amp;A'!N23</f>
        <v>0</v>
      </c>
      <c r="O29" s="294">
        <f>'COS and SG&amp;A'!O23</f>
        <v>0</v>
      </c>
      <c r="P29" s="294">
        <f>'COS and SG&amp;A'!P23</f>
        <v>0</v>
      </c>
      <c r="Q29" s="294">
        <f>'COS and SG&amp;A'!Q23</f>
        <v>0</v>
      </c>
      <c r="R29" s="294">
        <f>'COS and SG&amp;A'!R23</f>
        <v>0</v>
      </c>
      <c r="S29" s="294">
        <f>'COS and SG&amp;A'!S23</f>
        <v>0</v>
      </c>
      <c r="T29" s="294">
        <f>'COS and SG&amp;A'!T23</f>
        <v>0</v>
      </c>
    </row>
    <row r="30" spans="1:20" ht="13.5" customHeight="1" x14ac:dyDescent="0.15">
      <c r="A30" s="336" t="s">
        <v>127</v>
      </c>
      <c r="B30" s="333" t="s">
        <v>128</v>
      </c>
      <c r="C30" s="294">
        <f>Settings!$C$36</f>
        <v>30</v>
      </c>
      <c r="D30" s="294">
        <f>Settings!$C$36</f>
        <v>30</v>
      </c>
      <c r="E30" s="294">
        <f>Settings!$C$36</f>
        <v>30</v>
      </c>
      <c r="F30" s="294">
        <f>Settings!$C$36</f>
        <v>30</v>
      </c>
      <c r="G30" s="294">
        <f>Settings!$C$36</f>
        <v>30</v>
      </c>
      <c r="H30" s="294">
        <f>Settings!$C$36</f>
        <v>30</v>
      </c>
      <c r="I30" s="294">
        <f>Settings!$C$36</f>
        <v>30</v>
      </c>
      <c r="J30" s="294">
        <f>Settings!$C$36</f>
        <v>30</v>
      </c>
      <c r="K30" s="294">
        <f>Settings!$C$36</f>
        <v>30</v>
      </c>
      <c r="L30" s="294">
        <f>Settings!$C$36</f>
        <v>30</v>
      </c>
      <c r="M30" s="294">
        <f>Settings!$C$36</f>
        <v>30</v>
      </c>
      <c r="N30" s="294">
        <f>Settings!$C$36</f>
        <v>30</v>
      </c>
      <c r="O30" s="294">
        <f>Settings!$C$36</f>
        <v>30</v>
      </c>
      <c r="P30" s="294">
        <f>Settings!$C$36</f>
        <v>30</v>
      </c>
      <c r="Q30" s="294">
        <f>Settings!$C$36</f>
        <v>30</v>
      </c>
      <c r="R30" s="294">
        <f>Settings!$C$36</f>
        <v>30</v>
      </c>
      <c r="S30" s="294">
        <f>Settings!$C$36</f>
        <v>30</v>
      </c>
      <c r="T30" s="294">
        <f>Settings!$C$36</f>
        <v>30</v>
      </c>
    </row>
    <row r="31" spans="1:20" ht="4.5" customHeight="1" x14ac:dyDescent="0.15">
      <c r="A31" s="292"/>
      <c r="B31" s="333"/>
      <c r="C31" s="335"/>
      <c r="D31" s="335"/>
      <c r="E31" s="335"/>
      <c r="F31" s="335"/>
      <c r="G31" s="335"/>
      <c r="H31" s="335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</row>
    <row r="32" spans="1:20" ht="13.5" customHeight="1" x14ac:dyDescent="0.15">
      <c r="A32" s="332" t="s">
        <v>129</v>
      </c>
      <c r="B32" s="333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</row>
    <row r="33" spans="1:20" ht="13.5" customHeight="1" x14ac:dyDescent="0.15">
      <c r="A33" s="292" t="s">
        <v>122</v>
      </c>
      <c r="B33" s="333" t="str">
        <f>Settings!$C$6</f>
        <v>CAD</v>
      </c>
      <c r="C33" s="294">
        <f>C34*C29</f>
        <v>0</v>
      </c>
      <c r="D33" s="294">
        <f t="shared" ref="D33:T33" si="4">D34*D29</f>
        <v>0</v>
      </c>
      <c r="E33" s="294">
        <f t="shared" si="4"/>
        <v>0</v>
      </c>
      <c r="F33" s="294">
        <f t="shared" si="4"/>
        <v>0</v>
      </c>
      <c r="G33" s="294">
        <f t="shared" si="4"/>
        <v>0</v>
      </c>
      <c r="H33" s="294">
        <f t="shared" si="4"/>
        <v>0</v>
      </c>
      <c r="I33" s="294">
        <f t="shared" si="4"/>
        <v>0</v>
      </c>
      <c r="J33" s="294">
        <f t="shared" si="4"/>
        <v>0</v>
      </c>
      <c r="K33" s="294">
        <f t="shared" si="4"/>
        <v>0</v>
      </c>
      <c r="L33" s="294">
        <f t="shared" si="4"/>
        <v>0</v>
      </c>
      <c r="M33" s="294">
        <f t="shared" si="4"/>
        <v>0</v>
      </c>
      <c r="N33" s="294">
        <f t="shared" si="4"/>
        <v>0</v>
      </c>
      <c r="O33" s="294">
        <f t="shared" si="4"/>
        <v>0</v>
      </c>
      <c r="P33" s="294">
        <f t="shared" si="4"/>
        <v>0</v>
      </c>
      <c r="Q33" s="294">
        <f t="shared" si="4"/>
        <v>0</v>
      </c>
      <c r="R33" s="294">
        <f t="shared" si="4"/>
        <v>0</v>
      </c>
      <c r="S33" s="294">
        <f t="shared" si="4"/>
        <v>0</v>
      </c>
      <c r="T33" s="294">
        <f t="shared" si="4"/>
        <v>0</v>
      </c>
    </row>
    <row r="34" spans="1:20" ht="13.5" customHeight="1" x14ac:dyDescent="0.15">
      <c r="A34" s="292" t="s">
        <v>130</v>
      </c>
      <c r="B34" s="333" t="s">
        <v>107</v>
      </c>
      <c r="C34" s="337">
        <f>Settings!$C$39</f>
        <v>0</v>
      </c>
      <c r="D34" s="337">
        <f>Settings!$C$39</f>
        <v>0</v>
      </c>
      <c r="E34" s="337">
        <f>Settings!$C$39</f>
        <v>0</v>
      </c>
      <c r="F34" s="337">
        <f>Settings!$C$39</f>
        <v>0</v>
      </c>
      <c r="G34" s="337">
        <f>Settings!$C$39</f>
        <v>0</v>
      </c>
      <c r="H34" s="337">
        <f>Settings!$C$39</f>
        <v>0</v>
      </c>
      <c r="I34" s="337">
        <f>Settings!$C$39</f>
        <v>0</v>
      </c>
      <c r="J34" s="337">
        <f>Settings!$C$39</f>
        <v>0</v>
      </c>
      <c r="K34" s="337">
        <f>Settings!$C$39</f>
        <v>0</v>
      </c>
      <c r="L34" s="337">
        <f>Settings!$C$39</f>
        <v>0</v>
      </c>
      <c r="M34" s="337">
        <f>Settings!$C$39</f>
        <v>0</v>
      </c>
      <c r="N34" s="337">
        <f>Settings!$C$39</f>
        <v>0</v>
      </c>
      <c r="O34" s="337">
        <f>Settings!$C$39</f>
        <v>0</v>
      </c>
      <c r="P34" s="337">
        <f>Settings!$C$39</f>
        <v>0</v>
      </c>
      <c r="Q34" s="337">
        <f>Settings!$C$39</f>
        <v>0</v>
      </c>
      <c r="R34" s="337">
        <f>Settings!$C$39</f>
        <v>0</v>
      </c>
      <c r="S34" s="337">
        <f>Settings!$C$39</f>
        <v>0</v>
      </c>
      <c r="T34" s="337">
        <f>Settings!$C$39</f>
        <v>0</v>
      </c>
    </row>
    <row r="35" spans="1:20" ht="4.5" customHeight="1" x14ac:dyDescent="0.15">
      <c r="A35" s="292"/>
      <c r="B35" s="333"/>
      <c r="C35" s="335"/>
      <c r="D35" s="335"/>
      <c r="E35" s="335"/>
      <c r="F35" s="335"/>
      <c r="G35" s="335"/>
      <c r="H35" s="335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</row>
    <row r="36" spans="1:20" ht="13.5" customHeight="1" x14ac:dyDescent="0.15">
      <c r="A36" s="332" t="s">
        <v>271</v>
      </c>
      <c r="B36" s="333"/>
      <c r="C36" s="338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</row>
    <row r="37" spans="1:20" ht="13.5" customHeight="1" x14ac:dyDescent="0.15">
      <c r="A37" s="336" t="s">
        <v>122</v>
      </c>
      <c r="B37" s="333" t="str">
        <f>Settings!$C$6</f>
        <v>CAD</v>
      </c>
      <c r="C37" s="294">
        <f t="shared" ref="C37:T37" si="5">SUM(C38:C41)</f>
        <v>0</v>
      </c>
      <c r="D37" s="294">
        <f t="shared" si="5"/>
        <v>0</v>
      </c>
      <c r="E37" s="294">
        <f t="shared" si="5"/>
        <v>0</v>
      </c>
      <c r="F37" s="294">
        <f t="shared" si="5"/>
        <v>0</v>
      </c>
      <c r="G37" s="294">
        <f t="shared" si="5"/>
        <v>0</v>
      </c>
      <c r="H37" s="294">
        <f t="shared" si="5"/>
        <v>0</v>
      </c>
      <c r="I37" s="294">
        <f t="shared" si="5"/>
        <v>0</v>
      </c>
      <c r="J37" s="294">
        <f t="shared" si="5"/>
        <v>0</v>
      </c>
      <c r="K37" s="294">
        <f t="shared" si="5"/>
        <v>0</v>
      </c>
      <c r="L37" s="294">
        <f t="shared" si="5"/>
        <v>0</v>
      </c>
      <c r="M37" s="294">
        <f t="shared" si="5"/>
        <v>0</v>
      </c>
      <c r="N37" s="294">
        <f t="shared" si="5"/>
        <v>0</v>
      </c>
      <c r="O37" s="294">
        <f t="shared" si="5"/>
        <v>0</v>
      </c>
      <c r="P37" s="294">
        <f t="shared" si="5"/>
        <v>0</v>
      </c>
      <c r="Q37" s="294">
        <f t="shared" si="5"/>
        <v>0</v>
      </c>
      <c r="R37" s="294">
        <f t="shared" si="5"/>
        <v>0</v>
      </c>
      <c r="S37" s="294">
        <f t="shared" si="5"/>
        <v>0</v>
      </c>
      <c r="T37" s="294">
        <f t="shared" si="5"/>
        <v>0</v>
      </c>
    </row>
    <row r="38" spans="1:20" ht="13.5" customHeight="1" outlineLevel="1" x14ac:dyDescent="0.15">
      <c r="A38" s="336" t="str">
        <f>A57</f>
        <v>Office furniture</v>
      </c>
      <c r="B38" s="333" t="s">
        <v>150</v>
      </c>
      <c r="C38" s="294">
        <f>SUM($C57:C57)-SUM($C67:C67)</f>
        <v>0</v>
      </c>
      <c r="D38" s="294">
        <f>SUM($C57:D57)-SUM($C67:D67)</f>
        <v>0</v>
      </c>
      <c r="E38" s="294">
        <f>SUM($C57:E57)-SUM($C67:E67)</f>
        <v>0</v>
      </c>
      <c r="F38" s="294">
        <f>SUM($C57:F57)-SUM($C67:F67)</f>
        <v>0</v>
      </c>
      <c r="G38" s="294">
        <f>SUM($C57:G57)-SUM($C67:G67)</f>
        <v>0</v>
      </c>
      <c r="H38" s="294">
        <f>SUM($C57:H57)-SUM($C67:H67)</f>
        <v>0</v>
      </c>
      <c r="I38" s="294">
        <f>SUM($C57:I57)-SUM($C67:I67)</f>
        <v>0</v>
      </c>
      <c r="J38" s="294">
        <f>SUM($C57:J57)-SUM($C67:J67)</f>
        <v>0</v>
      </c>
      <c r="K38" s="294">
        <f>SUM($C57:K57)-SUM($C67:K67)</f>
        <v>0</v>
      </c>
      <c r="L38" s="294">
        <f>SUM($C57:L57)-SUM($C67:L67)</f>
        <v>0</v>
      </c>
      <c r="M38" s="294">
        <f>SUM($C57:M57)-SUM($C67:M67)</f>
        <v>0</v>
      </c>
      <c r="N38" s="294">
        <f>SUM($C57:N57)-SUM($C67:N67)</f>
        <v>0</v>
      </c>
      <c r="O38" s="294">
        <f>SUM($C57:O57)-SUM($C67:O67)</f>
        <v>0</v>
      </c>
      <c r="P38" s="294">
        <f>SUM($C57:P57)-SUM($C67:P67)</f>
        <v>0</v>
      </c>
      <c r="Q38" s="294">
        <f>SUM($C57:Q57)-SUM($C67:Q67)</f>
        <v>0</v>
      </c>
      <c r="R38" s="294">
        <f>SUM($C57:R57)-SUM($C67:R67)</f>
        <v>0</v>
      </c>
      <c r="S38" s="294">
        <f>SUM($C57:S57)-SUM($C67:S67)</f>
        <v>0</v>
      </c>
      <c r="T38" s="294">
        <f>SUM($C57:T57)-SUM($C67:T67)</f>
        <v>0</v>
      </c>
    </row>
    <row r="39" spans="1:20" ht="13.5" customHeight="1" outlineLevel="1" x14ac:dyDescent="0.15">
      <c r="A39" s="336" t="str">
        <f>A58</f>
        <v>Computers</v>
      </c>
      <c r="B39" s="333" t="s">
        <v>150</v>
      </c>
      <c r="C39" s="294">
        <f>SUM($C58:C58)-SUM($C68:C68)</f>
        <v>0</v>
      </c>
      <c r="D39" s="294">
        <f>SUM($C58:D58)-SUM($C68:D68)</f>
        <v>0</v>
      </c>
      <c r="E39" s="294">
        <f>SUM($C58:E58)-SUM($C68:E68)</f>
        <v>0</v>
      </c>
      <c r="F39" s="294">
        <f>SUM($C58:F58)-SUM($C68:F68)</f>
        <v>0</v>
      </c>
      <c r="G39" s="294">
        <f>SUM($C58:G58)-SUM($C68:G68)</f>
        <v>0</v>
      </c>
      <c r="H39" s="294">
        <f>SUM($C58:H58)-SUM($C68:H68)</f>
        <v>0</v>
      </c>
      <c r="I39" s="294">
        <f>SUM($C58:I58)-SUM($C68:I68)</f>
        <v>0</v>
      </c>
      <c r="J39" s="294">
        <f>SUM($C58:J58)-SUM($C68:J68)</f>
        <v>0</v>
      </c>
      <c r="K39" s="294">
        <f>SUM($C58:K58)-SUM($C68:K68)</f>
        <v>0</v>
      </c>
      <c r="L39" s="294">
        <f>SUM($C58:L58)-SUM($C68:L68)</f>
        <v>0</v>
      </c>
      <c r="M39" s="294">
        <f>SUM($C58:M58)-SUM($C68:M68)</f>
        <v>0</v>
      </c>
      <c r="N39" s="294">
        <f>SUM($C58:N58)-SUM($C68:N68)</f>
        <v>0</v>
      </c>
      <c r="O39" s="294">
        <f>SUM($C58:O58)-SUM($C68:O68)</f>
        <v>0</v>
      </c>
      <c r="P39" s="294">
        <f>SUM($C58:P58)-SUM($C68:P68)</f>
        <v>0</v>
      </c>
      <c r="Q39" s="294">
        <f>SUM($C58:Q58)-SUM($C68:Q68)</f>
        <v>0</v>
      </c>
      <c r="R39" s="294">
        <f>SUM($C58:R58)-SUM($C68:R68)</f>
        <v>0</v>
      </c>
      <c r="S39" s="294">
        <f>SUM($C58:S58)-SUM($C68:S68)</f>
        <v>0</v>
      </c>
      <c r="T39" s="294">
        <f>SUM($C58:T58)-SUM($C68:T68)</f>
        <v>0</v>
      </c>
    </row>
    <row r="40" spans="1:20" ht="13.5" customHeight="1" outlineLevel="1" x14ac:dyDescent="0.15">
      <c r="A40" s="336" t="str">
        <f>A59</f>
        <v>Servers &amp; other tech infrastructure</v>
      </c>
      <c r="B40" s="333" t="s">
        <v>150</v>
      </c>
      <c r="C40" s="294">
        <f>SUM($C59:C59)-SUM($C69:C69)</f>
        <v>0</v>
      </c>
      <c r="D40" s="294">
        <f>SUM($C59:D59)-SUM($C69:D69)</f>
        <v>0</v>
      </c>
      <c r="E40" s="294">
        <f>SUM($C59:E59)-SUM($C69:E69)</f>
        <v>0</v>
      </c>
      <c r="F40" s="294">
        <f>SUM($C59:F59)-SUM($C69:F69)</f>
        <v>0</v>
      </c>
      <c r="G40" s="294">
        <f>SUM($C59:G59)-SUM($C69:G69)</f>
        <v>0</v>
      </c>
      <c r="H40" s="294">
        <f>SUM($C59:H59)-SUM($C69:H69)</f>
        <v>0</v>
      </c>
      <c r="I40" s="294">
        <f>SUM($C59:I59)-SUM($C69:I69)</f>
        <v>0</v>
      </c>
      <c r="J40" s="294">
        <f>SUM($C59:J59)-SUM($C69:J69)</f>
        <v>0</v>
      </c>
      <c r="K40" s="294">
        <f>SUM($C59:K59)-SUM($C69:K69)</f>
        <v>0</v>
      </c>
      <c r="L40" s="294">
        <f>SUM($C59:L59)-SUM($C69:L69)</f>
        <v>0</v>
      </c>
      <c r="M40" s="294">
        <f>SUM($C59:M59)-SUM($C69:M69)</f>
        <v>0</v>
      </c>
      <c r="N40" s="294">
        <f>SUM($C59:N59)-SUM($C69:N69)</f>
        <v>0</v>
      </c>
      <c r="O40" s="294">
        <f>SUM($C59:O59)-SUM($C69:O69)</f>
        <v>0</v>
      </c>
      <c r="P40" s="294">
        <f>SUM($C59:P59)-SUM($C69:P69)</f>
        <v>0</v>
      </c>
      <c r="Q40" s="294">
        <f>SUM($C59:Q59)-SUM($C69:Q69)</f>
        <v>0</v>
      </c>
      <c r="R40" s="294">
        <f>SUM($C59:R59)-SUM($C69:R69)</f>
        <v>0</v>
      </c>
      <c r="S40" s="294">
        <f>SUM($C59:S59)-SUM($C69:S69)</f>
        <v>0</v>
      </c>
      <c r="T40" s="294">
        <f>SUM($C59:T59)-SUM($C69:T69)</f>
        <v>0</v>
      </c>
    </row>
    <row r="41" spans="1:20" ht="13.5" customHeight="1" outlineLevel="1" x14ac:dyDescent="0.15">
      <c r="A41" s="336" t="str">
        <f>A60</f>
        <v>Other</v>
      </c>
      <c r="B41" s="333" t="s">
        <v>150</v>
      </c>
      <c r="C41" s="294">
        <f>SUM($C60:C60)-SUM($C70:C70)</f>
        <v>0</v>
      </c>
      <c r="D41" s="294">
        <f>SUM($C60:D60)-SUM($C70:D70)</f>
        <v>0</v>
      </c>
      <c r="E41" s="294">
        <f>SUM($C60:E60)-SUM($C70:E70)</f>
        <v>0</v>
      </c>
      <c r="F41" s="294">
        <f>SUM($C60:F60)-SUM($C70:F70)</f>
        <v>0</v>
      </c>
      <c r="G41" s="294">
        <f>SUM($C60:G60)-SUM($C70:G70)</f>
        <v>0</v>
      </c>
      <c r="H41" s="294">
        <f>SUM($C60:H60)-SUM($C70:H70)</f>
        <v>0</v>
      </c>
      <c r="I41" s="294">
        <f>SUM($C60:I60)-SUM($C70:I70)</f>
        <v>0</v>
      </c>
      <c r="J41" s="294">
        <f>SUM($C60:J60)-SUM($C70:J70)</f>
        <v>0</v>
      </c>
      <c r="K41" s="294">
        <f>SUM($C60:K60)-SUM($C70:K70)</f>
        <v>0</v>
      </c>
      <c r="L41" s="294">
        <f>SUM($C60:L60)-SUM($C70:L70)</f>
        <v>0</v>
      </c>
      <c r="M41" s="294">
        <f>SUM($C60:M60)-SUM($C70:M70)</f>
        <v>0</v>
      </c>
      <c r="N41" s="294">
        <f>SUM($C60:N60)-SUM($C70:N70)</f>
        <v>0</v>
      </c>
      <c r="O41" s="294">
        <f>SUM($C60:O60)-SUM($C70:O70)</f>
        <v>0</v>
      </c>
      <c r="P41" s="294">
        <f>SUM($C60:P60)-SUM($C70:P70)</f>
        <v>0</v>
      </c>
      <c r="Q41" s="294">
        <f>SUM($C60:Q60)-SUM($C70:Q70)</f>
        <v>0</v>
      </c>
      <c r="R41" s="294">
        <f>SUM($C60:R60)-SUM($C70:R70)</f>
        <v>0</v>
      </c>
      <c r="S41" s="294">
        <f>SUM($C60:S60)-SUM($C70:S70)</f>
        <v>0</v>
      </c>
      <c r="T41" s="294">
        <f>SUM($C60:T60)-SUM($C70:T70)</f>
        <v>0</v>
      </c>
    </row>
    <row r="42" spans="1:20" ht="13.5" customHeight="1" x14ac:dyDescent="0.15">
      <c r="A42" s="339" t="s">
        <v>120</v>
      </c>
      <c r="B42" s="340" t="str">
        <f>Settings!$C$6</f>
        <v>CAD</v>
      </c>
      <c r="C42" s="341">
        <f t="shared" ref="C42:T42" si="6">C61</f>
        <v>0</v>
      </c>
      <c r="D42" s="341">
        <f t="shared" si="6"/>
        <v>0</v>
      </c>
      <c r="E42" s="341">
        <f t="shared" si="6"/>
        <v>0</v>
      </c>
      <c r="F42" s="341">
        <f t="shared" si="6"/>
        <v>0</v>
      </c>
      <c r="G42" s="341">
        <f t="shared" si="6"/>
        <v>0</v>
      </c>
      <c r="H42" s="341">
        <f t="shared" si="6"/>
        <v>0</v>
      </c>
      <c r="I42" s="341">
        <f t="shared" si="6"/>
        <v>0</v>
      </c>
      <c r="J42" s="341">
        <f t="shared" si="6"/>
        <v>0</v>
      </c>
      <c r="K42" s="341">
        <f t="shared" si="6"/>
        <v>0</v>
      </c>
      <c r="L42" s="341">
        <f t="shared" si="6"/>
        <v>0</v>
      </c>
      <c r="M42" s="341">
        <f t="shared" si="6"/>
        <v>0</v>
      </c>
      <c r="N42" s="341">
        <f t="shared" si="6"/>
        <v>0</v>
      </c>
      <c r="O42" s="341">
        <f t="shared" si="6"/>
        <v>0</v>
      </c>
      <c r="P42" s="341">
        <f t="shared" si="6"/>
        <v>0</v>
      </c>
      <c r="Q42" s="341">
        <f t="shared" si="6"/>
        <v>0</v>
      </c>
      <c r="R42" s="341">
        <f t="shared" si="6"/>
        <v>0</v>
      </c>
      <c r="S42" s="341">
        <f t="shared" si="6"/>
        <v>0</v>
      </c>
      <c r="T42" s="341">
        <f t="shared" si="6"/>
        <v>0</v>
      </c>
    </row>
    <row r="43" spans="1:20" ht="13.5" customHeight="1" x14ac:dyDescent="0.15">
      <c r="A43" s="336" t="s">
        <v>272</v>
      </c>
      <c r="B43" s="333" t="str">
        <f>Settings!$C$6</f>
        <v>CAD</v>
      </c>
      <c r="C43" s="294">
        <f t="shared" ref="C43:T43" si="7">SUM(C67:C70)</f>
        <v>0</v>
      </c>
      <c r="D43" s="294">
        <f t="shared" si="7"/>
        <v>0</v>
      </c>
      <c r="E43" s="294">
        <f t="shared" si="7"/>
        <v>0</v>
      </c>
      <c r="F43" s="294">
        <f t="shared" si="7"/>
        <v>0</v>
      </c>
      <c r="G43" s="294">
        <f t="shared" si="7"/>
        <v>0</v>
      </c>
      <c r="H43" s="294">
        <f t="shared" si="7"/>
        <v>0</v>
      </c>
      <c r="I43" s="294">
        <f t="shared" si="7"/>
        <v>0</v>
      </c>
      <c r="J43" s="294">
        <f t="shared" si="7"/>
        <v>0</v>
      </c>
      <c r="K43" s="294">
        <f t="shared" si="7"/>
        <v>0</v>
      </c>
      <c r="L43" s="294">
        <f t="shared" si="7"/>
        <v>0</v>
      </c>
      <c r="M43" s="294">
        <f t="shared" si="7"/>
        <v>0</v>
      </c>
      <c r="N43" s="294">
        <f t="shared" si="7"/>
        <v>0</v>
      </c>
      <c r="O43" s="294">
        <f t="shared" si="7"/>
        <v>0</v>
      </c>
      <c r="P43" s="294">
        <f t="shared" si="7"/>
        <v>0</v>
      </c>
      <c r="Q43" s="294">
        <f t="shared" si="7"/>
        <v>0</v>
      </c>
      <c r="R43" s="294">
        <f t="shared" si="7"/>
        <v>0</v>
      </c>
      <c r="S43" s="294">
        <f t="shared" si="7"/>
        <v>0</v>
      </c>
      <c r="T43" s="294">
        <f t="shared" si="7"/>
        <v>0</v>
      </c>
    </row>
    <row r="44" spans="1:20" ht="13.5" customHeight="1" x14ac:dyDescent="0.15">
      <c r="A44" s="251"/>
      <c r="B44" s="331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</row>
    <row r="45" spans="1:20" ht="13.5" customHeight="1" x14ac:dyDescent="0.15">
      <c r="A45" s="251"/>
      <c r="B45" s="331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</row>
    <row r="46" spans="1:20" ht="13.5" customHeight="1" thickBot="1" x14ac:dyDescent="0.2">
      <c r="A46" s="327" t="s">
        <v>273</v>
      </c>
      <c r="B46" s="329"/>
      <c r="C46" s="330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</row>
    <row r="47" spans="1:20" ht="4.5" customHeight="1" x14ac:dyDescent="0.15">
      <c r="A47" s="249"/>
      <c r="B47" s="257"/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</row>
    <row r="48" spans="1:20" ht="13.5" customHeight="1" x14ac:dyDescent="0.15">
      <c r="A48" s="292" t="s">
        <v>274</v>
      </c>
      <c r="B48" s="333" t="str">
        <f>Settings!$C$6</f>
        <v>CAD</v>
      </c>
      <c r="C48" s="294"/>
      <c r="D48" s="294">
        <f t="shared" ref="D48:T48" si="8">C20-D20</f>
        <v>0</v>
      </c>
      <c r="E48" s="294">
        <f t="shared" si="8"/>
        <v>0</v>
      </c>
      <c r="F48" s="294">
        <f t="shared" si="8"/>
        <v>0</v>
      </c>
      <c r="G48" s="294">
        <f t="shared" si="8"/>
        <v>0</v>
      </c>
      <c r="H48" s="294">
        <f t="shared" si="8"/>
        <v>0</v>
      </c>
      <c r="I48" s="294">
        <f t="shared" si="8"/>
        <v>0</v>
      </c>
      <c r="J48" s="294">
        <f t="shared" si="8"/>
        <v>0</v>
      </c>
      <c r="K48" s="294">
        <f t="shared" si="8"/>
        <v>0</v>
      </c>
      <c r="L48" s="294">
        <f t="shared" si="8"/>
        <v>0</v>
      </c>
      <c r="M48" s="294">
        <f t="shared" si="8"/>
        <v>0</v>
      </c>
      <c r="N48" s="294">
        <f t="shared" si="8"/>
        <v>0</v>
      </c>
      <c r="O48" s="294">
        <f t="shared" si="8"/>
        <v>0</v>
      </c>
      <c r="P48" s="294">
        <f t="shared" si="8"/>
        <v>0</v>
      </c>
      <c r="Q48" s="294">
        <f t="shared" si="8"/>
        <v>0</v>
      </c>
      <c r="R48" s="294">
        <f t="shared" si="8"/>
        <v>0</v>
      </c>
      <c r="S48" s="294">
        <f t="shared" si="8"/>
        <v>0</v>
      </c>
      <c r="T48" s="294">
        <f t="shared" si="8"/>
        <v>0</v>
      </c>
    </row>
    <row r="49" spans="1:20" ht="13.5" customHeight="1" x14ac:dyDescent="0.15">
      <c r="A49" s="292" t="s">
        <v>275</v>
      </c>
      <c r="B49" s="333" t="str">
        <f>Settings!$C$6</f>
        <v>CAD</v>
      </c>
      <c r="C49" s="294"/>
      <c r="D49" s="294" t="e">
        <f t="shared" ref="D49:T49" si="9">SUM(C25,C28)-SUM(D25,D28)</f>
        <v>#REF!</v>
      </c>
      <c r="E49" s="294" t="e">
        <f t="shared" si="9"/>
        <v>#REF!</v>
      </c>
      <c r="F49" s="294" t="e">
        <f t="shared" si="9"/>
        <v>#REF!</v>
      </c>
      <c r="G49" s="294" t="e">
        <f t="shared" si="9"/>
        <v>#REF!</v>
      </c>
      <c r="H49" s="294" t="e">
        <f t="shared" si="9"/>
        <v>#REF!</v>
      </c>
      <c r="I49" s="294" t="e">
        <f t="shared" si="9"/>
        <v>#REF!</v>
      </c>
      <c r="J49" s="294" t="e">
        <f t="shared" si="9"/>
        <v>#REF!</v>
      </c>
      <c r="K49" s="294" t="e">
        <f t="shared" si="9"/>
        <v>#REF!</v>
      </c>
      <c r="L49" s="294" t="e">
        <f t="shared" si="9"/>
        <v>#REF!</v>
      </c>
      <c r="M49" s="294" t="e">
        <f t="shared" si="9"/>
        <v>#REF!</v>
      </c>
      <c r="N49" s="294" t="e">
        <f t="shared" si="9"/>
        <v>#REF!</v>
      </c>
      <c r="O49" s="294" t="e">
        <f t="shared" si="9"/>
        <v>#REF!</v>
      </c>
      <c r="P49" s="294" t="e">
        <f t="shared" si="9"/>
        <v>#REF!</v>
      </c>
      <c r="Q49" s="294" t="e">
        <f t="shared" si="9"/>
        <v>#REF!</v>
      </c>
      <c r="R49" s="294" t="e">
        <f t="shared" si="9"/>
        <v>#REF!</v>
      </c>
      <c r="S49" s="294" t="e">
        <f t="shared" si="9"/>
        <v>#REF!</v>
      </c>
      <c r="T49" s="294" t="e">
        <f t="shared" si="9"/>
        <v>#REF!</v>
      </c>
    </row>
    <row r="50" spans="1:20" ht="13.5" customHeight="1" x14ac:dyDescent="0.15">
      <c r="A50" s="292" t="s">
        <v>276</v>
      </c>
      <c r="B50" s="333" t="str">
        <f>Settings!$C$6</f>
        <v>CAD</v>
      </c>
      <c r="C50" s="294"/>
      <c r="D50" s="294">
        <f t="shared" ref="D50:T50" si="10">D33-C33</f>
        <v>0</v>
      </c>
      <c r="E50" s="294">
        <f t="shared" si="10"/>
        <v>0</v>
      </c>
      <c r="F50" s="294">
        <f t="shared" si="10"/>
        <v>0</v>
      </c>
      <c r="G50" s="294">
        <f t="shared" si="10"/>
        <v>0</v>
      </c>
      <c r="H50" s="294">
        <f t="shared" si="10"/>
        <v>0</v>
      </c>
      <c r="I50" s="294">
        <f t="shared" si="10"/>
        <v>0</v>
      </c>
      <c r="J50" s="294">
        <f t="shared" si="10"/>
        <v>0</v>
      </c>
      <c r="K50" s="294">
        <f t="shared" si="10"/>
        <v>0</v>
      </c>
      <c r="L50" s="294">
        <f t="shared" si="10"/>
        <v>0</v>
      </c>
      <c r="M50" s="294">
        <f t="shared" si="10"/>
        <v>0</v>
      </c>
      <c r="N50" s="294">
        <f t="shared" si="10"/>
        <v>0</v>
      </c>
      <c r="O50" s="294">
        <f t="shared" si="10"/>
        <v>0</v>
      </c>
      <c r="P50" s="294">
        <f t="shared" si="10"/>
        <v>0</v>
      </c>
      <c r="Q50" s="294">
        <f t="shared" si="10"/>
        <v>0</v>
      </c>
      <c r="R50" s="294">
        <f t="shared" si="10"/>
        <v>0</v>
      </c>
      <c r="S50" s="294">
        <f t="shared" si="10"/>
        <v>0</v>
      </c>
      <c r="T50" s="294">
        <f t="shared" si="10"/>
        <v>0</v>
      </c>
    </row>
    <row r="51" spans="1:20" ht="13.5" customHeight="1" x14ac:dyDescent="0.15">
      <c r="A51" s="342" t="s">
        <v>277</v>
      </c>
      <c r="B51" s="340" t="str">
        <f>Settings!$C$6</f>
        <v>CAD</v>
      </c>
      <c r="C51" s="343"/>
      <c r="D51" s="343" t="e">
        <f t="shared" ref="D51:T51" si="11">SUM(D48:D50)</f>
        <v>#REF!</v>
      </c>
      <c r="E51" s="343" t="e">
        <f t="shared" si="11"/>
        <v>#REF!</v>
      </c>
      <c r="F51" s="343" t="e">
        <f t="shared" si="11"/>
        <v>#REF!</v>
      </c>
      <c r="G51" s="343" t="e">
        <f t="shared" si="11"/>
        <v>#REF!</v>
      </c>
      <c r="H51" s="343" t="e">
        <f t="shared" si="11"/>
        <v>#REF!</v>
      </c>
      <c r="I51" s="343" t="e">
        <f t="shared" si="11"/>
        <v>#REF!</v>
      </c>
      <c r="J51" s="343" t="e">
        <f t="shared" si="11"/>
        <v>#REF!</v>
      </c>
      <c r="K51" s="343" t="e">
        <f t="shared" si="11"/>
        <v>#REF!</v>
      </c>
      <c r="L51" s="343" t="e">
        <f t="shared" si="11"/>
        <v>#REF!</v>
      </c>
      <c r="M51" s="343" t="e">
        <f t="shared" si="11"/>
        <v>#REF!</v>
      </c>
      <c r="N51" s="343" t="e">
        <f t="shared" si="11"/>
        <v>#REF!</v>
      </c>
      <c r="O51" s="343" t="e">
        <f t="shared" si="11"/>
        <v>#REF!</v>
      </c>
      <c r="P51" s="343" t="e">
        <f t="shared" si="11"/>
        <v>#REF!</v>
      </c>
      <c r="Q51" s="343" t="e">
        <f t="shared" si="11"/>
        <v>#REF!</v>
      </c>
      <c r="R51" s="343" t="e">
        <f t="shared" si="11"/>
        <v>#REF!</v>
      </c>
      <c r="S51" s="343" t="e">
        <f t="shared" si="11"/>
        <v>#REF!</v>
      </c>
      <c r="T51" s="343" t="e">
        <f t="shared" si="11"/>
        <v>#REF!</v>
      </c>
    </row>
    <row r="52" spans="1:20" ht="13.5" customHeight="1" x14ac:dyDescent="0.15">
      <c r="A52" s="249"/>
      <c r="B52" s="331"/>
      <c r="C52" s="256"/>
      <c r="D52" s="285"/>
      <c r="E52" s="285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</row>
    <row r="53" spans="1:20" ht="13.5" customHeight="1" x14ac:dyDescent="0.15">
      <c r="A53" s="249"/>
      <c r="B53" s="325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</row>
    <row r="54" spans="1:20" ht="13.5" customHeight="1" thickBot="1" x14ac:dyDescent="0.2">
      <c r="A54" s="327" t="s">
        <v>131</v>
      </c>
      <c r="B54" s="329"/>
      <c r="C54" s="330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</row>
    <row r="55" spans="1:20" ht="10.5" customHeight="1" x14ac:dyDescent="0.15">
      <c r="A55" s="249"/>
      <c r="B55" s="257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</row>
    <row r="56" spans="1:20" ht="13.5" customHeight="1" x14ac:dyDescent="0.15">
      <c r="A56" s="332" t="s">
        <v>278</v>
      </c>
      <c r="B56" s="333" t="str">
        <f>Settings!$C$6</f>
        <v>CAD</v>
      </c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</row>
    <row r="57" spans="1:20" ht="13.5" customHeight="1" x14ac:dyDescent="0.15">
      <c r="A57" s="251" t="s">
        <v>139</v>
      </c>
      <c r="B57" s="331" t="str">
        <f>Settings!$C$6</f>
        <v>CAD</v>
      </c>
      <c r="C57" s="262">
        <f>IF(C$7&gt;=(Settings!$C$47*12+1),HLOOKUP(C$7-Settings!$C$47*12,$C$7:$T$57,#REF!,FALSE)*(1+Settings!$C$17/12*(COUNT('WK+CAPEX'!$C$7:C$7)-1)),0)</f>
        <v>0</v>
      </c>
      <c r="D57" s="262">
        <f>IF(D$7&gt;=(Settings!$C$47*12+1),HLOOKUP(D$7-Settings!$C$47*12,$C$7:$T$57,#REF!,FALSE)*(1+Settings!$C$17/12*(COUNT('WK+CAPEX'!$C$7:D$7)-1)),0)</f>
        <v>0</v>
      </c>
      <c r="E57" s="262">
        <f>IF(E$7&gt;=(Settings!$C$47*12+1),HLOOKUP(E$7-Settings!$C$47*12,$C$7:$T$57,#REF!,FALSE)*(1+Settings!$C$17/12*(COUNT('WK+CAPEX'!$C$7:E$7)-1)),0)</f>
        <v>0</v>
      </c>
      <c r="F57" s="262">
        <f>IF(F$7&gt;=(Settings!$C$47*12+1),HLOOKUP(F$7-Settings!$C$47*12,$C$7:$T$57,#REF!,FALSE)*(1+Settings!$C$17/12*(COUNT('WK+CAPEX'!$C$7:F$7)-1)),0)</f>
        <v>0</v>
      </c>
      <c r="G57" s="262">
        <f>IF(G$7&gt;=(Settings!$C$47*12+1),HLOOKUP(G$7-Settings!$C$47*12,$C$7:$T$57,#REF!,FALSE)*(1+Settings!$C$17/12*(COUNT('WK+CAPEX'!$C$7:G$7)-1)),0)</f>
        <v>0</v>
      </c>
      <c r="H57" s="262">
        <f>IF(H$7&gt;=(Settings!$C$47*12+1),HLOOKUP(H$7-Settings!$C$47*12,$C$7:$T$57,#REF!,FALSE)*(1+Settings!$C$17/12*(COUNT('WK+CAPEX'!$C$7:H$7)-1)),0)</f>
        <v>0</v>
      </c>
      <c r="I57" s="262">
        <f>IF(I$7&gt;=(Settings!$C$47*12+1),HLOOKUP(I$7-Settings!$C$47*12,$C$7:$T$57,#REF!,FALSE)*(1+Settings!$C$17/12*(COUNT('WK+CAPEX'!$C$7:I$7)-1)),0)</f>
        <v>0</v>
      </c>
      <c r="J57" s="262">
        <f>IF(J$7&gt;=(Settings!$C$47*12+1),HLOOKUP(J$7-Settings!$C$47*12,$C$7:$T$57,#REF!,FALSE)*(1+Settings!$C$17/12*(COUNT('WK+CAPEX'!$C$7:J$7)-1)),0)</f>
        <v>0</v>
      </c>
      <c r="K57" s="262">
        <f>IF(K$7&gt;=(Settings!$C$47*12+1),HLOOKUP(K$7-Settings!$C$47*12,$C$7:$T$57,#REF!,FALSE)*(1+Settings!$C$17/12*(COUNT('WK+CAPEX'!$C$7:K$7)-1)),0)</f>
        <v>0</v>
      </c>
      <c r="L57" s="262">
        <f>IF(L$7&gt;=(Settings!$C$47*12+1),HLOOKUP(L$7-Settings!$C$47*12,$C$7:$T$57,#REF!,FALSE)*(1+Settings!$C$17/12*(COUNT('WK+CAPEX'!$C$7:L$7)-1)),0)</f>
        <v>0</v>
      </c>
      <c r="M57" s="262">
        <f>IF(M$7&gt;=(Settings!$C$47*12+1),HLOOKUP(M$7-Settings!$C$47*12,$C$7:$T$57,#REF!,FALSE)*(1+Settings!$C$17/12*(COUNT('WK+CAPEX'!$C$7:M$7)-1)),0)</f>
        <v>0</v>
      </c>
      <c r="N57" s="262">
        <f>IF(N$7&gt;=(Settings!$C$47*12+1),HLOOKUP(N$7-Settings!$C$47*12,$C$7:$T$57,#REF!,FALSE)*(1+Settings!$C$17/12*(COUNT('WK+CAPEX'!$C$7:N$7)-1)),0)</f>
        <v>0</v>
      </c>
      <c r="O57" s="262">
        <f>IF(O$7&gt;=(Settings!$C$47*12+1),HLOOKUP(O$7-Settings!$C$47*12,$C$7:$T$57,#REF!,FALSE)*(1+Settings!$C$17/12*(COUNT('WK+CAPEX'!$C$7:O$7)-1)),0)</f>
        <v>0</v>
      </c>
      <c r="P57" s="262">
        <f>IF(P$7&gt;=(Settings!$C$47*12+1),HLOOKUP(P$7-Settings!$C$47*12,$C$7:$T$57,#REF!,FALSE)*(1+Settings!$C$17/12*(COUNT('WK+CAPEX'!$C$7:P$7)-1)),0)</f>
        <v>0</v>
      </c>
      <c r="Q57" s="262">
        <f>IF(Q$7&gt;=(Settings!$C$47*12+1),HLOOKUP(Q$7-Settings!$C$47*12,$C$7:$T$57,#REF!,FALSE)*(1+Settings!$C$17/12*(COUNT('WK+CAPEX'!$C$7:Q$7)-1)),0)</f>
        <v>0</v>
      </c>
      <c r="R57" s="262">
        <f>IF(R$7&gt;=(Settings!$C$47*12+1),HLOOKUP(R$7-Settings!$C$47*12,$C$7:$T$57,#REF!,FALSE)*(1+Settings!$C$17/12*(COUNT('WK+CAPEX'!$C$7:R$7)-1)),0)</f>
        <v>0</v>
      </c>
      <c r="S57" s="262">
        <f>IF(S$7&gt;=(Settings!$C$47*12+1),HLOOKUP(S$7-Settings!$C$47*12,$C$7:$T$57,#REF!,FALSE)*(1+Settings!$C$17/12*(COUNT('WK+CAPEX'!$C$7:S$7)-1)),0)</f>
        <v>0</v>
      </c>
      <c r="T57" s="262">
        <f>IF(T$7&gt;=(Settings!$C$47*12+1),HLOOKUP(T$7-Settings!$C$47*12,$C$7:$T$57,#REF!,FALSE)*(1+Settings!$C$17/12*(COUNT('WK+CAPEX'!$C$7:T$7)-1)),0)</f>
        <v>0</v>
      </c>
    </row>
    <row r="58" spans="1:20" ht="13.5" customHeight="1" x14ac:dyDescent="0.15">
      <c r="A58" s="251" t="s">
        <v>140</v>
      </c>
      <c r="B58" s="325" t="str">
        <f>Settings!$C$6</f>
        <v>CAD</v>
      </c>
      <c r="C58" s="262">
        <f>IF(C$7&gt;=(Settings!$C$50*12+1),HLOOKUP(C$7-Settings!$C$50*12,$C$7:$T$59,#REF!,FALSE)*(1+Settings!$C$17/12*(COUNT('WK+CAPEX'!$C$7:C$7)-1)),0)</f>
        <v>0</v>
      </c>
      <c r="D58" s="262">
        <f>IF(D$7&gt;=(Settings!$C$50*12+1),HLOOKUP(D$7-Settings!$C$50*12,$C$7:$T$59,#REF!,FALSE)*(1+Settings!$C$17/12*(COUNT('WK+CAPEX'!$C$7:D$7)-1)),0)</f>
        <v>0</v>
      </c>
      <c r="E58" s="262">
        <f>IF(E$7&gt;=(Settings!$C$50*12+1),HLOOKUP(E$7-Settings!$C$50*12,$C$7:$T$59,#REF!,FALSE)*(1+Settings!$C$17/12*(COUNT('WK+CAPEX'!$C$7:E$7)-1)),0)</f>
        <v>0</v>
      </c>
      <c r="F58" s="262">
        <f>IF(F$7&gt;=(Settings!$C$50*12+1),HLOOKUP(F$7-Settings!$C$50*12,$C$7:$T$59,#REF!,FALSE)*(1+Settings!$C$17/12*(COUNT('WK+CAPEX'!$C$7:F$7)-1)),0)</f>
        <v>0</v>
      </c>
      <c r="G58" s="262">
        <f>IF(G$7&gt;=(Settings!$C$50*12+1),HLOOKUP(G$7-Settings!$C$50*12,$C$7:$T$59,#REF!,FALSE)*(1+Settings!$C$17/12*(COUNT('WK+CAPEX'!$C$7:G$7)-1)),0)</f>
        <v>0</v>
      </c>
      <c r="H58" s="262">
        <f>IF(H$7&gt;=(Settings!$C$50*12+1),HLOOKUP(H$7-Settings!$C$50*12,$C$7:$T$59,#REF!,FALSE)*(1+Settings!$C$17/12*(COUNT('WK+CAPEX'!$C$7:H$7)-1)),0)</f>
        <v>0</v>
      </c>
      <c r="I58" s="262">
        <f>IF(I$7&gt;=(Settings!$C$50*12+1),HLOOKUP(I$7-Settings!$C$50*12,$C$7:$T$59,#REF!,FALSE)*(1+Settings!$C$17/12*(COUNT('WK+CAPEX'!$C$7:I$7)-1)),0)</f>
        <v>0</v>
      </c>
      <c r="J58" s="262">
        <f>IF(J$7&gt;=(Settings!$C$50*12+1),HLOOKUP(J$7-Settings!$C$50*12,$C$7:$T$59,#REF!,FALSE)*(1+Settings!$C$17/12*(COUNT('WK+CAPEX'!$C$7:J$7)-1)),0)</f>
        <v>0</v>
      </c>
      <c r="K58" s="262">
        <f>IF(K$7&gt;=(Settings!$C$50*12+1),HLOOKUP(K$7-Settings!$C$50*12,$C$7:$T$59,#REF!,FALSE)*(1+Settings!$C$17/12*(COUNT('WK+CAPEX'!$C$7:K$7)-1)),0)</f>
        <v>0</v>
      </c>
      <c r="L58" s="262">
        <f>IF(L$7&gt;=(Settings!$C$50*12+1),HLOOKUP(L$7-Settings!$C$50*12,$C$7:$T$59,#REF!,FALSE)*(1+Settings!$C$17/12*(COUNT('WK+CAPEX'!$C$7:L$7)-1)),0)</f>
        <v>0</v>
      </c>
      <c r="M58" s="262">
        <f>IF(M$7&gt;=(Settings!$C$50*12+1),HLOOKUP(M$7-Settings!$C$50*12,$C$7:$T$59,#REF!,FALSE)*(1+Settings!$C$17/12*(COUNT('WK+CAPEX'!$C$7:M$7)-1)),0)</f>
        <v>0</v>
      </c>
      <c r="N58" s="262">
        <f>IF(N$7&gt;=(Settings!$C$50*12+1),HLOOKUP(N$7-Settings!$C$50*12,$C$7:$T$59,#REF!,FALSE)*(1+Settings!$C$17/12*(COUNT('WK+CAPEX'!$C$7:N$7)-1)),0)</f>
        <v>0</v>
      </c>
      <c r="O58" s="262">
        <f>IF(O$7&gt;=(Settings!$C$50*12+1),HLOOKUP(O$7-Settings!$C$50*12,$C$7:$T$59,#REF!,FALSE)*(1+Settings!$C$17/12*(COUNT('WK+CAPEX'!$C$7:O$7)-1)),0)</f>
        <v>0</v>
      </c>
      <c r="P58" s="262">
        <f>IF(P$7&gt;=(Settings!$C$50*12+1),HLOOKUP(P$7-Settings!$C$50*12,$C$7:$T$59,#REF!,FALSE)*(1+Settings!$C$17/12*(COUNT('WK+CAPEX'!$C$7:P$7)-1)),0)</f>
        <v>0</v>
      </c>
      <c r="Q58" s="262">
        <f>IF(Q$7&gt;=(Settings!$C$50*12+1),HLOOKUP(Q$7-Settings!$C$50*12,$C$7:$T$59,#REF!,FALSE)*(1+Settings!$C$17/12*(COUNT('WK+CAPEX'!$C$7:Q$7)-1)),0)</f>
        <v>0</v>
      </c>
      <c r="R58" s="262">
        <f>IF(R$7&gt;=(Settings!$C$50*12+1),HLOOKUP(R$7-Settings!$C$50*12,$C$7:$T$59,#REF!,FALSE)*(1+Settings!$C$17/12*(COUNT('WK+CAPEX'!$C$7:R$7)-1)),0)</f>
        <v>0</v>
      </c>
      <c r="S58" s="262">
        <f>IF(S$7&gt;=(Settings!$C$50*12+1),HLOOKUP(S$7-Settings!$C$50*12,$C$7:$T$59,#REF!,FALSE)*(1+Settings!$C$17/12*(COUNT('WK+CAPEX'!$C$7:S$7)-1)),0)</f>
        <v>0</v>
      </c>
      <c r="T58" s="262">
        <f>IF(T$7&gt;=(Settings!$C$50*12+1),HLOOKUP(T$7-Settings!$C$50*12,$C$7:$T$59,#REF!,FALSE)*(1+Settings!$C$17/12*(COUNT('WK+CAPEX'!$C$7:T$7)-1)),0)</f>
        <v>0</v>
      </c>
    </row>
    <row r="59" spans="1:20" ht="13.5" customHeight="1" x14ac:dyDescent="0.15">
      <c r="A59" s="251" t="s">
        <v>142</v>
      </c>
      <c r="B59" s="331" t="str">
        <f>Settings!$C$6</f>
        <v>CAD</v>
      </c>
      <c r="C59" s="262">
        <f>IF(C$7&gt;=(Settings!$C$50*12+1),HLOOKUP(C$7-Settings!$C$50*12,$C$7:$T$59,#REF!,FALSE)*(1+Settings!$C$17/12*(COUNT('WK+CAPEX'!$C$7:C$7)-1)),0)</f>
        <v>0</v>
      </c>
      <c r="D59" s="262">
        <f>IF(D$7&gt;=(Settings!$C$50*12+1),HLOOKUP(D$7-Settings!$C$50*12,$C$7:$T$59,#REF!,FALSE)*(1+Settings!$C$17/12*(COUNT('WK+CAPEX'!$C$7:D$7)-1)),0)</f>
        <v>0</v>
      </c>
      <c r="E59" s="262">
        <f>IF(E$7&gt;=(Settings!$C$50*12+1),HLOOKUP(E$7-Settings!$C$50*12,$C$7:$T$59,#REF!,FALSE)*(1+Settings!$C$17/12*(COUNT('WK+CAPEX'!$C$7:E$7)-1)),0)</f>
        <v>0</v>
      </c>
      <c r="F59" s="262">
        <f>IF(F$7&gt;=(Settings!$C$50*12+1),HLOOKUP(F$7-Settings!$C$50*12,$C$7:$T$59,#REF!,FALSE)*(1+Settings!$C$17/12*(COUNT('WK+CAPEX'!$C$7:F$7)-1)),0)</f>
        <v>0</v>
      </c>
      <c r="G59" s="262">
        <f>IF(G$7&gt;=(Settings!$C$50*12+1),HLOOKUP(G$7-Settings!$C$50*12,$C$7:$T$59,#REF!,FALSE)*(1+Settings!$C$17/12*(COUNT('WK+CAPEX'!$C$7:G$7)-1)),0)</f>
        <v>0</v>
      </c>
      <c r="H59" s="262">
        <f>IF(H$7&gt;=(Settings!$C$50*12+1),HLOOKUP(H$7-Settings!$C$50*12,$C$7:$T$59,#REF!,FALSE)*(1+Settings!$C$17/12*(COUNT('WK+CAPEX'!$C$7:H$7)-1)),0)</f>
        <v>0</v>
      </c>
      <c r="I59" s="262">
        <f>IF(I$7&gt;=(Settings!$C$50*12+1),HLOOKUP(I$7-Settings!$C$50*12,$C$7:$T$59,#REF!,FALSE)*(1+Settings!$C$17/12*(COUNT('WK+CAPEX'!$C$7:I$7)-1)),0)</f>
        <v>0</v>
      </c>
      <c r="J59" s="262">
        <f>IF(J$7&gt;=(Settings!$C$50*12+1),HLOOKUP(J$7-Settings!$C$50*12,$C$7:$T$59,#REF!,FALSE)*(1+Settings!$C$17/12*(COUNT('WK+CAPEX'!$C$7:J$7)-1)),0)</f>
        <v>0</v>
      </c>
      <c r="K59" s="262">
        <f>IF(K$7&gt;=(Settings!$C$50*12+1),HLOOKUP(K$7-Settings!$C$50*12,$C$7:$T$59,#REF!,FALSE)*(1+Settings!$C$17/12*(COUNT('WK+CAPEX'!$C$7:K$7)-1)),0)</f>
        <v>0</v>
      </c>
      <c r="L59" s="262">
        <f>IF(L$7&gt;=(Settings!$C$50*12+1),HLOOKUP(L$7-Settings!$C$50*12,$C$7:$T$59,#REF!,FALSE)*(1+Settings!$C$17/12*(COUNT('WK+CAPEX'!$C$7:L$7)-1)),0)</f>
        <v>0</v>
      </c>
      <c r="M59" s="262">
        <f>IF(M$7&gt;=(Settings!$C$50*12+1),HLOOKUP(M$7-Settings!$C$50*12,$C$7:$T$59,#REF!,FALSE)*(1+Settings!$C$17/12*(COUNT('WK+CAPEX'!$C$7:M$7)-1)),0)</f>
        <v>0</v>
      </c>
      <c r="N59" s="262">
        <f>IF(N$7&gt;=(Settings!$C$50*12+1),HLOOKUP(N$7-Settings!$C$50*12,$C$7:$T$59,#REF!,FALSE)*(1+Settings!$C$17/12*(COUNT('WK+CAPEX'!$C$7:N$7)-1)),0)</f>
        <v>0</v>
      </c>
      <c r="O59" s="262">
        <f>IF(O$7&gt;=(Settings!$C$50*12+1),HLOOKUP(O$7-Settings!$C$50*12,$C$7:$T$59,#REF!,FALSE)*(1+Settings!$C$17/12*(COUNT('WK+CAPEX'!$C$7:O$7)-1)),0)</f>
        <v>0</v>
      </c>
      <c r="P59" s="262">
        <f>IF(P$7&gt;=(Settings!$C$50*12+1),HLOOKUP(P$7-Settings!$C$50*12,$C$7:$T$59,#REF!,FALSE)*(1+Settings!$C$17/12*(COUNT('WK+CAPEX'!$C$7:P$7)-1)),0)</f>
        <v>0</v>
      </c>
      <c r="Q59" s="262">
        <f>IF(Q$7&gt;=(Settings!$C$50*12+1),HLOOKUP(Q$7-Settings!$C$50*12,$C$7:$T$59,#REF!,FALSE)*(1+Settings!$C$17/12*(COUNT('WK+CAPEX'!$C$7:Q$7)-1)),0)</f>
        <v>0</v>
      </c>
      <c r="R59" s="262">
        <f>IF(R$7&gt;=(Settings!$C$50*12+1),HLOOKUP(R$7-Settings!$C$50*12,$C$7:$T$59,#REF!,FALSE)*(1+Settings!$C$17/12*(COUNT('WK+CAPEX'!$C$7:R$7)-1)),0)</f>
        <v>0</v>
      </c>
      <c r="S59" s="262">
        <f>IF(S$7&gt;=(Settings!$C$50*12+1),HLOOKUP(S$7-Settings!$C$50*12,$C$7:$T$59,#REF!,FALSE)*(1+Settings!$C$17/12*(COUNT('WK+CAPEX'!$C$7:S$7)-1)),0)</f>
        <v>0</v>
      </c>
      <c r="T59" s="262">
        <f>IF(T$7&gt;=(Settings!$C$50*12+1),HLOOKUP(T$7-Settings!$C$50*12,$C$7:$T$59,#REF!,FALSE)*(1+Settings!$C$17/12*(COUNT('WK+CAPEX'!$C$7:T$7)-1)),0)</f>
        <v>0</v>
      </c>
    </row>
    <row r="60" spans="1:20" ht="13.5" customHeight="1" x14ac:dyDescent="0.15">
      <c r="A60" s="251" t="s">
        <v>87</v>
      </c>
      <c r="B60" s="331" t="str">
        <f>Settings!$C$6</f>
        <v>CAD</v>
      </c>
      <c r="C60" s="262">
        <f>IF(C$7&gt;=(Settings!$C$51*12+1),HLOOKUP(C$7-Settings!$C$51*12,$C$7:$T$60,#REF!,FALSE)*(1+Settings!$C$17/12*(COUNT('WK+CAPEX'!$C$7:C$7)-1)),0)</f>
        <v>0</v>
      </c>
      <c r="D60" s="262">
        <f>IF(D$7&gt;=(Settings!$C$51*12+1),HLOOKUP(D$7-Settings!$C$51*12,$C$7:$T$60,#REF!,FALSE)*(1+Settings!$C$17/12*(COUNT('WK+CAPEX'!$C$7:D$7)-1)),0)</f>
        <v>0</v>
      </c>
      <c r="E60" s="262">
        <f>IF(E$7&gt;=(Settings!$C$51*12+1),HLOOKUP(E$7-Settings!$C$51*12,$C$7:$T$60,#REF!,FALSE)*(1+Settings!$C$17/12*(COUNT('WK+CAPEX'!$C$7:E$7)-1)),0)</f>
        <v>0</v>
      </c>
      <c r="F60" s="262">
        <f>IF(F$7&gt;=(Settings!$C$51*12+1),HLOOKUP(F$7-Settings!$C$51*12,$C$7:$T$60,#REF!,FALSE)*(1+Settings!$C$17/12*(COUNT('WK+CAPEX'!$C$7:F$7)-1)),0)</f>
        <v>0</v>
      </c>
      <c r="G60" s="262">
        <f>IF(G$7&gt;=(Settings!$C$51*12+1),HLOOKUP(G$7-Settings!$C$51*12,$C$7:$T$60,#REF!,FALSE)*(1+Settings!$C$17/12*(COUNT('WK+CAPEX'!$C$7:G$7)-1)),0)</f>
        <v>0</v>
      </c>
      <c r="H60" s="262">
        <v>0</v>
      </c>
      <c r="I60" s="262">
        <f>IF(I$7&gt;=(Settings!$C$51*12+1),HLOOKUP(I$7-Settings!$C$51*12,$C$7:$T$60,#REF!,FALSE)*(1+Settings!$C$17/12*(COUNT('WK+CAPEX'!$C$7:I$7)-1)),0)</f>
        <v>0</v>
      </c>
      <c r="J60" s="262">
        <f>IF(J$7&gt;=(Settings!$C$51*12+1),HLOOKUP(J$7-Settings!$C$51*12,$C$7:$T$60,#REF!,FALSE)*(1+Settings!$C$17/12*(COUNT('WK+CAPEX'!$C$7:J$7)-1)),0)</f>
        <v>0</v>
      </c>
      <c r="K60" s="262">
        <f>IF(K$7&gt;=(Settings!$C$51*12+1),HLOOKUP(K$7-Settings!$C$51*12,$C$7:$T$60,#REF!,FALSE)*(1+Settings!$C$17/12*(COUNT('WK+CAPEX'!$C$7:K$7)-1)),0)</f>
        <v>0</v>
      </c>
      <c r="L60" s="262">
        <f>IF(L$7&gt;=(Settings!$C$51*12+1),HLOOKUP(L$7-Settings!$C$51*12,$C$7:$T$60,#REF!,FALSE)*(1+Settings!$C$17/12*(COUNT('WK+CAPEX'!$C$7:L$7)-1)),0)</f>
        <v>0</v>
      </c>
      <c r="M60" s="262">
        <f>IF(M$7&gt;=(Settings!$C$51*12+1),HLOOKUP(M$7-Settings!$C$51*12,$C$7:$T$60,#REF!,FALSE)*(1+Settings!$C$17/12*(COUNT('WK+CAPEX'!$C$7:M$7)-1)),0)</f>
        <v>0</v>
      </c>
      <c r="N60" s="262">
        <f>IF(N$7&gt;=(Settings!$C$51*12+1),HLOOKUP(N$7-Settings!$C$51*12,$C$7:$T$60,#REF!,FALSE)*(1+Settings!$C$17/12*(COUNT('WK+CAPEX'!$C$7:N$7)-1)),0)</f>
        <v>0</v>
      </c>
      <c r="O60" s="262">
        <f>IF(O$7&gt;=(Settings!$C$51*12+1),HLOOKUP(O$7-Settings!$C$51*12,$C$7:$T$60,#REF!,FALSE)*(1+Settings!$C$17/12*(COUNT('WK+CAPEX'!$C$7:O$7)-1)),0)</f>
        <v>0</v>
      </c>
      <c r="P60" s="262">
        <f>IF(P$7&gt;=(Settings!$C$51*12+1),HLOOKUP(P$7-Settings!$C$51*12,$C$7:$T$60,#REF!,FALSE)*(1+Settings!$C$17/12*(COUNT('WK+CAPEX'!$C$7:P$7)-1)),0)</f>
        <v>0</v>
      </c>
      <c r="Q60" s="262">
        <f>IF(Q$7&gt;=(Settings!$C$51*12+1),HLOOKUP(Q$7-Settings!$C$51*12,$C$7:$T$60,#REF!,FALSE)*(1+Settings!$C$17/12*(COUNT('WK+CAPEX'!$C$7:Q$7)-1)),0)</f>
        <v>0</v>
      </c>
      <c r="R60" s="262">
        <f>IF(R$7&gt;=(Settings!$C$51*12+1),HLOOKUP(R$7-Settings!$C$51*12,$C$7:$T$60,#REF!,FALSE)*(1+Settings!$C$17/12*(COUNT('WK+CAPEX'!$C$7:R$7)-1)),0)</f>
        <v>0</v>
      </c>
      <c r="S60" s="262">
        <f>IF(S$7&gt;=(Settings!$C$51*12+1),HLOOKUP(S$7-Settings!$C$51*12,$C$7:$T$60,#REF!,FALSE)*(1+Settings!$C$17/12*(COUNT('WK+CAPEX'!$C$7:S$7)-1)),0)</f>
        <v>0</v>
      </c>
      <c r="T60" s="262">
        <f>IF(T$7&gt;=(Settings!$C$51*12+1),HLOOKUP(T$7-Settings!$C$51*12,$C$7:$T$60,#REF!,FALSE)*(1+Settings!$C$17/12*(COUNT('WK+CAPEX'!$C$7:T$7)-1)),0)</f>
        <v>0</v>
      </c>
    </row>
    <row r="61" spans="1:20" ht="21.75" customHeight="1" x14ac:dyDescent="0.15">
      <c r="A61" s="344" t="s">
        <v>279</v>
      </c>
      <c r="B61" s="345" t="str">
        <f>Settings!$C$6</f>
        <v>CAD</v>
      </c>
      <c r="C61" s="346">
        <f t="shared" ref="C61:T61" si="12">SUM(C57:C60)</f>
        <v>0</v>
      </c>
      <c r="D61" s="346">
        <f t="shared" si="12"/>
        <v>0</v>
      </c>
      <c r="E61" s="346">
        <f t="shared" si="12"/>
        <v>0</v>
      </c>
      <c r="F61" s="346">
        <f t="shared" si="12"/>
        <v>0</v>
      </c>
      <c r="G61" s="346">
        <f t="shared" si="12"/>
        <v>0</v>
      </c>
      <c r="H61" s="346">
        <f t="shared" si="12"/>
        <v>0</v>
      </c>
      <c r="I61" s="346">
        <f t="shared" si="12"/>
        <v>0</v>
      </c>
      <c r="J61" s="346">
        <f t="shared" si="12"/>
        <v>0</v>
      </c>
      <c r="K61" s="346">
        <f t="shared" si="12"/>
        <v>0</v>
      </c>
      <c r="L61" s="346">
        <f t="shared" si="12"/>
        <v>0</v>
      </c>
      <c r="M61" s="346">
        <f t="shared" si="12"/>
        <v>0</v>
      </c>
      <c r="N61" s="346">
        <f t="shared" si="12"/>
        <v>0</v>
      </c>
      <c r="O61" s="346">
        <f t="shared" si="12"/>
        <v>0</v>
      </c>
      <c r="P61" s="346">
        <f t="shared" si="12"/>
        <v>0</v>
      </c>
      <c r="Q61" s="346">
        <f t="shared" si="12"/>
        <v>0</v>
      </c>
      <c r="R61" s="346">
        <f t="shared" si="12"/>
        <v>0</v>
      </c>
      <c r="S61" s="346">
        <f t="shared" si="12"/>
        <v>0</v>
      </c>
      <c r="T61" s="346">
        <f t="shared" si="12"/>
        <v>0</v>
      </c>
    </row>
    <row r="62" spans="1:20" ht="13.5" customHeight="1" x14ac:dyDescent="0.15">
      <c r="A62" s="249"/>
      <c r="B62" s="325"/>
      <c r="C62" s="256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</row>
    <row r="63" spans="1:20" ht="13.5" customHeight="1" x14ac:dyDescent="0.15">
      <c r="A63" s="249"/>
      <c r="B63" s="325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</row>
    <row r="64" spans="1:20" ht="13.5" customHeight="1" thickBot="1" x14ac:dyDescent="0.2">
      <c r="A64" s="327" t="s">
        <v>280</v>
      </c>
      <c r="B64" s="329"/>
      <c r="C64" s="330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</row>
    <row r="65" spans="1:20" ht="4.5" customHeight="1" x14ac:dyDescent="0.15">
      <c r="A65" s="249"/>
      <c r="B65" s="257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</row>
    <row r="66" spans="1:20" ht="13.5" customHeight="1" x14ac:dyDescent="0.2">
      <c r="A66" s="332" t="s">
        <v>272</v>
      </c>
      <c r="B66" s="347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</row>
    <row r="67" spans="1:20" ht="13.5" customHeight="1" x14ac:dyDescent="0.2">
      <c r="A67" s="292" t="s">
        <v>139</v>
      </c>
      <c r="B67" s="333" t="str">
        <f>Settings!$C$6</f>
        <v>CAD</v>
      </c>
      <c r="C67" s="300"/>
      <c r="D67" s="349">
        <f>+IF((E$7-$D$7)&lt;=(Settings!$C47*12),$C57/(Settings!$C47*12),0)</f>
        <v>0</v>
      </c>
      <c r="E67" s="300">
        <f>IF((E$7-$D$7)&lt;=(Settings!$C47*12),$D57/(Settings!$C47*12),0)+IF((E$7-$D$7)&lt;=(Settings!$C47*12),$C57/(Settings!$C47*12),0)</f>
        <v>0</v>
      </c>
      <c r="F67" s="300">
        <f>IF((F$7-$E$7)&lt;=(Settings!$C47*12),$E57/(Settings!$C47*12),0)+IF((F$7-$D$7)&lt;=(Settings!$C47*12),$D57/(Settings!$C47*12),0)+IF((E$7-$D$7)&lt;=(Settings!$C47*12),$C57/(Settings!$C47*12),0)</f>
        <v>0</v>
      </c>
      <c r="G67" s="300">
        <f>IF((G$7-$F$7)&lt;=(Settings!$C47*12),$F57/(Settings!$C47*12),0)+IF((G$7-$E$7)&lt;=(Settings!$C47*12),$E57/(Settings!$C47*12),0)+IF((G$7-$D$7)&lt;=(Settings!$C47*12),$D57/(Settings!$C47*12),0)+IF((E$7-$D$7)&lt;=(Settings!$C47*12),$C57/(Settings!$C47*12),0)</f>
        <v>0</v>
      </c>
      <c r="H67" s="300">
        <f>IF((H$7-$G$7)&lt;=(Settings!$C47*12),$G57/(Settings!$C47*12),0)+IF((H$7-$F$7)&lt;=(Settings!$C47*12),$F57/(Settings!$C47*12),0)+IF((H$7-$E$7)&lt;=(Settings!$C47*12),$E57/(Settings!$C47*12),0)+IF((H$7-$D$7)&lt;=(Settings!$C47*12),$D57/(Settings!$C47*12),0)+IF((E$7-$D$7)&lt;=(Settings!$C47*12),$C57/(Settings!$C47*12),0)</f>
        <v>0</v>
      </c>
      <c r="I67" s="300">
        <f>IF((I$7-$H$7)&lt;=(Settings!$C47*12),$H57/(Settings!$C47*12),0)+IF((I$7-$G$7)&lt;=(Settings!$C47*12),$G57/(Settings!$C47*12),0)+IF((I$7-$F$7)&lt;=(Settings!$C47*12),$F57/(Settings!$C47*12),0)+IF((I$7-$E$7)&lt;=(Settings!$C47*12),$E57/(Settings!$C47*12),0)+IF((I$7-$D$7)&lt;=(Settings!$C47*12),$D57/(Settings!$C47*12),0)+IF((E$7-$D$7)&lt;=(Settings!$C47*12),$C57/(Settings!$C47*12),0)</f>
        <v>0</v>
      </c>
      <c r="J67" s="300">
        <f>IF((J$7-$I$7)&lt;=(Settings!$C47*12),$I57/(Settings!$C47*12),0)+IF((J$7-$H$7)&lt;=(Settings!$C47*12),$H57/(Settings!$C47*12),0)+IF((J$7-$G$7)&lt;=(Settings!$C47*12),$G57/(Settings!$C47*12),0)+IF((J$7-$F$7)&lt;=(Settings!$C47*12),$F57/(Settings!$C47*12),0)+IF((J$7-$E$7)&lt;=(Settings!$C47*12),$E57/(Settings!$C47*12),0)+IF((J$7-$D$7)&lt;=(Settings!$C47*12),$D57/(Settings!$C47*12),0)+IF((E$7-$D$7)&lt;=(Settings!$C47*12),$C57/(Settings!$C47*12),0)</f>
        <v>0</v>
      </c>
      <c r="K67" s="300">
        <f>IF((K$7-$J$7)&lt;=(Settings!$C47*12),$J57/(Settings!$C47*12),0)+IF((K$7-$I$7)&lt;=(Settings!$C47*12),$I57/(Settings!$C47*12),0)+IF((K$7-$H$7)&lt;=(Settings!$C47*12),$H57/(Settings!$C47*12),0)+IF((K$7-$G$7)&lt;=(Settings!$C47*12),$G57/(Settings!$C47*12),0)+IF((K$7-$F$7)&lt;=(Settings!$C47*12),$F57/(Settings!$C47*12),0)+IF((K$7-$E$7)&lt;=(Settings!$C47*12),$E57/(Settings!$C47*12),0)+IF((K$7-$D$7)&lt;=(Settings!$C47*12),$D57/(Settings!$C47*12),0)+IF((E$7-$D$7)&lt;=(Settings!$C47*12),$C57/(Settings!$C47*12),0)</f>
        <v>0</v>
      </c>
      <c r="L67" s="300">
        <f>IF((L$7-$K$7)&lt;=(Settings!$C47*12),$K57/(Settings!$C47*12),0)+IF((L$7-$J$7)&lt;=(Settings!$C47*12),$J57/(Settings!$C47*12),0)+IF((L$7-$I$7)&lt;=(Settings!$C47*12),$I57/(Settings!$C47*12),0)+IF((L$7-$H$7)&lt;=(Settings!$C47*12),$H57/(Settings!$C47*12),0)+IF((L$7-$G$7)&lt;=(Settings!$C47*12),$G57/(Settings!$C47*12),0)+IF((L$7-$F$7)&lt;=(Settings!$C47*12),$F57/(Settings!$C47*12),0)+IF((L$7-$E$7)&lt;=(Settings!$C47*12),$E57/(Settings!$C47*12),0)+IF((L$7-$D$7)&lt;=(Settings!$C47*12),$D57/(Settings!$C47*12),0)+IF((E$7-$D$7)&lt;=(Settings!$C47*12),$C57/(Settings!$C47*12),0)</f>
        <v>0</v>
      </c>
      <c r="M67" s="300">
        <f>IF((M$7-$L$7)&lt;=(Settings!$C47*12),$L57/(Settings!$C47*12),0)+IF((M$7-$K$7)&lt;=(Settings!$C47*12),$K57/(Settings!$C47*12),0)+IF((M$7-$J$7)&lt;=(Settings!$C47*12),$J57/(Settings!$C47*12),0)+IF((M$7-$I$7)&lt;=(Settings!$C47*12),$I57/(Settings!$C47*12),0)+IF((M$7-$H$7)&lt;=(Settings!$C47*12),$H57/(Settings!$C47*12),0)+IF((M$7-$G$7)&lt;=(Settings!$C47*12),$G57/(Settings!$C47*12),0)+IF((M$7-$F$7)&lt;=(Settings!$C47*12),$F57/(Settings!$C47*12),0)+IF((M$7-$E$7)&lt;=(Settings!$C47*12),$E57/(Settings!$C47*12),0)+IF((M$7-$D$7)&lt;=(Settings!$C47*12),$D57/(Settings!$C47*12),0)+IF((E$7-$D$7)&lt;=(Settings!$C47*12),$C57/(Settings!$C47*12),0)</f>
        <v>0</v>
      </c>
      <c r="N67" s="300">
        <f>IF((N$7-$M$7)&lt;=(Settings!$C47*12),$M57/(Settings!$C47*12),0)+IF((N$7-$L$7)&lt;=(Settings!$C47*12),$L57/(Settings!$C47*12),0)+IF((N$7-$K$7)&lt;=(Settings!$C47*12),$K57/(Settings!$C47*12),0)+IF((N$7-$J$7)&lt;=(Settings!$C47*12),$J57/(Settings!$C47*12),0)+IF((N$7-$I$7)&lt;=(Settings!$C47*12),$I57/(Settings!$C47*12),0)+IF((N$7-$H$7)&lt;=(Settings!$C47*12),$H57/(Settings!$C47*12),0)+IF((N$7-$G$7)&lt;=(Settings!$C47*12),$G57/(Settings!$C47*12),0)+IF((N$7-$F$7)&lt;=(Settings!$C47*12),$F57/(Settings!$C47*12),0)+IF((N$7-$E$7)&lt;=(Settings!$C47*12),$E57/(Settings!$C47*12),0)+IF((N$7-$D$7)&lt;=(Settings!$C47*12),$D57/(Settings!$C47*12),0)+IF((E$7-$D$7)&lt;=(Settings!$C47*12),$C57/(Settings!$C47*12),0)</f>
        <v>0</v>
      </c>
      <c r="O67" s="300">
        <f>IF((O$7-$N$7)&lt;=(Settings!$C47*12),$N57/(Settings!$C47*12),0)+IF((O$7-$M$7)&lt;=(Settings!$C47*12),$M57/(Settings!$C47*12),0)+IF((O$7-$L$7)&lt;=(Settings!$C47*12),$L57/(Settings!$C47*12),0)+IF((O$7-$K$7)&lt;=(Settings!$C47*12),$K57/(Settings!$C47*12),0)+IF((O$7-$J$7)&lt;=(Settings!$C47*12),$J57/(Settings!$C47*12),0)+IF((O$7-$I$7)&lt;=(Settings!$C47*12),$I57/(Settings!$C47*12),0)+IF((O$7-$H$7)&lt;=(Settings!$C47*12),$H57/(Settings!$C47*12),0)+IF((O$7-$G$7)&lt;=(Settings!$C47*12),$G57/(Settings!$C47*12),0)+IF((O$7-$F$7)&lt;=(Settings!$C47*12),$F57/(Settings!$C47*12),0)+IF((O$7-$E$7)&lt;=(Settings!$C47*12),$E57/(Settings!$C47*12),0)+IF((O$7-$D$7)&lt;=(Settings!$C47*12),$D57/(Settings!$C47*12),0)+IF((E$7-$D$7)&lt;=(Settings!$C47*12),$C57/(Settings!$C47*12),0)</f>
        <v>0</v>
      </c>
      <c r="P67" s="300">
        <f>IF((P$7-$O$7)&lt;=(Settings!$C47*12),$O57/(Settings!$C47*12),0)+IF((P$7-$N$7)&lt;=(Settings!$C47*12),$N57/(Settings!$C47*12),0)+IF((P$7-$M$7)&lt;=(Settings!$C47*12),$M57/(Settings!$C47*12),0)+IF((P$7-$L$7)&lt;=(Settings!$C47*12),$L57/(Settings!$C47*12),0)+IF((P$7-$K$7)&lt;=(Settings!$C47*12),$K57/(Settings!$C47*12),0)+IF((P$7-$J$7)&lt;=(Settings!$C47*12),$J57/(Settings!$C47*12),0)+IF((P$7-$I$7)&lt;=(Settings!$C47*12),$I57/(Settings!$C47*12),0)+IF((P$7-$H$7)&lt;=(Settings!$C47*12),$H57/(Settings!$C47*12),0)+IF((P$7-$G$7)&lt;=(Settings!$C47*12),$G57/(Settings!$C47*12),0)+IF((P$7-$F$7)&lt;=(Settings!$C47*12),$F57/(Settings!$C47*12),0)+IF((P$7-$E$7)&lt;=(Settings!$C47*12),$E57/(Settings!$C47*12),0)+IF((P$7-$D$7)&lt;=(Settings!$C47*12),$D57/(Settings!$C47*12),0)+IF((E$7-$D$7)&lt;=(Settings!$C47*12),$C57/(Settings!$C47*12),0)</f>
        <v>0</v>
      </c>
      <c r="Q67" s="300">
        <f>IF((Q$7-$P$7)&lt;=(Settings!$C47*12),$P57/(Settings!$C47*12),0)+IF((Q$7-$O$7)&lt;=(Settings!$C47*12),$O57/(Settings!$C47*12),0)+IF((Q$7-$N$7)&lt;=(Settings!$C47*12),$N57/(Settings!$C47*12),0)+IF((Q$7-$M$7)&lt;=(Settings!$C47*12),$M57/(Settings!$C47*12),0)+IF((Q$7-$L$7)&lt;=(Settings!$C47*12),$L57/(Settings!$C47*12),0)+IF((Q$7-$K$7)&lt;=(Settings!$C47*12),$K57/(Settings!$C47*12),0)+IF((Q$7-$J$7)&lt;=(Settings!$C47*12),$J57/(Settings!$C47*12),0)+IF((Q$7-$I$7)&lt;=(Settings!$C47*12),$I57/(Settings!$C47*12),0)+IF((Q$7-$H$7)&lt;=(Settings!$C47*12),$H57/(Settings!$C47*12),0)+IF((Q$7-$G$7)&lt;=(Settings!$C47*12),$G57/(Settings!$C47*12),0)+IF((Q$7-$F$7)&lt;=(Settings!$C47*12),$F57/(Settings!$C47*12),0)+IF((Q$7-$E$7)&lt;=(Settings!$C47*12),$E57/(Settings!$C47*12),0)+IF((Q$7-$D$7)&lt;=(Settings!$C47*12),$D57/(Settings!$C47*12),0)+IF((E$7-$D$7)&lt;=(Settings!$C47*12),$C57/(Settings!$C47*12),0)</f>
        <v>0</v>
      </c>
      <c r="R67" s="300">
        <f>IF((R$7-$Q$7)&lt;=(Settings!$C47*12),$Q57/(Settings!$C47*12),0)+IF((R$7-$P$7)&lt;=(Settings!$C47*12),$P57/(Settings!$C47*12),0)+IF((R$7-$O$7)&lt;=(Settings!$C47*12),$O57/(Settings!$C47*12),0)+IF((R$7-$N$7)&lt;=(Settings!$C47*12),$N57/(Settings!$C47*12),0)+IF((R$7-$M$7)&lt;=(Settings!$C47*12),$M57/(Settings!$C47*12),0)+IF((R$7-$L$7)&lt;=(Settings!$C47*12),$L57/(Settings!$C47*12),0)+IF((R$7-$K$7)&lt;=(Settings!$C47*12),$K57/(Settings!$C47*12),0)+IF((R$7-$J$7)&lt;=(Settings!$C47*12),$J57/(Settings!$C47*12),0)+IF((R$7-$I$7)&lt;=(Settings!$C47*12),$I57/(Settings!$C47*12),0)+IF((R$7-$H$7)&lt;=(Settings!$C47*12),$H57/(Settings!$C47*12),0)+IF((R$7-$G$7)&lt;=(Settings!$C47*12),$G57/(Settings!$C47*12),0)+IF((R$7-$F$7)&lt;=(Settings!$C47*12),$F57/(Settings!$C47*12),0)+IF((R$7-$E$7)&lt;=(Settings!$C47*12),$E57/(Settings!$C47*12),0)+IF((R$7-$D$7)&lt;=(Settings!$C47*12),$D57/(Settings!$C47*12),0)+IF((E$7-$D$7)&lt;=(Settings!$C47*12),$C57/(Settings!$C47*12),0)</f>
        <v>0</v>
      </c>
      <c r="S67" s="300">
        <f>IF((S$7-$R$7)&lt;=(Settings!$C47*12),$R57/(Settings!$C47*12),0)+IF((S$7-$Q$7)&lt;=(Settings!$C47*12),$Q57/(Settings!$C47*12),0)+IF((S$7-$P$7)&lt;=(Settings!$C47*12),$P57/(Settings!$C47*12),0)+IF((S$7-$O$7)&lt;=(Settings!$C47*12),$O57/(Settings!$C47*12),0)+IF((S$7-$N$7)&lt;=(Settings!$C47*12),$N57/(Settings!$C47*12),0)+IF((S$7-$M$7)&lt;=(Settings!$C47*12),$M57/(Settings!$C47*12),0)+IF((S$7-$L$7)&lt;=(Settings!$C47*12),$L57/(Settings!$C47*12),0)+IF((S$7-$K$7)&lt;=(Settings!$C47*12),$K57/(Settings!$C47*12),0)+IF((S$7-$J$7)&lt;=(Settings!$C47*12),$J57/(Settings!$C47*12),0)+IF((S$7-$I$7)&lt;=(Settings!$C47*12),$I57/(Settings!$C47*12),0)+IF((S$7-$H$7)&lt;=(Settings!$C47*12),$H57/(Settings!$C47*12),0)+IF((S$7-$G$7)&lt;=(Settings!$C47*12),$G57/(Settings!$C47*12),0)+IF((S$7-$F$7)&lt;=(Settings!$C47*12),$F57/(Settings!$C47*12),0)+IF((S$7-$E$7)&lt;=(Settings!$C47*12),$E57/(Settings!$C47*12),0)+IF((S$7-$D$7)&lt;=(Settings!$C47*12),$D57/(Settings!$C47*12),0)+IF((E$7-$D$7)&lt;=(Settings!$C47*12),$C57/(Settings!$C47*12),0)</f>
        <v>0</v>
      </c>
      <c r="T67" s="300">
        <f>IF((T$7-$S$7)&lt;=(Settings!$C47*12),$S57/(Settings!$C47*12),0)+IF((T$7-$R$7)&lt;=(Settings!$C47*12),$R57/(Settings!$C47*12),0)+IF((T$7-$Q$7)&lt;=(Settings!$C47*12),$Q57/(Settings!$C47*12),0)+IF((T$7-$P$7)&lt;=(Settings!$C47*12),$P57/(Settings!$C47*12),0)+IF((T$7-$O$7)&lt;=(Settings!$C47*12),$O57/(Settings!$C47*12),0)+IF((T$7-$N$7)&lt;=(Settings!$C47*12),$N57/(Settings!$C47*12),0)+IF((T$7-$M$7)&lt;=(Settings!$C47*12),$M57/(Settings!$C47*12),0)+IF((T$7-$L$7)&lt;=(Settings!$C47*12),$L57/(Settings!$C47*12),0)+IF((T$7-$K$7)&lt;=(Settings!$C47*12),$K57/(Settings!$C47*12),0)+IF((T$7-$J$7)&lt;=(Settings!$C47*12),$J57/(Settings!$C47*12),0)+IF((T$7-$I$7)&lt;=(Settings!$C47*12),$I57/(Settings!$C47*12),0)+IF((T$7-$H$7)&lt;=(Settings!$C47*12),$H57/(Settings!$C47*12),0)+IF((T$7-$G$7)&lt;=(Settings!$C47*12),$G57/(Settings!$C47*12),0)+IF((T$7-$F$7)&lt;=(Settings!$C47*12),$F57/(Settings!$C47*12),0)+IF((T$7-$E$7)&lt;=(Settings!$C47*12),$E57/(Settings!$C47*12),0)+IF((T$7-$D$7)&lt;=(Settings!$C47*12),$D57/(Settings!$C47*12),0)+IF((E$7-$D$7)&lt;=(Settings!$C47*12),$C57/(Settings!$C47*12),0)</f>
        <v>0</v>
      </c>
    </row>
    <row r="68" spans="1:20" ht="13.5" customHeight="1" x14ac:dyDescent="0.2">
      <c r="A68" s="292" t="s">
        <v>140</v>
      </c>
      <c r="B68" s="333" t="str">
        <f>Settings!$C$6</f>
        <v>CAD</v>
      </c>
      <c r="C68" s="300"/>
      <c r="D68" s="349">
        <f>+IF((E$7-$D$7)&lt;=(Settings!$C48*12),$C58/(Settings!$C48*12),0)</f>
        <v>0</v>
      </c>
      <c r="E68" s="300">
        <f>IF((E$7-$D$7)&lt;=(Settings!$C48*12),$D58/(Settings!$C48*12),0)+IF((E$7-$D$7)&lt;=(Settings!$C48*12),$C58/(Settings!$C48*12),0)</f>
        <v>0</v>
      </c>
      <c r="F68" s="300">
        <f>IF((F$7-$E$7)&lt;=(Settings!$C48*12),$E58/(Settings!$C48*12),0)+IF((F$7-$D$7)&lt;=(Settings!$C48*12),$D58/(Settings!$C48*12),0)+IF((E$7-$D$7)&lt;=(Settings!$C48*12),$C58/(Settings!$C48*12),0)</f>
        <v>0</v>
      </c>
      <c r="G68" s="300">
        <f>IF((G$7-$F$7)&lt;=(Settings!$C48*12),$F58/(Settings!$C48*12),0)+IF((G$7-$E$7)&lt;=(Settings!$C48*12),$E58/(Settings!$C48*12),0)+IF((G$7-$D$7)&lt;=(Settings!$C48*12),$D58/(Settings!$C48*12),0)+IF((E$7-$D$7)&lt;=(Settings!$C48*12),$C58/(Settings!$C48*12),0)</f>
        <v>0</v>
      </c>
      <c r="H68" s="300">
        <f>IF((H$7-$G$7)&lt;=(Settings!$C48*12),$G58/(Settings!$C48*12),0)+IF((H$7-$F$7)&lt;=(Settings!$C48*12),$F58/(Settings!$C48*12),0)+IF((H$7-$E$7)&lt;=(Settings!$C48*12),$E58/(Settings!$C48*12),0)+IF((H$7-$D$7)&lt;=(Settings!$C48*12),$D58/(Settings!$C48*12),0)+IF((E$7-$D$7)&lt;=(Settings!$C48*12),$C58/(Settings!$C48*12),0)</f>
        <v>0</v>
      </c>
      <c r="I68" s="300">
        <f>IF((I$7-$H$7)&lt;=(Settings!$C48*12),$H58/(Settings!$C48*12),0)+IF((I$7-$G$7)&lt;=(Settings!$C48*12),$G58/(Settings!$C48*12),0)+IF((I$7-$F$7)&lt;=(Settings!$C48*12),$F58/(Settings!$C48*12),0)+IF((I$7-$E$7)&lt;=(Settings!$C48*12),$E58/(Settings!$C48*12),0)+IF((I$7-$D$7)&lt;=(Settings!$C48*12),$D58/(Settings!$C48*12),0)+IF((E$7-$D$7)&lt;=(Settings!$C48*12),$C58/(Settings!$C48*12),0)</f>
        <v>0</v>
      </c>
      <c r="J68" s="300">
        <f>IF((J$7-$I$7)&lt;=(Settings!$C48*12),$I58/(Settings!$C48*12),0)+IF((J$7-$H$7)&lt;=(Settings!$C48*12),$H58/(Settings!$C48*12),0)+IF((J$7-$G$7)&lt;=(Settings!$C48*12),$G58/(Settings!$C48*12),0)+IF((J$7-$F$7)&lt;=(Settings!$C48*12),$F58/(Settings!$C48*12),0)+IF((J$7-$E$7)&lt;=(Settings!$C48*12),$E58/(Settings!$C48*12),0)+IF((J$7-$D$7)&lt;=(Settings!$C48*12),$D58/(Settings!$C48*12),0)+IF((E$7-$D$7)&lt;=(Settings!$C48*12),$C58/(Settings!$C48*12),0)</f>
        <v>0</v>
      </c>
      <c r="K68" s="300">
        <f>IF((K$7-$J$7)&lt;=(Settings!$C48*12),$J58/(Settings!$C48*12),0)+IF((K$7-$I$7)&lt;=(Settings!$C48*12),$I58/(Settings!$C48*12),0)+IF((K$7-$H$7)&lt;=(Settings!$C48*12),$H58/(Settings!$C48*12),0)+IF((K$7-$G$7)&lt;=(Settings!$C48*12),$G58/(Settings!$C48*12),0)+IF((K$7-$F$7)&lt;=(Settings!$C48*12),$F58/(Settings!$C48*12),0)+IF((K$7-$E$7)&lt;=(Settings!$C48*12),$E58/(Settings!$C48*12),0)+IF((K$7-$D$7)&lt;=(Settings!$C48*12),$D58/(Settings!$C48*12),0)+IF((E$7-$D$7)&lt;=(Settings!$C48*12),$C58/(Settings!$C48*12),0)</f>
        <v>0</v>
      </c>
      <c r="L68" s="300">
        <f>IF((L$7-$K$7)&lt;=(Settings!$C48*12),$K58/(Settings!$C48*12),0)+IF((L$7-$J$7)&lt;=(Settings!$C48*12),$J58/(Settings!$C48*12),0)+IF((L$7-$I$7)&lt;=(Settings!$C48*12),$I58/(Settings!$C48*12),0)+IF((L$7-$H$7)&lt;=(Settings!$C48*12),$H58/(Settings!$C48*12),0)+IF((L$7-$G$7)&lt;=(Settings!$C48*12),$G58/(Settings!$C48*12),0)+IF((L$7-$F$7)&lt;=(Settings!$C48*12),$F58/(Settings!$C48*12),0)+IF((L$7-$E$7)&lt;=(Settings!$C48*12),$E58/(Settings!$C48*12),0)+IF((L$7-$D$7)&lt;=(Settings!$C48*12),$D58/(Settings!$C48*12),0)+IF((E$7-$D$7)&lt;=(Settings!$C48*12),$C58/(Settings!$C48*12),0)</f>
        <v>0</v>
      </c>
      <c r="M68" s="300">
        <f>IF((M$7-$L$7)&lt;=(Settings!$C48*12),$L58/(Settings!$C48*12),0)+IF((M$7-$K$7)&lt;=(Settings!$C48*12),$K58/(Settings!$C48*12),0)+IF((M$7-$J$7)&lt;=(Settings!$C48*12),$J58/(Settings!$C48*12),0)+IF((M$7-$I$7)&lt;=(Settings!$C48*12),$I58/(Settings!$C48*12),0)+IF((M$7-$H$7)&lt;=(Settings!$C48*12),$H58/(Settings!$C48*12),0)+IF((M$7-$G$7)&lt;=(Settings!$C48*12),$G58/(Settings!$C48*12),0)+IF((M$7-$F$7)&lt;=(Settings!$C48*12),$F58/(Settings!$C48*12),0)+IF((M$7-$E$7)&lt;=(Settings!$C48*12),$E58/(Settings!$C48*12),0)+IF((M$7-$D$7)&lt;=(Settings!$C48*12),$D58/(Settings!$C48*12),0)+IF((E$7-$D$7)&lt;=(Settings!$C48*12),$C58/(Settings!$C48*12),0)</f>
        <v>0</v>
      </c>
      <c r="N68" s="300">
        <f>IF((N$7-$M$7)&lt;=(Settings!$C48*12),$M58/(Settings!$C48*12),0)+IF((N$7-$L$7)&lt;=(Settings!$C48*12),$L58/(Settings!$C48*12),0)+IF((N$7-$K$7)&lt;=(Settings!$C48*12),$K58/(Settings!$C48*12),0)+IF((N$7-$J$7)&lt;=(Settings!$C48*12),$J58/(Settings!$C48*12),0)+IF((N$7-$I$7)&lt;=(Settings!$C48*12),$I58/(Settings!$C48*12),0)+IF((N$7-$H$7)&lt;=(Settings!$C48*12),$H58/(Settings!$C48*12),0)+IF((N$7-$G$7)&lt;=(Settings!$C48*12),$G58/(Settings!$C48*12),0)+IF((N$7-$F$7)&lt;=(Settings!$C48*12),$F58/(Settings!$C48*12),0)+IF((N$7-$E$7)&lt;=(Settings!$C48*12),$E58/(Settings!$C48*12),0)+IF((N$7-$D$7)&lt;=(Settings!$C48*12),$D58/(Settings!$C48*12),0)+IF((E$7-$D$7)&lt;=(Settings!$C48*12),$C58/(Settings!$C48*12),0)</f>
        <v>0</v>
      </c>
      <c r="O68" s="300">
        <f>IF((O$7-$N$7)&lt;=(Settings!$C48*12),$N58/(Settings!$C48*12),0)+IF((O$7-$M$7)&lt;=(Settings!$C48*12),$M58/(Settings!$C48*12),0)+IF((O$7-$L$7)&lt;=(Settings!$C48*12),$L58/(Settings!$C48*12),0)+IF((O$7-$K$7)&lt;=(Settings!$C48*12),$K58/(Settings!$C48*12),0)+IF((O$7-$J$7)&lt;=(Settings!$C48*12),$J58/(Settings!$C48*12),0)+IF((O$7-$I$7)&lt;=(Settings!$C48*12),$I58/(Settings!$C48*12),0)+IF((O$7-$H$7)&lt;=(Settings!$C48*12),$H58/(Settings!$C48*12),0)+IF((O$7-$G$7)&lt;=(Settings!$C48*12),$G58/(Settings!$C48*12),0)+IF((O$7-$F$7)&lt;=(Settings!$C48*12),$F58/(Settings!$C48*12),0)+IF((O$7-$E$7)&lt;=(Settings!$C48*12),$E58/(Settings!$C48*12),0)+IF((O$7-$D$7)&lt;=(Settings!$C48*12),$D58/(Settings!$C48*12),0)+IF((E$7-$D$7)&lt;=(Settings!$C48*12),$C58/(Settings!$C48*12),0)</f>
        <v>0</v>
      </c>
      <c r="P68" s="300">
        <f>IF((P$7-$O$7)&lt;=(Settings!$C48*12),$O58/(Settings!$C48*12),0)+IF((P$7-$N$7)&lt;=(Settings!$C48*12),$N58/(Settings!$C48*12),0)+IF((P$7-$M$7)&lt;=(Settings!$C48*12),$M58/(Settings!$C48*12),0)+IF((P$7-$L$7)&lt;=(Settings!$C48*12),$L58/(Settings!$C48*12),0)+IF((P$7-$K$7)&lt;=(Settings!$C48*12),$K58/(Settings!$C48*12),0)+IF((P$7-$J$7)&lt;=(Settings!$C48*12),$J58/(Settings!$C48*12),0)+IF((P$7-$I$7)&lt;=(Settings!$C48*12),$I58/(Settings!$C48*12),0)+IF((P$7-$H$7)&lt;=(Settings!$C48*12),$H58/(Settings!$C48*12),0)+IF((P$7-$G$7)&lt;=(Settings!$C48*12),$G58/(Settings!$C48*12),0)+IF((P$7-$F$7)&lt;=(Settings!$C48*12),$F58/(Settings!$C48*12),0)+IF((P$7-$E$7)&lt;=(Settings!$C48*12),$E58/(Settings!$C48*12),0)+IF((P$7-$D$7)&lt;=(Settings!$C48*12),$D58/(Settings!$C48*12),0)+IF((E$7-$D$7)&lt;=(Settings!$C48*12),$C58/(Settings!$C48*12),0)</f>
        <v>0</v>
      </c>
      <c r="Q68" s="300">
        <f>IF((Q$7-$P$7)&lt;=(Settings!$C48*12),$P58/(Settings!$C48*12),0)+IF((Q$7-$O$7)&lt;=(Settings!$C48*12),$O58/(Settings!$C48*12),0)+IF((Q$7-$N$7)&lt;=(Settings!$C48*12),$N58/(Settings!$C48*12),0)+IF((Q$7-$M$7)&lt;=(Settings!$C48*12),$M58/(Settings!$C48*12),0)+IF((Q$7-$L$7)&lt;=(Settings!$C48*12),$L58/(Settings!$C48*12),0)+IF((Q$7-$K$7)&lt;=(Settings!$C48*12),$K58/(Settings!$C48*12),0)+IF((Q$7-$J$7)&lt;=(Settings!$C48*12),$J58/(Settings!$C48*12),0)+IF((Q$7-$I$7)&lt;=(Settings!$C48*12),$I58/(Settings!$C48*12),0)+IF((Q$7-$H$7)&lt;=(Settings!$C48*12),$H58/(Settings!$C48*12),0)+IF((Q$7-$G$7)&lt;=(Settings!$C48*12),$G58/(Settings!$C48*12),0)+IF((Q$7-$F$7)&lt;=(Settings!$C48*12),$F58/(Settings!$C48*12),0)+IF((Q$7-$E$7)&lt;=(Settings!$C48*12),$E58/(Settings!$C48*12),0)+IF((Q$7-$D$7)&lt;=(Settings!$C48*12),$D58/(Settings!$C48*12),0)+IF((E$7-$D$7)&lt;=(Settings!$C48*12),$C58/(Settings!$C48*12),0)</f>
        <v>0</v>
      </c>
      <c r="R68" s="300">
        <f>IF((R$7-$Q$7)&lt;=(Settings!$C48*12),$Q58/(Settings!$C48*12),0)+IF((R$7-$P$7)&lt;=(Settings!$C48*12),$P58/(Settings!$C48*12),0)+IF((R$7-$O$7)&lt;=(Settings!$C48*12),$O58/(Settings!$C48*12),0)+IF((R$7-$N$7)&lt;=(Settings!$C48*12),$N58/(Settings!$C48*12),0)+IF((R$7-$M$7)&lt;=(Settings!$C48*12),$M58/(Settings!$C48*12),0)+IF((R$7-$L$7)&lt;=(Settings!$C48*12),$L58/(Settings!$C48*12),0)+IF((R$7-$K$7)&lt;=(Settings!$C48*12),$K58/(Settings!$C48*12),0)+IF((R$7-$J$7)&lt;=(Settings!$C48*12),$J58/(Settings!$C48*12),0)+IF((R$7-$I$7)&lt;=(Settings!$C48*12),$I58/(Settings!$C48*12),0)+IF((R$7-$H$7)&lt;=(Settings!$C48*12),$H58/(Settings!$C48*12),0)+IF((R$7-$G$7)&lt;=(Settings!$C48*12),$G58/(Settings!$C48*12),0)+IF((R$7-$F$7)&lt;=(Settings!$C48*12),$F58/(Settings!$C48*12),0)+IF((R$7-$E$7)&lt;=(Settings!$C48*12),$E58/(Settings!$C48*12),0)+IF((R$7-$D$7)&lt;=(Settings!$C48*12),$D58/(Settings!$C48*12),0)+IF((E$7-$D$7)&lt;=(Settings!$C48*12),$C58/(Settings!$C48*12),0)</f>
        <v>0</v>
      </c>
      <c r="S68" s="300">
        <f>IF((S$7-$R$7)&lt;=(Settings!$C48*12),$R58/(Settings!$C48*12),0)+IF((S$7-$Q$7)&lt;=(Settings!$C48*12),$Q58/(Settings!$C48*12),0)+IF((S$7-$P$7)&lt;=(Settings!$C48*12),$P58/(Settings!$C48*12),0)+IF((S$7-$O$7)&lt;=(Settings!$C48*12),$O58/(Settings!$C48*12),0)+IF((S$7-$N$7)&lt;=(Settings!$C48*12),$N58/(Settings!$C48*12),0)+IF((S$7-$M$7)&lt;=(Settings!$C48*12),$M58/(Settings!$C48*12),0)+IF((S$7-$L$7)&lt;=(Settings!$C48*12),$L58/(Settings!$C48*12),0)+IF((S$7-$K$7)&lt;=(Settings!$C48*12),$K58/(Settings!$C48*12),0)+IF((S$7-$J$7)&lt;=(Settings!$C48*12),$J58/(Settings!$C48*12),0)+IF((S$7-$I$7)&lt;=(Settings!$C48*12),$I58/(Settings!$C48*12),0)+IF((S$7-$H$7)&lt;=(Settings!$C48*12),$H58/(Settings!$C48*12),0)+IF((S$7-$G$7)&lt;=(Settings!$C48*12),$G58/(Settings!$C48*12),0)+IF((S$7-$F$7)&lt;=(Settings!$C48*12),$F58/(Settings!$C48*12),0)+IF((S$7-$E$7)&lt;=(Settings!$C48*12),$E58/(Settings!$C48*12),0)+IF((S$7-$D$7)&lt;=(Settings!$C48*12),$D58/(Settings!$C48*12),0)+IF((E$7-$D$7)&lt;=(Settings!$C48*12),$C58/(Settings!$C48*12),0)</f>
        <v>0</v>
      </c>
      <c r="T68" s="300">
        <f>IF((T$7-$S$7)&lt;=(Settings!$C48*12),$S58/(Settings!$C48*12),0)+IF((T$7-$R$7)&lt;=(Settings!$C48*12),$R58/(Settings!$C48*12),0)+IF((T$7-$Q$7)&lt;=(Settings!$C48*12),$Q58/(Settings!$C48*12),0)+IF((T$7-$P$7)&lt;=(Settings!$C48*12),$P58/(Settings!$C48*12),0)+IF((T$7-$O$7)&lt;=(Settings!$C48*12),$O58/(Settings!$C48*12),0)+IF((T$7-$N$7)&lt;=(Settings!$C48*12),$N58/(Settings!$C48*12),0)+IF((T$7-$M$7)&lt;=(Settings!$C48*12),$M58/(Settings!$C48*12),0)+IF((T$7-$L$7)&lt;=(Settings!$C48*12),$L58/(Settings!$C48*12),0)+IF((T$7-$K$7)&lt;=(Settings!$C48*12),$K58/(Settings!$C48*12),0)+IF((T$7-$J$7)&lt;=(Settings!$C48*12),$J58/(Settings!$C48*12),0)+IF((T$7-$I$7)&lt;=(Settings!$C48*12),$I58/(Settings!$C48*12),0)+IF((T$7-$H$7)&lt;=(Settings!$C48*12),$H58/(Settings!$C48*12),0)+IF((T$7-$G$7)&lt;=(Settings!$C48*12),$G58/(Settings!$C48*12),0)+IF((T$7-$F$7)&lt;=(Settings!$C48*12),$F58/(Settings!$C48*12),0)+IF((T$7-$E$7)&lt;=(Settings!$C48*12),$E58/(Settings!$C48*12),0)+IF((T$7-$D$7)&lt;=(Settings!$C48*12),$D58/(Settings!$C48*12),0)+IF((E$7-$D$7)&lt;=(Settings!$C48*12),$C58/(Settings!$C48*12),0)</f>
        <v>0</v>
      </c>
    </row>
    <row r="69" spans="1:20" ht="13.5" customHeight="1" x14ac:dyDescent="0.2">
      <c r="A69" s="292" t="s">
        <v>142</v>
      </c>
      <c r="B69" s="333" t="str">
        <f>Settings!$C$6</f>
        <v>CAD</v>
      </c>
      <c r="C69" s="300"/>
      <c r="D69" s="349">
        <f>+IF((E$7-$D$7)&lt;=(Settings!$C50*12),$C59/(Settings!$C50*12),0)</f>
        <v>0</v>
      </c>
      <c r="E69" s="300">
        <f>IF((E$7-$D$7)&lt;=(Settings!$C50*12),$D59/(Settings!$C50*12),0)+IF((E$7-$D$7)&lt;=(Settings!$C50*12),$C59/(Settings!$C50*12),0)</f>
        <v>0</v>
      </c>
      <c r="F69" s="300">
        <f>IF((F$7-$E$7)&lt;=(Settings!$C50*12),$E59/(Settings!$C50*12),0)+IF((F$7-$D$7)&lt;=(Settings!$C50*12),$D59/(Settings!$C50*12),0)+IF((E$7-$D$7)&lt;=(Settings!$C50*12),$C59/(Settings!$C50*12),0)</f>
        <v>0</v>
      </c>
      <c r="G69" s="300">
        <f>IF((G$7-$F$7)&lt;=(Settings!$C50*12),$F59/(Settings!$C50*12),0)+IF((G$7-$E$7)&lt;=(Settings!$C50*12),$E59/(Settings!$C50*12),0)+IF((G$7-$D$7)&lt;=(Settings!$C50*12),$D59/(Settings!$C50*12),0)+IF((E$7-$D$7)&lt;=(Settings!$C50*12),$C59/(Settings!$C50*12),0)</f>
        <v>0</v>
      </c>
      <c r="H69" s="300">
        <f>IF((H$7-$G$7)&lt;=(Settings!$C50*12),$G59/(Settings!$C50*12),0)+IF((H$7-$F$7)&lt;=(Settings!$C50*12),$F59/(Settings!$C50*12),0)+IF((H$7-$E$7)&lt;=(Settings!$C50*12),$E59/(Settings!$C50*12),0)+IF((H$7-$D$7)&lt;=(Settings!$C50*12),$D59/(Settings!$C50*12),0)+IF((E$7-$D$7)&lt;=(Settings!$C50*12),$C59/(Settings!$C50*12),0)</f>
        <v>0</v>
      </c>
      <c r="I69" s="300">
        <f>IF((I$7-$H$7)&lt;=(Settings!$C50*12),$H59/(Settings!$C50*12),0)+IF((I$7-$G$7)&lt;=(Settings!$C50*12),$G59/(Settings!$C50*12),0)+IF((I$7-$F$7)&lt;=(Settings!$C50*12),$F59/(Settings!$C50*12),0)+IF((I$7-$E$7)&lt;=(Settings!$C50*12),$E59/(Settings!$C50*12),0)+IF((I$7-$D$7)&lt;=(Settings!$C50*12),$D59/(Settings!$C50*12),0)+IF((E$7-$D$7)&lt;=(Settings!$C50*12),$C59/(Settings!$C50*12),0)</f>
        <v>0</v>
      </c>
      <c r="J69" s="300">
        <f>IF((J$7-$I$7)&lt;=(Settings!$C50*12),$I59/(Settings!$C50*12),0)+IF((J$7-$H$7)&lt;=(Settings!$C50*12),$H59/(Settings!$C50*12),0)+IF((J$7-$G$7)&lt;=(Settings!$C50*12),$G59/(Settings!$C50*12),0)+IF((J$7-$F$7)&lt;=(Settings!$C50*12),$F59/(Settings!$C50*12),0)+IF((J$7-$E$7)&lt;=(Settings!$C50*12),$E59/(Settings!$C50*12),0)+IF((J$7-$D$7)&lt;=(Settings!$C50*12),$D59/(Settings!$C50*12),0)+IF((E$7-$D$7)&lt;=(Settings!$C50*12),$C59/(Settings!$C50*12),0)</f>
        <v>0</v>
      </c>
      <c r="K69" s="300">
        <f>IF((K$7-$J$7)&lt;=(Settings!$C50*12),$J59/(Settings!$C50*12),0)+IF((K$7-$I$7)&lt;=(Settings!$C50*12),$I59/(Settings!$C50*12),0)+IF((K$7-$H$7)&lt;=(Settings!$C50*12),$H59/(Settings!$C50*12),0)+IF((K$7-$G$7)&lt;=(Settings!$C50*12),$G59/(Settings!$C50*12),0)+IF((K$7-$F$7)&lt;=(Settings!$C50*12),$F59/(Settings!$C50*12),0)+IF((K$7-$E$7)&lt;=(Settings!$C50*12),$E59/(Settings!$C50*12),0)+IF((K$7-$D$7)&lt;=(Settings!$C50*12),$D59/(Settings!$C50*12),0)+IF((E$7-$D$7)&lt;=(Settings!$C50*12),$C59/(Settings!$C50*12),0)</f>
        <v>0</v>
      </c>
      <c r="L69" s="300">
        <f>IF((L$7-$K$7)&lt;=(Settings!$C50*12),$K59/(Settings!$C50*12),0)+IF((L$7-$J$7)&lt;=(Settings!$C50*12),$J59/(Settings!$C50*12),0)+IF((L$7-$I$7)&lt;=(Settings!$C50*12),$I59/(Settings!$C50*12),0)+IF((L$7-$H$7)&lt;=(Settings!$C50*12),$H59/(Settings!$C50*12),0)+IF((L$7-$G$7)&lt;=(Settings!$C50*12),$G59/(Settings!$C50*12),0)+IF((L$7-$F$7)&lt;=(Settings!$C50*12),$F59/(Settings!$C50*12),0)+IF((L$7-$E$7)&lt;=(Settings!$C50*12),$E59/(Settings!$C50*12),0)+IF((L$7-$D$7)&lt;=(Settings!$C50*12),$D59/(Settings!$C50*12),0)+IF((E$7-$D$7)&lt;=(Settings!$C50*12),$C59/(Settings!$C50*12),0)</f>
        <v>0</v>
      </c>
      <c r="M69" s="300">
        <f>IF((M$7-$L$7)&lt;=(Settings!$C50*12),$L59/(Settings!$C50*12),0)+IF((M$7-$K$7)&lt;=(Settings!$C50*12),$K59/(Settings!$C50*12),0)+IF((M$7-$J$7)&lt;=(Settings!$C50*12),$J59/(Settings!$C50*12),0)+IF((M$7-$I$7)&lt;=(Settings!$C50*12),$I59/(Settings!$C50*12),0)+IF((M$7-$H$7)&lt;=(Settings!$C50*12),$H59/(Settings!$C50*12),0)+IF((M$7-$G$7)&lt;=(Settings!$C50*12),$G59/(Settings!$C50*12),0)+IF((M$7-$F$7)&lt;=(Settings!$C50*12),$F59/(Settings!$C50*12),0)+IF((M$7-$E$7)&lt;=(Settings!$C50*12),$E59/(Settings!$C50*12),0)+IF((M$7-$D$7)&lt;=(Settings!$C50*12),$D59/(Settings!$C50*12),0)+IF((E$7-$D$7)&lt;=(Settings!$C50*12),$C59/(Settings!$C50*12),0)</f>
        <v>0</v>
      </c>
      <c r="N69" s="300">
        <f>IF((N$7-$M$7)&lt;=(Settings!$C50*12),$M59/(Settings!$C50*12),0)+IF((N$7-$L$7)&lt;=(Settings!$C50*12),$L59/(Settings!$C50*12),0)+IF((N$7-$K$7)&lt;=(Settings!$C50*12),$K59/(Settings!$C50*12),0)+IF((N$7-$J$7)&lt;=(Settings!$C50*12),$J59/(Settings!$C50*12),0)+IF((N$7-$I$7)&lt;=(Settings!$C50*12),$I59/(Settings!$C50*12),0)+IF((N$7-$H$7)&lt;=(Settings!$C50*12),$H59/(Settings!$C50*12),0)+IF((N$7-$G$7)&lt;=(Settings!$C50*12),$G59/(Settings!$C50*12),0)+IF((N$7-$F$7)&lt;=(Settings!$C50*12),$F59/(Settings!$C50*12),0)+IF((N$7-$E$7)&lt;=(Settings!$C50*12),$E59/(Settings!$C50*12),0)+IF((N$7-$D$7)&lt;=(Settings!$C50*12),$D59/(Settings!$C50*12),0)+IF((E$7-$D$7)&lt;=(Settings!$C50*12),$C59/(Settings!$C50*12),0)</f>
        <v>0</v>
      </c>
      <c r="O69" s="300">
        <f>IF((O$7-$N$7)&lt;=(Settings!$C50*12),$N59/(Settings!$C50*12),0)+IF((O$7-$M$7)&lt;=(Settings!$C50*12),$M59/(Settings!$C50*12),0)+IF((O$7-$L$7)&lt;=(Settings!$C50*12),$L59/(Settings!$C50*12),0)+IF((O$7-$K$7)&lt;=(Settings!$C50*12),$K59/(Settings!$C50*12),0)+IF((O$7-$J$7)&lt;=(Settings!$C50*12),$J59/(Settings!$C50*12),0)+IF((O$7-$I$7)&lt;=(Settings!$C50*12),$I59/(Settings!$C50*12),0)+IF((O$7-$H$7)&lt;=(Settings!$C50*12),$H59/(Settings!$C50*12),0)+IF((O$7-$G$7)&lt;=(Settings!$C50*12),$G59/(Settings!$C50*12),0)+IF((O$7-$F$7)&lt;=(Settings!$C50*12),$F59/(Settings!$C50*12),0)+IF((O$7-$E$7)&lt;=(Settings!$C50*12),$E59/(Settings!$C50*12),0)+IF((O$7-$D$7)&lt;=(Settings!$C50*12),$D59/(Settings!$C50*12),0)+IF((E$7-$D$7)&lt;=(Settings!$C50*12),$C59/(Settings!$C50*12),0)</f>
        <v>0</v>
      </c>
      <c r="P69" s="300">
        <f>IF((P$7-$O$7)&lt;=(Settings!$C50*12),$O59/(Settings!$C50*12),0)+IF((P$7-$N$7)&lt;=(Settings!$C50*12),$N59/(Settings!$C50*12),0)+IF((P$7-$M$7)&lt;=(Settings!$C50*12),$M59/(Settings!$C50*12),0)+IF((P$7-$L$7)&lt;=(Settings!$C50*12),$L59/(Settings!$C50*12),0)+IF((P$7-$K$7)&lt;=(Settings!$C50*12),$K59/(Settings!$C50*12),0)+IF((P$7-$J$7)&lt;=(Settings!$C50*12),$J59/(Settings!$C50*12),0)+IF((P$7-$I$7)&lt;=(Settings!$C50*12),$I59/(Settings!$C50*12),0)+IF((P$7-$H$7)&lt;=(Settings!$C50*12),$H59/(Settings!$C50*12),0)+IF((P$7-$G$7)&lt;=(Settings!$C50*12),$G59/(Settings!$C50*12),0)+IF((P$7-$F$7)&lt;=(Settings!$C50*12),$F59/(Settings!$C50*12),0)+IF((P$7-$E$7)&lt;=(Settings!$C50*12),$E59/(Settings!$C50*12),0)+IF((P$7-$D$7)&lt;=(Settings!$C50*12),$D59/(Settings!$C50*12),0)+IF((E$7-$D$7)&lt;=(Settings!$C50*12),$C59/(Settings!$C50*12),0)</f>
        <v>0</v>
      </c>
      <c r="Q69" s="300">
        <f>IF((Q$7-$P$7)&lt;=(Settings!$C50*12),$P59/(Settings!$C50*12),0)+IF((Q$7-$O$7)&lt;=(Settings!$C50*12),$O59/(Settings!$C50*12),0)+IF((Q$7-$N$7)&lt;=(Settings!$C50*12),$N59/(Settings!$C50*12),0)+IF((Q$7-$M$7)&lt;=(Settings!$C50*12),$M59/(Settings!$C50*12),0)+IF((Q$7-$L$7)&lt;=(Settings!$C50*12),$L59/(Settings!$C50*12),0)+IF((Q$7-$K$7)&lt;=(Settings!$C50*12),$K59/(Settings!$C50*12),0)+IF((Q$7-$J$7)&lt;=(Settings!$C50*12),$J59/(Settings!$C50*12),0)+IF((Q$7-$I$7)&lt;=(Settings!$C50*12),$I59/(Settings!$C50*12),0)+IF((Q$7-$H$7)&lt;=(Settings!$C50*12),$H59/(Settings!$C50*12),0)+IF((Q$7-$G$7)&lt;=(Settings!$C50*12),$G59/(Settings!$C50*12),0)+IF((Q$7-$F$7)&lt;=(Settings!$C50*12),$F59/(Settings!$C50*12),0)+IF((Q$7-$E$7)&lt;=(Settings!$C50*12),$E59/(Settings!$C50*12),0)+IF((Q$7-$D$7)&lt;=(Settings!$C50*12),$D59/(Settings!$C50*12),0)+IF((E$7-$D$7)&lt;=(Settings!$C50*12),$C59/(Settings!$C50*12),0)</f>
        <v>0</v>
      </c>
      <c r="R69" s="300">
        <f>IF((R$7-$Q$7)&lt;=(Settings!$C50*12),$Q59/(Settings!$C50*12),0)+IF((R$7-$P$7)&lt;=(Settings!$C50*12),$P59/(Settings!$C50*12),0)+IF((R$7-$O$7)&lt;=(Settings!$C50*12),$O59/(Settings!$C50*12),0)+IF((R$7-$N$7)&lt;=(Settings!$C50*12),$N59/(Settings!$C50*12),0)+IF((R$7-$M$7)&lt;=(Settings!$C50*12),$M59/(Settings!$C50*12),0)+IF((R$7-$L$7)&lt;=(Settings!$C50*12),$L59/(Settings!$C50*12),0)+IF((R$7-$K$7)&lt;=(Settings!$C50*12),$K59/(Settings!$C50*12),0)+IF((R$7-$J$7)&lt;=(Settings!$C50*12),$J59/(Settings!$C50*12),0)+IF((R$7-$I$7)&lt;=(Settings!$C50*12),$I59/(Settings!$C50*12),0)+IF((R$7-$H$7)&lt;=(Settings!$C50*12),$H59/(Settings!$C50*12),0)+IF((R$7-$G$7)&lt;=(Settings!$C50*12),$G59/(Settings!$C50*12),0)+IF((R$7-$F$7)&lt;=(Settings!$C50*12),$F59/(Settings!$C50*12),0)+IF((R$7-$E$7)&lt;=(Settings!$C50*12),$E59/(Settings!$C50*12),0)+IF((R$7-$D$7)&lt;=(Settings!$C50*12),$D59/(Settings!$C50*12),0)+IF((E$7-$D$7)&lt;=(Settings!$C50*12),$C59/(Settings!$C50*12),0)</f>
        <v>0</v>
      </c>
      <c r="S69" s="300">
        <f>IF((S$7-$R$7)&lt;=(Settings!$C50*12),$R59/(Settings!$C50*12),0)+IF((S$7-$Q$7)&lt;=(Settings!$C50*12),$Q59/(Settings!$C50*12),0)+IF((S$7-$P$7)&lt;=(Settings!$C50*12),$P59/(Settings!$C50*12),0)+IF((S$7-$O$7)&lt;=(Settings!$C50*12),$O59/(Settings!$C50*12),0)+IF((S$7-$N$7)&lt;=(Settings!$C50*12),$N59/(Settings!$C50*12),0)+IF((S$7-$M$7)&lt;=(Settings!$C50*12),$M59/(Settings!$C50*12),0)+IF((S$7-$L$7)&lt;=(Settings!$C50*12),$L59/(Settings!$C50*12),0)+IF((S$7-$K$7)&lt;=(Settings!$C50*12),$K59/(Settings!$C50*12),0)+IF((S$7-$J$7)&lt;=(Settings!$C50*12),$J59/(Settings!$C50*12),0)+IF((S$7-$I$7)&lt;=(Settings!$C50*12),$I59/(Settings!$C50*12),0)+IF((S$7-$H$7)&lt;=(Settings!$C50*12),$H59/(Settings!$C50*12),0)+IF((S$7-$G$7)&lt;=(Settings!$C50*12),$G59/(Settings!$C50*12),0)+IF((S$7-$F$7)&lt;=(Settings!$C50*12),$F59/(Settings!$C50*12),0)+IF((S$7-$E$7)&lt;=(Settings!$C50*12),$E59/(Settings!$C50*12),0)+IF((S$7-$D$7)&lt;=(Settings!$C50*12),$D59/(Settings!$C50*12),0)+IF((E$7-$D$7)&lt;=(Settings!$C50*12),$C59/(Settings!$C50*12),0)</f>
        <v>0</v>
      </c>
      <c r="T69" s="300">
        <f>IF((T$7-$S$7)&lt;=(Settings!$C50*12),$S59/(Settings!$C50*12),0)+IF((T$7-$R$7)&lt;=(Settings!$C50*12),$R59/(Settings!$C50*12),0)+IF((T$7-$Q$7)&lt;=(Settings!$C50*12),$Q59/(Settings!$C50*12),0)+IF((T$7-$P$7)&lt;=(Settings!$C50*12),$P59/(Settings!$C50*12),0)+IF((T$7-$O$7)&lt;=(Settings!$C50*12),$O59/(Settings!$C50*12),0)+IF((T$7-$N$7)&lt;=(Settings!$C50*12),$N59/(Settings!$C50*12),0)+IF((T$7-$M$7)&lt;=(Settings!$C50*12),$M59/(Settings!$C50*12),0)+IF((T$7-$L$7)&lt;=(Settings!$C50*12),$L59/(Settings!$C50*12),0)+IF((T$7-$K$7)&lt;=(Settings!$C50*12),$K59/(Settings!$C50*12),0)+IF((T$7-$J$7)&lt;=(Settings!$C50*12),$J59/(Settings!$C50*12),0)+IF((T$7-$I$7)&lt;=(Settings!$C50*12),$I59/(Settings!$C50*12),0)+IF((T$7-$H$7)&lt;=(Settings!$C50*12),$H59/(Settings!$C50*12),0)+IF((T$7-$G$7)&lt;=(Settings!$C50*12),$G59/(Settings!$C50*12),0)+IF((T$7-$F$7)&lt;=(Settings!$C50*12),$F59/(Settings!$C50*12),0)+IF((T$7-$E$7)&lt;=(Settings!$C50*12),$E59/(Settings!$C50*12),0)+IF((T$7-$D$7)&lt;=(Settings!$C50*12),$D59/(Settings!$C50*12),0)+IF((E$7-$D$7)&lt;=(Settings!$C50*12),$C59/(Settings!$C50*12),0)</f>
        <v>0</v>
      </c>
    </row>
    <row r="70" spans="1:20" ht="13.5" customHeight="1" x14ac:dyDescent="0.2">
      <c r="A70" s="350" t="s">
        <v>87</v>
      </c>
      <c r="B70" s="333" t="str">
        <f>Settings!$C$6</f>
        <v>CAD</v>
      </c>
      <c r="C70" s="300"/>
      <c r="D70" s="349">
        <f>+IF((E$7-$D$7)&lt;=(Settings!$C51*12),$C60/(Settings!$C51*12),0)</f>
        <v>0</v>
      </c>
      <c r="E70" s="300">
        <f>IF((E$7-$D$7)&lt;=(Settings!$C51*12),$D60/(Settings!$C51*12),0)+IF((E$7-$D$7)&lt;=(Settings!$C51*12),$C60/(Settings!$C51*12),0)</f>
        <v>0</v>
      </c>
      <c r="F70" s="300">
        <f>IF((F$7-$E$7)&lt;=(Settings!$C51*12),$E60/(Settings!$C51*12),0)+IF((F$7-$D$7)&lt;=(Settings!$C51*12),$D60/(Settings!$C51*12),0)+IF((E$7-$D$7)&lt;=(Settings!$C51*12),$C60/(Settings!$C51*12),0)</f>
        <v>0</v>
      </c>
      <c r="G70" s="300">
        <f>IF((G$7-$F$7)&lt;=(Settings!$C51*12),$F60/(Settings!$C51*12),0)+IF((G$7-$E$7)&lt;=(Settings!$C51*12),$E60/(Settings!$C51*12),0)+IF((G$7-$D$7)&lt;=(Settings!$C51*12),$D60/(Settings!$C51*12),0)+IF((E$7-$D$7)&lt;=(Settings!$C51*12),$C60/(Settings!$C51*12),0)</f>
        <v>0</v>
      </c>
      <c r="H70" s="300">
        <f>IF((H$7-$G$7)&lt;=(Settings!$C51*12),$G60/(Settings!$C51*12),0)+IF((H$7-$F$7)&lt;=(Settings!$C51*12),$F60/(Settings!$C51*12),0)+IF((H$7-$E$7)&lt;=(Settings!$C51*12),$E60/(Settings!$C51*12),0)+IF((H$7-$D$7)&lt;=(Settings!$C51*12),$D60/(Settings!$C51*12),0)+IF((E$7-$D$7)&lt;=(Settings!$C51*12),$C60/(Settings!$C51*12),0)</f>
        <v>0</v>
      </c>
      <c r="I70" s="300">
        <f>IF((I$7-$H$7)&lt;=(Settings!$C51*12),$H60/(Settings!$C51*12),0)+IF((I$7-$G$7)&lt;=(Settings!$C51*12),$G60/(Settings!$C51*12),0)+IF((I$7-$F$7)&lt;=(Settings!$C51*12),$F60/(Settings!$C51*12),0)+IF((I$7-$E$7)&lt;=(Settings!$C51*12),$E60/(Settings!$C51*12),0)+IF((I$7-$D$7)&lt;=(Settings!$C51*12),$D60/(Settings!$C51*12),0)+IF((E$7-$D$7)&lt;=(Settings!$C51*12),$C60/(Settings!$C51*12),0)</f>
        <v>0</v>
      </c>
      <c r="J70" s="300">
        <f>IF((J$7-$I$7)&lt;=(Settings!$C51*12),$I60/(Settings!$C51*12),0)+IF((J$7-$H$7)&lt;=(Settings!$C51*12),$H60/(Settings!$C51*12),0)+IF((J$7-$G$7)&lt;=(Settings!$C51*12),$G60/(Settings!$C51*12),0)+IF((J$7-$F$7)&lt;=(Settings!$C51*12),$F60/(Settings!$C51*12),0)+IF((J$7-$E$7)&lt;=(Settings!$C51*12),$E60/(Settings!$C51*12),0)+IF((J$7-$D$7)&lt;=(Settings!$C51*12),$D60/(Settings!$C51*12),0)+IF((E$7-$D$7)&lt;=(Settings!$C51*12),$C60/(Settings!$C51*12),0)</f>
        <v>0</v>
      </c>
      <c r="K70" s="300">
        <f>IF((K$7-$J$7)&lt;=(Settings!$C51*12),$J60/(Settings!$C51*12),0)+IF((K$7-$I$7)&lt;=(Settings!$C51*12),$I60/(Settings!$C51*12),0)+IF((K$7-$H$7)&lt;=(Settings!$C51*12),$H60/(Settings!$C51*12),0)+IF((K$7-$G$7)&lt;=(Settings!$C51*12),$G60/(Settings!$C51*12),0)+IF((K$7-$F$7)&lt;=(Settings!$C51*12),$F60/(Settings!$C51*12),0)+IF((K$7-$E$7)&lt;=(Settings!$C51*12),$E60/(Settings!$C51*12),0)+IF((K$7-$D$7)&lt;=(Settings!$C51*12),$D60/(Settings!$C51*12),0)+IF((E$7-$D$7)&lt;=(Settings!$C51*12),$C60/(Settings!$C51*12),0)</f>
        <v>0</v>
      </c>
      <c r="L70" s="300">
        <f>IF((L$7-$K$7)&lt;=(Settings!$C51*12),$K60/(Settings!$C51*12),0)+IF((L$7-$J$7)&lt;=(Settings!$C51*12),$J60/(Settings!$C51*12),0)+IF((L$7-$I$7)&lt;=(Settings!$C51*12),$I60/(Settings!$C51*12),0)+IF((L$7-$H$7)&lt;=(Settings!$C51*12),$H60/(Settings!$C51*12),0)+IF((L$7-$G$7)&lt;=(Settings!$C51*12),$G60/(Settings!$C51*12),0)+IF((L$7-$F$7)&lt;=(Settings!$C51*12),$F60/(Settings!$C51*12),0)+IF((L$7-$E$7)&lt;=(Settings!$C51*12),$E60/(Settings!$C51*12),0)+IF((L$7-$D$7)&lt;=(Settings!$C51*12),$D60/(Settings!$C51*12),0)+IF((E$7-$D$7)&lt;=(Settings!$C51*12),$C60/(Settings!$C51*12),0)</f>
        <v>0</v>
      </c>
      <c r="M70" s="300">
        <f>IF((M$7-$L$7)&lt;=(Settings!$C51*12),$L60/(Settings!$C51*12),0)+IF((M$7-$K$7)&lt;=(Settings!$C51*12),$K60/(Settings!$C51*12),0)+IF((M$7-$J$7)&lt;=(Settings!$C51*12),$J60/(Settings!$C51*12),0)+IF((M$7-$I$7)&lt;=(Settings!$C51*12),$I60/(Settings!$C51*12),0)+IF((M$7-$H$7)&lt;=(Settings!$C51*12),$H60/(Settings!$C51*12),0)+IF((M$7-$G$7)&lt;=(Settings!$C51*12),$G60/(Settings!$C51*12),0)+IF((M$7-$F$7)&lt;=(Settings!$C51*12),$F60/(Settings!$C51*12),0)+IF((M$7-$E$7)&lt;=(Settings!$C51*12),$E60/(Settings!$C51*12),0)+IF((M$7-$D$7)&lt;=(Settings!$C51*12),$D60/(Settings!$C51*12),0)+IF((E$7-$D$7)&lt;=(Settings!$C51*12),$C60/(Settings!$C51*12),0)</f>
        <v>0</v>
      </c>
      <c r="N70" s="300">
        <f>IF((N$7-$M$7)&lt;=(Settings!$C51*12),$M60/(Settings!$C51*12),0)+IF((N$7-$L$7)&lt;=(Settings!$C51*12),$L60/(Settings!$C51*12),0)+IF((N$7-$K$7)&lt;=(Settings!$C51*12),$K60/(Settings!$C51*12),0)+IF((N$7-$J$7)&lt;=(Settings!$C51*12),$J60/(Settings!$C51*12),0)+IF((N$7-$I$7)&lt;=(Settings!$C51*12),$I60/(Settings!$C51*12),0)+IF((N$7-$H$7)&lt;=(Settings!$C51*12),$H60/(Settings!$C51*12),0)+IF((N$7-$G$7)&lt;=(Settings!$C51*12),$G60/(Settings!$C51*12),0)+IF((N$7-$F$7)&lt;=(Settings!$C51*12),$F60/(Settings!$C51*12),0)+IF((N$7-$E$7)&lt;=(Settings!$C51*12),$E60/(Settings!$C51*12),0)+IF((N$7-$D$7)&lt;=(Settings!$C51*12),$D60/(Settings!$C51*12),0)+IF((E$7-$D$7)&lt;=(Settings!$C51*12),$C60/(Settings!$C51*12),0)</f>
        <v>0</v>
      </c>
      <c r="O70" s="300">
        <f>IF((O$7-$N$7)&lt;=(Settings!$C51*12),$N60/(Settings!$C51*12),0)+IF((O$7-$M$7)&lt;=(Settings!$C51*12),$M60/(Settings!$C51*12),0)+IF((O$7-$L$7)&lt;=(Settings!$C51*12),$L60/(Settings!$C51*12),0)+IF((O$7-$K$7)&lt;=(Settings!$C51*12),$K60/(Settings!$C51*12),0)+IF((O$7-$J$7)&lt;=(Settings!$C51*12),$J60/(Settings!$C51*12),0)+IF((O$7-$I$7)&lt;=(Settings!$C51*12),$I60/(Settings!$C51*12),0)+IF((O$7-$H$7)&lt;=(Settings!$C51*12),$H60/(Settings!$C51*12),0)+IF((O$7-$G$7)&lt;=(Settings!$C51*12),$G60/(Settings!$C51*12),0)+IF((O$7-$F$7)&lt;=(Settings!$C51*12),$F60/(Settings!$C51*12),0)+IF((O$7-$E$7)&lt;=(Settings!$C51*12),$E60/(Settings!$C51*12),0)+IF((O$7-$D$7)&lt;=(Settings!$C51*12),$D60/(Settings!$C51*12),0)+IF((E$7-$D$7)&lt;=(Settings!$C51*12),$C60/(Settings!$C51*12),0)</f>
        <v>0</v>
      </c>
      <c r="P70" s="300">
        <f>IF((P$7-$O$7)&lt;=(Settings!$C51*12),$O60/(Settings!$C51*12),0)+IF((P$7-$N$7)&lt;=(Settings!$C51*12),$N60/(Settings!$C51*12),0)+IF((P$7-$M$7)&lt;=(Settings!$C51*12),$M60/(Settings!$C51*12),0)+IF((P$7-$L$7)&lt;=(Settings!$C51*12),$L60/(Settings!$C51*12),0)+IF((P$7-$K$7)&lt;=(Settings!$C51*12),$K60/(Settings!$C51*12),0)+IF((P$7-$J$7)&lt;=(Settings!$C51*12),$J60/(Settings!$C51*12),0)+IF((P$7-$I$7)&lt;=(Settings!$C51*12),$I60/(Settings!$C51*12),0)+IF((P$7-$H$7)&lt;=(Settings!$C51*12),$H60/(Settings!$C51*12),0)+IF((P$7-$G$7)&lt;=(Settings!$C51*12),$G60/(Settings!$C51*12),0)+IF((P$7-$F$7)&lt;=(Settings!$C51*12),$F60/(Settings!$C51*12),0)+IF((P$7-$E$7)&lt;=(Settings!$C51*12),$E60/(Settings!$C51*12),0)+IF((P$7-$D$7)&lt;=(Settings!$C51*12),$D60/(Settings!$C51*12),0)+IF((E$7-$D$7)&lt;=(Settings!$C51*12),$C60/(Settings!$C51*12),0)</f>
        <v>0</v>
      </c>
      <c r="Q70" s="300">
        <f>IF((Q$7-$P$7)&lt;=(Settings!$C51*12),$P60/(Settings!$C51*12),0)+IF((Q$7-$O$7)&lt;=(Settings!$C51*12),$O60/(Settings!$C51*12),0)+IF((Q$7-$N$7)&lt;=(Settings!$C51*12),$N60/(Settings!$C51*12),0)+IF((Q$7-$M$7)&lt;=(Settings!$C51*12),$M60/(Settings!$C51*12),0)+IF((Q$7-$L$7)&lt;=(Settings!$C51*12),$L60/(Settings!$C51*12),0)+IF((Q$7-$K$7)&lt;=(Settings!$C51*12),$K60/(Settings!$C51*12),0)+IF((Q$7-$J$7)&lt;=(Settings!$C51*12),$J60/(Settings!$C51*12),0)+IF((Q$7-$I$7)&lt;=(Settings!$C51*12),$I60/(Settings!$C51*12),0)+IF((Q$7-$H$7)&lt;=(Settings!$C51*12),$H60/(Settings!$C51*12),0)+IF((Q$7-$G$7)&lt;=(Settings!$C51*12),$G60/(Settings!$C51*12),0)+IF((Q$7-$F$7)&lt;=(Settings!$C51*12),$F60/(Settings!$C51*12),0)+IF((Q$7-$E$7)&lt;=(Settings!$C51*12),$E60/(Settings!$C51*12),0)+IF((Q$7-$D$7)&lt;=(Settings!$C51*12),$D60/(Settings!$C51*12),0)+IF((E$7-$D$7)&lt;=(Settings!$C51*12),$C60/(Settings!$C51*12),0)</f>
        <v>0</v>
      </c>
      <c r="R70" s="300">
        <f>IF((R$7-$Q$7)&lt;=(Settings!$C51*12),$Q60/(Settings!$C51*12),0)+IF((R$7-$P$7)&lt;=(Settings!$C51*12),$P60/(Settings!$C51*12),0)+IF((R$7-$O$7)&lt;=(Settings!$C51*12),$O60/(Settings!$C51*12),0)+IF((R$7-$N$7)&lt;=(Settings!$C51*12),$N60/(Settings!$C51*12),0)+IF((R$7-$M$7)&lt;=(Settings!$C51*12),$M60/(Settings!$C51*12),0)+IF((R$7-$L$7)&lt;=(Settings!$C51*12),$L60/(Settings!$C51*12),0)+IF((R$7-$K$7)&lt;=(Settings!$C51*12),$K60/(Settings!$C51*12),0)+IF((R$7-$J$7)&lt;=(Settings!$C51*12),$J60/(Settings!$C51*12),0)+IF((R$7-$I$7)&lt;=(Settings!$C51*12),$I60/(Settings!$C51*12),0)+IF((R$7-$H$7)&lt;=(Settings!$C51*12),$H60/(Settings!$C51*12),0)+IF((R$7-$G$7)&lt;=(Settings!$C51*12),$G60/(Settings!$C51*12),0)+IF((R$7-$F$7)&lt;=(Settings!$C51*12),$F60/(Settings!$C51*12),0)+IF((R$7-$E$7)&lt;=(Settings!$C51*12),$E60/(Settings!$C51*12),0)+IF((R$7-$D$7)&lt;=(Settings!$C51*12),$D60/(Settings!$C51*12),0)+IF((E$7-$D$7)&lt;=(Settings!$C51*12),$C60/(Settings!$C51*12),0)</f>
        <v>0</v>
      </c>
      <c r="S70" s="300">
        <f>IF((S$7-$R$7)&lt;=(Settings!$C51*12),$R60/(Settings!$C51*12),0)+IF((S$7-$Q$7)&lt;=(Settings!$C51*12),$Q60/(Settings!$C51*12),0)+IF((S$7-$P$7)&lt;=(Settings!$C51*12),$P60/(Settings!$C51*12),0)+IF((S$7-$O$7)&lt;=(Settings!$C51*12),$O60/(Settings!$C51*12),0)+IF((S$7-$N$7)&lt;=(Settings!$C51*12),$N60/(Settings!$C51*12),0)+IF((S$7-$M$7)&lt;=(Settings!$C51*12),$M60/(Settings!$C51*12),0)+IF((S$7-$L$7)&lt;=(Settings!$C51*12),$L60/(Settings!$C51*12),0)+IF((S$7-$K$7)&lt;=(Settings!$C51*12),$K60/(Settings!$C51*12),0)+IF((S$7-$J$7)&lt;=(Settings!$C51*12),$J60/(Settings!$C51*12),0)+IF((S$7-$I$7)&lt;=(Settings!$C51*12),$I60/(Settings!$C51*12),0)+IF((S$7-$H$7)&lt;=(Settings!$C51*12),$H60/(Settings!$C51*12),0)+IF((S$7-$G$7)&lt;=(Settings!$C51*12),$G60/(Settings!$C51*12),0)+IF((S$7-$F$7)&lt;=(Settings!$C51*12),$F60/(Settings!$C51*12),0)+IF((S$7-$E$7)&lt;=(Settings!$C51*12),$E60/(Settings!$C51*12),0)+IF((S$7-$D$7)&lt;=(Settings!$C51*12),$D60/(Settings!$C51*12),0)+IF((E$7-$D$7)&lt;=(Settings!$C51*12),$C60/(Settings!$C51*12),0)</f>
        <v>0</v>
      </c>
      <c r="T70" s="300">
        <f>IF((T$7-$S$7)&lt;=(Settings!$C51*12),$S60/(Settings!$C51*12),0)+IF((T$7-$R$7)&lt;=(Settings!$C51*12),$R60/(Settings!$C51*12),0)+IF((T$7-$Q$7)&lt;=(Settings!$C51*12),$Q60/(Settings!$C51*12),0)+IF((T$7-$P$7)&lt;=(Settings!$C51*12),$P60/(Settings!$C51*12),0)+IF((T$7-$O$7)&lt;=(Settings!$C51*12),$O60/(Settings!$C51*12),0)+IF((T$7-$N$7)&lt;=(Settings!$C51*12),$N60/(Settings!$C51*12),0)+IF((T$7-$M$7)&lt;=(Settings!$C51*12),$M60/(Settings!$C51*12),0)+IF((T$7-$L$7)&lt;=(Settings!$C51*12),$L60/(Settings!$C51*12),0)+IF((T$7-$K$7)&lt;=(Settings!$C51*12),$K60/(Settings!$C51*12),0)+IF((T$7-$J$7)&lt;=(Settings!$C51*12),$J60/(Settings!$C51*12),0)+IF((T$7-$I$7)&lt;=(Settings!$C51*12),$I60/(Settings!$C51*12),0)+IF((T$7-$H$7)&lt;=(Settings!$C51*12),$H60/(Settings!$C51*12),0)+IF((T$7-$G$7)&lt;=(Settings!$C51*12),$G60/(Settings!$C51*12),0)+IF((T$7-$F$7)&lt;=(Settings!$C51*12),$F60/(Settings!$C51*12),0)+IF((T$7-$E$7)&lt;=(Settings!$C51*12),$E60/(Settings!$C51*12),0)+IF((T$7-$D$7)&lt;=(Settings!$C51*12),$D60/(Settings!$C51*12),0)+IF((E$7-$D$7)&lt;=(Settings!$C51*12),$C60/(Settings!$C51*12),0)</f>
        <v>0</v>
      </c>
    </row>
    <row r="71" spans="1:20" ht="21.75" customHeight="1" x14ac:dyDescent="0.15">
      <c r="A71" s="344" t="s">
        <v>160</v>
      </c>
      <c r="B71" s="345" t="str">
        <f>Settings!$C$6</f>
        <v>CAD</v>
      </c>
      <c r="C71" s="351"/>
      <c r="D71" s="346">
        <f t="shared" ref="D71:T71" si="13">SUM(D67:D70)</f>
        <v>0</v>
      </c>
      <c r="E71" s="346">
        <f t="shared" si="13"/>
        <v>0</v>
      </c>
      <c r="F71" s="346">
        <f t="shared" si="13"/>
        <v>0</v>
      </c>
      <c r="G71" s="346">
        <f t="shared" si="13"/>
        <v>0</v>
      </c>
      <c r="H71" s="346">
        <f t="shared" si="13"/>
        <v>0</v>
      </c>
      <c r="I71" s="346">
        <f t="shared" si="13"/>
        <v>0</v>
      </c>
      <c r="J71" s="346">
        <f t="shared" si="13"/>
        <v>0</v>
      </c>
      <c r="K71" s="346">
        <f t="shared" si="13"/>
        <v>0</v>
      </c>
      <c r="L71" s="346">
        <f t="shared" si="13"/>
        <v>0</v>
      </c>
      <c r="M71" s="346">
        <f t="shared" si="13"/>
        <v>0</v>
      </c>
      <c r="N71" s="346">
        <f t="shared" si="13"/>
        <v>0</v>
      </c>
      <c r="O71" s="346">
        <f t="shared" si="13"/>
        <v>0</v>
      </c>
      <c r="P71" s="346">
        <f t="shared" si="13"/>
        <v>0</v>
      </c>
      <c r="Q71" s="346">
        <f t="shared" si="13"/>
        <v>0</v>
      </c>
      <c r="R71" s="346">
        <f t="shared" si="13"/>
        <v>0</v>
      </c>
      <c r="S71" s="346">
        <f t="shared" si="13"/>
        <v>0</v>
      </c>
      <c r="T71" s="346">
        <f t="shared" si="13"/>
        <v>0</v>
      </c>
    </row>
    <row r="72" spans="1:20" ht="13.5" customHeight="1" x14ac:dyDescent="0.15">
      <c r="A72" s="249"/>
      <c r="B72" s="331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</row>
    <row r="73" spans="1:20" ht="13.5" customHeight="1" x14ac:dyDescent="0.15">
      <c r="A73" s="251"/>
      <c r="B73" s="331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</row>
    <row r="74" spans="1:20" ht="13.5" customHeight="1" x14ac:dyDescent="0.15">
      <c r="A74" s="251"/>
      <c r="B74" s="331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</row>
    <row r="75" spans="1:20" ht="13.5" customHeight="1" x14ac:dyDescent="0.15">
      <c r="A75" s="251"/>
      <c r="B75" s="331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</row>
    <row r="76" spans="1:20" ht="13.5" customHeight="1" x14ac:dyDescent="0.15">
      <c r="A76" s="251"/>
      <c r="B76" s="331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</row>
    <row r="77" spans="1:20" ht="13.5" customHeight="1" x14ac:dyDescent="0.15">
      <c r="A77" s="249"/>
      <c r="B77" s="331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</row>
    <row r="78" spans="1:20" ht="13.5" customHeight="1" x14ac:dyDescent="0.15">
      <c r="A78" s="251"/>
      <c r="B78" s="331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</row>
    <row r="79" spans="1:20" ht="13.5" customHeight="1" x14ac:dyDescent="0.15">
      <c r="A79" s="251"/>
      <c r="B79" s="331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</row>
    <row r="80" spans="1:20" ht="13.5" customHeight="1" x14ac:dyDescent="0.15">
      <c r="A80" s="251"/>
      <c r="B80" s="331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</row>
    <row r="81" spans="1:20" ht="13.5" customHeight="1" x14ac:dyDescent="0.15">
      <c r="A81" s="249"/>
      <c r="B81" s="331"/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</row>
    <row r="82" spans="1:20" ht="13.5" customHeight="1" x14ac:dyDescent="0.15">
      <c r="A82" s="249"/>
      <c r="B82" s="331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</row>
    <row r="83" spans="1:20" ht="13.5" customHeight="1" x14ac:dyDescent="0.15">
      <c r="A83" s="249"/>
      <c r="B83" s="331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</row>
    <row r="84" spans="1:20" ht="13.5" customHeight="1" x14ac:dyDescent="0.15">
      <c r="A84" s="249"/>
      <c r="B84" s="331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</row>
    <row r="85" spans="1:20" ht="13.5" customHeight="1" x14ac:dyDescent="0.15">
      <c r="A85" s="249"/>
      <c r="B85" s="331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</row>
    <row r="86" spans="1:20" ht="13.5" customHeight="1" x14ac:dyDescent="0.15">
      <c r="A86" s="249"/>
      <c r="B86" s="331"/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</row>
    <row r="87" spans="1:20" ht="13.5" customHeight="1" x14ac:dyDescent="0.15">
      <c r="A87" s="249"/>
      <c r="B87" s="331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</row>
    <row r="88" spans="1:20" ht="13.5" customHeight="1" x14ac:dyDescent="0.15">
      <c r="A88" s="249"/>
      <c r="B88" s="331"/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</row>
    <row r="89" spans="1:20" ht="13.5" customHeight="1" x14ac:dyDescent="0.15">
      <c r="A89" s="249"/>
      <c r="B89" s="331"/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</row>
    <row r="90" spans="1:20" ht="13.5" customHeight="1" x14ac:dyDescent="0.15">
      <c r="A90" s="249"/>
      <c r="B90" s="331"/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</row>
    <row r="91" spans="1:20" ht="13.5" customHeight="1" x14ac:dyDescent="0.15">
      <c r="A91" s="249"/>
      <c r="B91" s="331"/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</row>
    <row r="92" spans="1:20" ht="13.5" customHeight="1" x14ac:dyDescent="0.15">
      <c r="A92" s="249"/>
      <c r="B92" s="331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</row>
    <row r="93" spans="1:20" ht="13.5" customHeight="1" x14ac:dyDescent="0.15">
      <c r="A93" s="249"/>
      <c r="B93" s="331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</row>
    <row r="94" spans="1:20" ht="13.5" customHeight="1" x14ac:dyDescent="0.15">
      <c r="A94" s="249"/>
      <c r="B94" s="331"/>
      <c r="C94" s="262"/>
      <c r="D94" s="262"/>
      <c r="E94" s="262"/>
      <c r="F94" s="262"/>
      <c r="G94" s="35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</row>
    <row r="95" spans="1:20" ht="13.5" customHeight="1" x14ac:dyDescent="0.15">
      <c r="A95" s="249"/>
      <c r="B95" s="331"/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</row>
    <row r="96" spans="1:20" ht="13.5" customHeight="1" x14ac:dyDescent="0.15">
      <c r="A96" s="249"/>
      <c r="B96" s="331"/>
      <c r="C96" s="262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</row>
    <row r="97" spans="1:20" ht="13.5" customHeight="1" x14ac:dyDescent="0.15">
      <c r="A97" s="249"/>
      <c r="B97" s="331"/>
      <c r="C97" s="262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</row>
    <row r="98" spans="1:20" ht="13.5" customHeight="1" x14ac:dyDescent="0.15">
      <c r="A98" s="249"/>
      <c r="B98" s="331"/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</row>
    <row r="99" spans="1:20" ht="13.5" customHeight="1" x14ac:dyDescent="0.15">
      <c r="A99" s="249"/>
      <c r="B99" s="331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</row>
    <row r="100" spans="1:20" ht="13.5" customHeight="1" x14ac:dyDescent="0.15">
      <c r="A100" s="249"/>
      <c r="B100" s="331"/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</row>
    <row r="101" spans="1:20" ht="13.5" customHeight="1" x14ac:dyDescent="0.15">
      <c r="A101" s="249"/>
      <c r="B101" s="331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</row>
    <row r="102" spans="1:20" ht="13.5" customHeight="1" x14ac:dyDescent="0.15">
      <c r="A102" s="249"/>
      <c r="B102" s="331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</row>
    <row r="103" spans="1:20" ht="13.5" customHeight="1" x14ac:dyDescent="0.15">
      <c r="A103" s="249"/>
      <c r="B103" s="331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</row>
    <row r="104" spans="1:20" ht="13.5" customHeight="1" x14ac:dyDescent="0.15">
      <c r="A104" s="249"/>
      <c r="B104" s="331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</row>
    <row r="105" spans="1:20" ht="13.5" customHeight="1" x14ac:dyDescent="0.15">
      <c r="A105" s="249"/>
      <c r="B105" s="331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</row>
    <row r="106" spans="1:20" ht="13.5" customHeight="1" x14ac:dyDescent="0.15">
      <c r="A106" s="249"/>
      <c r="B106" s="331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</row>
    <row r="107" spans="1:20" ht="13.5" customHeight="1" x14ac:dyDescent="0.15">
      <c r="A107" s="249"/>
      <c r="B107" s="331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</row>
    <row r="108" spans="1:20" ht="13.5" customHeight="1" x14ac:dyDescent="0.15">
      <c r="A108" s="249"/>
      <c r="B108" s="331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</row>
    <row r="109" spans="1:20" ht="13.5" customHeight="1" x14ac:dyDescent="0.15">
      <c r="A109" s="249"/>
      <c r="B109" s="331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</row>
    <row r="110" spans="1:20" ht="13.5" customHeight="1" x14ac:dyDescent="0.15">
      <c r="A110" s="249"/>
      <c r="B110" s="331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</row>
    <row r="111" spans="1:20" ht="13.5" customHeight="1" x14ac:dyDescent="0.15">
      <c r="A111" s="249"/>
      <c r="B111" s="331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</row>
    <row r="112" spans="1:20" ht="13.5" customHeight="1" x14ac:dyDescent="0.15">
      <c r="A112" s="249"/>
      <c r="B112" s="331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</row>
    <row r="113" spans="1:20" ht="13.5" customHeight="1" x14ac:dyDescent="0.15">
      <c r="A113" s="249"/>
      <c r="B113" s="331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</row>
    <row r="114" spans="1:20" ht="13.5" customHeight="1" x14ac:dyDescent="0.15">
      <c r="A114" s="249"/>
      <c r="B114" s="331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</row>
    <row r="115" spans="1:20" ht="13.5" customHeight="1" x14ac:dyDescent="0.15">
      <c r="A115" s="249"/>
      <c r="B115" s="331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</row>
    <row r="116" spans="1:20" ht="13.5" customHeight="1" x14ac:dyDescent="0.15">
      <c r="A116" s="249"/>
      <c r="B116" s="331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</row>
    <row r="117" spans="1:20" ht="13.5" customHeight="1" x14ac:dyDescent="0.15">
      <c r="A117" s="249"/>
      <c r="B117" s="331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</row>
    <row r="118" spans="1:20" ht="13.5" customHeight="1" x14ac:dyDescent="0.15">
      <c r="A118" s="249"/>
      <c r="B118" s="331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</row>
    <row r="119" spans="1:20" ht="13.5" customHeight="1" x14ac:dyDescent="0.15">
      <c r="A119" s="249"/>
      <c r="B119" s="331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</row>
    <row r="120" spans="1:20" ht="13.5" customHeight="1" x14ac:dyDescent="0.15">
      <c r="A120" s="249"/>
      <c r="B120" s="331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</row>
    <row r="121" spans="1:20" ht="13.5" customHeight="1" x14ac:dyDescent="0.15">
      <c r="A121" s="249"/>
      <c r="B121" s="331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</row>
    <row r="122" spans="1:20" ht="13.5" customHeight="1" x14ac:dyDescent="0.15">
      <c r="A122" s="249"/>
      <c r="B122" s="331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</row>
    <row r="123" spans="1:20" ht="13.5" customHeight="1" x14ac:dyDescent="0.15">
      <c r="A123" s="249"/>
      <c r="B123" s="331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</row>
    <row r="124" spans="1:20" ht="13.5" customHeight="1" x14ac:dyDescent="0.15">
      <c r="A124" s="249"/>
      <c r="B124" s="331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</row>
    <row r="125" spans="1:20" ht="13.5" customHeight="1" x14ac:dyDescent="0.15">
      <c r="A125" s="249"/>
      <c r="B125" s="331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</row>
    <row r="126" spans="1:20" ht="13.5" customHeight="1" x14ac:dyDescent="0.15">
      <c r="A126" s="249"/>
      <c r="B126" s="331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</row>
    <row r="127" spans="1:20" ht="13.5" customHeight="1" x14ac:dyDescent="0.15">
      <c r="A127" s="249"/>
      <c r="B127" s="331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</row>
    <row r="128" spans="1:20" ht="13.5" customHeight="1" x14ac:dyDescent="0.15">
      <c r="A128" s="249"/>
      <c r="B128" s="331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</row>
    <row r="129" spans="1:20" ht="13.5" customHeight="1" x14ac:dyDescent="0.15">
      <c r="A129" s="249"/>
      <c r="B129" s="331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</row>
    <row r="130" spans="1:20" ht="13.5" customHeight="1" x14ac:dyDescent="0.15">
      <c r="A130" s="249"/>
      <c r="B130" s="331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</row>
    <row r="131" spans="1:20" ht="13.5" customHeight="1" x14ac:dyDescent="0.15">
      <c r="A131" s="249"/>
      <c r="B131" s="331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</row>
    <row r="132" spans="1:20" ht="13.5" customHeight="1" x14ac:dyDescent="0.15">
      <c r="A132" s="249"/>
      <c r="B132" s="331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</row>
    <row r="133" spans="1:20" ht="13.5" customHeight="1" x14ac:dyDescent="0.15">
      <c r="A133" s="249"/>
      <c r="B133" s="331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</row>
    <row r="134" spans="1:20" ht="13.5" customHeight="1" x14ac:dyDescent="0.15">
      <c r="A134" s="249"/>
      <c r="B134" s="331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</row>
    <row r="135" spans="1:20" ht="13.5" customHeight="1" x14ac:dyDescent="0.15">
      <c r="A135" s="249"/>
      <c r="B135" s="331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</row>
    <row r="136" spans="1:20" ht="13.5" customHeight="1" x14ac:dyDescent="0.15">
      <c r="A136" s="249"/>
      <c r="B136" s="331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</row>
    <row r="137" spans="1:20" ht="13.5" customHeight="1" x14ac:dyDescent="0.15">
      <c r="A137" s="249"/>
      <c r="B137" s="331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</row>
    <row r="138" spans="1:20" ht="13.5" customHeight="1" x14ac:dyDescent="0.15">
      <c r="A138" s="249"/>
      <c r="B138" s="331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</row>
    <row r="139" spans="1:20" ht="13.5" customHeight="1" x14ac:dyDescent="0.15">
      <c r="A139" s="249"/>
      <c r="B139" s="331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</row>
    <row r="140" spans="1:20" ht="13.5" customHeight="1" x14ac:dyDescent="0.15">
      <c r="A140" s="249"/>
      <c r="B140" s="331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</row>
    <row r="141" spans="1:20" ht="13.5" customHeight="1" x14ac:dyDescent="0.15">
      <c r="A141" s="249"/>
      <c r="B141" s="331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</row>
    <row r="142" spans="1:20" ht="13.5" customHeight="1" x14ac:dyDescent="0.15">
      <c r="A142" s="249"/>
      <c r="B142" s="331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</row>
    <row r="143" spans="1:20" ht="13.5" customHeight="1" x14ac:dyDescent="0.15">
      <c r="A143" s="249"/>
      <c r="B143" s="331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</row>
    <row r="144" spans="1:20" ht="13.5" customHeight="1" x14ac:dyDescent="0.15">
      <c r="A144" s="249"/>
      <c r="B144" s="331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</row>
    <row r="145" spans="1:20" ht="13.5" customHeight="1" x14ac:dyDescent="0.15">
      <c r="A145" s="249"/>
      <c r="B145" s="331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</row>
    <row r="146" spans="1:20" ht="13.5" customHeight="1" x14ac:dyDescent="0.15">
      <c r="A146" s="249"/>
      <c r="B146" s="331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</row>
    <row r="147" spans="1:20" ht="13.5" customHeight="1" x14ac:dyDescent="0.15">
      <c r="A147" s="249"/>
      <c r="B147" s="331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</row>
    <row r="148" spans="1:20" ht="13.5" customHeight="1" x14ac:dyDescent="0.15">
      <c r="A148" s="249"/>
      <c r="B148" s="331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</row>
    <row r="149" spans="1:20" ht="13.5" customHeight="1" x14ac:dyDescent="0.15">
      <c r="A149" s="249"/>
      <c r="B149" s="331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</row>
    <row r="150" spans="1:20" ht="13.5" customHeight="1" x14ac:dyDescent="0.15">
      <c r="A150" s="249"/>
      <c r="B150" s="331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</row>
    <row r="151" spans="1:20" ht="13.5" customHeight="1" x14ac:dyDescent="0.15">
      <c r="A151" s="249"/>
      <c r="B151" s="331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</row>
    <row r="152" spans="1:20" ht="13.5" customHeight="1" x14ac:dyDescent="0.15">
      <c r="A152" s="249"/>
      <c r="B152" s="331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</row>
    <row r="153" spans="1:20" ht="13.5" customHeight="1" x14ac:dyDescent="0.15">
      <c r="A153" s="249"/>
      <c r="B153" s="331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</row>
    <row r="154" spans="1:20" ht="13.5" customHeight="1" x14ac:dyDescent="0.15">
      <c r="A154" s="249"/>
      <c r="B154" s="331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</row>
    <row r="155" spans="1:20" ht="13.5" customHeight="1" x14ac:dyDescent="0.15">
      <c r="A155" s="249"/>
      <c r="B155" s="331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</row>
    <row r="156" spans="1:20" ht="13.5" customHeight="1" x14ac:dyDescent="0.15">
      <c r="A156" s="249"/>
      <c r="B156" s="331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</row>
    <row r="157" spans="1:20" ht="13.5" customHeight="1" x14ac:dyDescent="0.15">
      <c r="A157" s="249"/>
      <c r="B157" s="331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</row>
    <row r="158" spans="1:20" ht="13.5" customHeight="1" x14ac:dyDescent="0.15">
      <c r="A158" s="249"/>
      <c r="B158" s="331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</row>
    <row r="159" spans="1:20" ht="13.5" customHeight="1" x14ac:dyDescent="0.15">
      <c r="A159" s="249"/>
      <c r="B159" s="331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</row>
    <row r="160" spans="1:20" ht="13.5" customHeight="1" x14ac:dyDescent="0.15">
      <c r="A160" s="249"/>
      <c r="B160" s="331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</row>
    <row r="161" spans="1:20" ht="13.5" customHeight="1" x14ac:dyDescent="0.15">
      <c r="A161" s="249"/>
      <c r="B161" s="331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</row>
    <row r="162" spans="1:20" ht="13.5" customHeight="1" x14ac:dyDescent="0.15">
      <c r="A162" s="249"/>
      <c r="B162" s="331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</row>
    <row r="163" spans="1:20" ht="13.5" customHeight="1" x14ac:dyDescent="0.15">
      <c r="A163" s="249"/>
      <c r="B163" s="331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</row>
    <row r="164" spans="1:20" ht="13.5" customHeight="1" x14ac:dyDescent="0.15">
      <c r="A164" s="249"/>
      <c r="B164" s="331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</row>
    <row r="165" spans="1:20" ht="13.5" customHeight="1" x14ac:dyDescent="0.15">
      <c r="A165" s="249"/>
      <c r="B165" s="331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</row>
    <row r="166" spans="1:20" ht="13.5" customHeight="1" x14ac:dyDescent="0.15">
      <c r="A166" s="249"/>
      <c r="B166" s="331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</row>
    <row r="167" spans="1:20" ht="13.5" customHeight="1" x14ac:dyDescent="0.15">
      <c r="A167" s="249"/>
      <c r="B167" s="331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</row>
    <row r="168" spans="1:20" ht="13.5" customHeight="1" x14ac:dyDescent="0.15">
      <c r="A168" s="249"/>
      <c r="B168" s="331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</row>
    <row r="169" spans="1:20" ht="13.5" customHeight="1" x14ac:dyDescent="0.15">
      <c r="A169" s="249"/>
      <c r="B169" s="331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</row>
    <row r="170" spans="1:20" ht="13.5" customHeight="1" x14ac:dyDescent="0.15">
      <c r="A170" s="249"/>
      <c r="B170" s="331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</row>
    <row r="171" spans="1:20" ht="13.5" customHeight="1" x14ac:dyDescent="0.15">
      <c r="A171" s="249"/>
      <c r="B171" s="331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</row>
    <row r="172" spans="1:20" ht="13.5" customHeight="1" x14ac:dyDescent="0.15">
      <c r="A172" s="249"/>
      <c r="B172" s="331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</row>
    <row r="173" spans="1:20" ht="13.5" customHeight="1" x14ac:dyDescent="0.15">
      <c r="A173" s="249"/>
      <c r="B173" s="331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</row>
    <row r="174" spans="1:20" ht="13.5" customHeight="1" x14ac:dyDescent="0.15">
      <c r="A174" s="249"/>
      <c r="B174" s="331"/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</row>
    <row r="175" spans="1:20" ht="13.5" customHeight="1" x14ac:dyDescent="0.15">
      <c r="A175" s="249"/>
      <c r="B175" s="331"/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</row>
    <row r="176" spans="1:20" ht="13.5" customHeight="1" x14ac:dyDescent="0.15">
      <c r="A176" s="249"/>
      <c r="B176" s="331"/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</row>
    <row r="177" spans="1:20" ht="13.5" customHeight="1" x14ac:dyDescent="0.15">
      <c r="A177" s="249"/>
      <c r="B177" s="331"/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</row>
    <row r="178" spans="1:20" ht="13.5" customHeight="1" x14ac:dyDescent="0.15">
      <c r="A178" s="249"/>
      <c r="B178" s="331"/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</row>
    <row r="179" spans="1:20" ht="13.5" customHeight="1" x14ac:dyDescent="0.15">
      <c r="A179" s="249"/>
      <c r="B179" s="331"/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</row>
    <row r="180" spans="1:20" ht="13.5" customHeight="1" x14ac:dyDescent="0.15">
      <c r="A180" s="249"/>
      <c r="B180" s="331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</row>
    <row r="181" spans="1:20" ht="13.5" customHeight="1" x14ac:dyDescent="0.15">
      <c r="A181" s="249"/>
      <c r="B181" s="331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</row>
    <row r="182" spans="1:20" ht="13.5" customHeight="1" x14ac:dyDescent="0.15">
      <c r="A182" s="249"/>
      <c r="B182" s="331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</row>
    <row r="183" spans="1:20" ht="13.5" customHeight="1" x14ac:dyDescent="0.15">
      <c r="A183" s="249"/>
      <c r="B183" s="331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</row>
    <row r="184" spans="1:20" ht="13.5" customHeight="1" x14ac:dyDescent="0.15">
      <c r="A184" s="249"/>
      <c r="B184" s="331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</row>
    <row r="185" spans="1:20" ht="13.5" customHeight="1" x14ac:dyDescent="0.15">
      <c r="A185" s="249"/>
      <c r="B185" s="331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</row>
    <row r="186" spans="1:20" ht="13.5" customHeight="1" x14ac:dyDescent="0.15">
      <c r="A186" s="249"/>
      <c r="B186" s="331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</row>
    <row r="187" spans="1:20" ht="13.5" customHeight="1" x14ac:dyDescent="0.15">
      <c r="A187" s="249"/>
      <c r="B187" s="331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</row>
    <row r="188" spans="1:20" ht="13.5" customHeight="1" x14ac:dyDescent="0.15">
      <c r="A188" s="249"/>
      <c r="B188" s="331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</row>
    <row r="189" spans="1:20" ht="13.5" customHeight="1" x14ac:dyDescent="0.15">
      <c r="A189" s="249"/>
      <c r="B189" s="331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</row>
    <row r="190" spans="1:20" ht="13.5" customHeight="1" x14ac:dyDescent="0.15">
      <c r="A190" s="249"/>
      <c r="B190" s="331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</row>
    <row r="191" spans="1:20" ht="13.5" customHeight="1" x14ac:dyDescent="0.15">
      <c r="A191" s="249"/>
      <c r="B191" s="331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</row>
    <row r="192" spans="1:20" ht="13.5" customHeight="1" x14ac:dyDescent="0.15">
      <c r="A192" s="249"/>
      <c r="B192" s="331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</row>
    <row r="193" spans="1:20" ht="13.5" customHeight="1" x14ac:dyDescent="0.15">
      <c r="A193" s="249"/>
      <c r="B193" s="331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</row>
    <row r="194" spans="1:20" ht="13.5" customHeight="1" x14ac:dyDescent="0.15">
      <c r="A194" s="249"/>
      <c r="B194" s="331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</row>
    <row r="195" spans="1:20" ht="13.5" customHeight="1" x14ac:dyDescent="0.15">
      <c r="A195" s="249"/>
      <c r="B195" s="331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</row>
    <row r="196" spans="1:20" ht="13.5" customHeight="1" x14ac:dyDescent="0.15">
      <c r="A196" s="249"/>
      <c r="B196" s="331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</row>
    <row r="197" spans="1:20" ht="13.5" customHeight="1" x14ac:dyDescent="0.15">
      <c r="A197" s="249"/>
      <c r="B197" s="331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</row>
    <row r="198" spans="1:20" ht="13.5" customHeight="1" x14ac:dyDescent="0.15">
      <c r="A198" s="249"/>
      <c r="B198" s="331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</row>
    <row r="199" spans="1:20" ht="13.5" customHeight="1" x14ac:dyDescent="0.15">
      <c r="A199" s="249"/>
      <c r="B199" s="331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</row>
    <row r="200" spans="1:20" ht="13.5" customHeight="1" x14ac:dyDescent="0.15">
      <c r="A200" s="249"/>
      <c r="B200" s="331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</row>
    <row r="201" spans="1:20" ht="13.5" customHeight="1" x14ac:dyDescent="0.15">
      <c r="A201" s="249"/>
      <c r="B201" s="331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</row>
    <row r="202" spans="1:20" ht="13.5" customHeight="1" x14ac:dyDescent="0.15">
      <c r="A202" s="249"/>
      <c r="B202" s="331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</row>
    <row r="203" spans="1:20" ht="13.5" customHeight="1" x14ac:dyDescent="0.15">
      <c r="A203" s="249"/>
      <c r="B203" s="331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</row>
    <row r="204" spans="1:20" ht="13.5" customHeight="1" x14ac:dyDescent="0.15">
      <c r="A204" s="249"/>
      <c r="B204" s="331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</row>
    <row r="205" spans="1:20" ht="13.5" customHeight="1" x14ac:dyDescent="0.15">
      <c r="A205" s="249"/>
      <c r="B205" s="331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</row>
    <row r="206" spans="1:20" ht="13.5" customHeight="1" x14ac:dyDescent="0.15">
      <c r="A206" s="249"/>
      <c r="B206" s="331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</row>
    <row r="207" spans="1:20" ht="13.5" customHeight="1" x14ac:dyDescent="0.15">
      <c r="A207" s="249"/>
      <c r="B207" s="331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</row>
    <row r="208" spans="1:20" ht="13.5" customHeight="1" x14ac:dyDescent="0.15">
      <c r="A208" s="249"/>
      <c r="B208" s="331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</row>
    <row r="209" spans="1:20" ht="13.5" customHeight="1" x14ac:dyDescent="0.15">
      <c r="A209" s="249"/>
      <c r="B209" s="331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</row>
    <row r="210" spans="1:20" ht="13.5" customHeight="1" x14ac:dyDescent="0.15">
      <c r="A210" s="249"/>
      <c r="B210" s="331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</row>
    <row r="211" spans="1:20" ht="13.5" customHeight="1" x14ac:dyDescent="0.15">
      <c r="A211" s="249"/>
      <c r="B211" s="331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</row>
    <row r="212" spans="1:20" ht="13.5" customHeight="1" x14ac:dyDescent="0.15">
      <c r="A212" s="249"/>
      <c r="B212" s="331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</row>
    <row r="213" spans="1:20" ht="13.5" customHeight="1" x14ac:dyDescent="0.15">
      <c r="A213" s="249"/>
      <c r="B213" s="331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</row>
    <row r="214" spans="1:20" ht="13.5" customHeight="1" x14ac:dyDescent="0.15">
      <c r="A214" s="249"/>
      <c r="B214" s="331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</row>
    <row r="215" spans="1:20" ht="13.5" customHeight="1" x14ac:dyDescent="0.15">
      <c r="A215" s="249"/>
      <c r="B215" s="331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</row>
    <row r="216" spans="1:20" ht="13.5" customHeight="1" x14ac:dyDescent="0.15">
      <c r="A216" s="249"/>
      <c r="B216" s="331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</row>
    <row r="217" spans="1:20" ht="13.5" customHeight="1" x14ac:dyDescent="0.15">
      <c r="A217" s="249"/>
      <c r="B217" s="331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</row>
    <row r="218" spans="1:20" ht="13.5" customHeight="1" x14ac:dyDescent="0.15">
      <c r="A218" s="249"/>
      <c r="B218" s="331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</row>
    <row r="219" spans="1:20" ht="13.5" customHeight="1" x14ac:dyDescent="0.15">
      <c r="A219" s="249"/>
      <c r="B219" s="331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</row>
    <row r="220" spans="1:20" ht="13.5" customHeight="1" x14ac:dyDescent="0.15">
      <c r="A220" s="249"/>
      <c r="B220" s="331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</row>
    <row r="221" spans="1:20" ht="13.5" customHeight="1" x14ac:dyDescent="0.15">
      <c r="A221" s="249"/>
      <c r="B221" s="331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</row>
    <row r="222" spans="1:20" ht="13.5" customHeight="1" x14ac:dyDescent="0.15">
      <c r="A222" s="249"/>
      <c r="B222" s="331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</row>
    <row r="223" spans="1:20" ht="13.5" customHeight="1" x14ac:dyDescent="0.15">
      <c r="A223" s="249"/>
      <c r="B223" s="331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</row>
    <row r="224" spans="1:20" ht="13.5" customHeight="1" x14ac:dyDescent="0.15">
      <c r="A224" s="249"/>
      <c r="B224" s="331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</row>
    <row r="225" spans="1:20" ht="13.5" customHeight="1" x14ac:dyDescent="0.15">
      <c r="A225" s="249"/>
      <c r="B225" s="331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</row>
    <row r="226" spans="1:20" ht="13.5" customHeight="1" x14ac:dyDescent="0.15">
      <c r="A226" s="249"/>
      <c r="B226" s="331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</row>
    <row r="227" spans="1:20" ht="13.5" customHeight="1" x14ac:dyDescent="0.15">
      <c r="A227" s="249"/>
      <c r="B227" s="331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</row>
    <row r="228" spans="1:20" ht="13.5" customHeight="1" x14ac:dyDescent="0.15">
      <c r="A228" s="249"/>
      <c r="B228" s="331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</row>
    <row r="229" spans="1:20" ht="13.5" customHeight="1" x14ac:dyDescent="0.15">
      <c r="A229" s="249"/>
      <c r="B229" s="331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</row>
    <row r="230" spans="1:20" ht="13.5" customHeight="1" x14ac:dyDescent="0.15">
      <c r="A230" s="249"/>
      <c r="B230" s="331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</row>
    <row r="231" spans="1:20" ht="13.5" customHeight="1" x14ac:dyDescent="0.15">
      <c r="A231" s="249"/>
      <c r="B231" s="331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</row>
    <row r="232" spans="1:20" ht="13.5" customHeight="1" x14ac:dyDescent="0.15">
      <c r="A232" s="249"/>
      <c r="B232" s="331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</row>
    <row r="233" spans="1:20" ht="13.5" customHeight="1" x14ac:dyDescent="0.15">
      <c r="A233" s="249"/>
      <c r="B233" s="331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</row>
    <row r="234" spans="1:20" ht="13.5" customHeight="1" x14ac:dyDescent="0.15">
      <c r="A234" s="249"/>
      <c r="B234" s="331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</row>
    <row r="235" spans="1:20" ht="13.5" customHeight="1" x14ac:dyDescent="0.15">
      <c r="A235" s="249"/>
      <c r="B235" s="331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</row>
    <row r="236" spans="1:20" ht="13.5" customHeight="1" x14ac:dyDescent="0.15">
      <c r="A236" s="249"/>
      <c r="B236" s="331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</row>
    <row r="237" spans="1:20" ht="13.5" customHeight="1" x14ac:dyDescent="0.15">
      <c r="A237" s="249"/>
      <c r="B237" s="331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</row>
    <row r="238" spans="1:20" ht="13.5" customHeight="1" x14ac:dyDescent="0.15">
      <c r="A238" s="249"/>
      <c r="B238" s="331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</row>
    <row r="239" spans="1:20" ht="13.5" customHeight="1" x14ac:dyDescent="0.15">
      <c r="A239" s="249"/>
      <c r="B239" s="331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</row>
    <row r="240" spans="1:20" ht="13.5" customHeight="1" x14ac:dyDescent="0.15">
      <c r="A240" s="249"/>
      <c r="B240" s="331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</row>
    <row r="241" spans="1:20" ht="13.5" customHeight="1" x14ac:dyDescent="0.15">
      <c r="A241" s="249"/>
      <c r="B241" s="331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</row>
    <row r="242" spans="1:20" ht="13.5" customHeight="1" x14ac:dyDescent="0.15">
      <c r="A242" s="249"/>
      <c r="B242" s="331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</row>
    <row r="243" spans="1:20" ht="13.5" customHeight="1" x14ac:dyDescent="0.15">
      <c r="A243" s="249"/>
      <c r="B243" s="331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</row>
    <row r="244" spans="1:20" ht="13.5" customHeight="1" x14ac:dyDescent="0.15">
      <c r="A244" s="249"/>
      <c r="B244" s="331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</row>
    <row r="245" spans="1:20" ht="13.5" customHeight="1" x14ac:dyDescent="0.15">
      <c r="A245" s="249"/>
      <c r="B245" s="331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</row>
    <row r="246" spans="1:20" ht="13.5" customHeight="1" x14ac:dyDescent="0.15">
      <c r="A246" s="249"/>
      <c r="B246" s="331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</row>
    <row r="247" spans="1:20" ht="13.5" customHeight="1" x14ac:dyDescent="0.15">
      <c r="A247" s="249"/>
      <c r="B247" s="331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</row>
    <row r="248" spans="1:20" ht="13.5" customHeight="1" x14ac:dyDescent="0.15">
      <c r="A248" s="249"/>
      <c r="B248" s="331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</row>
    <row r="249" spans="1:20" ht="13.5" customHeight="1" x14ac:dyDescent="0.15">
      <c r="A249" s="249"/>
      <c r="B249" s="331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</row>
    <row r="250" spans="1:20" ht="13.5" customHeight="1" x14ac:dyDescent="0.15">
      <c r="A250" s="249"/>
      <c r="B250" s="331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</row>
    <row r="251" spans="1:20" ht="13.5" customHeight="1" x14ac:dyDescent="0.15">
      <c r="A251" s="249"/>
      <c r="B251" s="331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</row>
    <row r="252" spans="1:20" ht="13.5" customHeight="1" x14ac:dyDescent="0.15">
      <c r="A252" s="249"/>
      <c r="B252" s="331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</row>
    <row r="253" spans="1:20" ht="13.5" customHeight="1" x14ac:dyDescent="0.15">
      <c r="A253" s="249"/>
      <c r="B253" s="331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</row>
    <row r="254" spans="1:20" ht="13.5" customHeight="1" x14ac:dyDescent="0.15">
      <c r="A254" s="249"/>
      <c r="B254" s="331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</row>
    <row r="255" spans="1:20" ht="13.5" customHeight="1" x14ac:dyDescent="0.15">
      <c r="A255" s="249"/>
      <c r="B255" s="331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</row>
    <row r="256" spans="1:20" ht="13.5" customHeight="1" x14ac:dyDescent="0.15">
      <c r="A256" s="249"/>
      <c r="B256" s="331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</row>
    <row r="257" spans="1:20" ht="13.5" customHeight="1" x14ac:dyDescent="0.15">
      <c r="A257" s="249"/>
      <c r="B257" s="331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</row>
    <row r="258" spans="1:20" ht="13.5" customHeight="1" x14ac:dyDescent="0.15">
      <c r="A258" s="249"/>
      <c r="B258" s="331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</row>
    <row r="259" spans="1:20" ht="13.5" customHeight="1" x14ac:dyDescent="0.15">
      <c r="A259" s="249"/>
      <c r="B259" s="331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</row>
    <row r="260" spans="1:20" ht="13.5" customHeight="1" x14ac:dyDescent="0.15">
      <c r="A260" s="249"/>
      <c r="B260" s="331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</row>
    <row r="261" spans="1:20" ht="13.5" customHeight="1" x14ac:dyDescent="0.15">
      <c r="A261" s="249"/>
      <c r="B261" s="331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</row>
    <row r="262" spans="1:20" ht="13.5" customHeight="1" x14ac:dyDescent="0.15">
      <c r="A262" s="249"/>
      <c r="B262" s="331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</row>
    <row r="263" spans="1:20" ht="13.5" customHeight="1" x14ac:dyDescent="0.15">
      <c r="A263" s="249"/>
      <c r="B263" s="331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</row>
    <row r="264" spans="1:20" ht="13.5" customHeight="1" x14ac:dyDescent="0.15">
      <c r="A264" s="249"/>
      <c r="B264" s="331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</row>
    <row r="265" spans="1:20" ht="13.5" customHeight="1" x14ac:dyDescent="0.15">
      <c r="A265" s="249"/>
      <c r="B265" s="331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</row>
    <row r="266" spans="1:20" ht="13.5" customHeight="1" x14ac:dyDescent="0.15">
      <c r="A266" s="249"/>
      <c r="B266" s="331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</row>
    <row r="267" spans="1:20" ht="13.5" customHeight="1" x14ac:dyDescent="0.15">
      <c r="A267" s="249"/>
      <c r="B267" s="331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</row>
    <row r="268" spans="1:20" ht="13.5" customHeight="1" x14ac:dyDescent="0.15">
      <c r="A268" s="249"/>
      <c r="B268" s="331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</row>
    <row r="269" spans="1:20" ht="13.5" customHeight="1" x14ac:dyDescent="0.15">
      <c r="A269" s="249"/>
      <c r="B269" s="331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</row>
    <row r="270" spans="1:20" ht="13.5" customHeight="1" x14ac:dyDescent="0.15">
      <c r="A270" s="249"/>
      <c r="B270" s="331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</row>
    <row r="271" spans="1:20" ht="13.5" customHeight="1" x14ac:dyDescent="0.15">
      <c r="A271" s="249"/>
      <c r="B271" s="331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</row>
    <row r="272" spans="1:20" ht="13.5" customHeight="1" x14ac:dyDescent="0.15">
      <c r="A272" s="249"/>
      <c r="B272" s="331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</row>
    <row r="273" spans="1:20" ht="13.5" customHeight="1" x14ac:dyDescent="0.15">
      <c r="A273" s="249"/>
      <c r="B273" s="331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</row>
    <row r="274" spans="1:20" ht="13.5" customHeight="1" x14ac:dyDescent="0.15">
      <c r="A274" s="249"/>
      <c r="B274" s="331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</row>
    <row r="275" spans="1:20" ht="13.5" customHeight="1" x14ac:dyDescent="0.15">
      <c r="A275" s="249"/>
      <c r="B275" s="331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</row>
    <row r="276" spans="1:20" ht="13.5" customHeight="1" x14ac:dyDescent="0.15">
      <c r="A276" s="249"/>
      <c r="B276" s="331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</row>
    <row r="277" spans="1:20" ht="13.5" customHeight="1" x14ac:dyDescent="0.15">
      <c r="A277" s="249"/>
      <c r="B277" s="331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</row>
    <row r="278" spans="1:20" ht="13.5" customHeight="1" x14ac:dyDescent="0.15">
      <c r="A278" s="249"/>
      <c r="B278" s="331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</row>
    <row r="279" spans="1:20" ht="13.5" customHeight="1" x14ac:dyDescent="0.15">
      <c r="A279" s="249"/>
      <c r="B279" s="331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</row>
    <row r="280" spans="1:20" ht="13.5" customHeight="1" x14ac:dyDescent="0.15">
      <c r="A280" s="249"/>
      <c r="B280" s="331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</row>
    <row r="281" spans="1:20" ht="13.5" customHeight="1" x14ac:dyDescent="0.15">
      <c r="A281" s="249"/>
      <c r="B281" s="331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</row>
    <row r="282" spans="1:20" ht="13.5" customHeight="1" x14ac:dyDescent="0.15">
      <c r="A282" s="249"/>
      <c r="B282" s="331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</row>
    <row r="283" spans="1:20" ht="13.5" customHeight="1" x14ac:dyDescent="0.15">
      <c r="A283" s="249"/>
      <c r="B283" s="331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</row>
    <row r="284" spans="1:20" ht="13.5" customHeight="1" x14ac:dyDescent="0.15">
      <c r="A284" s="249"/>
      <c r="B284" s="331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</row>
    <row r="285" spans="1:20" ht="13.5" customHeight="1" x14ac:dyDescent="0.15">
      <c r="A285" s="249"/>
      <c r="B285" s="331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</row>
    <row r="286" spans="1:20" ht="13.5" customHeight="1" x14ac:dyDescent="0.15">
      <c r="A286" s="249"/>
      <c r="B286" s="331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</row>
    <row r="287" spans="1:20" ht="13.5" customHeight="1" x14ac:dyDescent="0.15">
      <c r="A287" s="249"/>
      <c r="B287" s="331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</row>
    <row r="288" spans="1:20" ht="13.5" customHeight="1" x14ac:dyDescent="0.15">
      <c r="A288" s="249"/>
      <c r="B288" s="331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</row>
    <row r="289" spans="1:20" ht="13.5" customHeight="1" x14ac:dyDescent="0.15">
      <c r="A289" s="249"/>
      <c r="B289" s="331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</row>
    <row r="290" spans="1:20" ht="13.5" customHeight="1" x14ac:dyDescent="0.15">
      <c r="A290" s="249"/>
      <c r="B290" s="331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</row>
    <row r="291" spans="1:20" ht="13.5" customHeight="1" x14ac:dyDescent="0.15">
      <c r="A291" s="249"/>
      <c r="B291" s="331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</row>
    <row r="292" spans="1:20" ht="13.5" customHeight="1" x14ac:dyDescent="0.15">
      <c r="A292" s="249"/>
      <c r="B292" s="331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</row>
    <row r="293" spans="1:20" ht="13.5" customHeight="1" x14ac:dyDescent="0.15">
      <c r="A293" s="249"/>
      <c r="B293" s="331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</row>
    <row r="294" spans="1:20" ht="13.5" customHeight="1" x14ac:dyDescent="0.15">
      <c r="A294" s="249"/>
      <c r="B294" s="331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</row>
    <row r="295" spans="1:20" ht="13.5" customHeight="1" x14ac:dyDescent="0.15">
      <c r="A295" s="249"/>
      <c r="B295" s="331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</row>
    <row r="296" spans="1:20" ht="13.5" customHeight="1" x14ac:dyDescent="0.15">
      <c r="A296" s="249"/>
      <c r="B296" s="331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</row>
    <row r="297" spans="1:20" ht="13.5" customHeight="1" x14ac:dyDescent="0.15">
      <c r="A297" s="249"/>
      <c r="B297" s="331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</row>
    <row r="298" spans="1:20" ht="13.5" customHeight="1" x14ac:dyDescent="0.15">
      <c r="A298" s="249"/>
      <c r="B298" s="331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</row>
    <row r="299" spans="1:20" ht="13.5" customHeight="1" x14ac:dyDescent="0.15">
      <c r="A299" s="249"/>
      <c r="B299" s="331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</row>
    <row r="300" spans="1:20" ht="13.5" customHeight="1" x14ac:dyDescent="0.15">
      <c r="A300" s="249"/>
      <c r="B300" s="331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</row>
    <row r="301" spans="1:20" ht="13.5" customHeight="1" x14ac:dyDescent="0.15">
      <c r="A301" s="249"/>
      <c r="B301" s="331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</row>
    <row r="302" spans="1:20" ht="13.5" customHeight="1" x14ac:dyDescent="0.15">
      <c r="A302" s="249"/>
      <c r="B302" s="331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</row>
    <row r="303" spans="1:20" ht="13.5" customHeight="1" x14ac:dyDescent="0.15">
      <c r="A303" s="249"/>
      <c r="B303" s="331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</row>
    <row r="304" spans="1:20" ht="13.5" customHeight="1" x14ac:dyDescent="0.15">
      <c r="A304" s="249"/>
      <c r="B304" s="331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</row>
    <row r="305" spans="1:20" ht="13.5" customHeight="1" x14ac:dyDescent="0.15">
      <c r="A305" s="249"/>
      <c r="B305" s="331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</row>
    <row r="306" spans="1:20" ht="13.5" customHeight="1" x14ac:dyDescent="0.15">
      <c r="A306" s="249"/>
      <c r="B306" s="331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</row>
    <row r="307" spans="1:20" ht="13.5" customHeight="1" x14ac:dyDescent="0.15">
      <c r="A307" s="249"/>
      <c r="B307" s="331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</row>
    <row r="308" spans="1:20" ht="13.5" customHeight="1" x14ac:dyDescent="0.15">
      <c r="A308" s="249"/>
      <c r="B308" s="331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</row>
    <row r="309" spans="1:20" ht="13.5" customHeight="1" x14ac:dyDescent="0.15">
      <c r="A309" s="249"/>
      <c r="B309" s="331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</row>
    <row r="310" spans="1:20" ht="13.5" customHeight="1" x14ac:dyDescent="0.15">
      <c r="A310" s="249"/>
      <c r="B310" s="331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</row>
    <row r="311" spans="1:20" ht="13.5" customHeight="1" x14ac:dyDescent="0.15">
      <c r="A311" s="249"/>
      <c r="B311" s="331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</row>
    <row r="312" spans="1:20" ht="13.5" customHeight="1" x14ac:dyDescent="0.15">
      <c r="A312" s="249"/>
      <c r="B312" s="331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</row>
    <row r="313" spans="1:20" ht="13.5" customHeight="1" x14ac:dyDescent="0.15">
      <c r="A313" s="249"/>
      <c r="B313" s="331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</row>
    <row r="314" spans="1:20" ht="13.5" customHeight="1" x14ac:dyDescent="0.15">
      <c r="A314" s="249"/>
      <c r="B314" s="331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</row>
    <row r="315" spans="1:20" ht="13.5" customHeight="1" x14ac:dyDescent="0.15">
      <c r="A315" s="249"/>
      <c r="B315" s="331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</row>
    <row r="316" spans="1:20" ht="13.5" customHeight="1" x14ac:dyDescent="0.15">
      <c r="A316" s="249"/>
      <c r="B316" s="331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</row>
    <row r="317" spans="1:20" ht="13.5" customHeight="1" x14ac:dyDescent="0.15">
      <c r="A317" s="249"/>
      <c r="B317" s="331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</row>
    <row r="318" spans="1:20" ht="13.5" customHeight="1" x14ac:dyDescent="0.15">
      <c r="A318" s="249"/>
      <c r="B318" s="331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</row>
    <row r="319" spans="1:20" ht="13.5" customHeight="1" x14ac:dyDescent="0.15">
      <c r="A319" s="249"/>
      <c r="B319" s="331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</row>
    <row r="320" spans="1:20" ht="13.5" customHeight="1" x14ac:dyDescent="0.15">
      <c r="A320" s="249"/>
      <c r="B320" s="331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</row>
    <row r="321" spans="1:20" ht="13.5" customHeight="1" x14ac:dyDescent="0.15">
      <c r="A321" s="249"/>
      <c r="B321" s="331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</row>
    <row r="322" spans="1:20" ht="13.5" customHeight="1" x14ac:dyDescent="0.15">
      <c r="A322" s="249"/>
      <c r="B322" s="331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</row>
    <row r="323" spans="1:20" ht="13.5" customHeight="1" x14ac:dyDescent="0.15">
      <c r="A323" s="249"/>
      <c r="B323" s="331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</row>
    <row r="324" spans="1:20" ht="13.5" customHeight="1" x14ac:dyDescent="0.15">
      <c r="A324" s="249"/>
      <c r="B324" s="331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</row>
    <row r="325" spans="1:20" ht="13.5" customHeight="1" x14ac:dyDescent="0.15">
      <c r="A325" s="249"/>
      <c r="B325" s="331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</row>
    <row r="326" spans="1:20" ht="13.5" customHeight="1" x14ac:dyDescent="0.15">
      <c r="A326" s="249"/>
      <c r="B326" s="331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</row>
    <row r="327" spans="1:20" ht="13.5" customHeight="1" x14ac:dyDescent="0.15">
      <c r="A327" s="249"/>
      <c r="B327" s="331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</row>
    <row r="328" spans="1:20" ht="13.5" customHeight="1" x14ac:dyDescent="0.15">
      <c r="A328" s="249"/>
      <c r="B328" s="331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</row>
    <row r="329" spans="1:20" ht="13.5" customHeight="1" x14ac:dyDescent="0.15">
      <c r="A329" s="249"/>
      <c r="B329" s="331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</row>
    <row r="330" spans="1:20" ht="13.5" customHeight="1" x14ac:dyDescent="0.15">
      <c r="A330" s="249"/>
      <c r="B330" s="331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</row>
    <row r="331" spans="1:20" ht="13.5" customHeight="1" x14ac:dyDescent="0.15">
      <c r="A331" s="249"/>
      <c r="B331" s="331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</row>
    <row r="332" spans="1:20" ht="13.5" customHeight="1" x14ac:dyDescent="0.15">
      <c r="A332" s="249"/>
      <c r="B332" s="331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</row>
    <row r="333" spans="1:20" ht="13.5" customHeight="1" x14ac:dyDescent="0.15">
      <c r="A333" s="249"/>
      <c r="B333" s="331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</row>
    <row r="334" spans="1:20" ht="13.5" customHeight="1" x14ac:dyDescent="0.15">
      <c r="A334" s="249"/>
      <c r="B334" s="331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</row>
    <row r="335" spans="1:20" ht="13.5" customHeight="1" x14ac:dyDescent="0.15">
      <c r="A335" s="249"/>
      <c r="B335" s="331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</row>
    <row r="336" spans="1:20" ht="13.5" customHeight="1" x14ac:dyDescent="0.15">
      <c r="A336" s="249"/>
      <c r="B336" s="331"/>
      <c r="C336" s="249"/>
      <c r="D336" s="24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</row>
    <row r="337" spans="1:20" ht="13.5" customHeight="1" x14ac:dyDescent="0.15">
      <c r="A337" s="249"/>
      <c r="B337" s="331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</row>
    <row r="338" spans="1:20" ht="13.5" customHeight="1" x14ac:dyDescent="0.15">
      <c r="A338" s="249"/>
      <c r="B338" s="331"/>
      <c r="C338" s="249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</row>
    <row r="339" spans="1:20" ht="13.5" customHeight="1" x14ac:dyDescent="0.15">
      <c r="A339" s="249"/>
      <c r="B339" s="331"/>
      <c r="C339" s="249"/>
      <c r="D339" s="24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</row>
    <row r="340" spans="1:20" ht="13.5" customHeight="1" x14ac:dyDescent="0.15">
      <c r="A340" s="249"/>
      <c r="B340" s="331"/>
      <c r="C340" s="249"/>
      <c r="D340" s="24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</row>
    <row r="341" spans="1:20" ht="13.5" customHeight="1" x14ac:dyDescent="0.15">
      <c r="A341" s="249"/>
      <c r="B341" s="331"/>
      <c r="C341" s="249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</row>
    <row r="342" spans="1:20" ht="13.5" customHeight="1" x14ac:dyDescent="0.15">
      <c r="A342" s="249"/>
      <c r="B342" s="331"/>
      <c r="C342" s="249"/>
      <c r="D342" s="24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</row>
    <row r="343" spans="1:20" ht="13.5" customHeight="1" x14ac:dyDescent="0.15">
      <c r="A343" s="249"/>
      <c r="B343" s="331"/>
      <c r="C343" s="249"/>
      <c r="D343" s="24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</row>
    <row r="344" spans="1:20" ht="13.5" customHeight="1" x14ac:dyDescent="0.15">
      <c r="A344" s="249"/>
      <c r="B344" s="331"/>
      <c r="C344" s="249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</row>
    <row r="345" spans="1:20" ht="13.5" customHeight="1" x14ac:dyDescent="0.15">
      <c r="A345" s="249"/>
      <c r="B345" s="331"/>
      <c r="C345" s="249"/>
      <c r="D345" s="24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</row>
    <row r="346" spans="1:20" ht="13.5" customHeight="1" x14ac:dyDescent="0.15">
      <c r="A346" s="249"/>
      <c r="B346" s="331"/>
      <c r="C346" s="249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</row>
    <row r="347" spans="1:20" ht="13.5" customHeight="1" x14ac:dyDescent="0.15">
      <c r="A347" s="249"/>
      <c r="B347" s="331"/>
      <c r="C347" s="249"/>
      <c r="D347" s="24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</row>
    <row r="348" spans="1:20" ht="13.5" customHeight="1" x14ac:dyDescent="0.15">
      <c r="A348" s="249"/>
      <c r="B348" s="331"/>
      <c r="C348" s="249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</row>
    <row r="349" spans="1:20" ht="13.5" customHeight="1" x14ac:dyDescent="0.15">
      <c r="A349" s="249"/>
      <c r="B349" s="331"/>
      <c r="C349" s="249"/>
      <c r="D349" s="24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</row>
    <row r="350" spans="1:20" ht="13.5" customHeight="1" x14ac:dyDescent="0.15">
      <c r="A350" s="249"/>
      <c r="B350" s="331"/>
      <c r="C350" s="249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</row>
    <row r="351" spans="1:20" ht="13.5" customHeight="1" x14ac:dyDescent="0.15">
      <c r="A351" s="249"/>
      <c r="B351" s="331"/>
      <c r="C351" s="249"/>
      <c r="D351" s="24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</row>
    <row r="352" spans="1:20" ht="13.5" customHeight="1" x14ac:dyDescent="0.15">
      <c r="A352" s="249"/>
      <c r="B352" s="331"/>
      <c r="C352" s="249"/>
      <c r="D352" s="24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</row>
    <row r="353" spans="1:20" ht="13.5" customHeight="1" x14ac:dyDescent="0.15">
      <c r="A353" s="249"/>
      <c r="B353" s="331"/>
      <c r="C353" s="249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</row>
    <row r="354" spans="1:20" ht="13.5" customHeight="1" x14ac:dyDescent="0.15">
      <c r="A354" s="249"/>
      <c r="B354" s="331"/>
      <c r="C354" s="249"/>
      <c r="D354" s="24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</row>
    <row r="355" spans="1:20" ht="13.5" customHeight="1" x14ac:dyDescent="0.15">
      <c r="A355" s="249"/>
      <c r="B355" s="331"/>
      <c r="C355" s="249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</row>
    <row r="356" spans="1:20" ht="13.5" customHeight="1" x14ac:dyDescent="0.15">
      <c r="A356" s="249"/>
      <c r="B356" s="331"/>
      <c r="C356" s="249"/>
      <c r="D356" s="24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</row>
    <row r="357" spans="1:20" ht="13.5" customHeight="1" x14ac:dyDescent="0.15">
      <c r="A357" s="249"/>
      <c r="B357" s="331"/>
      <c r="C357" s="249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</row>
    <row r="358" spans="1:20" ht="13.5" customHeight="1" x14ac:dyDescent="0.15">
      <c r="A358" s="249"/>
      <c r="B358" s="331"/>
      <c r="C358" s="249"/>
      <c r="D358" s="24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</row>
    <row r="359" spans="1:20" ht="13.5" customHeight="1" x14ac:dyDescent="0.15">
      <c r="A359" s="249"/>
      <c r="B359" s="331"/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</row>
    <row r="360" spans="1:20" ht="13.5" customHeight="1" x14ac:dyDescent="0.15">
      <c r="A360" s="249"/>
      <c r="B360" s="331"/>
      <c r="C360" s="249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</row>
    <row r="361" spans="1:20" ht="13.5" customHeight="1" x14ac:dyDescent="0.15">
      <c r="A361" s="249"/>
      <c r="B361" s="331"/>
      <c r="C361" s="249"/>
      <c r="D361" s="24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</row>
    <row r="362" spans="1:20" ht="13.5" customHeight="1" x14ac:dyDescent="0.15">
      <c r="A362" s="249"/>
      <c r="B362" s="331"/>
      <c r="C362" s="249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</row>
    <row r="363" spans="1:20" ht="13.5" customHeight="1" x14ac:dyDescent="0.15">
      <c r="A363" s="249"/>
      <c r="B363" s="331"/>
      <c r="C363" s="249"/>
      <c r="D363" s="24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</row>
    <row r="364" spans="1:20" ht="13.5" customHeight="1" x14ac:dyDescent="0.15">
      <c r="A364" s="249"/>
      <c r="B364" s="331"/>
      <c r="C364" s="249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</row>
    <row r="365" spans="1:20" ht="13.5" customHeight="1" x14ac:dyDescent="0.15">
      <c r="A365" s="249"/>
      <c r="B365" s="331"/>
      <c r="C365" s="249"/>
      <c r="D365" s="24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</row>
    <row r="366" spans="1:20" ht="13.5" customHeight="1" x14ac:dyDescent="0.15">
      <c r="A366" s="249"/>
      <c r="B366" s="331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</row>
    <row r="367" spans="1:20" ht="13.5" customHeight="1" x14ac:dyDescent="0.15">
      <c r="A367" s="249"/>
      <c r="B367" s="331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</row>
    <row r="368" spans="1:20" ht="13.5" customHeight="1" x14ac:dyDescent="0.15">
      <c r="A368" s="249"/>
      <c r="B368" s="331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</row>
    <row r="369" spans="1:20" ht="13.5" customHeight="1" x14ac:dyDescent="0.15">
      <c r="A369" s="249"/>
      <c r="B369" s="331"/>
      <c r="C369" s="249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</row>
    <row r="370" spans="1:20" ht="13.5" customHeight="1" x14ac:dyDescent="0.15">
      <c r="A370" s="249"/>
      <c r="B370" s="331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</row>
    <row r="371" spans="1:20" ht="13.5" customHeight="1" x14ac:dyDescent="0.15">
      <c r="A371" s="249"/>
      <c r="B371" s="331"/>
      <c r="C371" s="249"/>
      <c r="D371" s="24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</row>
    <row r="372" spans="1:20" ht="13.5" customHeight="1" x14ac:dyDescent="0.15">
      <c r="A372" s="249"/>
      <c r="B372" s="331"/>
      <c r="C372" s="249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</row>
    <row r="373" spans="1:20" ht="13.5" customHeight="1" x14ac:dyDescent="0.15">
      <c r="A373" s="249"/>
      <c r="B373" s="331"/>
      <c r="C373" s="249"/>
      <c r="D373" s="24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</row>
    <row r="374" spans="1:20" ht="13.5" customHeight="1" x14ac:dyDescent="0.15">
      <c r="A374" s="249"/>
      <c r="B374" s="331"/>
      <c r="C374" s="249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</row>
    <row r="375" spans="1:20" ht="13.5" customHeight="1" x14ac:dyDescent="0.15">
      <c r="A375" s="249"/>
      <c r="B375" s="331"/>
      <c r="C375" s="249"/>
      <c r="D375" s="24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</row>
    <row r="376" spans="1:20" ht="13.5" customHeight="1" x14ac:dyDescent="0.15">
      <c r="A376" s="249"/>
      <c r="B376" s="331"/>
      <c r="C376" s="249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</row>
    <row r="377" spans="1:20" ht="13.5" customHeight="1" x14ac:dyDescent="0.15">
      <c r="A377" s="249"/>
      <c r="B377" s="331"/>
      <c r="C377" s="249"/>
      <c r="D377" s="24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</row>
    <row r="378" spans="1:20" ht="13.5" customHeight="1" x14ac:dyDescent="0.15">
      <c r="A378" s="249"/>
      <c r="B378" s="331"/>
      <c r="C378" s="249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</row>
    <row r="379" spans="1:20" ht="13.5" customHeight="1" x14ac:dyDescent="0.15">
      <c r="A379" s="249"/>
      <c r="B379" s="331"/>
      <c r="C379" s="249"/>
      <c r="D379" s="24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</row>
    <row r="380" spans="1:20" ht="13.5" customHeight="1" x14ac:dyDescent="0.15">
      <c r="A380" s="249"/>
      <c r="B380" s="331"/>
      <c r="C380" s="249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</row>
    <row r="381" spans="1:20" ht="13.5" customHeight="1" x14ac:dyDescent="0.15">
      <c r="A381" s="249"/>
      <c r="B381" s="331"/>
      <c r="C381" s="249"/>
      <c r="D381" s="24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</row>
    <row r="382" spans="1:20" ht="13.5" customHeight="1" x14ac:dyDescent="0.15">
      <c r="A382" s="249"/>
      <c r="B382" s="331"/>
      <c r="C382" s="249"/>
      <c r="D382" s="24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</row>
    <row r="383" spans="1:20" ht="13.5" customHeight="1" x14ac:dyDescent="0.15">
      <c r="A383" s="249"/>
      <c r="B383" s="331"/>
      <c r="C383" s="249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</row>
    <row r="384" spans="1:20" ht="13.5" customHeight="1" x14ac:dyDescent="0.15">
      <c r="A384" s="249"/>
      <c r="B384" s="331"/>
      <c r="C384" s="249"/>
      <c r="D384" s="24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</row>
    <row r="385" spans="1:20" ht="13.5" customHeight="1" x14ac:dyDescent="0.15">
      <c r="A385" s="249"/>
      <c r="B385" s="331"/>
      <c r="C385" s="249"/>
      <c r="D385" s="24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</row>
    <row r="386" spans="1:20" ht="13.5" customHeight="1" x14ac:dyDescent="0.15">
      <c r="A386" s="249"/>
      <c r="B386" s="331"/>
      <c r="C386" s="249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</row>
    <row r="387" spans="1:20" ht="13.5" customHeight="1" x14ac:dyDescent="0.15">
      <c r="A387" s="249"/>
      <c r="B387" s="331"/>
      <c r="C387" s="249"/>
      <c r="D387" s="24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</row>
    <row r="388" spans="1:20" ht="13.5" customHeight="1" x14ac:dyDescent="0.15">
      <c r="A388" s="249"/>
      <c r="B388" s="331"/>
      <c r="C388" s="249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</row>
    <row r="389" spans="1:20" ht="13.5" customHeight="1" x14ac:dyDescent="0.15">
      <c r="A389" s="249"/>
      <c r="B389" s="331"/>
      <c r="C389" s="249"/>
      <c r="D389" s="24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</row>
    <row r="390" spans="1:20" ht="13.5" customHeight="1" x14ac:dyDescent="0.15">
      <c r="A390" s="249"/>
      <c r="B390" s="331"/>
      <c r="C390" s="249"/>
      <c r="D390" s="24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</row>
    <row r="391" spans="1:20" ht="13.5" customHeight="1" x14ac:dyDescent="0.15">
      <c r="A391" s="249"/>
      <c r="B391" s="331"/>
      <c r="C391" s="249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</row>
    <row r="392" spans="1:20" ht="13.5" customHeight="1" x14ac:dyDescent="0.15">
      <c r="A392" s="249"/>
      <c r="B392" s="331"/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</row>
    <row r="393" spans="1:20" ht="13.5" customHeight="1" x14ac:dyDescent="0.15">
      <c r="A393" s="249"/>
      <c r="B393" s="331"/>
      <c r="C393" s="249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</row>
    <row r="394" spans="1:20" ht="13.5" customHeight="1" x14ac:dyDescent="0.15">
      <c r="A394" s="249"/>
      <c r="B394" s="331"/>
      <c r="C394" s="249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</row>
    <row r="395" spans="1:20" ht="13.5" customHeight="1" x14ac:dyDescent="0.15">
      <c r="A395" s="249"/>
      <c r="B395" s="331"/>
      <c r="C395" s="249"/>
      <c r="D395" s="24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</row>
    <row r="396" spans="1:20" ht="13.5" customHeight="1" x14ac:dyDescent="0.15">
      <c r="A396" s="249"/>
      <c r="B396" s="331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</row>
    <row r="397" spans="1:20" ht="13.5" customHeight="1" x14ac:dyDescent="0.15">
      <c r="A397" s="249"/>
      <c r="B397" s="331"/>
      <c r="C397" s="249"/>
      <c r="D397" s="24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</row>
    <row r="398" spans="1:20" ht="13.5" customHeight="1" x14ac:dyDescent="0.15">
      <c r="A398" s="249"/>
      <c r="B398" s="331"/>
      <c r="C398" s="249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</row>
    <row r="399" spans="1:20" ht="13.5" customHeight="1" x14ac:dyDescent="0.15">
      <c r="A399" s="249"/>
      <c r="B399" s="331"/>
      <c r="C399" s="249"/>
      <c r="D399" s="24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</row>
    <row r="400" spans="1:20" ht="13.5" customHeight="1" x14ac:dyDescent="0.15">
      <c r="A400" s="249"/>
      <c r="B400" s="331"/>
      <c r="C400" s="249"/>
      <c r="D400" s="24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</row>
    <row r="401" spans="1:20" ht="13.5" customHeight="1" x14ac:dyDescent="0.15">
      <c r="A401" s="249"/>
      <c r="B401" s="331"/>
      <c r="C401" s="249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</row>
    <row r="402" spans="1:20" ht="13.5" customHeight="1" x14ac:dyDescent="0.15">
      <c r="A402" s="249"/>
      <c r="B402" s="331"/>
      <c r="C402" s="249"/>
      <c r="D402" s="24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</row>
    <row r="403" spans="1:20" ht="13.5" customHeight="1" x14ac:dyDescent="0.15">
      <c r="A403" s="249"/>
      <c r="B403" s="331"/>
      <c r="C403" s="249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</row>
    <row r="404" spans="1:20" ht="13.5" customHeight="1" x14ac:dyDescent="0.15">
      <c r="A404" s="249"/>
      <c r="B404" s="331"/>
      <c r="C404" s="249"/>
      <c r="D404" s="24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</row>
    <row r="405" spans="1:20" ht="13.5" customHeight="1" x14ac:dyDescent="0.15">
      <c r="A405" s="249"/>
      <c r="B405" s="331"/>
      <c r="C405" s="249"/>
      <c r="D405" s="24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</row>
    <row r="406" spans="1:20" ht="13.5" customHeight="1" x14ac:dyDescent="0.15">
      <c r="A406" s="249"/>
      <c r="B406" s="331"/>
      <c r="C406" s="249"/>
      <c r="D406" s="24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</row>
    <row r="407" spans="1:20" ht="13.5" customHeight="1" x14ac:dyDescent="0.15">
      <c r="A407" s="249"/>
      <c r="B407" s="331"/>
      <c r="C407" s="249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</row>
    <row r="408" spans="1:20" ht="13.5" customHeight="1" x14ac:dyDescent="0.15">
      <c r="A408" s="249"/>
      <c r="B408" s="331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</row>
    <row r="409" spans="1:20" ht="13.5" customHeight="1" x14ac:dyDescent="0.15">
      <c r="A409" s="249"/>
      <c r="B409" s="331"/>
      <c r="C409" s="249"/>
      <c r="D409" s="24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</row>
    <row r="410" spans="1:20" ht="13.5" customHeight="1" x14ac:dyDescent="0.15">
      <c r="A410" s="249"/>
      <c r="B410" s="331"/>
      <c r="C410" s="249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</row>
    <row r="411" spans="1:20" ht="13.5" customHeight="1" x14ac:dyDescent="0.15">
      <c r="A411" s="249"/>
      <c r="B411" s="331"/>
      <c r="C411" s="249"/>
      <c r="D411" s="24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</row>
    <row r="412" spans="1:20" ht="13.5" customHeight="1" x14ac:dyDescent="0.15">
      <c r="A412" s="249"/>
      <c r="B412" s="331"/>
      <c r="C412" s="249"/>
      <c r="D412" s="24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</row>
    <row r="413" spans="1:20" ht="13.5" customHeight="1" x14ac:dyDescent="0.15">
      <c r="A413" s="249"/>
      <c r="B413" s="331"/>
      <c r="C413" s="249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</row>
    <row r="414" spans="1:20" ht="13.5" customHeight="1" x14ac:dyDescent="0.15">
      <c r="A414" s="249"/>
      <c r="B414" s="331"/>
      <c r="C414" s="249"/>
      <c r="D414" s="24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</row>
    <row r="415" spans="1:20" ht="13.5" customHeight="1" x14ac:dyDescent="0.15">
      <c r="A415" s="249"/>
      <c r="B415" s="331"/>
      <c r="C415" s="249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</row>
    <row r="416" spans="1:20" ht="13.5" customHeight="1" x14ac:dyDescent="0.15">
      <c r="A416" s="249"/>
      <c r="B416" s="331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</row>
    <row r="417" spans="1:20" ht="13.5" customHeight="1" x14ac:dyDescent="0.15">
      <c r="A417" s="249"/>
      <c r="B417" s="331"/>
      <c r="C417" s="249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</row>
    <row r="418" spans="1:20" ht="13.5" customHeight="1" x14ac:dyDescent="0.15">
      <c r="A418" s="249"/>
      <c r="B418" s="331"/>
      <c r="C418" s="249"/>
      <c r="D418" s="24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</row>
    <row r="419" spans="1:20" ht="13.5" customHeight="1" x14ac:dyDescent="0.15">
      <c r="A419" s="249"/>
      <c r="B419" s="331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</row>
    <row r="420" spans="1:20" ht="13.5" customHeight="1" x14ac:dyDescent="0.15">
      <c r="A420" s="249"/>
      <c r="B420" s="331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</row>
    <row r="421" spans="1:20" ht="13.5" customHeight="1" x14ac:dyDescent="0.15">
      <c r="A421" s="249"/>
      <c r="B421" s="331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</row>
    <row r="422" spans="1:20" ht="13.5" customHeight="1" x14ac:dyDescent="0.15">
      <c r="A422" s="249"/>
      <c r="B422" s="331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</row>
    <row r="423" spans="1:20" ht="13.5" customHeight="1" x14ac:dyDescent="0.15">
      <c r="A423" s="249"/>
      <c r="B423" s="331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</row>
    <row r="424" spans="1:20" ht="13.5" customHeight="1" x14ac:dyDescent="0.15">
      <c r="A424" s="249"/>
      <c r="B424" s="331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</row>
    <row r="425" spans="1:20" ht="13.5" customHeight="1" x14ac:dyDescent="0.15">
      <c r="A425" s="249"/>
      <c r="B425" s="331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</row>
    <row r="426" spans="1:20" ht="13.5" customHeight="1" x14ac:dyDescent="0.15">
      <c r="A426" s="249"/>
      <c r="B426" s="331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</row>
    <row r="427" spans="1:20" ht="13.5" customHeight="1" x14ac:dyDescent="0.15">
      <c r="A427" s="249"/>
      <c r="B427" s="331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</row>
    <row r="428" spans="1:20" ht="13.5" customHeight="1" x14ac:dyDescent="0.15">
      <c r="A428" s="249"/>
      <c r="B428" s="331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</row>
    <row r="429" spans="1:20" ht="13.5" customHeight="1" x14ac:dyDescent="0.15">
      <c r="A429" s="249"/>
      <c r="B429" s="331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</row>
    <row r="430" spans="1:20" ht="13.5" customHeight="1" x14ac:dyDescent="0.15">
      <c r="A430" s="249"/>
      <c r="B430" s="331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</row>
    <row r="431" spans="1:20" ht="13.5" customHeight="1" x14ac:dyDescent="0.15">
      <c r="A431" s="249"/>
      <c r="B431" s="331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</row>
    <row r="432" spans="1:20" ht="13.5" customHeight="1" x14ac:dyDescent="0.15">
      <c r="A432" s="249"/>
      <c r="B432" s="331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</row>
    <row r="433" spans="1:20" ht="13.5" customHeight="1" x14ac:dyDescent="0.15">
      <c r="A433" s="249"/>
      <c r="B433" s="331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</row>
    <row r="434" spans="1:20" ht="13.5" customHeight="1" x14ac:dyDescent="0.15">
      <c r="A434" s="249"/>
      <c r="B434" s="331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</row>
    <row r="435" spans="1:20" ht="13.5" customHeight="1" x14ac:dyDescent="0.15">
      <c r="A435" s="249"/>
      <c r="B435" s="331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</row>
    <row r="436" spans="1:20" ht="13.5" customHeight="1" x14ac:dyDescent="0.15">
      <c r="A436" s="249"/>
      <c r="B436" s="331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</row>
    <row r="437" spans="1:20" ht="13.5" customHeight="1" x14ac:dyDescent="0.15">
      <c r="A437" s="249"/>
      <c r="B437" s="331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</row>
    <row r="438" spans="1:20" ht="13.5" customHeight="1" x14ac:dyDescent="0.15">
      <c r="A438" s="249"/>
      <c r="B438" s="331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</row>
    <row r="439" spans="1:20" ht="13.5" customHeight="1" x14ac:dyDescent="0.15">
      <c r="A439" s="249"/>
      <c r="B439" s="331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</row>
    <row r="440" spans="1:20" ht="13.5" customHeight="1" x14ac:dyDescent="0.15">
      <c r="A440" s="249"/>
      <c r="B440" s="331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</row>
    <row r="441" spans="1:20" ht="13.5" customHeight="1" x14ac:dyDescent="0.15">
      <c r="A441" s="249"/>
      <c r="B441" s="331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</row>
    <row r="442" spans="1:20" ht="13.5" customHeight="1" x14ac:dyDescent="0.15">
      <c r="A442" s="249"/>
      <c r="B442" s="331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</row>
    <row r="443" spans="1:20" ht="13.5" customHeight="1" x14ac:dyDescent="0.15">
      <c r="A443" s="249"/>
      <c r="B443" s="331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</row>
    <row r="444" spans="1:20" ht="13.5" customHeight="1" x14ac:dyDescent="0.15">
      <c r="A444" s="249"/>
      <c r="B444" s="331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</row>
    <row r="445" spans="1:20" ht="13.5" customHeight="1" x14ac:dyDescent="0.15">
      <c r="A445" s="249"/>
      <c r="B445" s="331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</row>
    <row r="446" spans="1:20" ht="13.5" customHeight="1" x14ac:dyDescent="0.15">
      <c r="A446" s="249"/>
      <c r="B446" s="331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</row>
    <row r="447" spans="1:20" ht="13.5" customHeight="1" x14ac:dyDescent="0.15">
      <c r="A447" s="249"/>
      <c r="B447" s="331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</row>
    <row r="448" spans="1:20" ht="13.5" customHeight="1" x14ac:dyDescent="0.15">
      <c r="A448" s="249"/>
      <c r="B448" s="331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</row>
    <row r="449" spans="1:20" ht="13.5" customHeight="1" x14ac:dyDescent="0.15">
      <c r="A449" s="249"/>
      <c r="B449" s="331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</row>
    <row r="450" spans="1:20" ht="13.5" customHeight="1" x14ac:dyDescent="0.15">
      <c r="A450" s="249"/>
      <c r="B450" s="331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</row>
    <row r="451" spans="1:20" ht="13.5" customHeight="1" x14ac:dyDescent="0.15">
      <c r="A451" s="249"/>
      <c r="B451" s="331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</row>
    <row r="452" spans="1:20" ht="13.5" customHeight="1" x14ac:dyDescent="0.15">
      <c r="A452" s="249"/>
      <c r="B452" s="331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</row>
    <row r="453" spans="1:20" ht="13.5" customHeight="1" x14ac:dyDescent="0.15">
      <c r="A453" s="249"/>
      <c r="B453" s="331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</row>
    <row r="454" spans="1:20" ht="13.5" customHeight="1" x14ac:dyDescent="0.15">
      <c r="A454" s="249"/>
      <c r="B454" s="331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</row>
    <row r="455" spans="1:20" ht="13.5" customHeight="1" x14ac:dyDescent="0.15">
      <c r="A455" s="249"/>
      <c r="B455" s="331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</row>
    <row r="456" spans="1:20" ht="13.5" customHeight="1" x14ac:dyDescent="0.15">
      <c r="A456" s="249"/>
      <c r="B456" s="331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</row>
    <row r="457" spans="1:20" ht="13.5" customHeight="1" x14ac:dyDescent="0.15">
      <c r="A457" s="249"/>
      <c r="B457" s="331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</row>
    <row r="458" spans="1:20" ht="13.5" customHeight="1" x14ac:dyDescent="0.15">
      <c r="A458" s="249"/>
      <c r="B458" s="331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</row>
    <row r="459" spans="1:20" ht="13.5" customHeight="1" x14ac:dyDescent="0.15">
      <c r="A459" s="249"/>
      <c r="B459" s="331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</row>
    <row r="460" spans="1:20" ht="13.5" customHeight="1" x14ac:dyDescent="0.15">
      <c r="A460" s="249"/>
      <c r="B460" s="331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</row>
    <row r="461" spans="1:20" ht="13.5" customHeight="1" x14ac:dyDescent="0.15">
      <c r="A461" s="249"/>
      <c r="B461" s="331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</row>
    <row r="462" spans="1:20" ht="13.5" customHeight="1" x14ac:dyDescent="0.15">
      <c r="A462" s="249"/>
      <c r="B462" s="331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</row>
    <row r="463" spans="1:20" ht="13.5" customHeight="1" x14ac:dyDescent="0.15">
      <c r="A463" s="249"/>
      <c r="B463" s="331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</row>
    <row r="464" spans="1:20" ht="13.5" customHeight="1" x14ac:dyDescent="0.15">
      <c r="A464" s="249"/>
      <c r="B464" s="331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</row>
    <row r="465" spans="1:20" ht="13.5" customHeight="1" x14ac:dyDescent="0.15">
      <c r="A465" s="249"/>
      <c r="B465" s="331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</row>
    <row r="466" spans="1:20" ht="13.5" customHeight="1" x14ac:dyDescent="0.15">
      <c r="A466" s="249"/>
      <c r="B466" s="331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</row>
    <row r="467" spans="1:20" ht="13.5" customHeight="1" x14ac:dyDescent="0.15">
      <c r="A467" s="249"/>
      <c r="B467" s="331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</row>
    <row r="468" spans="1:20" ht="13.5" customHeight="1" x14ac:dyDescent="0.15">
      <c r="A468" s="249"/>
      <c r="B468" s="331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</row>
    <row r="469" spans="1:20" ht="13.5" customHeight="1" x14ac:dyDescent="0.15">
      <c r="A469" s="249"/>
      <c r="B469" s="331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</row>
    <row r="470" spans="1:20" ht="13.5" customHeight="1" x14ac:dyDescent="0.15">
      <c r="A470" s="249"/>
      <c r="B470" s="331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</row>
    <row r="471" spans="1:20" ht="13.5" customHeight="1" x14ac:dyDescent="0.15">
      <c r="A471" s="249"/>
      <c r="B471" s="331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</row>
    <row r="472" spans="1:20" ht="13.5" customHeight="1" x14ac:dyDescent="0.15">
      <c r="A472" s="249"/>
      <c r="B472" s="331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</row>
    <row r="473" spans="1:20" ht="13.5" customHeight="1" x14ac:dyDescent="0.15">
      <c r="A473" s="249"/>
      <c r="B473" s="331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</row>
    <row r="474" spans="1:20" ht="13.5" customHeight="1" x14ac:dyDescent="0.15">
      <c r="A474" s="249"/>
      <c r="B474" s="331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</row>
    <row r="475" spans="1:20" ht="13.5" customHeight="1" x14ac:dyDescent="0.15">
      <c r="A475" s="249"/>
      <c r="B475" s="331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</row>
    <row r="476" spans="1:20" ht="13.5" customHeight="1" x14ac:dyDescent="0.15">
      <c r="A476" s="249"/>
      <c r="B476" s="331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</row>
    <row r="477" spans="1:20" ht="13.5" customHeight="1" x14ac:dyDescent="0.15">
      <c r="A477" s="249"/>
      <c r="B477" s="331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</row>
    <row r="478" spans="1:20" ht="13.5" customHeight="1" x14ac:dyDescent="0.15">
      <c r="A478" s="249"/>
      <c r="B478" s="331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</row>
    <row r="479" spans="1:20" ht="13.5" customHeight="1" x14ac:dyDescent="0.15">
      <c r="A479" s="249"/>
      <c r="B479" s="331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</row>
    <row r="480" spans="1:20" ht="13.5" customHeight="1" x14ac:dyDescent="0.15">
      <c r="A480" s="249"/>
      <c r="B480" s="331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</row>
    <row r="481" spans="1:20" ht="13.5" customHeight="1" x14ac:dyDescent="0.15">
      <c r="A481" s="249"/>
      <c r="B481" s="331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</row>
    <row r="482" spans="1:20" ht="13.5" customHeight="1" x14ac:dyDescent="0.15">
      <c r="A482" s="249"/>
      <c r="B482" s="331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</row>
    <row r="483" spans="1:20" ht="13.5" customHeight="1" x14ac:dyDescent="0.15">
      <c r="A483" s="249"/>
      <c r="B483" s="331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</row>
    <row r="484" spans="1:20" ht="13.5" customHeight="1" x14ac:dyDescent="0.15">
      <c r="A484" s="249"/>
      <c r="B484" s="331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</row>
    <row r="485" spans="1:20" ht="13.5" customHeight="1" x14ac:dyDescent="0.15">
      <c r="A485" s="249"/>
      <c r="B485" s="331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</row>
    <row r="486" spans="1:20" ht="13.5" customHeight="1" x14ac:dyDescent="0.15">
      <c r="A486" s="249"/>
      <c r="B486" s="331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</row>
    <row r="487" spans="1:20" ht="13.5" customHeight="1" x14ac:dyDescent="0.15">
      <c r="A487" s="249"/>
      <c r="B487" s="331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</row>
    <row r="488" spans="1:20" ht="13.5" customHeight="1" x14ac:dyDescent="0.15">
      <c r="A488" s="249"/>
      <c r="B488" s="331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</row>
    <row r="489" spans="1:20" ht="13.5" customHeight="1" x14ac:dyDescent="0.15">
      <c r="A489" s="249"/>
      <c r="B489" s="331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</row>
    <row r="490" spans="1:20" ht="13.5" customHeight="1" x14ac:dyDescent="0.15">
      <c r="A490" s="249"/>
      <c r="B490" s="331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</row>
    <row r="491" spans="1:20" ht="13.5" customHeight="1" x14ac:dyDescent="0.15">
      <c r="A491" s="249"/>
      <c r="B491" s="331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</row>
    <row r="492" spans="1:20" ht="13.5" customHeight="1" x14ac:dyDescent="0.15">
      <c r="A492" s="249"/>
      <c r="B492" s="331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</row>
    <row r="493" spans="1:20" ht="13.5" customHeight="1" x14ac:dyDescent="0.15">
      <c r="A493" s="249"/>
      <c r="B493" s="331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</row>
    <row r="494" spans="1:20" ht="13.5" customHeight="1" x14ac:dyDescent="0.15">
      <c r="A494" s="249"/>
      <c r="B494" s="331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</row>
    <row r="495" spans="1:20" ht="13.5" customHeight="1" x14ac:dyDescent="0.15">
      <c r="A495" s="249"/>
      <c r="B495" s="331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</row>
    <row r="496" spans="1:20" ht="13.5" customHeight="1" x14ac:dyDescent="0.15">
      <c r="A496" s="249"/>
      <c r="B496" s="331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</row>
    <row r="497" spans="1:20" ht="13.5" customHeight="1" x14ac:dyDescent="0.15">
      <c r="A497" s="249"/>
      <c r="B497" s="331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</row>
    <row r="498" spans="1:20" ht="13.5" customHeight="1" x14ac:dyDescent="0.15">
      <c r="A498" s="249"/>
      <c r="B498" s="331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</row>
    <row r="499" spans="1:20" ht="13.5" customHeight="1" x14ac:dyDescent="0.15">
      <c r="A499" s="249"/>
      <c r="B499" s="331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</row>
    <row r="500" spans="1:20" ht="13.5" customHeight="1" x14ac:dyDescent="0.15">
      <c r="A500" s="249"/>
      <c r="B500" s="331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</row>
    <row r="501" spans="1:20" ht="13.5" customHeight="1" x14ac:dyDescent="0.15">
      <c r="A501" s="249"/>
      <c r="B501" s="331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</row>
    <row r="502" spans="1:20" ht="13.5" customHeight="1" x14ac:dyDescent="0.15">
      <c r="A502" s="249"/>
      <c r="B502" s="331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</row>
    <row r="503" spans="1:20" ht="13.5" customHeight="1" x14ac:dyDescent="0.15">
      <c r="A503" s="249"/>
      <c r="B503" s="331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</row>
    <row r="504" spans="1:20" ht="13.5" customHeight="1" x14ac:dyDescent="0.15">
      <c r="A504" s="249"/>
      <c r="B504" s="331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</row>
    <row r="505" spans="1:20" ht="13.5" customHeight="1" x14ac:dyDescent="0.15">
      <c r="A505" s="249"/>
      <c r="B505" s="331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</row>
    <row r="506" spans="1:20" ht="13.5" customHeight="1" x14ac:dyDescent="0.15">
      <c r="A506" s="249"/>
      <c r="B506" s="331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</row>
    <row r="507" spans="1:20" ht="13.5" customHeight="1" x14ac:dyDescent="0.15">
      <c r="A507" s="249"/>
      <c r="B507" s="331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</row>
    <row r="508" spans="1:20" ht="13.5" customHeight="1" x14ac:dyDescent="0.15">
      <c r="A508" s="249"/>
      <c r="B508" s="331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</row>
    <row r="509" spans="1:20" ht="13.5" customHeight="1" x14ac:dyDescent="0.15">
      <c r="A509" s="249"/>
      <c r="B509" s="331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</row>
    <row r="510" spans="1:20" ht="13.5" customHeight="1" x14ac:dyDescent="0.15">
      <c r="A510" s="249"/>
      <c r="B510" s="331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</row>
    <row r="511" spans="1:20" ht="13.5" customHeight="1" x14ac:dyDescent="0.15">
      <c r="A511" s="249"/>
      <c r="B511" s="331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</row>
    <row r="512" spans="1:20" ht="13.5" customHeight="1" x14ac:dyDescent="0.15">
      <c r="A512" s="249"/>
      <c r="B512" s="331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</row>
    <row r="513" spans="1:20" ht="13.5" customHeight="1" x14ac:dyDescent="0.15">
      <c r="A513" s="249"/>
      <c r="B513" s="331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</row>
    <row r="514" spans="1:20" ht="13.5" customHeight="1" x14ac:dyDescent="0.15">
      <c r="A514" s="249"/>
      <c r="B514" s="331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</row>
    <row r="515" spans="1:20" ht="13.5" customHeight="1" x14ac:dyDescent="0.15">
      <c r="A515" s="249"/>
      <c r="B515" s="331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</row>
    <row r="516" spans="1:20" ht="13.5" customHeight="1" x14ac:dyDescent="0.15">
      <c r="A516" s="249"/>
      <c r="B516" s="331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</row>
    <row r="517" spans="1:20" ht="13.5" customHeight="1" x14ac:dyDescent="0.15">
      <c r="A517" s="249"/>
      <c r="B517" s="331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</row>
    <row r="518" spans="1:20" ht="13.5" customHeight="1" x14ac:dyDescent="0.15">
      <c r="A518" s="249"/>
      <c r="B518" s="331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</row>
    <row r="519" spans="1:20" ht="13.5" customHeight="1" x14ac:dyDescent="0.15">
      <c r="A519" s="249"/>
      <c r="B519" s="331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</row>
    <row r="520" spans="1:20" ht="13.5" customHeight="1" x14ac:dyDescent="0.15">
      <c r="A520" s="249"/>
      <c r="B520" s="331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</row>
    <row r="521" spans="1:20" ht="13.5" customHeight="1" x14ac:dyDescent="0.15">
      <c r="A521" s="249"/>
      <c r="B521" s="331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</row>
    <row r="522" spans="1:20" ht="13.5" customHeight="1" x14ac:dyDescent="0.15">
      <c r="A522" s="249"/>
      <c r="B522" s="331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</row>
    <row r="523" spans="1:20" ht="13.5" customHeight="1" x14ac:dyDescent="0.15">
      <c r="A523" s="249"/>
      <c r="B523" s="331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</row>
    <row r="524" spans="1:20" ht="13.5" customHeight="1" x14ac:dyDescent="0.15">
      <c r="A524" s="249"/>
      <c r="B524" s="331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</row>
    <row r="525" spans="1:20" ht="13.5" customHeight="1" x14ac:dyDescent="0.15">
      <c r="A525" s="249"/>
      <c r="B525" s="331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</row>
    <row r="526" spans="1:20" ht="13.5" customHeight="1" x14ac:dyDescent="0.15">
      <c r="A526" s="249"/>
      <c r="B526" s="331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</row>
    <row r="527" spans="1:20" ht="13.5" customHeight="1" x14ac:dyDescent="0.15">
      <c r="A527" s="249"/>
      <c r="B527" s="331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</row>
    <row r="528" spans="1:20" ht="13.5" customHeight="1" x14ac:dyDescent="0.15">
      <c r="A528" s="249"/>
      <c r="B528" s="331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</row>
    <row r="529" spans="1:20" ht="13.5" customHeight="1" x14ac:dyDescent="0.15">
      <c r="A529" s="249"/>
      <c r="B529" s="331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</row>
    <row r="530" spans="1:20" ht="13.5" customHeight="1" x14ac:dyDescent="0.15">
      <c r="A530" s="249"/>
      <c r="B530" s="331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</row>
    <row r="531" spans="1:20" ht="13.5" customHeight="1" x14ac:dyDescent="0.15">
      <c r="A531" s="249"/>
      <c r="B531" s="331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</row>
    <row r="532" spans="1:20" ht="13.5" customHeight="1" x14ac:dyDescent="0.15">
      <c r="A532" s="249"/>
      <c r="B532" s="331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</row>
    <row r="533" spans="1:20" ht="13.5" customHeight="1" x14ac:dyDescent="0.15">
      <c r="A533" s="249"/>
      <c r="B533" s="331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</row>
    <row r="534" spans="1:20" ht="13.5" customHeight="1" x14ac:dyDescent="0.15">
      <c r="A534" s="249"/>
      <c r="B534" s="331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</row>
    <row r="535" spans="1:20" ht="13.5" customHeight="1" x14ac:dyDescent="0.15">
      <c r="A535" s="249"/>
      <c r="B535" s="331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</row>
    <row r="536" spans="1:20" ht="13.5" customHeight="1" x14ac:dyDescent="0.15">
      <c r="A536" s="249"/>
      <c r="B536" s="331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</row>
    <row r="537" spans="1:20" ht="13.5" customHeight="1" x14ac:dyDescent="0.15">
      <c r="A537" s="249"/>
      <c r="B537" s="331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</row>
    <row r="538" spans="1:20" ht="13.5" customHeight="1" x14ac:dyDescent="0.15">
      <c r="A538" s="249"/>
      <c r="B538" s="331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</row>
    <row r="539" spans="1:20" ht="13.5" customHeight="1" x14ac:dyDescent="0.15">
      <c r="A539" s="249"/>
      <c r="B539" s="331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</row>
    <row r="540" spans="1:20" ht="13.5" customHeight="1" x14ac:dyDescent="0.15">
      <c r="A540" s="249"/>
      <c r="B540" s="331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</row>
    <row r="541" spans="1:20" ht="13.5" customHeight="1" x14ac:dyDescent="0.15">
      <c r="A541" s="249"/>
      <c r="B541" s="331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</row>
    <row r="542" spans="1:20" ht="13.5" customHeight="1" x14ac:dyDescent="0.15">
      <c r="A542" s="249"/>
      <c r="B542" s="331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</row>
    <row r="543" spans="1:20" ht="13.5" customHeight="1" x14ac:dyDescent="0.15">
      <c r="A543" s="249"/>
      <c r="B543" s="331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</row>
    <row r="544" spans="1:20" ht="13.5" customHeight="1" x14ac:dyDescent="0.15">
      <c r="A544" s="249"/>
      <c r="B544" s="331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</row>
    <row r="545" spans="1:20" ht="13.5" customHeight="1" x14ac:dyDescent="0.15">
      <c r="A545" s="249"/>
      <c r="B545" s="331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</row>
    <row r="546" spans="1:20" ht="13.5" customHeight="1" x14ac:dyDescent="0.15">
      <c r="A546" s="249"/>
      <c r="B546" s="331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</row>
    <row r="547" spans="1:20" ht="13.5" customHeight="1" x14ac:dyDescent="0.15">
      <c r="A547" s="249"/>
      <c r="B547" s="331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</row>
    <row r="548" spans="1:20" ht="13.5" customHeight="1" x14ac:dyDescent="0.15">
      <c r="A548" s="249"/>
      <c r="B548" s="331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</row>
    <row r="549" spans="1:20" ht="13.5" customHeight="1" x14ac:dyDescent="0.15">
      <c r="A549" s="249"/>
      <c r="B549" s="331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</row>
    <row r="550" spans="1:20" ht="13.5" customHeight="1" x14ac:dyDescent="0.15">
      <c r="A550" s="249"/>
      <c r="B550" s="331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</row>
    <row r="551" spans="1:20" ht="13.5" customHeight="1" x14ac:dyDescent="0.15">
      <c r="A551" s="249"/>
      <c r="B551" s="331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</row>
    <row r="552" spans="1:20" ht="13.5" customHeight="1" x14ac:dyDescent="0.15">
      <c r="A552" s="249"/>
      <c r="B552" s="331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</row>
    <row r="553" spans="1:20" ht="13.5" customHeight="1" x14ac:dyDescent="0.15">
      <c r="A553" s="249"/>
      <c r="B553" s="331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</row>
    <row r="554" spans="1:20" ht="13.5" customHeight="1" x14ac:dyDescent="0.15">
      <c r="A554" s="249"/>
      <c r="B554" s="331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</row>
    <row r="555" spans="1:20" ht="13.5" customHeight="1" x14ac:dyDescent="0.15">
      <c r="A555" s="249"/>
      <c r="B555" s="331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</row>
    <row r="556" spans="1:20" ht="13.5" customHeight="1" x14ac:dyDescent="0.15">
      <c r="A556" s="249"/>
      <c r="B556" s="331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</row>
    <row r="557" spans="1:20" ht="13.5" customHeight="1" x14ac:dyDescent="0.15">
      <c r="A557" s="249"/>
      <c r="B557" s="331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</row>
    <row r="558" spans="1:20" ht="13.5" customHeight="1" x14ac:dyDescent="0.15">
      <c r="A558" s="249"/>
      <c r="B558" s="331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</row>
    <row r="559" spans="1:20" ht="13.5" customHeight="1" x14ac:dyDescent="0.15">
      <c r="A559" s="249"/>
      <c r="B559" s="331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</row>
    <row r="560" spans="1:20" ht="13.5" customHeight="1" x14ac:dyDescent="0.15">
      <c r="A560" s="249"/>
      <c r="B560" s="331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</row>
    <row r="561" spans="1:20" ht="13.5" customHeight="1" x14ac:dyDescent="0.15">
      <c r="A561" s="249"/>
      <c r="B561" s="331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</row>
    <row r="562" spans="1:20" ht="13.5" customHeight="1" x14ac:dyDescent="0.15">
      <c r="A562" s="249"/>
      <c r="B562" s="331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</row>
    <row r="563" spans="1:20" ht="13.5" customHeight="1" x14ac:dyDescent="0.15">
      <c r="A563" s="249"/>
      <c r="B563" s="331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</row>
    <row r="564" spans="1:20" ht="13.5" customHeight="1" x14ac:dyDescent="0.15">
      <c r="A564" s="249"/>
      <c r="B564" s="331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</row>
    <row r="565" spans="1:20" ht="13.5" customHeight="1" x14ac:dyDescent="0.15">
      <c r="A565" s="249"/>
      <c r="B565" s="331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</row>
    <row r="566" spans="1:20" ht="13.5" customHeight="1" x14ac:dyDescent="0.15">
      <c r="A566" s="249"/>
      <c r="B566" s="331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</row>
    <row r="567" spans="1:20" ht="13.5" customHeight="1" x14ac:dyDescent="0.15">
      <c r="A567" s="249"/>
      <c r="B567" s="331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</row>
    <row r="568" spans="1:20" ht="13.5" customHeight="1" x14ac:dyDescent="0.15">
      <c r="A568" s="249"/>
      <c r="B568" s="331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</row>
    <row r="569" spans="1:20" ht="13.5" customHeight="1" x14ac:dyDescent="0.15">
      <c r="A569" s="249"/>
      <c r="B569" s="331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</row>
    <row r="570" spans="1:20" ht="13.5" customHeight="1" x14ac:dyDescent="0.15">
      <c r="A570" s="249"/>
      <c r="B570" s="331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</row>
    <row r="571" spans="1:20" ht="13.5" customHeight="1" x14ac:dyDescent="0.15">
      <c r="A571" s="249"/>
      <c r="B571" s="331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</row>
    <row r="572" spans="1:20" ht="13.5" customHeight="1" x14ac:dyDescent="0.15">
      <c r="A572" s="249"/>
      <c r="B572" s="331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</row>
    <row r="573" spans="1:20" ht="13.5" customHeight="1" x14ac:dyDescent="0.15">
      <c r="A573" s="249"/>
      <c r="B573" s="331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</row>
    <row r="574" spans="1:20" ht="13.5" customHeight="1" x14ac:dyDescent="0.15">
      <c r="A574" s="249"/>
      <c r="B574" s="331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</row>
    <row r="575" spans="1:20" ht="13.5" customHeight="1" x14ac:dyDescent="0.15">
      <c r="A575" s="249"/>
      <c r="B575" s="331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</row>
    <row r="576" spans="1:20" ht="13.5" customHeight="1" x14ac:dyDescent="0.15">
      <c r="A576" s="249"/>
      <c r="B576" s="331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</row>
    <row r="577" spans="1:20" ht="13.5" customHeight="1" x14ac:dyDescent="0.15">
      <c r="A577" s="249"/>
      <c r="B577" s="331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</row>
    <row r="578" spans="1:20" ht="13.5" customHeight="1" x14ac:dyDescent="0.15">
      <c r="A578" s="249"/>
      <c r="B578" s="331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</row>
    <row r="579" spans="1:20" ht="13.5" customHeight="1" x14ac:dyDescent="0.15">
      <c r="A579" s="249"/>
      <c r="B579" s="331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</row>
    <row r="580" spans="1:20" ht="13.5" customHeight="1" x14ac:dyDescent="0.15">
      <c r="A580" s="249"/>
      <c r="B580" s="331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</row>
    <row r="581" spans="1:20" ht="13.5" customHeight="1" x14ac:dyDescent="0.15">
      <c r="A581" s="249"/>
      <c r="B581" s="331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</row>
    <row r="582" spans="1:20" ht="13.5" customHeight="1" x14ac:dyDescent="0.15">
      <c r="A582" s="249"/>
      <c r="B582" s="331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</row>
    <row r="583" spans="1:20" ht="13.5" customHeight="1" x14ac:dyDescent="0.15">
      <c r="A583" s="249"/>
      <c r="B583" s="331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</row>
    <row r="584" spans="1:20" ht="13.5" customHeight="1" x14ac:dyDescent="0.15">
      <c r="A584" s="249"/>
      <c r="B584" s="331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</row>
    <row r="585" spans="1:20" ht="13.5" customHeight="1" x14ac:dyDescent="0.15">
      <c r="A585" s="249"/>
      <c r="B585" s="331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</row>
    <row r="586" spans="1:20" ht="13.5" customHeight="1" x14ac:dyDescent="0.15">
      <c r="A586" s="249"/>
      <c r="B586" s="331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</row>
    <row r="587" spans="1:20" ht="13.5" customHeight="1" x14ac:dyDescent="0.15">
      <c r="A587" s="249"/>
      <c r="B587" s="331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</row>
    <row r="588" spans="1:20" ht="13.5" customHeight="1" x14ac:dyDescent="0.15">
      <c r="A588" s="249"/>
      <c r="B588" s="331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</row>
    <row r="589" spans="1:20" ht="13.5" customHeight="1" x14ac:dyDescent="0.15">
      <c r="A589" s="249"/>
      <c r="B589" s="331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</row>
    <row r="590" spans="1:20" ht="13.5" customHeight="1" x14ac:dyDescent="0.15">
      <c r="A590" s="249"/>
      <c r="B590" s="331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</row>
    <row r="591" spans="1:20" ht="13.5" customHeight="1" x14ac:dyDescent="0.15">
      <c r="A591" s="249"/>
      <c r="B591" s="331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</row>
    <row r="592" spans="1:20" ht="13.5" customHeight="1" x14ac:dyDescent="0.15">
      <c r="A592" s="249"/>
      <c r="B592" s="331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</row>
    <row r="593" spans="1:20" ht="13.5" customHeight="1" x14ac:dyDescent="0.15">
      <c r="A593" s="249"/>
      <c r="B593" s="331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</row>
    <row r="594" spans="1:20" ht="13.5" customHeight="1" x14ac:dyDescent="0.15">
      <c r="A594" s="249"/>
      <c r="B594" s="331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</row>
    <row r="595" spans="1:20" ht="13.5" customHeight="1" x14ac:dyDescent="0.15">
      <c r="A595" s="249"/>
      <c r="B595" s="331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</row>
    <row r="596" spans="1:20" ht="13.5" customHeight="1" x14ac:dyDescent="0.15">
      <c r="A596" s="249"/>
      <c r="B596" s="331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</row>
    <row r="597" spans="1:20" ht="13.5" customHeight="1" x14ac:dyDescent="0.15">
      <c r="A597" s="249"/>
      <c r="B597" s="331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</row>
    <row r="598" spans="1:20" ht="13.5" customHeight="1" x14ac:dyDescent="0.15">
      <c r="A598" s="249"/>
      <c r="B598" s="331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</row>
    <row r="599" spans="1:20" ht="13.5" customHeight="1" x14ac:dyDescent="0.15">
      <c r="A599" s="249"/>
      <c r="B599" s="331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</row>
    <row r="600" spans="1:20" ht="13.5" customHeight="1" x14ac:dyDescent="0.15">
      <c r="A600" s="249"/>
      <c r="B600" s="331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</row>
    <row r="601" spans="1:20" ht="13.5" customHeight="1" x14ac:dyDescent="0.15">
      <c r="A601" s="249"/>
      <c r="B601" s="331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</row>
    <row r="602" spans="1:20" ht="13.5" customHeight="1" x14ac:dyDescent="0.15">
      <c r="A602" s="249"/>
      <c r="B602" s="331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</row>
    <row r="603" spans="1:20" ht="13.5" customHeight="1" x14ac:dyDescent="0.15">
      <c r="A603" s="249"/>
      <c r="B603" s="331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</row>
    <row r="604" spans="1:20" ht="13.5" customHeight="1" x14ac:dyDescent="0.15">
      <c r="A604" s="249"/>
      <c r="B604" s="331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</row>
    <row r="605" spans="1:20" ht="13.5" customHeight="1" x14ac:dyDescent="0.15">
      <c r="A605" s="249"/>
      <c r="B605" s="331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</row>
    <row r="606" spans="1:20" ht="13.5" customHeight="1" x14ac:dyDescent="0.15">
      <c r="A606" s="249"/>
      <c r="B606" s="331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</row>
    <row r="607" spans="1:20" ht="13.5" customHeight="1" x14ac:dyDescent="0.15">
      <c r="A607" s="249"/>
      <c r="B607" s="331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</row>
    <row r="608" spans="1:20" ht="13.5" customHeight="1" x14ac:dyDescent="0.15">
      <c r="A608" s="249"/>
      <c r="B608" s="331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</row>
    <row r="609" spans="1:20" ht="13.5" customHeight="1" x14ac:dyDescent="0.15">
      <c r="A609" s="249"/>
      <c r="B609" s="331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</row>
    <row r="610" spans="1:20" ht="13.5" customHeight="1" x14ac:dyDescent="0.15">
      <c r="A610" s="249"/>
      <c r="B610" s="331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</row>
    <row r="611" spans="1:20" ht="13.5" customHeight="1" x14ac:dyDescent="0.15">
      <c r="A611" s="249"/>
      <c r="B611" s="331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</row>
    <row r="612" spans="1:20" ht="13.5" customHeight="1" x14ac:dyDescent="0.15">
      <c r="A612" s="249"/>
      <c r="B612" s="331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</row>
    <row r="613" spans="1:20" ht="13.5" customHeight="1" x14ac:dyDescent="0.15">
      <c r="A613" s="249"/>
      <c r="B613" s="331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</row>
    <row r="614" spans="1:20" ht="13.5" customHeight="1" x14ac:dyDescent="0.15">
      <c r="A614" s="249"/>
      <c r="B614" s="331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</row>
    <row r="615" spans="1:20" ht="13.5" customHeight="1" x14ac:dyDescent="0.15">
      <c r="A615" s="249"/>
      <c r="B615" s="331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</row>
    <row r="616" spans="1:20" ht="13.5" customHeight="1" x14ac:dyDescent="0.15">
      <c r="A616" s="249"/>
      <c r="B616" s="331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</row>
    <row r="617" spans="1:20" ht="13.5" customHeight="1" x14ac:dyDescent="0.15">
      <c r="A617" s="249"/>
      <c r="B617" s="331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</row>
    <row r="618" spans="1:20" ht="13.5" customHeight="1" x14ac:dyDescent="0.15">
      <c r="A618" s="249"/>
      <c r="B618" s="331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</row>
    <row r="619" spans="1:20" ht="13.5" customHeight="1" x14ac:dyDescent="0.15">
      <c r="A619" s="249"/>
      <c r="B619" s="331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</row>
    <row r="620" spans="1:20" ht="13.5" customHeight="1" x14ac:dyDescent="0.15">
      <c r="A620" s="249"/>
      <c r="B620" s="331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</row>
    <row r="621" spans="1:20" ht="13.5" customHeight="1" x14ac:dyDescent="0.15">
      <c r="A621" s="249"/>
      <c r="B621" s="331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</row>
    <row r="622" spans="1:20" ht="13.5" customHeight="1" x14ac:dyDescent="0.15">
      <c r="A622" s="249"/>
      <c r="B622" s="331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</row>
    <row r="623" spans="1:20" ht="13.5" customHeight="1" x14ac:dyDescent="0.15">
      <c r="A623" s="249"/>
      <c r="B623" s="331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</row>
    <row r="624" spans="1:20" ht="13.5" customHeight="1" x14ac:dyDescent="0.15">
      <c r="A624" s="249"/>
      <c r="B624" s="331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</row>
    <row r="625" spans="1:20" ht="13.5" customHeight="1" x14ac:dyDescent="0.15">
      <c r="A625" s="249"/>
      <c r="B625" s="331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</row>
    <row r="626" spans="1:20" ht="13.5" customHeight="1" x14ac:dyDescent="0.15">
      <c r="A626" s="249"/>
      <c r="B626" s="331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</row>
    <row r="627" spans="1:20" ht="13.5" customHeight="1" x14ac:dyDescent="0.15">
      <c r="A627" s="249"/>
      <c r="B627" s="331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</row>
    <row r="628" spans="1:20" ht="13.5" customHeight="1" x14ac:dyDescent="0.15">
      <c r="A628" s="249"/>
      <c r="B628" s="331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</row>
    <row r="629" spans="1:20" ht="13.5" customHeight="1" x14ac:dyDescent="0.15">
      <c r="A629" s="249"/>
      <c r="B629" s="331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</row>
    <row r="630" spans="1:20" ht="13.5" customHeight="1" x14ac:dyDescent="0.15">
      <c r="A630" s="249"/>
      <c r="B630" s="331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</row>
    <row r="631" spans="1:20" ht="13.5" customHeight="1" x14ac:dyDescent="0.15">
      <c r="A631" s="249"/>
      <c r="B631" s="331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</row>
    <row r="632" spans="1:20" ht="13.5" customHeight="1" x14ac:dyDescent="0.15">
      <c r="A632" s="249"/>
      <c r="B632" s="331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</row>
    <row r="633" spans="1:20" ht="13.5" customHeight="1" x14ac:dyDescent="0.15">
      <c r="A633" s="249"/>
      <c r="B633" s="331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</row>
    <row r="634" spans="1:20" ht="13.5" customHeight="1" x14ac:dyDescent="0.15">
      <c r="A634" s="249"/>
      <c r="B634" s="331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</row>
    <row r="635" spans="1:20" ht="13.5" customHeight="1" x14ac:dyDescent="0.15">
      <c r="A635" s="249"/>
      <c r="B635" s="331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</row>
    <row r="636" spans="1:20" ht="13.5" customHeight="1" x14ac:dyDescent="0.15">
      <c r="A636" s="249"/>
      <c r="B636" s="331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</row>
    <row r="637" spans="1:20" ht="13.5" customHeight="1" x14ac:dyDescent="0.15">
      <c r="A637" s="249"/>
      <c r="B637" s="331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</row>
    <row r="638" spans="1:20" ht="13.5" customHeight="1" x14ac:dyDescent="0.15">
      <c r="A638" s="249"/>
      <c r="B638" s="331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</row>
    <row r="639" spans="1:20" ht="13.5" customHeight="1" x14ac:dyDescent="0.15">
      <c r="A639" s="249"/>
      <c r="B639" s="331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</row>
    <row r="640" spans="1:20" ht="13.5" customHeight="1" x14ac:dyDescent="0.15">
      <c r="A640" s="249"/>
      <c r="B640" s="331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</row>
    <row r="641" spans="1:20" ht="13.5" customHeight="1" x14ac:dyDescent="0.15">
      <c r="A641" s="249"/>
      <c r="B641" s="331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</row>
    <row r="642" spans="1:20" ht="13.5" customHeight="1" x14ac:dyDescent="0.15">
      <c r="A642" s="249"/>
      <c r="B642" s="331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</row>
    <row r="643" spans="1:20" ht="13.5" customHeight="1" x14ac:dyDescent="0.15">
      <c r="A643" s="249"/>
      <c r="B643" s="331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</row>
    <row r="644" spans="1:20" ht="13.5" customHeight="1" x14ac:dyDescent="0.15">
      <c r="A644" s="249"/>
      <c r="B644" s="331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</row>
    <row r="645" spans="1:20" ht="13.5" customHeight="1" x14ac:dyDescent="0.15">
      <c r="A645" s="249"/>
      <c r="B645" s="331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</row>
    <row r="646" spans="1:20" ht="13.5" customHeight="1" x14ac:dyDescent="0.15">
      <c r="A646" s="249"/>
      <c r="B646" s="331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</row>
    <row r="647" spans="1:20" ht="13.5" customHeight="1" x14ac:dyDescent="0.15">
      <c r="A647" s="249"/>
      <c r="B647" s="331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</row>
    <row r="648" spans="1:20" ht="13.5" customHeight="1" x14ac:dyDescent="0.15">
      <c r="A648" s="249"/>
      <c r="B648" s="331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</row>
    <row r="649" spans="1:20" ht="13.5" customHeight="1" x14ac:dyDescent="0.15">
      <c r="A649" s="249"/>
      <c r="B649" s="331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</row>
    <row r="650" spans="1:20" ht="13.5" customHeight="1" x14ac:dyDescent="0.15">
      <c r="A650" s="249"/>
      <c r="B650" s="331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</row>
    <row r="651" spans="1:20" ht="13.5" customHeight="1" x14ac:dyDescent="0.15">
      <c r="A651" s="249"/>
      <c r="B651" s="331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</row>
    <row r="652" spans="1:20" ht="13.5" customHeight="1" x14ac:dyDescent="0.15">
      <c r="A652" s="249"/>
      <c r="B652" s="331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</row>
    <row r="653" spans="1:20" ht="13.5" customHeight="1" x14ac:dyDescent="0.15">
      <c r="A653" s="249"/>
      <c r="B653" s="331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</row>
    <row r="654" spans="1:20" ht="13.5" customHeight="1" x14ac:dyDescent="0.15">
      <c r="A654" s="249"/>
      <c r="B654" s="331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</row>
    <row r="655" spans="1:20" ht="13.5" customHeight="1" x14ac:dyDescent="0.15">
      <c r="A655" s="249"/>
      <c r="B655" s="331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</row>
    <row r="656" spans="1:20" ht="13.5" customHeight="1" x14ac:dyDescent="0.15">
      <c r="A656" s="249"/>
      <c r="B656" s="331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</row>
    <row r="657" spans="1:20" ht="13.5" customHeight="1" x14ac:dyDescent="0.15">
      <c r="A657" s="249"/>
      <c r="B657" s="331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</row>
    <row r="658" spans="1:20" ht="13.5" customHeight="1" x14ac:dyDescent="0.15">
      <c r="A658" s="249"/>
      <c r="B658" s="331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</row>
    <row r="659" spans="1:20" ht="13.5" customHeight="1" x14ac:dyDescent="0.15">
      <c r="A659" s="249"/>
      <c r="B659" s="331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</row>
    <row r="660" spans="1:20" ht="13.5" customHeight="1" x14ac:dyDescent="0.15">
      <c r="A660" s="249"/>
      <c r="B660" s="331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</row>
    <row r="661" spans="1:20" ht="13.5" customHeight="1" x14ac:dyDescent="0.15">
      <c r="A661" s="249"/>
      <c r="B661" s="331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</row>
    <row r="662" spans="1:20" ht="13.5" customHeight="1" x14ac:dyDescent="0.15">
      <c r="A662" s="249"/>
      <c r="B662" s="331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</row>
    <row r="663" spans="1:20" ht="13.5" customHeight="1" x14ac:dyDescent="0.15">
      <c r="A663" s="249"/>
      <c r="B663" s="331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</row>
    <row r="664" spans="1:20" ht="13.5" customHeight="1" x14ac:dyDescent="0.15">
      <c r="A664" s="249"/>
      <c r="B664" s="331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</row>
    <row r="665" spans="1:20" ht="13.5" customHeight="1" x14ac:dyDescent="0.15">
      <c r="A665" s="249"/>
      <c r="B665" s="331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</row>
    <row r="666" spans="1:20" ht="13.5" customHeight="1" x14ac:dyDescent="0.15">
      <c r="A666" s="249"/>
      <c r="B666" s="331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</row>
    <row r="667" spans="1:20" ht="13.5" customHeight="1" x14ac:dyDescent="0.15">
      <c r="A667" s="249"/>
      <c r="B667" s="331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</row>
    <row r="668" spans="1:20" ht="13.5" customHeight="1" x14ac:dyDescent="0.15">
      <c r="A668" s="249"/>
      <c r="B668" s="331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</row>
    <row r="669" spans="1:20" ht="13.5" customHeight="1" x14ac:dyDescent="0.15">
      <c r="A669" s="249"/>
      <c r="B669" s="331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</row>
    <row r="670" spans="1:20" ht="13.5" customHeight="1" x14ac:dyDescent="0.15">
      <c r="A670" s="249"/>
      <c r="B670" s="331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</row>
    <row r="671" spans="1:20" ht="13.5" customHeight="1" x14ac:dyDescent="0.15">
      <c r="A671" s="249"/>
      <c r="B671" s="331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</row>
    <row r="672" spans="1:20" ht="13.5" customHeight="1" x14ac:dyDescent="0.15">
      <c r="A672" s="249"/>
      <c r="B672" s="331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</row>
    <row r="673" spans="1:20" ht="13.5" customHeight="1" x14ac:dyDescent="0.15">
      <c r="A673" s="249"/>
      <c r="B673" s="331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</row>
    <row r="674" spans="1:20" ht="13.5" customHeight="1" x14ac:dyDescent="0.15">
      <c r="A674" s="249"/>
      <c r="B674" s="331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</row>
    <row r="675" spans="1:20" ht="13.5" customHeight="1" x14ac:dyDescent="0.15">
      <c r="A675" s="249"/>
      <c r="B675" s="331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</row>
    <row r="676" spans="1:20" ht="13.5" customHeight="1" x14ac:dyDescent="0.15">
      <c r="A676" s="249"/>
      <c r="B676" s="331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</row>
    <row r="677" spans="1:20" ht="13.5" customHeight="1" x14ac:dyDescent="0.15">
      <c r="A677" s="249"/>
      <c r="B677" s="331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</row>
    <row r="678" spans="1:20" ht="13.5" customHeight="1" x14ac:dyDescent="0.15">
      <c r="A678" s="249"/>
      <c r="B678" s="331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</row>
    <row r="679" spans="1:20" ht="13.5" customHeight="1" x14ac:dyDescent="0.15">
      <c r="A679" s="249"/>
      <c r="B679" s="331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</row>
    <row r="680" spans="1:20" ht="13.5" customHeight="1" x14ac:dyDescent="0.15">
      <c r="A680" s="249"/>
      <c r="B680" s="331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</row>
    <row r="681" spans="1:20" ht="13.5" customHeight="1" x14ac:dyDescent="0.15">
      <c r="A681" s="249"/>
      <c r="B681" s="331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</row>
    <row r="682" spans="1:20" ht="13.5" customHeight="1" x14ac:dyDescent="0.15">
      <c r="A682" s="249"/>
      <c r="B682" s="331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</row>
    <row r="683" spans="1:20" ht="13.5" customHeight="1" x14ac:dyDescent="0.15">
      <c r="A683" s="249"/>
      <c r="B683" s="331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</row>
    <row r="684" spans="1:20" ht="13.5" customHeight="1" x14ac:dyDescent="0.15">
      <c r="A684" s="249"/>
      <c r="B684" s="331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</row>
    <row r="685" spans="1:20" ht="13.5" customHeight="1" x14ac:dyDescent="0.15">
      <c r="A685" s="249"/>
      <c r="B685" s="331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</row>
    <row r="686" spans="1:20" ht="13.5" customHeight="1" x14ac:dyDescent="0.15">
      <c r="A686" s="249"/>
      <c r="B686" s="331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</row>
    <row r="687" spans="1:20" ht="13.5" customHeight="1" x14ac:dyDescent="0.15">
      <c r="A687" s="249"/>
      <c r="B687" s="331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</row>
    <row r="688" spans="1:20" ht="13.5" customHeight="1" x14ac:dyDescent="0.15">
      <c r="A688" s="249"/>
      <c r="B688" s="331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</row>
    <row r="689" spans="1:20" ht="13.5" customHeight="1" x14ac:dyDescent="0.15">
      <c r="A689" s="249"/>
      <c r="B689" s="331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</row>
    <row r="690" spans="1:20" ht="13.5" customHeight="1" x14ac:dyDescent="0.15">
      <c r="A690" s="249"/>
      <c r="B690" s="331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</row>
    <row r="691" spans="1:20" ht="13.5" customHeight="1" x14ac:dyDescent="0.15">
      <c r="A691" s="249"/>
      <c r="B691" s="331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</row>
    <row r="692" spans="1:20" ht="13.5" customHeight="1" x14ac:dyDescent="0.15">
      <c r="A692" s="249"/>
      <c r="B692" s="331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</row>
    <row r="693" spans="1:20" ht="13.5" customHeight="1" x14ac:dyDescent="0.15">
      <c r="A693" s="249"/>
      <c r="B693" s="331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</row>
    <row r="694" spans="1:20" ht="13.5" customHeight="1" x14ac:dyDescent="0.15">
      <c r="A694" s="249"/>
      <c r="B694" s="331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</row>
    <row r="695" spans="1:20" ht="13.5" customHeight="1" x14ac:dyDescent="0.15">
      <c r="A695" s="249"/>
      <c r="B695" s="331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</row>
    <row r="696" spans="1:20" ht="13.5" customHeight="1" x14ac:dyDescent="0.15">
      <c r="A696" s="249"/>
      <c r="B696" s="331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</row>
    <row r="697" spans="1:20" ht="13.5" customHeight="1" x14ac:dyDescent="0.15">
      <c r="A697" s="249"/>
      <c r="B697" s="331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</row>
    <row r="698" spans="1:20" ht="13.5" customHeight="1" x14ac:dyDescent="0.15">
      <c r="A698" s="249"/>
      <c r="B698" s="331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</row>
    <row r="699" spans="1:20" ht="13.5" customHeight="1" x14ac:dyDescent="0.15">
      <c r="A699" s="249"/>
      <c r="B699" s="331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</row>
    <row r="700" spans="1:20" ht="13.5" customHeight="1" x14ac:dyDescent="0.15">
      <c r="A700" s="249"/>
      <c r="B700" s="331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</row>
    <row r="701" spans="1:20" ht="13.5" customHeight="1" x14ac:dyDescent="0.15">
      <c r="A701" s="249"/>
      <c r="B701" s="331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</row>
    <row r="702" spans="1:20" ht="13.5" customHeight="1" x14ac:dyDescent="0.15">
      <c r="A702" s="249"/>
      <c r="B702" s="331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</row>
    <row r="703" spans="1:20" ht="13.5" customHeight="1" x14ac:dyDescent="0.15">
      <c r="A703" s="249"/>
      <c r="B703" s="331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</row>
    <row r="704" spans="1:20" ht="13.5" customHeight="1" x14ac:dyDescent="0.15">
      <c r="A704" s="249"/>
      <c r="B704" s="331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</row>
    <row r="705" spans="1:20" ht="13.5" customHeight="1" x14ac:dyDescent="0.15">
      <c r="A705" s="249"/>
      <c r="B705" s="331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</row>
    <row r="706" spans="1:20" ht="13.5" customHeight="1" x14ac:dyDescent="0.15">
      <c r="A706" s="249"/>
      <c r="B706" s="331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</row>
    <row r="707" spans="1:20" ht="13.5" customHeight="1" x14ac:dyDescent="0.15">
      <c r="A707" s="249"/>
      <c r="B707" s="331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</row>
    <row r="708" spans="1:20" ht="13.5" customHeight="1" x14ac:dyDescent="0.15">
      <c r="A708" s="249"/>
      <c r="B708" s="331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</row>
    <row r="709" spans="1:20" ht="13.5" customHeight="1" x14ac:dyDescent="0.15">
      <c r="A709" s="249"/>
      <c r="B709" s="331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</row>
    <row r="710" spans="1:20" ht="13.5" customHeight="1" x14ac:dyDescent="0.15">
      <c r="A710" s="249"/>
      <c r="B710" s="331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</row>
    <row r="711" spans="1:20" ht="13.5" customHeight="1" x14ac:dyDescent="0.15">
      <c r="A711" s="249"/>
      <c r="B711" s="331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</row>
    <row r="712" spans="1:20" ht="13.5" customHeight="1" x14ac:dyDescent="0.15">
      <c r="A712" s="249"/>
      <c r="B712" s="331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</row>
    <row r="713" spans="1:20" ht="13.5" customHeight="1" x14ac:dyDescent="0.15">
      <c r="A713" s="249"/>
      <c r="B713" s="331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</row>
    <row r="714" spans="1:20" ht="13.5" customHeight="1" x14ac:dyDescent="0.15">
      <c r="A714" s="249"/>
      <c r="B714" s="331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</row>
    <row r="715" spans="1:20" ht="13.5" customHeight="1" x14ac:dyDescent="0.15">
      <c r="A715" s="249"/>
      <c r="B715" s="331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</row>
    <row r="716" spans="1:20" ht="13.5" customHeight="1" x14ac:dyDescent="0.15">
      <c r="A716" s="249"/>
      <c r="B716" s="331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</row>
    <row r="717" spans="1:20" ht="13.5" customHeight="1" x14ac:dyDescent="0.15">
      <c r="A717" s="249"/>
      <c r="B717" s="331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</row>
    <row r="718" spans="1:20" ht="13.5" customHeight="1" x14ac:dyDescent="0.15">
      <c r="A718" s="249"/>
      <c r="B718" s="331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</row>
    <row r="719" spans="1:20" ht="13.5" customHeight="1" x14ac:dyDescent="0.15">
      <c r="A719" s="249"/>
      <c r="B719" s="331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</row>
    <row r="720" spans="1:20" ht="13.5" customHeight="1" x14ac:dyDescent="0.15">
      <c r="A720" s="249"/>
      <c r="B720" s="331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</row>
    <row r="721" spans="1:20" ht="13.5" customHeight="1" x14ac:dyDescent="0.15">
      <c r="A721" s="249"/>
      <c r="B721" s="331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</row>
    <row r="722" spans="1:20" ht="13.5" customHeight="1" x14ac:dyDescent="0.15">
      <c r="A722" s="249"/>
      <c r="B722" s="331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</row>
    <row r="723" spans="1:20" ht="13.5" customHeight="1" x14ac:dyDescent="0.15">
      <c r="A723" s="249"/>
      <c r="B723" s="331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</row>
    <row r="724" spans="1:20" ht="13.5" customHeight="1" x14ac:dyDescent="0.15">
      <c r="A724" s="249"/>
      <c r="B724" s="331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</row>
    <row r="725" spans="1:20" ht="13.5" customHeight="1" x14ac:dyDescent="0.15">
      <c r="A725" s="249"/>
      <c r="B725" s="331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</row>
    <row r="726" spans="1:20" ht="13.5" customHeight="1" x14ac:dyDescent="0.15">
      <c r="A726" s="249"/>
      <c r="B726" s="331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</row>
    <row r="727" spans="1:20" ht="13.5" customHeight="1" x14ac:dyDescent="0.15">
      <c r="A727" s="249"/>
      <c r="B727" s="331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</row>
    <row r="728" spans="1:20" ht="13.5" customHeight="1" x14ac:dyDescent="0.15">
      <c r="A728" s="249"/>
      <c r="B728" s="331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</row>
    <row r="729" spans="1:20" ht="13.5" customHeight="1" x14ac:dyDescent="0.15">
      <c r="A729" s="249"/>
      <c r="B729" s="331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</row>
    <row r="730" spans="1:20" ht="13.5" customHeight="1" x14ac:dyDescent="0.15">
      <c r="A730" s="249"/>
      <c r="B730" s="331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</row>
    <row r="731" spans="1:20" ht="13.5" customHeight="1" x14ac:dyDescent="0.15">
      <c r="A731" s="249"/>
      <c r="B731" s="331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</row>
    <row r="732" spans="1:20" ht="13.5" customHeight="1" x14ac:dyDescent="0.15">
      <c r="A732" s="249"/>
      <c r="B732" s="331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</row>
    <row r="733" spans="1:20" ht="13.5" customHeight="1" x14ac:dyDescent="0.15">
      <c r="A733" s="249"/>
      <c r="B733" s="331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</row>
    <row r="734" spans="1:20" ht="13.5" customHeight="1" x14ac:dyDescent="0.15">
      <c r="A734" s="249"/>
      <c r="B734" s="331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</row>
    <row r="735" spans="1:20" ht="13.5" customHeight="1" x14ac:dyDescent="0.15">
      <c r="A735" s="249"/>
      <c r="B735" s="331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</row>
    <row r="736" spans="1:20" ht="13.5" customHeight="1" x14ac:dyDescent="0.15">
      <c r="A736" s="249"/>
      <c r="B736" s="331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</row>
    <row r="737" spans="1:20" ht="13.5" customHeight="1" x14ac:dyDescent="0.15">
      <c r="A737" s="249"/>
      <c r="B737" s="331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</row>
    <row r="738" spans="1:20" ht="13.5" customHeight="1" x14ac:dyDescent="0.15">
      <c r="A738" s="249"/>
      <c r="B738" s="331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</row>
    <row r="739" spans="1:20" ht="13.5" customHeight="1" x14ac:dyDescent="0.15">
      <c r="A739" s="249"/>
      <c r="B739" s="331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</row>
    <row r="740" spans="1:20" ht="13.5" customHeight="1" x14ac:dyDescent="0.15">
      <c r="A740" s="249"/>
      <c r="B740" s="331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</row>
    <row r="741" spans="1:20" ht="13.5" customHeight="1" x14ac:dyDescent="0.15">
      <c r="A741" s="249"/>
      <c r="B741" s="331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</row>
    <row r="742" spans="1:20" ht="13.5" customHeight="1" x14ac:dyDescent="0.15">
      <c r="A742" s="249"/>
      <c r="B742" s="331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</row>
    <row r="743" spans="1:20" ht="13.5" customHeight="1" x14ac:dyDescent="0.15">
      <c r="A743" s="249"/>
      <c r="B743" s="331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</row>
    <row r="744" spans="1:20" ht="13.5" customHeight="1" x14ac:dyDescent="0.15">
      <c r="A744" s="249"/>
      <c r="B744" s="331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</row>
    <row r="745" spans="1:20" ht="13.5" customHeight="1" x14ac:dyDescent="0.15">
      <c r="A745" s="249"/>
      <c r="B745" s="331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</row>
    <row r="746" spans="1:20" ht="13.5" customHeight="1" x14ac:dyDescent="0.15">
      <c r="A746" s="249"/>
      <c r="B746" s="331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</row>
    <row r="747" spans="1:20" ht="13.5" customHeight="1" x14ac:dyDescent="0.15">
      <c r="A747" s="249"/>
      <c r="B747" s="331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</row>
    <row r="748" spans="1:20" ht="13.5" customHeight="1" x14ac:dyDescent="0.15">
      <c r="A748" s="249"/>
      <c r="B748" s="331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</row>
    <row r="749" spans="1:20" ht="13.5" customHeight="1" x14ac:dyDescent="0.15">
      <c r="A749" s="249"/>
      <c r="B749" s="331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</row>
    <row r="750" spans="1:20" ht="13.5" customHeight="1" x14ac:dyDescent="0.15">
      <c r="A750" s="249"/>
      <c r="B750" s="331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</row>
    <row r="751" spans="1:20" ht="13.5" customHeight="1" x14ac:dyDescent="0.15">
      <c r="A751" s="249"/>
      <c r="B751" s="331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</row>
    <row r="752" spans="1:20" ht="13.5" customHeight="1" x14ac:dyDescent="0.15">
      <c r="A752" s="249"/>
      <c r="B752" s="331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</row>
    <row r="753" spans="1:20" ht="13.5" customHeight="1" x14ac:dyDescent="0.15">
      <c r="A753" s="249"/>
      <c r="B753" s="331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</row>
    <row r="754" spans="1:20" ht="13.5" customHeight="1" x14ac:dyDescent="0.15">
      <c r="A754" s="249"/>
      <c r="B754" s="331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</row>
    <row r="755" spans="1:20" ht="13.5" customHeight="1" x14ac:dyDescent="0.15">
      <c r="A755" s="249"/>
      <c r="B755" s="331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</row>
    <row r="756" spans="1:20" ht="13.5" customHeight="1" x14ac:dyDescent="0.15">
      <c r="A756" s="249"/>
      <c r="B756" s="331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</row>
    <row r="757" spans="1:20" ht="13.5" customHeight="1" x14ac:dyDescent="0.15">
      <c r="A757" s="249"/>
      <c r="B757" s="331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</row>
    <row r="758" spans="1:20" ht="13.5" customHeight="1" x14ac:dyDescent="0.15">
      <c r="A758" s="249"/>
      <c r="B758" s="331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</row>
    <row r="759" spans="1:20" ht="13.5" customHeight="1" x14ac:dyDescent="0.15">
      <c r="A759" s="249"/>
      <c r="B759" s="331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</row>
    <row r="760" spans="1:20" ht="13.5" customHeight="1" x14ac:dyDescent="0.15">
      <c r="A760" s="249"/>
      <c r="B760" s="331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</row>
    <row r="761" spans="1:20" ht="13.5" customHeight="1" x14ac:dyDescent="0.15">
      <c r="A761" s="249"/>
      <c r="B761" s="331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</row>
    <row r="762" spans="1:20" ht="13.5" customHeight="1" x14ac:dyDescent="0.15">
      <c r="A762" s="249"/>
      <c r="B762" s="331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</row>
    <row r="763" spans="1:20" ht="13.5" customHeight="1" x14ac:dyDescent="0.15">
      <c r="A763" s="249"/>
      <c r="B763" s="331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</row>
    <row r="764" spans="1:20" ht="13.5" customHeight="1" x14ac:dyDescent="0.15">
      <c r="A764" s="249"/>
      <c r="B764" s="331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</row>
    <row r="765" spans="1:20" ht="13.5" customHeight="1" x14ac:dyDescent="0.15">
      <c r="A765" s="249"/>
      <c r="B765" s="331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</row>
    <row r="766" spans="1:20" ht="13.5" customHeight="1" x14ac:dyDescent="0.15">
      <c r="A766" s="249"/>
      <c r="B766" s="331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</row>
    <row r="767" spans="1:20" ht="13.5" customHeight="1" x14ac:dyDescent="0.15">
      <c r="A767" s="249"/>
      <c r="B767" s="331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</row>
    <row r="768" spans="1:20" ht="13.5" customHeight="1" x14ac:dyDescent="0.15">
      <c r="A768" s="249"/>
      <c r="B768" s="331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</row>
    <row r="769" spans="1:20" ht="13.5" customHeight="1" x14ac:dyDescent="0.15">
      <c r="A769" s="249"/>
      <c r="B769" s="331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</row>
    <row r="770" spans="1:20" ht="13.5" customHeight="1" x14ac:dyDescent="0.15">
      <c r="A770" s="249"/>
      <c r="B770" s="331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</row>
    <row r="771" spans="1:20" ht="13.5" customHeight="1" x14ac:dyDescent="0.15">
      <c r="A771" s="249"/>
      <c r="B771" s="331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</row>
    <row r="772" spans="1:20" ht="13.5" customHeight="1" x14ac:dyDescent="0.15">
      <c r="A772" s="249"/>
      <c r="B772" s="331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</row>
    <row r="773" spans="1:20" ht="13.5" customHeight="1" x14ac:dyDescent="0.15">
      <c r="A773" s="249"/>
      <c r="B773" s="331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</row>
    <row r="774" spans="1:20" ht="13.5" customHeight="1" x14ac:dyDescent="0.15">
      <c r="A774" s="249"/>
      <c r="B774" s="331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</row>
    <row r="775" spans="1:20" ht="13.5" customHeight="1" x14ac:dyDescent="0.15">
      <c r="A775" s="249"/>
      <c r="B775" s="331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</row>
    <row r="776" spans="1:20" ht="13.5" customHeight="1" x14ac:dyDescent="0.15">
      <c r="A776" s="249"/>
      <c r="B776" s="331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</row>
    <row r="777" spans="1:20" ht="13.5" customHeight="1" x14ac:dyDescent="0.15">
      <c r="A777" s="249"/>
      <c r="B777" s="331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</row>
    <row r="778" spans="1:20" ht="13.5" customHeight="1" x14ac:dyDescent="0.15">
      <c r="A778" s="249"/>
      <c r="B778" s="331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</row>
    <row r="779" spans="1:20" ht="13.5" customHeight="1" x14ac:dyDescent="0.15">
      <c r="A779" s="249"/>
      <c r="B779" s="331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</row>
    <row r="780" spans="1:20" ht="13.5" customHeight="1" x14ac:dyDescent="0.15">
      <c r="A780" s="249"/>
      <c r="B780" s="331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</row>
    <row r="781" spans="1:20" ht="13.5" customHeight="1" x14ac:dyDescent="0.15">
      <c r="A781" s="249"/>
      <c r="B781" s="331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</row>
    <row r="782" spans="1:20" ht="13.5" customHeight="1" x14ac:dyDescent="0.15">
      <c r="A782" s="249"/>
      <c r="B782" s="331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</row>
    <row r="783" spans="1:20" ht="13.5" customHeight="1" x14ac:dyDescent="0.15">
      <c r="A783" s="249"/>
      <c r="B783" s="331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</row>
    <row r="784" spans="1:20" ht="13.5" customHeight="1" x14ac:dyDescent="0.15">
      <c r="A784" s="249"/>
      <c r="B784" s="331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</row>
    <row r="785" spans="1:20" ht="13.5" customHeight="1" x14ac:dyDescent="0.15">
      <c r="A785" s="249"/>
      <c r="B785" s="331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</row>
    <row r="786" spans="1:20" ht="13.5" customHeight="1" x14ac:dyDescent="0.15">
      <c r="A786" s="249"/>
      <c r="B786" s="331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</row>
    <row r="787" spans="1:20" ht="13.5" customHeight="1" x14ac:dyDescent="0.15">
      <c r="A787" s="249"/>
      <c r="B787" s="331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</row>
    <row r="788" spans="1:20" ht="13.5" customHeight="1" x14ac:dyDescent="0.15">
      <c r="A788" s="249"/>
      <c r="B788" s="331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</row>
    <row r="789" spans="1:20" ht="13.5" customHeight="1" x14ac:dyDescent="0.15">
      <c r="A789" s="249"/>
      <c r="B789" s="331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</row>
    <row r="790" spans="1:20" ht="13.5" customHeight="1" x14ac:dyDescent="0.15">
      <c r="A790" s="249"/>
      <c r="B790" s="331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</row>
    <row r="791" spans="1:20" ht="13.5" customHeight="1" x14ac:dyDescent="0.15">
      <c r="A791" s="249"/>
      <c r="B791" s="331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</row>
    <row r="792" spans="1:20" ht="13.5" customHeight="1" x14ac:dyDescent="0.15">
      <c r="A792" s="249"/>
      <c r="B792" s="331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</row>
    <row r="793" spans="1:20" ht="13.5" customHeight="1" x14ac:dyDescent="0.15">
      <c r="A793" s="249"/>
      <c r="B793" s="331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</row>
    <row r="794" spans="1:20" ht="13.5" customHeight="1" x14ac:dyDescent="0.15">
      <c r="A794" s="249"/>
      <c r="B794" s="331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</row>
    <row r="795" spans="1:20" ht="13.5" customHeight="1" x14ac:dyDescent="0.15">
      <c r="A795" s="249"/>
      <c r="B795" s="331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</row>
    <row r="796" spans="1:20" ht="13.5" customHeight="1" x14ac:dyDescent="0.15">
      <c r="A796" s="249"/>
      <c r="B796" s="331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</row>
    <row r="797" spans="1:20" ht="13.5" customHeight="1" x14ac:dyDescent="0.15">
      <c r="A797" s="249"/>
      <c r="B797" s="331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</row>
    <row r="798" spans="1:20" ht="13.5" customHeight="1" x14ac:dyDescent="0.15">
      <c r="A798" s="249"/>
      <c r="B798" s="331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</row>
    <row r="799" spans="1:20" ht="13.5" customHeight="1" x14ac:dyDescent="0.15">
      <c r="A799" s="249"/>
      <c r="B799" s="331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</row>
    <row r="800" spans="1:20" ht="13.5" customHeight="1" x14ac:dyDescent="0.15">
      <c r="A800" s="249"/>
      <c r="B800" s="331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</row>
    <row r="801" spans="1:20" ht="13.5" customHeight="1" x14ac:dyDescent="0.15">
      <c r="A801" s="249"/>
      <c r="B801" s="331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</row>
    <row r="802" spans="1:20" ht="13.5" customHeight="1" x14ac:dyDescent="0.15">
      <c r="A802" s="249"/>
      <c r="B802" s="331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</row>
    <row r="803" spans="1:20" ht="13.5" customHeight="1" x14ac:dyDescent="0.15">
      <c r="A803" s="249"/>
      <c r="B803" s="331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</row>
    <row r="804" spans="1:20" ht="13.5" customHeight="1" x14ac:dyDescent="0.15">
      <c r="A804" s="249"/>
      <c r="B804" s="331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</row>
    <row r="805" spans="1:20" ht="13.5" customHeight="1" x14ac:dyDescent="0.15">
      <c r="A805" s="249"/>
      <c r="B805" s="331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</row>
    <row r="806" spans="1:20" ht="13.5" customHeight="1" x14ac:dyDescent="0.15">
      <c r="A806" s="249"/>
      <c r="B806" s="331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</row>
    <row r="807" spans="1:20" ht="13.5" customHeight="1" x14ac:dyDescent="0.15">
      <c r="A807" s="249"/>
      <c r="B807" s="331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</row>
    <row r="808" spans="1:20" ht="13.5" customHeight="1" x14ac:dyDescent="0.15">
      <c r="A808" s="249"/>
      <c r="B808" s="331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</row>
    <row r="809" spans="1:20" ht="13.5" customHeight="1" x14ac:dyDescent="0.15">
      <c r="A809" s="249"/>
      <c r="B809" s="331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</row>
    <row r="810" spans="1:20" ht="13.5" customHeight="1" x14ac:dyDescent="0.15">
      <c r="A810" s="249"/>
      <c r="B810" s="331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</row>
    <row r="811" spans="1:20" ht="13.5" customHeight="1" x14ac:dyDescent="0.15">
      <c r="A811" s="249"/>
      <c r="B811" s="331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</row>
    <row r="812" spans="1:20" ht="13.5" customHeight="1" x14ac:dyDescent="0.15">
      <c r="A812" s="249"/>
      <c r="B812" s="331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</row>
    <row r="813" spans="1:20" ht="13.5" customHeight="1" x14ac:dyDescent="0.15">
      <c r="A813" s="249"/>
      <c r="B813" s="331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</row>
    <row r="814" spans="1:20" ht="13.5" customHeight="1" x14ac:dyDescent="0.15">
      <c r="A814" s="249"/>
      <c r="B814" s="331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</row>
    <row r="815" spans="1:20" ht="13.5" customHeight="1" x14ac:dyDescent="0.15">
      <c r="A815" s="249"/>
      <c r="B815" s="331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</row>
    <row r="816" spans="1:20" ht="13.5" customHeight="1" x14ac:dyDescent="0.15">
      <c r="A816" s="249"/>
      <c r="B816" s="331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</row>
    <row r="817" spans="1:20" ht="13.5" customHeight="1" x14ac:dyDescent="0.15">
      <c r="A817" s="249"/>
      <c r="B817" s="331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</row>
    <row r="818" spans="1:20" ht="13.5" customHeight="1" x14ac:dyDescent="0.15">
      <c r="A818" s="249"/>
      <c r="B818" s="331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</row>
    <row r="819" spans="1:20" ht="13.5" customHeight="1" x14ac:dyDescent="0.15">
      <c r="A819" s="249"/>
      <c r="B819" s="331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</row>
    <row r="820" spans="1:20" ht="13.5" customHeight="1" x14ac:dyDescent="0.15">
      <c r="A820" s="249"/>
      <c r="B820" s="331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</row>
    <row r="821" spans="1:20" ht="13.5" customHeight="1" x14ac:dyDescent="0.15">
      <c r="A821" s="249"/>
      <c r="B821" s="331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</row>
    <row r="822" spans="1:20" ht="13.5" customHeight="1" x14ac:dyDescent="0.15">
      <c r="A822" s="249"/>
      <c r="B822" s="331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</row>
    <row r="823" spans="1:20" ht="13.5" customHeight="1" x14ac:dyDescent="0.15">
      <c r="A823" s="249"/>
      <c r="B823" s="331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</row>
    <row r="824" spans="1:20" ht="13.5" customHeight="1" x14ac:dyDescent="0.15">
      <c r="A824" s="249"/>
      <c r="B824" s="331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</row>
    <row r="825" spans="1:20" ht="13.5" customHeight="1" x14ac:dyDescent="0.15">
      <c r="A825" s="249"/>
      <c r="B825" s="331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</row>
    <row r="826" spans="1:20" ht="13.5" customHeight="1" x14ac:dyDescent="0.15">
      <c r="A826" s="249"/>
      <c r="B826" s="331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</row>
    <row r="827" spans="1:20" ht="13.5" customHeight="1" x14ac:dyDescent="0.15">
      <c r="A827" s="249"/>
      <c r="B827" s="331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</row>
    <row r="828" spans="1:20" ht="13.5" customHeight="1" x14ac:dyDescent="0.15">
      <c r="A828" s="249"/>
      <c r="B828" s="331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</row>
    <row r="829" spans="1:20" ht="13.5" customHeight="1" x14ac:dyDescent="0.15">
      <c r="A829" s="249"/>
      <c r="B829" s="331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</row>
    <row r="830" spans="1:20" ht="13.5" customHeight="1" x14ac:dyDescent="0.15">
      <c r="A830" s="249"/>
      <c r="B830" s="331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</row>
    <row r="831" spans="1:20" ht="13.5" customHeight="1" x14ac:dyDescent="0.15">
      <c r="A831" s="249"/>
      <c r="B831" s="331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</row>
    <row r="832" spans="1:20" ht="13.5" customHeight="1" x14ac:dyDescent="0.15">
      <c r="A832" s="249"/>
      <c r="B832" s="331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</row>
    <row r="833" spans="1:20" ht="13.5" customHeight="1" x14ac:dyDescent="0.15">
      <c r="A833" s="249"/>
      <c r="B833" s="331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</row>
    <row r="834" spans="1:20" ht="13.5" customHeight="1" x14ac:dyDescent="0.15">
      <c r="A834" s="249"/>
      <c r="B834" s="331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</row>
    <row r="835" spans="1:20" ht="13.5" customHeight="1" x14ac:dyDescent="0.15">
      <c r="A835" s="249"/>
      <c r="B835" s="331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</row>
    <row r="836" spans="1:20" ht="13.5" customHeight="1" x14ac:dyDescent="0.15">
      <c r="A836" s="249"/>
      <c r="B836" s="331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</row>
    <row r="837" spans="1:20" ht="13.5" customHeight="1" x14ac:dyDescent="0.15">
      <c r="A837" s="249"/>
      <c r="B837" s="331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</row>
    <row r="838" spans="1:20" ht="13.5" customHeight="1" x14ac:dyDescent="0.15">
      <c r="A838" s="249"/>
      <c r="B838" s="331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</row>
    <row r="839" spans="1:20" ht="13.5" customHeight="1" x14ac:dyDescent="0.15">
      <c r="A839" s="249"/>
      <c r="B839" s="331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</row>
    <row r="840" spans="1:20" ht="13.5" customHeight="1" x14ac:dyDescent="0.15">
      <c r="A840" s="249"/>
      <c r="B840" s="331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</row>
    <row r="841" spans="1:20" ht="13.5" customHeight="1" x14ac:dyDescent="0.15">
      <c r="A841" s="249"/>
      <c r="B841" s="331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</row>
    <row r="842" spans="1:20" ht="13.5" customHeight="1" x14ac:dyDescent="0.15">
      <c r="A842" s="249"/>
      <c r="B842" s="331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</row>
    <row r="843" spans="1:20" ht="13.5" customHeight="1" x14ac:dyDescent="0.15">
      <c r="A843" s="249"/>
      <c r="B843" s="331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</row>
    <row r="844" spans="1:20" ht="13.5" customHeight="1" x14ac:dyDescent="0.15">
      <c r="A844" s="249"/>
      <c r="B844" s="331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</row>
    <row r="845" spans="1:20" ht="13.5" customHeight="1" x14ac:dyDescent="0.15">
      <c r="A845" s="249"/>
      <c r="B845" s="331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</row>
    <row r="846" spans="1:20" ht="13.5" customHeight="1" x14ac:dyDescent="0.15">
      <c r="A846" s="249"/>
      <c r="B846" s="331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</row>
    <row r="847" spans="1:20" ht="13.5" customHeight="1" x14ac:dyDescent="0.15">
      <c r="A847" s="249"/>
      <c r="B847" s="331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</row>
    <row r="848" spans="1:20" ht="13.5" customHeight="1" x14ac:dyDescent="0.15">
      <c r="A848" s="249"/>
      <c r="B848" s="331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</row>
    <row r="849" spans="1:20" ht="13.5" customHeight="1" x14ac:dyDescent="0.15">
      <c r="A849" s="249"/>
      <c r="B849" s="331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</row>
    <row r="850" spans="1:20" ht="13.5" customHeight="1" x14ac:dyDescent="0.15">
      <c r="A850" s="249"/>
      <c r="B850" s="331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</row>
    <row r="851" spans="1:20" ht="13.5" customHeight="1" x14ac:dyDescent="0.15">
      <c r="A851" s="249"/>
      <c r="B851" s="331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</row>
    <row r="852" spans="1:20" ht="13.5" customHeight="1" x14ac:dyDescent="0.15">
      <c r="A852" s="249"/>
      <c r="B852" s="331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</row>
    <row r="853" spans="1:20" ht="13.5" customHeight="1" x14ac:dyDescent="0.15">
      <c r="A853" s="249"/>
      <c r="B853" s="331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</row>
    <row r="854" spans="1:20" ht="13.5" customHeight="1" x14ac:dyDescent="0.15">
      <c r="A854" s="249"/>
      <c r="B854" s="331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</row>
    <row r="855" spans="1:20" ht="13.5" customHeight="1" x14ac:dyDescent="0.15">
      <c r="A855" s="249"/>
      <c r="B855" s="331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</row>
    <row r="856" spans="1:20" ht="13.5" customHeight="1" x14ac:dyDescent="0.15">
      <c r="A856" s="249"/>
      <c r="B856" s="331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</row>
    <row r="857" spans="1:20" ht="13.5" customHeight="1" x14ac:dyDescent="0.15">
      <c r="A857" s="249"/>
      <c r="B857" s="331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</row>
    <row r="858" spans="1:20" ht="13.5" customHeight="1" x14ac:dyDescent="0.15">
      <c r="A858" s="249"/>
      <c r="B858" s="331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</row>
    <row r="859" spans="1:20" ht="13.5" customHeight="1" x14ac:dyDescent="0.15">
      <c r="A859" s="249"/>
      <c r="B859" s="331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</row>
    <row r="860" spans="1:20" ht="13.5" customHeight="1" x14ac:dyDescent="0.15">
      <c r="A860" s="249"/>
      <c r="B860" s="331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</row>
    <row r="861" spans="1:20" ht="13.5" customHeight="1" x14ac:dyDescent="0.15">
      <c r="A861" s="249"/>
      <c r="B861" s="331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</row>
    <row r="862" spans="1:20" ht="13.5" customHeight="1" x14ac:dyDescent="0.15">
      <c r="A862" s="249"/>
      <c r="B862" s="331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</row>
    <row r="863" spans="1:20" ht="13.5" customHeight="1" x14ac:dyDescent="0.15">
      <c r="A863" s="249"/>
      <c r="B863" s="331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</row>
    <row r="864" spans="1:20" ht="13.5" customHeight="1" x14ac:dyDescent="0.15">
      <c r="A864" s="249"/>
      <c r="B864" s="331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</row>
    <row r="865" spans="1:20" ht="13.5" customHeight="1" x14ac:dyDescent="0.15">
      <c r="A865" s="249"/>
      <c r="B865" s="331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</row>
    <row r="866" spans="1:20" ht="13.5" customHeight="1" x14ac:dyDescent="0.15">
      <c r="A866" s="249"/>
      <c r="B866" s="331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</row>
    <row r="867" spans="1:20" ht="13.5" customHeight="1" x14ac:dyDescent="0.15">
      <c r="A867" s="249"/>
      <c r="B867" s="331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</row>
    <row r="868" spans="1:20" ht="13.5" customHeight="1" x14ac:dyDescent="0.15">
      <c r="A868" s="249"/>
      <c r="B868" s="331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</row>
    <row r="869" spans="1:20" ht="13.5" customHeight="1" x14ac:dyDescent="0.15">
      <c r="A869" s="249"/>
      <c r="B869" s="331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</row>
    <row r="870" spans="1:20" ht="13.5" customHeight="1" x14ac:dyDescent="0.15">
      <c r="A870" s="249"/>
      <c r="B870" s="331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</row>
    <row r="871" spans="1:20" ht="13.5" customHeight="1" x14ac:dyDescent="0.15">
      <c r="A871" s="249"/>
      <c r="B871" s="331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</row>
    <row r="872" spans="1:20" ht="13.5" customHeight="1" x14ac:dyDescent="0.15">
      <c r="A872" s="249"/>
      <c r="B872" s="331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</row>
    <row r="873" spans="1:20" ht="13.5" customHeight="1" x14ac:dyDescent="0.15">
      <c r="A873" s="249"/>
      <c r="B873" s="331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</row>
    <row r="874" spans="1:20" ht="13.5" customHeight="1" x14ac:dyDescent="0.15">
      <c r="A874" s="249"/>
      <c r="B874" s="331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</row>
    <row r="875" spans="1:20" ht="13.5" customHeight="1" x14ac:dyDescent="0.15">
      <c r="A875" s="249"/>
      <c r="B875" s="331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</row>
    <row r="876" spans="1:20" ht="13.5" customHeight="1" x14ac:dyDescent="0.15">
      <c r="A876" s="249"/>
      <c r="B876" s="331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</row>
    <row r="877" spans="1:20" ht="13.5" customHeight="1" x14ac:dyDescent="0.15">
      <c r="A877" s="249"/>
      <c r="B877" s="331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</row>
    <row r="878" spans="1:20" ht="13.5" customHeight="1" x14ac:dyDescent="0.15">
      <c r="A878" s="249"/>
      <c r="B878" s="331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</row>
    <row r="879" spans="1:20" ht="13.5" customHeight="1" x14ac:dyDescent="0.15">
      <c r="A879" s="249"/>
      <c r="B879" s="331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</row>
    <row r="880" spans="1:20" ht="13.5" customHeight="1" x14ac:dyDescent="0.15">
      <c r="A880" s="249"/>
      <c r="B880" s="331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</row>
    <row r="881" spans="1:20" ht="13.5" customHeight="1" x14ac:dyDescent="0.15">
      <c r="A881" s="249"/>
      <c r="B881" s="331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</row>
    <row r="882" spans="1:20" ht="13.5" customHeight="1" x14ac:dyDescent="0.15">
      <c r="A882" s="249"/>
      <c r="B882" s="331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</row>
    <row r="883" spans="1:20" ht="13.5" customHeight="1" x14ac:dyDescent="0.15">
      <c r="A883" s="249"/>
      <c r="B883" s="331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</row>
    <row r="884" spans="1:20" ht="13.5" customHeight="1" x14ac:dyDescent="0.15">
      <c r="A884" s="249"/>
      <c r="B884" s="331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</row>
    <row r="885" spans="1:20" ht="13.5" customHeight="1" x14ac:dyDescent="0.15">
      <c r="A885" s="249"/>
      <c r="B885" s="331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</row>
    <row r="886" spans="1:20" ht="13.5" customHeight="1" x14ac:dyDescent="0.15">
      <c r="A886" s="249"/>
      <c r="B886" s="331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</row>
    <row r="887" spans="1:20" ht="13.5" customHeight="1" x14ac:dyDescent="0.15">
      <c r="A887" s="249"/>
      <c r="B887" s="331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</row>
    <row r="888" spans="1:20" ht="13.5" customHeight="1" x14ac:dyDescent="0.15">
      <c r="A888" s="249"/>
      <c r="B888" s="331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</row>
    <row r="889" spans="1:20" ht="13.5" customHeight="1" x14ac:dyDescent="0.15">
      <c r="A889" s="249"/>
      <c r="B889" s="331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</row>
    <row r="890" spans="1:20" ht="13.5" customHeight="1" x14ac:dyDescent="0.15">
      <c r="A890" s="249"/>
      <c r="B890" s="331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</row>
    <row r="891" spans="1:20" ht="13.5" customHeight="1" x14ac:dyDescent="0.15">
      <c r="A891" s="249"/>
      <c r="B891" s="331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</row>
    <row r="892" spans="1:20" ht="13.5" customHeight="1" x14ac:dyDescent="0.15">
      <c r="A892" s="249"/>
      <c r="B892" s="331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</row>
    <row r="893" spans="1:20" ht="13.5" customHeight="1" x14ac:dyDescent="0.15">
      <c r="A893" s="249"/>
      <c r="B893" s="331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</row>
    <row r="894" spans="1:20" ht="13.5" customHeight="1" x14ac:dyDescent="0.15">
      <c r="A894" s="249"/>
      <c r="B894" s="331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</row>
    <row r="895" spans="1:20" ht="13.5" customHeight="1" x14ac:dyDescent="0.15">
      <c r="A895" s="249"/>
      <c r="B895" s="331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</row>
    <row r="896" spans="1:20" ht="13.5" customHeight="1" x14ac:dyDescent="0.15">
      <c r="A896" s="249"/>
      <c r="B896" s="331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</row>
    <row r="897" spans="1:20" ht="13.5" customHeight="1" x14ac:dyDescent="0.15">
      <c r="A897" s="249"/>
      <c r="B897" s="331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</row>
    <row r="898" spans="1:20" ht="13.5" customHeight="1" x14ac:dyDescent="0.15">
      <c r="A898" s="249"/>
      <c r="B898" s="331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</row>
    <row r="899" spans="1:20" ht="13.5" customHeight="1" x14ac:dyDescent="0.15">
      <c r="A899" s="249"/>
      <c r="B899" s="331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</row>
    <row r="900" spans="1:20" ht="13.5" customHeight="1" x14ac:dyDescent="0.15">
      <c r="A900" s="249"/>
      <c r="B900" s="331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</row>
    <row r="901" spans="1:20" ht="13.5" customHeight="1" x14ac:dyDescent="0.15">
      <c r="A901" s="249"/>
      <c r="B901" s="331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</row>
    <row r="902" spans="1:20" ht="13.5" customHeight="1" x14ac:dyDescent="0.15">
      <c r="A902" s="249"/>
      <c r="B902" s="331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</row>
    <row r="903" spans="1:20" ht="13.5" customHeight="1" x14ac:dyDescent="0.15">
      <c r="A903" s="249"/>
      <c r="B903" s="331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</row>
    <row r="904" spans="1:20" ht="13.5" customHeight="1" x14ac:dyDescent="0.15">
      <c r="A904" s="249"/>
      <c r="B904" s="331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</row>
    <row r="905" spans="1:20" ht="13.5" customHeight="1" x14ac:dyDescent="0.15">
      <c r="A905" s="249"/>
      <c r="B905" s="331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</row>
    <row r="906" spans="1:20" ht="13.5" customHeight="1" x14ac:dyDescent="0.15">
      <c r="A906" s="249"/>
      <c r="B906" s="331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</row>
    <row r="907" spans="1:20" ht="13.5" customHeight="1" x14ac:dyDescent="0.15">
      <c r="A907" s="249"/>
      <c r="B907" s="331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</row>
    <row r="908" spans="1:20" ht="13.5" customHeight="1" x14ac:dyDescent="0.15">
      <c r="A908" s="249"/>
      <c r="B908" s="331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</row>
    <row r="909" spans="1:20" ht="13.5" customHeight="1" x14ac:dyDescent="0.15">
      <c r="A909" s="249"/>
      <c r="B909" s="331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</row>
    <row r="910" spans="1:20" ht="13.5" customHeight="1" x14ac:dyDescent="0.15">
      <c r="A910" s="249"/>
      <c r="B910" s="331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</row>
    <row r="911" spans="1:20" ht="13.5" customHeight="1" x14ac:dyDescent="0.15">
      <c r="A911" s="249"/>
      <c r="B911" s="331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</row>
    <row r="912" spans="1:20" ht="13.5" customHeight="1" x14ac:dyDescent="0.15">
      <c r="A912" s="249"/>
      <c r="B912" s="331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</row>
    <row r="913" spans="1:20" ht="13.5" customHeight="1" x14ac:dyDescent="0.15">
      <c r="A913" s="249"/>
      <c r="B913" s="331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</row>
    <row r="914" spans="1:20" ht="13.5" customHeight="1" x14ac:dyDescent="0.15">
      <c r="A914" s="249"/>
      <c r="B914" s="331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</row>
    <row r="915" spans="1:20" ht="13.5" customHeight="1" x14ac:dyDescent="0.15">
      <c r="A915" s="249"/>
      <c r="B915" s="331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</row>
    <row r="916" spans="1:20" ht="13.5" customHeight="1" x14ac:dyDescent="0.15">
      <c r="A916" s="249"/>
      <c r="B916" s="331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</row>
    <row r="917" spans="1:20" ht="13.5" customHeight="1" x14ac:dyDescent="0.15">
      <c r="A917" s="249"/>
      <c r="B917" s="331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</row>
    <row r="918" spans="1:20" ht="13.5" customHeight="1" x14ac:dyDescent="0.15">
      <c r="A918" s="249"/>
      <c r="B918" s="331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</row>
    <row r="919" spans="1:20" ht="13.5" customHeight="1" x14ac:dyDescent="0.15">
      <c r="A919" s="249"/>
      <c r="B919" s="331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</row>
    <row r="920" spans="1:20" ht="13.5" customHeight="1" x14ac:dyDescent="0.15">
      <c r="A920" s="249"/>
      <c r="B920" s="331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</row>
    <row r="921" spans="1:20" ht="13.5" customHeight="1" x14ac:dyDescent="0.15">
      <c r="A921" s="249"/>
      <c r="B921" s="331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</row>
    <row r="922" spans="1:20" ht="13.5" customHeight="1" x14ac:dyDescent="0.15">
      <c r="A922" s="249"/>
      <c r="B922" s="331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</row>
    <row r="923" spans="1:20" ht="13.5" customHeight="1" x14ac:dyDescent="0.15">
      <c r="A923" s="249"/>
      <c r="B923" s="331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</row>
    <row r="924" spans="1:20" ht="13.5" customHeight="1" x14ac:dyDescent="0.15">
      <c r="A924" s="249"/>
      <c r="B924" s="331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</row>
    <row r="925" spans="1:20" ht="13.5" customHeight="1" x14ac:dyDescent="0.15">
      <c r="A925" s="249"/>
      <c r="B925" s="331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</row>
    <row r="926" spans="1:20" ht="13.5" customHeight="1" x14ac:dyDescent="0.15">
      <c r="A926" s="249"/>
      <c r="B926" s="331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</row>
    <row r="927" spans="1:20" ht="13.5" customHeight="1" x14ac:dyDescent="0.15">
      <c r="A927" s="249"/>
      <c r="B927" s="331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</row>
    <row r="928" spans="1:20" ht="13.5" customHeight="1" x14ac:dyDescent="0.15">
      <c r="A928" s="249"/>
      <c r="B928" s="331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</row>
    <row r="929" spans="1:20" ht="13.5" customHeight="1" x14ac:dyDescent="0.15">
      <c r="A929" s="249"/>
      <c r="B929" s="331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</row>
    <row r="930" spans="1:20" ht="13.5" customHeight="1" x14ac:dyDescent="0.15">
      <c r="A930" s="249"/>
      <c r="B930" s="331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</row>
    <row r="931" spans="1:20" ht="13.5" customHeight="1" x14ac:dyDescent="0.15">
      <c r="A931" s="249"/>
      <c r="B931" s="331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</row>
    <row r="932" spans="1:20" ht="13.5" customHeight="1" x14ac:dyDescent="0.15">
      <c r="A932" s="249"/>
      <c r="B932" s="331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</row>
    <row r="933" spans="1:20" ht="13.5" customHeight="1" x14ac:dyDescent="0.15">
      <c r="A933" s="249"/>
      <c r="B933" s="331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</row>
    <row r="934" spans="1:20" ht="13.5" customHeight="1" x14ac:dyDescent="0.15">
      <c r="A934" s="249"/>
      <c r="B934" s="331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</row>
    <row r="935" spans="1:20" ht="13.5" customHeight="1" x14ac:dyDescent="0.15">
      <c r="A935" s="249"/>
      <c r="B935" s="331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</row>
    <row r="936" spans="1:20" ht="13.5" customHeight="1" x14ac:dyDescent="0.15">
      <c r="A936" s="249"/>
      <c r="B936" s="331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</row>
    <row r="937" spans="1:20" ht="13.5" customHeight="1" x14ac:dyDescent="0.15">
      <c r="A937" s="249"/>
      <c r="B937" s="331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</row>
    <row r="938" spans="1:20" ht="13.5" customHeight="1" x14ac:dyDescent="0.15">
      <c r="A938" s="249"/>
      <c r="B938" s="331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</row>
    <row r="939" spans="1:20" ht="13.5" customHeight="1" x14ac:dyDescent="0.15">
      <c r="A939" s="249"/>
      <c r="B939" s="331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</row>
    <row r="940" spans="1:20" ht="13.5" customHeight="1" x14ac:dyDescent="0.15">
      <c r="A940" s="249"/>
      <c r="B940" s="331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</row>
    <row r="941" spans="1:20" ht="13.5" customHeight="1" x14ac:dyDescent="0.15">
      <c r="A941" s="249"/>
      <c r="B941" s="331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</row>
    <row r="942" spans="1:20" ht="13.5" customHeight="1" x14ac:dyDescent="0.15">
      <c r="A942" s="249"/>
      <c r="B942" s="331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</row>
    <row r="943" spans="1:20" ht="13.5" customHeight="1" x14ac:dyDescent="0.15">
      <c r="A943" s="249"/>
      <c r="B943" s="331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</row>
    <row r="944" spans="1:20" ht="13.5" customHeight="1" x14ac:dyDescent="0.15">
      <c r="A944" s="249"/>
      <c r="B944" s="331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</row>
    <row r="945" spans="1:20" ht="13.5" customHeight="1" x14ac:dyDescent="0.15">
      <c r="A945" s="249"/>
      <c r="B945" s="331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</row>
    <row r="946" spans="1:20" ht="13.5" customHeight="1" x14ac:dyDescent="0.15">
      <c r="A946" s="249"/>
      <c r="B946" s="331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</row>
    <row r="947" spans="1:20" ht="13.5" customHeight="1" x14ac:dyDescent="0.15">
      <c r="A947" s="249"/>
      <c r="B947" s="331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</row>
    <row r="948" spans="1:20" ht="13.5" customHeight="1" x14ac:dyDescent="0.15">
      <c r="A948" s="249"/>
      <c r="B948" s="331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</row>
    <row r="949" spans="1:20" ht="13.5" customHeight="1" x14ac:dyDescent="0.15">
      <c r="A949" s="249"/>
      <c r="B949" s="331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</row>
    <row r="950" spans="1:20" ht="13.5" customHeight="1" x14ac:dyDescent="0.15">
      <c r="A950" s="249"/>
      <c r="B950" s="331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</row>
    <row r="951" spans="1:20" ht="13.5" customHeight="1" x14ac:dyDescent="0.15">
      <c r="A951" s="249"/>
      <c r="B951" s="331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</row>
    <row r="952" spans="1:20" ht="13.5" customHeight="1" x14ac:dyDescent="0.15">
      <c r="A952" s="249"/>
      <c r="B952" s="331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</row>
    <row r="953" spans="1:20" ht="13.5" customHeight="1" x14ac:dyDescent="0.15">
      <c r="A953" s="249"/>
      <c r="B953" s="331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</row>
    <row r="954" spans="1:20" ht="13.5" customHeight="1" x14ac:dyDescent="0.15">
      <c r="A954" s="249"/>
      <c r="B954" s="331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</row>
    <row r="955" spans="1:20" ht="13.5" customHeight="1" x14ac:dyDescent="0.15">
      <c r="A955" s="249"/>
      <c r="B955" s="331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</row>
    <row r="956" spans="1:20" ht="13.5" customHeight="1" x14ac:dyDescent="0.15">
      <c r="A956" s="249"/>
      <c r="B956" s="331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</row>
    <row r="957" spans="1:20" ht="13.5" customHeight="1" x14ac:dyDescent="0.15">
      <c r="A957" s="249"/>
      <c r="B957" s="331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</row>
    <row r="958" spans="1:20" ht="13.5" customHeight="1" x14ac:dyDescent="0.15">
      <c r="A958" s="249"/>
      <c r="B958" s="331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</row>
    <row r="959" spans="1:20" ht="13.5" customHeight="1" x14ac:dyDescent="0.15">
      <c r="A959" s="249"/>
      <c r="B959" s="331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</row>
    <row r="960" spans="1:20" ht="13.5" customHeight="1" x14ac:dyDescent="0.15">
      <c r="A960" s="249"/>
      <c r="B960" s="331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</row>
    <row r="961" spans="1:20" ht="13.5" customHeight="1" x14ac:dyDescent="0.15">
      <c r="A961" s="249"/>
      <c r="B961" s="331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</row>
    <row r="962" spans="1:20" ht="13.5" customHeight="1" x14ac:dyDescent="0.15">
      <c r="A962" s="249"/>
      <c r="B962" s="331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</row>
    <row r="963" spans="1:20" ht="13.5" customHeight="1" x14ac:dyDescent="0.15">
      <c r="A963" s="249"/>
      <c r="B963" s="331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</row>
    <row r="964" spans="1:20" ht="13.5" customHeight="1" x14ac:dyDescent="0.15">
      <c r="A964" s="249"/>
      <c r="B964" s="331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</row>
    <row r="965" spans="1:20" ht="13.5" customHeight="1" x14ac:dyDescent="0.15">
      <c r="A965" s="249"/>
      <c r="B965" s="331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</row>
    <row r="966" spans="1:20" ht="13.5" customHeight="1" x14ac:dyDescent="0.15">
      <c r="A966" s="249"/>
      <c r="B966" s="331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</row>
    <row r="967" spans="1:20" ht="13.5" customHeight="1" x14ac:dyDescent="0.15">
      <c r="A967" s="249"/>
      <c r="B967" s="331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</row>
    <row r="968" spans="1:20" ht="13.5" customHeight="1" x14ac:dyDescent="0.15">
      <c r="A968" s="249"/>
      <c r="B968" s="331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</row>
    <row r="969" spans="1:20" ht="13.5" customHeight="1" x14ac:dyDescent="0.15">
      <c r="A969" s="249"/>
      <c r="B969" s="331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</row>
    <row r="970" spans="1:20" ht="13.5" customHeight="1" x14ac:dyDescent="0.15">
      <c r="A970" s="249"/>
      <c r="B970" s="331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</row>
    <row r="971" spans="1:20" ht="13.5" customHeight="1" x14ac:dyDescent="0.15">
      <c r="A971" s="249"/>
      <c r="B971" s="331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</row>
    <row r="972" spans="1:20" ht="13.5" customHeight="1" x14ac:dyDescent="0.15">
      <c r="A972" s="249"/>
      <c r="B972" s="331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</row>
    <row r="973" spans="1:20" ht="13.5" customHeight="1" x14ac:dyDescent="0.15">
      <c r="A973" s="249"/>
      <c r="B973" s="331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</row>
    <row r="974" spans="1:20" ht="13.5" customHeight="1" x14ac:dyDescent="0.15">
      <c r="A974" s="249"/>
      <c r="B974" s="331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</row>
    <row r="975" spans="1:20" ht="13.5" customHeight="1" x14ac:dyDescent="0.15">
      <c r="A975" s="249"/>
      <c r="B975" s="331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</row>
    <row r="976" spans="1:20" ht="13.5" customHeight="1" x14ac:dyDescent="0.15">
      <c r="A976" s="249"/>
      <c r="B976" s="331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</row>
    <row r="977" spans="1:20" ht="13.5" customHeight="1" x14ac:dyDescent="0.15">
      <c r="A977" s="249"/>
      <c r="B977" s="331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</row>
    <row r="978" spans="1:20" ht="13.5" customHeight="1" x14ac:dyDescent="0.15">
      <c r="A978" s="249"/>
      <c r="B978" s="331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</row>
    <row r="979" spans="1:20" ht="13.5" customHeight="1" x14ac:dyDescent="0.15">
      <c r="A979" s="249"/>
      <c r="B979" s="331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</row>
    <row r="980" spans="1:20" ht="13.5" customHeight="1" x14ac:dyDescent="0.15">
      <c r="A980" s="249"/>
      <c r="B980" s="331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</row>
    <row r="981" spans="1:20" ht="13.5" customHeight="1" x14ac:dyDescent="0.15">
      <c r="A981" s="249"/>
      <c r="B981" s="331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</row>
    <row r="982" spans="1:20" ht="13.5" customHeight="1" x14ac:dyDescent="0.15">
      <c r="A982" s="249"/>
      <c r="B982" s="331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</row>
    <row r="983" spans="1:20" ht="13.5" customHeight="1" x14ac:dyDescent="0.15">
      <c r="A983" s="249"/>
      <c r="B983" s="331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</row>
    <row r="984" spans="1:20" ht="13.5" customHeight="1" x14ac:dyDescent="0.15">
      <c r="A984" s="249"/>
      <c r="B984" s="331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</row>
    <row r="985" spans="1:20" ht="13.5" customHeight="1" x14ac:dyDescent="0.15">
      <c r="A985" s="249"/>
      <c r="B985" s="331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</row>
    <row r="986" spans="1:20" ht="13.5" customHeight="1" x14ac:dyDescent="0.15">
      <c r="A986" s="249"/>
      <c r="B986" s="331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</row>
    <row r="987" spans="1:20" ht="13.5" customHeight="1" x14ac:dyDescent="0.15">
      <c r="A987" s="249"/>
      <c r="B987" s="331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</row>
    <row r="988" spans="1:20" ht="13.5" customHeight="1" x14ac:dyDescent="0.15">
      <c r="A988" s="249"/>
      <c r="B988" s="331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</row>
    <row r="989" spans="1:20" ht="13.5" customHeight="1" x14ac:dyDescent="0.15">
      <c r="A989" s="249"/>
      <c r="B989" s="331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</row>
    <row r="990" spans="1:20" ht="13.5" customHeight="1" x14ac:dyDescent="0.15">
      <c r="A990" s="249"/>
      <c r="B990" s="331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</row>
    <row r="991" spans="1:20" ht="13.5" customHeight="1" x14ac:dyDescent="0.15">
      <c r="A991" s="249"/>
      <c r="B991" s="331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</row>
    <row r="992" spans="1:20" ht="13.5" customHeight="1" x14ac:dyDescent="0.15">
      <c r="A992" s="249"/>
      <c r="B992" s="331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</row>
    <row r="993" spans="1:20" ht="13.5" customHeight="1" x14ac:dyDescent="0.15">
      <c r="A993" s="249"/>
      <c r="B993" s="331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</row>
    <row r="994" spans="1:20" ht="13.5" customHeight="1" x14ac:dyDescent="0.15">
      <c r="A994" s="249"/>
      <c r="B994" s="331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C821-23DB-C64C-A239-F58ED9062F95}">
  <sheetPr>
    <tabColor rgb="FF1F497D"/>
  </sheetPr>
  <dimension ref="A1:E47"/>
  <sheetViews>
    <sheetView workbookViewId="0">
      <selection activeCell="G34" sqref="G34"/>
    </sheetView>
  </sheetViews>
  <sheetFormatPr baseColWidth="10" defaultColWidth="11" defaultRowHeight="14" x14ac:dyDescent="0.15"/>
  <cols>
    <col min="1" max="1" width="32.5" bestFit="1" customWidth="1"/>
    <col min="2" max="2" width="5.83203125" customWidth="1"/>
    <col min="3" max="3" width="15.1640625" bestFit="1" customWidth="1"/>
    <col min="4" max="5" width="12.5" bestFit="1" customWidth="1"/>
  </cols>
  <sheetData>
    <row r="1" spans="1:5" x14ac:dyDescent="0.15">
      <c r="A1" s="500"/>
      <c r="B1" s="500"/>
      <c r="C1" s="580"/>
      <c r="D1" s="580"/>
      <c r="E1" s="580"/>
    </row>
    <row r="2" spans="1:5" x14ac:dyDescent="0.15">
      <c r="A2" s="500"/>
      <c r="B2" s="500"/>
      <c r="C2" s="580"/>
      <c r="D2" s="580"/>
      <c r="E2" s="580"/>
    </row>
    <row r="3" spans="1:5" x14ac:dyDescent="0.15">
      <c r="A3" s="498" t="s">
        <v>281</v>
      </c>
      <c r="B3" s="498"/>
      <c r="C3" s="499"/>
      <c r="D3" s="499">
        <v>5000000</v>
      </c>
      <c r="E3" s="499">
        <v>50000000</v>
      </c>
    </row>
    <row r="4" spans="1:5" x14ac:dyDescent="0.15">
      <c r="A4" s="500" t="s">
        <v>282</v>
      </c>
      <c r="B4" s="500"/>
      <c r="C4" s="580">
        <v>2000000</v>
      </c>
      <c r="D4" s="580">
        <v>7000000</v>
      </c>
      <c r="E4" s="580">
        <v>52000000</v>
      </c>
    </row>
    <row r="5" spans="1:5" x14ac:dyDescent="0.15">
      <c r="A5" s="500"/>
      <c r="B5" s="500"/>
      <c r="C5" s="580"/>
      <c r="D5" s="580"/>
      <c r="E5" s="580"/>
    </row>
    <row r="6" spans="1:5" x14ac:dyDescent="0.15">
      <c r="A6" s="500"/>
      <c r="B6" s="500"/>
      <c r="C6" s="581">
        <f>+C7/C4</f>
        <v>2.5000000000000001E-2</v>
      </c>
      <c r="D6" s="581">
        <f>+D7/D4</f>
        <v>7.857142857142857E-2</v>
      </c>
      <c r="E6" s="581">
        <f>+E7/E4</f>
        <v>9.2692307692307699E-2</v>
      </c>
    </row>
    <row r="7" spans="1:5" x14ac:dyDescent="0.15">
      <c r="A7" s="498" t="s">
        <v>283</v>
      </c>
      <c r="B7" s="498"/>
      <c r="C7" s="499">
        <f>SUM(C8:C15)</f>
        <v>50000</v>
      </c>
      <c r="D7" s="499">
        <f>SUM(D8:D15)</f>
        <v>550000</v>
      </c>
      <c r="E7" s="499">
        <f>SUM(E8:E15)</f>
        <v>4820000</v>
      </c>
    </row>
    <row r="8" spans="1:5" x14ac:dyDescent="0.15">
      <c r="A8" s="500" t="s">
        <v>284</v>
      </c>
      <c r="B8" s="500"/>
      <c r="C8" s="580">
        <v>50000</v>
      </c>
      <c r="D8" s="580">
        <f>+C8</f>
        <v>50000</v>
      </c>
      <c r="E8" s="580">
        <f>+C8</f>
        <v>50000</v>
      </c>
    </row>
    <row r="9" spans="1:5" x14ac:dyDescent="0.15">
      <c r="A9" s="500" t="s">
        <v>285</v>
      </c>
      <c r="B9" s="500">
        <v>0.05</v>
      </c>
      <c r="C9" s="580"/>
      <c r="D9" s="580">
        <f>+D3*0.05</f>
        <v>250000</v>
      </c>
      <c r="E9" s="580">
        <f>+E3*0.05</f>
        <v>2500000</v>
      </c>
    </row>
    <row r="10" spans="1:5" x14ac:dyDescent="0.15">
      <c r="A10" s="500" t="s">
        <v>286</v>
      </c>
      <c r="B10" s="500"/>
      <c r="C10" s="580"/>
      <c r="D10" s="580"/>
      <c r="E10" s="580">
        <v>50000</v>
      </c>
    </row>
    <row r="11" spans="1:5" x14ac:dyDescent="0.15">
      <c r="A11" s="500" t="s">
        <v>287</v>
      </c>
      <c r="B11" s="500"/>
      <c r="C11" s="580"/>
      <c r="D11" s="580"/>
      <c r="E11" s="580">
        <v>20000</v>
      </c>
    </row>
    <row r="12" spans="1:5" x14ac:dyDescent="0.15">
      <c r="A12" s="500" t="s">
        <v>288</v>
      </c>
      <c r="B12" s="500"/>
      <c r="C12" s="580"/>
      <c r="D12" s="580">
        <v>50000</v>
      </c>
      <c r="E12" s="580">
        <v>200000</v>
      </c>
    </row>
    <row r="13" spans="1:5" x14ac:dyDescent="0.15">
      <c r="A13" s="500" t="s">
        <v>289</v>
      </c>
      <c r="B13" s="500"/>
      <c r="C13" s="580"/>
      <c r="D13" s="580">
        <f>+(D3/1000)*25</f>
        <v>125000</v>
      </c>
      <c r="E13" s="580">
        <f>+(E3/1000)*25</f>
        <v>1250000</v>
      </c>
    </row>
    <row r="14" spans="1:5" x14ac:dyDescent="0.15">
      <c r="A14" s="500" t="s">
        <v>290</v>
      </c>
      <c r="B14" s="500">
        <v>0.01</v>
      </c>
      <c r="C14" s="580">
        <f>+C3*$B$14</f>
        <v>0</v>
      </c>
      <c r="D14" s="580">
        <f>+D3*$B$14</f>
        <v>50000</v>
      </c>
      <c r="E14" s="580">
        <f>+E3*$B$14</f>
        <v>500000</v>
      </c>
    </row>
    <row r="15" spans="1:5" x14ac:dyDescent="0.15">
      <c r="A15" s="500" t="s">
        <v>291</v>
      </c>
      <c r="B15" s="500">
        <v>5.0000000000000001E-3</v>
      </c>
      <c r="C15" s="580">
        <f>+C3*$B$15</f>
        <v>0</v>
      </c>
      <c r="D15" s="580">
        <f>+D3*$B$15</f>
        <v>25000</v>
      </c>
      <c r="E15" s="580">
        <f>+E3*$B$15</f>
        <v>250000</v>
      </c>
    </row>
    <row r="16" spans="1:5" x14ac:dyDescent="0.15">
      <c r="A16" s="500"/>
      <c r="B16" s="500"/>
      <c r="C16" s="580"/>
      <c r="D16" s="580"/>
      <c r="E16" s="580"/>
    </row>
    <row r="17" spans="1:5" x14ac:dyDescent="0.15">
      <c r="A17" s="500"/>
      <c r="B17" s="500"/>
      <c r="C17" s="581">
        <f>+C18/C4</f>
        <v>0.45340000000000003</v>
      </c>
      <c r="D17" s="581">
        <f>+D18/D4</f>
        <v>0.32197142857142858</v>
      </c>
      <c r="E17" s="581">
        <f>+E18/E4</f>
        <v>0.21936153846153847</v>
      </c>
    </row>
    <row r="18" spans="1:5" x14ac:dyDescent="0.15">
      <c r="A18" s="498" t="s">
        <v>292</v>
      </c>
      <c r="B18" s="498"/>
      <c r="C18" s="499">
        <f>SUM(C19:C24)</f>
        <v>906800</v>
      </c>
      <c r="D18" s="499">
        <f>SUM(D19:D24)</f>
        <v>2253800</v>
      </c>
      <c r="E18" s="499">
        <f>SUM(E19:E24)</f>
        <v>11406800</v>
      </c>
    </row>
    <row r="19" spans="1:5" x14ac:dyDescent="0.15">
      <c r="A19" s="500" t="s">
        <v>293</v>
      </c>
      <c r="B19" s="500"/>
      <c r="C19" s="580">
        <f>+(25000*12)*C42+(15000*12)</f>
        <v>480000</v>
      </c>
      <c r="D19" s="580">
        <f>+(25000*12)*D42+(15000*12)</f>
        <v>1380000</v>
      </c>
      <c r="E19" s="580">
        <f>+(25000*12)*E42+(15000*12)</f>
        <v>7980000</v>
      </c>
    </row>
    <row r="20" spans="1:5" x14ac:dyDescent="0.15">
      <c r="A20" s="500" t="s">
        <v>294</v>
      </c>
      <c r="B20" s="500"/>
      <c r="C20" s="580">
        <v>120000</v>
      </c>
      <c r="D20" s="580">
        <v>300000</v>
      </c>
      <c r="E20" s="580">
        <v>450000</v>
      </c>
    </row>
    <row r="21" spans="1:5" x14ac:dyDescent="0.15">
      <c r="A21" s="500" t="s">
        <v>295</v>
      </c>
      <c r="B21" s="500"/>
      <c r="C21" s="580">
        <v>200000</v>
      </c>
      <c r="D21" s="580">
        <f>+C21</f>
        <v>200000</v>
      </c>
      <c r="E21" s="580">
        <f>+D21</f>
        <v>200000</v>
      </c>
    </row>
    <row r="22" spans="1:5" x14ac:dyDescent="0.15">
      <c r="A22" s="500" t="s">
        <v>296</v>
      </c>
      <c r="B22" s="500">
        <v>0.01</v>
      </c>
      <c r="C22" s="580">
        <f>+C41*$B$22</f>
        <v>10000</v>
      </c>
      <c r="D22" s="580">
        <f>+D41*$B$22</f>
        <v>35000</v>
      </c>
      <c r="E22" s="580">
        <f>+E41*$B$22</f>
        <v>260000</v>
      </c>
    </row>
    <row r="23" spans="1:5" x14ac:dyDescent="0.15">
      <c r="A23" s="500" t="s">
        <v>297</v>
      </c>
      <c r="B23" s="500"/>
      <c r="C23" s="580">
        <f>+C41*0.4*0.042</f>
        <v>16800</v>
      </c>
      <c r="D23" s="580">
        <f>+D41*0.4*0.042</f>
        <v>58800.000000000007</v>
      </c>
      <c r="E23" s="580">
        <f>+E41*0.4*0.042</f>
        <v>436800</v>
      </c>
    </row>
    <row r="24" spans="1:5" x14ac:dyDescent="0.15">
      <c r="A24" s="500" t="s">
        <v>239</v>
      </c>
      <c r="B24" s="500">
        <v>0.08</v>
      </c>
      <c r="C24" s="580">
        <f>+C41*$B$24</f>
        <v>80000</v>
      </c>
      <c r="D24" s="580">
        <f>+D41*$B$24</f>
        <v>280000</v>
      </c>
      <c r="E24" s="580">
        <f>+E41*$B$24</f>
        <v>2080000</v>
      </c>
    </row>
    <row r="25" spans="1:5" x14ac:dyDescent="0.15">
      <c r="A25" s="500"/>
      <c r="B25" s="500"/>
      <c r="C25" s="580"/>
      <c r="D25" s="580"/>
      <c r="E25" s="580"/>
    </row>
    <row r="26" spans="1:5" x14ac:dyDescent="0.15">
      <c r="A26" s="500"/>
      <c r="B26" s="500"/>
      <c r="C26" s="581">
        <f>C27/C4</f>
        <v>3.5000000000000003E-2</v>
      </c>
      <c r="D26" s="581">
        <f>D27/D4</f>
        <v>3.8571428571428569E-2</v>
      </c>
      <c r="E26" s="581">
        <f>E27/E4</f>
        <v>3.5480769230769232E-2</v>
      </c>
    </row>
    <row r="27" spans="1:5" x14ac:dyDescent="0.15">
      <c r="A27" s="498" t="s">
        <v>298</v>
      </c>
      <c r="B27" s="498"/>
      <c r="C27" s="499">
        <f>+SUM(C28:C30)</f>
        <v>70000</v>
      </c>
      <c r="D27" s="499">
        <f>+SUM(D28:D30)</f>
        <v>270000</v>
      </c>
      <c r="E27" s="499">
        <f>+SUM(E28:E30)</f>
        <v>1845000</v>
      </c>
    </row>
    <row r="28" spans="1:5" x14ac:dyDescent="0.15">
      <c r="A28" s="500" t="s">
        <v>299</v>
      </c>
      <c r="B28" s="500">
        <v>2.5000000000000001E-2</v>
      </c>
      <c r="C28" s="580">
        <f>+C4*$B$28</f>
        <v>50000</v>
      </c>
      <c r="D28" s="580">
        <f>+D4*$B$28</f>
        <v>175000</v>
      </c>
      <c r="E28" s="580">
        <f>+E4*$B$28</f>
        <v>1300000</v>
      </c>
    </row>
    <row r="29" spans="1:5" x14ac:dyDescent="0.15">
      <c r="A29" s="500" t="s">
        <v>300</v>
      </c>
      <c r="B29" s="500"/>
      <c r="C29" s="580"/>
      <c r="D29" s="580">
        <v>25000</v>
      </c>
      <c r="E29" s="580">
        <v>25000</v>
      </c>
    </row>
    <row r="30" spans="1:5" x14ac:dyDescent="0.15">
      <c r="A30" s="500" t="s">
        <v>301</v>
      </c>
      <c r="B30" s="500">
        <v>0.02</v>
      </c>
      <c r="C30" s="580">
        <f>+C41*$B$30</f>
        <v>20000</v>
      </c>
      <c r="D30" s="580">
        <f>+D41*$B$30</f>
        <v>70000</v>
      </c>
      <c r="E30" s="580">
        <f>+E41*$B$30</f>
        <v>520000</v>
      </c>
    </row>
    <row r="31" spans="1:5" x14ac:dyDescent="0.15">
      <c r="A31" s="500"/>
      <c r="B31" s="500"/>
      <c r="C31" s="580"/>
      <c r="D31" s="580"/>
      <c r="E31" s="580"/>
    </row>
    <row r="32" spans="1:5" x14ac:dyDescent="0.15">
      <c r="A32" s="500"/>
      <c r="B32" s="500"/>
      <c r="C32" s="582">
        <f>C33/C4</f>
        <v>1.2E-2</v>
      </c>
      <c r="D32" s="582">
        <f>D33/D4</f>
        <v>2.057142857142857E-2</v>
      </c>
      <c r="E32" s="582">
        <f>E33/E4</f>
        <v>1.0461538461538461E-2</v>
      </c>
    </row>
    <row r="33" spans="1:5" x14ac:dyDescent="0.15">
      <c r="A33" s="498" t="s">
        <v>302</v>
      </c>
      <c r="B33" s="498"/>
      <c r="C33" s="499">
        <f>SUM(C34:C36)</f>
        <v>24000</v>
      </c>
      <c r="D33" s="499">
        <f>SUM(D34:D36)</f>
        <v>144000</v>
      </c>
      <c r="E33" s="499">
        <f>SUM(E34:E36)</f>
        <v>544000</v>
      </c>
    </row>
    <row r="34" spans="1:5" x14ac:dyDescent="0.15">
      <c r="A34" s="500" t="s">
        <v>303</v>
      </c>
      <c r="B34" s="500"/>
      <c r="C34" s="580">
        <v>24000</v>
      </c>
      <c r="D34" s="580">
        <v>24000</v>
      </c>
      <c r="E34" s="580">
        <v>24000</v>
      </c>
    </row>
    <row r="35" spans="1:5" x14ac:dyDescent="0.15">
      <c r="A35" s="500" t="s">
        <v>304</v>
      </c>
      <c r="B35" s="500"/>
      <c r="C35" s="580"/>
      <c r="D35" s="580">
        <v>60000</v>
      </c>
      <c r="E35" s="580">
        <v>260000</v>
      </c>
    </row>
    <row r="36" spans="1:5" x14ac:dyDescent="0.15">
      <c r="A36" s="500" t="s">
        <v>305</v>
      </c>
      <c r="B36" s="500"/>
      <c r="C36" s="580"/>
      <c r="D36" s="580">
        <v>60000</v>
      </c>
      <c r="E36" s="580">
        <v>260000</v>
      </c>
    </row>
    <row r="37" spans="1:5" x14ac:dyDescent="0.15">
      <c r="A37" s="500"/>
      <c r="B37" s="500"/>
      <c r="C37" s="580"/>
      <c r="D37" s="580"/>
      <c r="E37" s="580"/>
    </row>
    <row r="38" spans="1:5" x14ac:dyDescent="0.15">
      <c r="A38" s="500" t="s">
        <v>230</v>
      </c>
      <c r="B38" s="500"/>
      <c r="C38" s="580">
        <f>+C33+C27+C18+C7</f>
        <v>1050800</v>
      </c>
      <c r="D38" s="580">
        <f>+D33+D27+D18+D7</f>
        <v>3217800</v>
      </c>
      <c r="E38" s="580">
        <f>+E33+E27+E18+E7</f>
        <v>18615800</v>
      </c>
    </row>
    <row r="39" spans="1:5" x14ac:dyDescent="0.15">
      <c r="A39" s="500"/>
      <c r="B39" s="500"/>
      <c r="C39" s="580"/>
      <c r="D39" s="580"/>
      <c r="E39" s="580"/>
    </row>
    <row r="40" spans="1:5" x14ac:dyDescent="0.15">
      <c r="A40" s="500"/>
      <c r="B40" s="500"/>
      <c r="C40" s="581">
        <f>+B41</f>
        <v>0.5</v>
      </c>
      <c r="D40" s="581">
        <f>+C40</f>
        <v>0.5</v>
      </c>
      <c r="E40" s="581">
        <f>+D40</f>
        <v>0.5</v>
      </c>
    </row>
    <row r="41" spans="1:5" x14ac:dyDescent="0.15">
      <c r="A41" s="498" t="s">
        <v>306</v>
      </c>
      <c r="B41" s="503">
        <v>0.5</v>
      </c>
      <c r="C41" s="499">
        <f>+C4*C40</f>
        <v>1000000</v>
      </c>
      <c r="D41" s="499">
        <f>+D4*D40</f>
        <v>3500000</v>
      </c>
      <c r="E41" s="499">
        <f>+E4*E40</f>
        <v>26000000</v>
      </c>
    </row>
    <row r="42" spans="1:5" x14ac:dyDescent="0.15">
      <c r="A42" s="500" t="s">
        <v>307</v>
      </c>
      <c r="B42" s="500"/>
      <c r="C42" s="583">
        <f>ROUNDUP(C41/1000000,0)</f>
        <v>1</v>
      </c>
      <c r="D42" s="583">
        <f>ROUNDUP(D41/1000000,0)</f>
        <v>4</v>
      </c>
      <c r="E42" s="583">
        <f>ROUNDUP(E41/1000000,0)</f>
        <v>26</v>
      </c>
    </row>
    <row r="43" spans="1:5" x14ac:dyDescent="0.15">
      <c r="A43" s="500" t="s">
        <v>308</v>
      </c>
      <c r="B43" s="500"/>
      <c r="C43" s="584">
        <f>+C42*400</f>
        <v>400</v>
      </c>
      <c r="D43" s="584">
        <f>+D42*400</f>
        <v>1600</v>
      </c>
      <c r="E43" s="584">
        <f>+E42*400</f>
        <v>10400</v>
      </c>
    </row>
    <row r="44" spans="1:5" x14ac:dyDescent="0.15">
      <c r="A44" s="500"/>
      <c r="B44" s="500"/>
      <c r="C44" s="584"/>
      <c r="D44" s="584"/>
      <c r="E44" s="584"/>
    </row>
    <row r="45" spans="1:5" x14ac:dyDescent="0.15">
      <c r="A45" s="500" t="s">
        <v>309</v>
      </c>
      <c r="B45" s="500"/>
      <c r="C45" s="580">
        <f>+C41+C38</f>
        <v>2050800</v>
      </c>
      <c r="D45" s="580">
        <f>+D41+D38</f>
        <v>6717800</v>
      </c>
      <c r="E45" s="580">
        <f>+E41+E38</f>
        <v>44615800</v>
      </c>
    </row>
    <row r="47" spans="1:5" x14ac:dyDescent="0.15">
      <c r="C47" s="501">
        <f>+C40+C32+C26+C17+C6</f>
        <v>1.0253999999999999</v>
      </c>
      <c r="D47" s="501">
        <f>+D40+D32+D26+D17+D6</f>
        <v>0.95968571428571425</v>
      </c>
      <c r="E47" s="501">
        <f>+E40+E32+E26+E17+E6</f>
        <v>0.85799615384615391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15BE-C295-2D49-8726-2E08435A5D0E}">
  <dimension ref="A2:G47"/>
  <sheetViews>
    <sheetView workbookViewId="0">
      <selection activeCell="G11" sqref="G11"/>
    </sheetView>
  </sheetViews>
  <sheetFormatPr baseColWidth="10" defaultColWidth="11" defaultRowHeight="14" x14ac:dyDescent="0.15"/>
  <cols>
    <col min="1" max="1" width="18.6640625" style="33" customWidth="1"/>
    <col min="2" max="2" width="25.83203125" style="33" customWidth="1"/>
    <col min="3" max="3" width="27.6640625" style="33" customWidth="1"/>
    <col min="4" max="4" width="30" style="33" customWidth="1"/>
    <col min="5" max="5" width="24.83203125" customWidth="1"/>
    <col min="6" max="6" width="28.5" style="33" customWidth="1"/>
    <col min="7" max="7" width="24.33203125" customWidth="1"/>
  </cols>
  <sheetData>
    <row r="2" spans="1:6" s="405" customFormat="1" x14ac:dyDescent="0.15">
      <c r="A2" s="508" t="s">
        <v>310</v>
      </c>
      <c r="B2" s="508" t="s">
        <v>311</v>
      </c>
      <c r="C2" s="508" t="s">
        <v>312</v>
      </c>
      <c r="D2" s="508" t="s">
        <v>313</v>
      </c>
      <c r="E2" s="405" t="s">
        <v>314</v>
      </c>
      <c r="F2" s="508" t="s">
        <v>315</v>
      </c>
    </row>
    <row r="4" spans="1:6" x14ac:dyDescent="0.15">
      <c r="A4" s="505" t="s">
        <v>316</v>
      </c>
      <c r="B4" s="33">
        <v>2016</v>
      </c>
      <c r="C4" s="509">
        <v>43800</v>
      </c>
      <c r="D4" s="33">
        <v>2009</v>
      </c>
      <c r="E4" s="33">
        <v>2017</v>
      </c>
      <c r="F4" s="33">
        <v>2016</v>
      </c>
    </row>
    <row r="5" spans="1:6" x14ac:dyDescent="0.15">
      <c r="A5" s="506" t="s">
        <v>317</v>
      </c>
      <c r="B5" s="510">
        <v>18671601</v>
      </c>
    </row>
    <row r="6" spans="1:6" x14ac:dyDescent="0.15">
      <c r="A6" s="506" t="s">
        <v>318</v>
      </c>
      <c r="B6" s="510">
        <v>40097871</v>
      </c>
      <c r="F6" s="510">
        <v>1132250</v>
      </c>
    </row>
    <row r="7" spans="1:6" s="504" customFormat="1" x14ac:dyDescent="0.15">
      <c r="A7" s="506" t="s">
        <v>319</v>
      </c>
      <c r="B7" s="510">
        <v>2889961</v>
      </c>
      <c r="C7" s="510">
        <v>0</v>
      </c>
      <c r="D7" s="510">
        <v>70672140</v>
      </c>
      <c r="E7" s="504">
        <v>0</v>
      </c>
      <c r="F7" s="510"/>
    </row>
    <row r="8" spans="1:6" s="504" customFormat="1" x14ac:dyDescent="0.15">
      <c r="A8" s="506" t="s">
        <v>320</v>
      </c>
      <c r="B8" s="510">
        <v>6403115</v>
      </c>
      <c r="C8" s="510">
        <v>186000</v>
      </c>
      <c r="D8" s="510">
        <v>77867868</v>
      </c>
      <c r="E8" s="504">
        <v>0</v>
      </c>
      <c r="F8" s="510">
        <v>6929</v>
      </c>
    </row>
    <row r="9" spans="1:6" x14ac:dyDescent="0.15">
      <c r="A9" s="505"/>
      <c r="B9" s="511"/>
    </row>
    <row r="10" spans="1:6" x14ac:dyDescent="0.15">
      <c r="A10" s="505" t="s">
        <v>321</v>
      </c>
      <c r="B10" s="510">
        <v>5</v>
      </c>
      <c r="C10" s="33">
        <v>7</v>
      </c>
      <c r="D10" s="33" t="s">
        <v>322</v>
      </c>
      <c r="E10">
        <v>10</v>
      </c>
      <c r="F10" s="33">
        <v>5</v>
      </c>
    </row>
    <row r="11" spans="1:6" x14ac:dyDescent="0.15">
      <c r="A11" s="505" t="s">
        <v>323</v>
      </c>
      <c r="B11" s="510">
        <v>22000000</v>
      </c>
      <c r="C11" s="510">
        <v>3152121</v>
      </c>
      <c r="D11" s="510">
        <v>14000000</v>
      </c>
      <c r="E11" s="510">
        <f>999999+1095000+95999+20966+65176+500000+135000+250000</f>
        <v>3162140</v>
      </c>
      <c r="F11" s="506">
        <f>150000+330000+295000+87000+136000</f>
        <v>998000</v>
      </c>
    </row>
    <row r="12" spans="1:6" x14ac:dyDescent="0.15">
      <c r="A12" s="505"/>
      <c r="B12" s="505"/>
      <c r="E12" s="510"/>
    </row>
    <row r="13" spans="1:6" x14ac:dyDescent="0.15">
      <c r="A13" s="505" t="s">
        <v>324</v>
      </c>
      <c r="B13" s="505" t="s">
        <v>325</v>
      </c>
      <c r="C13" s="33" t="s">
        <v>326</v>
      </c>
    </row>
    <row r="14" spans="1:6" x14ac:dyDescent="0.15">
      <c r="A14" s="505" t="s">
        <v>327</v>
      </c>
      <c r="B14" s="505" t="s">
        <v>328</v>
      </c>
      <c r="D14" s="33" t="s">
        <v>329</v>
      </c>
    </row>
    <row r="15" spans="1:6" x14ac:dyDescent="0.15">
      <c r="A15" s="505" t="s">
        <v>87</v>
      </c>
      <c r="B15" s="505" t="s">
        <v>330</v>
      </c>
      <c r="C15" s="33" t="s">
        <v>331</v>
      </c>
      <c r="D15" s="33" t="s">
        <v>332</v>
      </c>
    </row>
    <row r="16" spans="1:6" x14ac:dyDescent="0.15">
      <c r="A16" s="505"/>
      <c r="B16" s="505"/>
    </row>
    <row r="17" spans="1:7" x14ac:dyDescent="0.15">
      <c r="A17" s="505" t="s">
        <v>333</v>
      </c>
    </row>
    <row r="18" spans="1:7" x14ac:dyDescent="0.15">
      <c r="A18" s="505" t="s">
        <v>334</v>
      </c>
      <c r="B18" s="505" t="s">
        <v>335</v>
      </c>
      <c r="C18" s="505" t="s">
        <v>335</v>
      </c>
      <c r="D18" s="505" t="s">
        <v>335</v>
      </c>
      <c r="E18" s="505" t="s">
        <v>336</v>
      </c>
      <c r="F18" s="505" t="s">
        <v>336</v>
      </c>
    </row>
    <row r="19" spans="1:7" x14ac:dyDescent="0.15">
      <c r="A19" s="505" t="s">
        <v>337</v>
      </c>
      <c r="B19" s="506">
        <v>73900000</v>
      </c>
      <c r="C19" s="506">
        <v>25000000</v>
      </c>
      <c r="D19" s="506">
        <v>130000000</v>
      </c>
      <c r="E19" s="506">
        <v>10022951.630000001</v>
      </c>
      <c r="F19" s="521">
        <v>4000000</v>
      </c>
      <c r="G19" s="507"/>
    </row>
    <row r="20" spans="1:7" s="405" customFormat="1" x14ac:dyDescent="0.15">
      <c r="A20" s="508" t="s">
        <v>117</v>
      </c>
      <c r="B20" s="516">
        <f>B19/B8</f>
        <v>11.541257653501459</v>
      </c>
      <c r="C20" s="516">
        <f>C19/C8</f>
        <v>134.40860215053763</v>
      </c>
      <c r="D20" s="516">
        <f>D19/D8</f>
        <v>1.6694947908423536</v>
      </c>
      <c r="E20" s="516"/>
      <c r="F20" s="516">
        <f>F19/F8</f>
        <v>577.2838793476692</v>
      </c>
      <c r="G20" s="517"/>
    </row>
    <row r="21" spans="1:7" x14ac:dyDescent="0.15">
      <c r="A21" s="505"/>
      <c r="B21" s="506">
        <f>B19/B6</f>
        <v>1.8429906166339853</v>
      </c>
      <c r="C21" s="506"/>
      <c r="D21" s="506"/>
      <c r="E21" s="506"/>
      <c r="F21" s="506">
        <f>F19/F6</f>
        <v>3.5327886950761758</v>
      </c>
      <c r="G21" s="507"/>
    </row>
    <row r="22" spans="1:7" x14ac:dyDescent="0.15">
      <c r="A22" s="505" t="s">
        <v>338</v>
      </c>
      <c r="B22" s="506">
        <v>9999993</v>
      </c>
      <c r="C22" s="506">
        <v>5000000</v>
      </c>
      <c r="D22" s="506">
        <v>50000000</v>
      </c>
      <c r="E22" s="506">
        <v>1069999</v>
      </c>
      <c r="F22" s="510">
        <v>396724</v>
      </c>
      <c r="G22" s="510"/>
    </row>
    <row r="23" spans="1:7" x14ac:dyDescent="0.15">
      <c r="A23" s="505" t="s">
        <v>339</v>
      </c>
      <c r="B23" s="506" t="s">
        <v>340</v>
      </c>
      <c r="C23" s="506" t="s">
        <v>340</v>
      </c>
      <c r="D23" s="506" t="s">
        <v>340</v>
      </c>
      <c r="E23" s="506" t="s">
        <v>341</v>
      </c>
      <c r="F23" s="506" t="s">
        <v>342</v>
      </c>
    </row>
    <row r="24" spans="1:7" x14ac:dyDescent="0.15">
      <c r="A24" s="505"/>
      <c r="B24" s="506" t="s">
        <v>343</v>
      </c>
      <c r="C24" s="506" t="s">
        <v>343</v>
      </c>
      <c r="D24" s="506" t="s">
        <v>343</v>
      </c>
      <c r="E24" s="506" t="s">
        <v>343</v>
      </c>
      <c r="F24" s="505" t="s">
        <v>344</v>
      </c>
    </row>
    <row r="25" spans="1:7" x14ac:dyDescent="0.15">
      <c r="A25" s="505"/>
      <c r="B25" s="505"/>
    </row>
    <row r="26" spans="1:7" x14ac:dyDescent="0.15">
      <c r="A26" s="505" t="s">
        <v>345</v>
      </c>
      <c r="B26" s="505" t="s">
        <v>346</v>
      </c>
      <c r="C26" s="33" t="s">
        <v>347</v>
      </c>
      <c r="D26" s="33" t="s">
        <v>348</v>
      </c>
      <c r="E26" s="55">
        <v>50000000</v>
      </c>
    </row>
    <row r="27" spans="1:7" x14ac:dyDescent="0.15">
      <c r="A27" s="505" t="s">
        <v>349</v>
      </c>
      <c r="B27" s="511">
        <v>18.23</v>
      </c>
      <c r="C27" s="512">
        <v>0.92</v>
      </c>
      <c r="D27" s="512">
        <v>4</v>
      </c>
      <c r="E27">
        <v>1.03</v>
      </c>
    </row>
    <row r="28" spans="1:7" x14ac:dyDescent="0.15">
      <c r="A28" s="505" t="s">
        <v>350</v>
      </c>
      <c r="B28" s="511">
        <v>984</v>
      </c>
      <c r="C28" s="511">
        <v>999.12</v>
      </c>
      <c r="D28" s="511">
        <v>2000</v>
      </c>
      <c r="E28" s="520"/>
      <c r="F28" s="520">
        <v>200</v>
      </c>
    </row>
    <row r="29" spans="1:7" x14ac:dyDescent="0.15">
      <c r="A29" s="505"/>
      <c r="B29" s="511"/>
    </row>
    <row r="30" spans="1:7" s="33" customFormat="1" x14ac:dyDescent="0.15">
      <c r="A30" s="505" t="s">
        <v>351</v>
      </c>
      <c r="B30" s="505" t="s">
        <v>352</v>
      </c>
      <c r="C30" s="505" t="s">
        <v>352</v>
      </c>
      <c r="D30" s="505" t="s">
        <v>352</v>
      </c>
      <c r="E30" s="505" t="s">
        <v>353</v>
      </c>
    </row>
    <row r="31" spans="1:7" x14ac:dyDescent="0.15">
      <c r="A31" s="505" t="s">
        <v>354</v>
      </c>
      <c r="B31" s="519">
        <v>43739</v>
      </c>
      <c r="C31" s="519">
        <v>44044</v>
      </c>
      <c r="D31" s="509">
        <v>43983</v>
      </c>
      <c r="E31" s="518">
        <v>44136</v>
      </c>
    </row>
    <row r="33" spans="1:6" x14ac:dyDescent="0.15">
      <c r="A33" s="508" t="s">
        <v>355</v>
      </c>
      <c r="C33" s="33" t="s">
        <v>356</v>
      </c>
      <c r="D33" s="33" t="s">
        <v>357</v>
      </c>
      <c r="E33" s="33" t="s">
        <v>358</v>
      </c>
      <c r="F33" s="33" t="s">
        <v>359</v>
      </c>
    </row>
    <row r="34" spans="1:6" x14ac:dyDescent="0.15">
      <c r="C34" s="33" t="s">
        <v>360</v>
      </c>
      <c r="D34" s="33" t="s">
        <v>361</v>
      </c>
      <c r="F34" s="505" t="s">
        <v>362</v>
      </c>
    </row>
    <row r="35" spans="1:6" x14ac:dyDescent="0.15">
      <c r="A35" s="513"/>
      <c r="B35" s="513"/>
      <c r="C35" s="33" t="s">
        <v>363</v>
      </c>
      <c r="D35" s="33" t="s">
        <v>364</v>
      </c>
      <c r="F35" s="505" t="s">
        <v>365</v>
      </c>
    </row>
    <row r="36" spans="1:6" x14ac:dyDescent="0.15">
      <c r="A36" s="513"/>
      <c r="B36" s="513"/>
      <c r="C36" s="513"/>
      <c r="D36" s="33" t="s">
        <v>366</v>
      </c>
      <c r="F36" s="505" t="s">
        <v>367</v>
      </c>
    </row>
    <row r="37" spans="1:6" x14ac:dyDescent="0.15">
      <c r="A37" s="513"/>
      <c r="B37" s="513"/>
      <c r="C37" s="513"/>
      <c r="D37" s="514" t="s">
        <v>368</v>
      </c>
      <c r="F37" s="505" t="s">
        <v>369</v>
      </c>
    </row>
    <row r="38" spans="1:6" x14ac:dyDescent="0.15">
      <c r="A38" s="513"/>
      <c r="B38" s="513"/>
      <c r="C38" s="513"/>
      <c r="F38" s="505" t="s">
        <v>370</v>
      </c>
    </row>
    <row r="39" spans="1:6" x14ac:dyDescent="0.15">
      <c r="A39" s="513"/>
      <c r="B39" s="515"/>
      <c r="C39" s="513"/>
      <c r="D39" s="509"/>
      <c r="F39" s="505" t="s">
        <v>371</v>
      </c>
    </row>
    <row r="40" spans="1:6" x14ac:dyDescent="0.15">
      <c r="A40" s="505"/>
      <c r="B40" s="519"/>
      <c r="C40" s="519"/>
      <c r="D40" s="509"/>
      <c r="E40" s="518"/>
      <c r="F40" s="505" t="s">
        <v>372</v>
      </c>
    </row>
    <row r="41" spans="1:6" x14ac:dyDescent="0.15">
      <c r="A41" s="513"/>
      <c r="B41" s="513"/>
      <c r="C41" s="513"/>
    </row>
    <row r="42" spans="1:6" x14ac:dyDescent="0.15">
      <c r="A42" s="513"/>
      <c r="B42" s="513"/>
      <c r="C42" s="513"/>
    </row>
    <row r="43" spans="1:6" x14ac:dyDescent="0.15">
      <c r="A43" s="513"/>
      <c r="B43" s="513"/>
      <c r="C43" s="513"/>
    </row>
    <row r="44" spans="1:6" x14ac:dyDescent="0.15">
      <c r="A44" s="513"/>
      <c r="B44" s="513"/>
      <c r="C44" s="513"/>
    </row>
    <row r="45" spans="1:6" x14ac:dyDescent="0.15">
      <c r="A45" s="513"/>
      <c r="B45" s="513"/>
      <c r="C45" s="513"/>
    </row>
    <row r="46" spans="1:6" x14ac:dyDescent="0.15">
      <c r="A46" s="513"/>
      <c r="B46" s="513"/>
      <c r="C46" s="513"/>
    </row>
    <row r="47" spans="1:6" x14ac:dyDescent="0.15">
      <c r="A47" s="513"/>
      <c r="B47" s="513"/>
      <c r="C47" s="513"/>
    </row>
  </sheetData>
  <phoneticPr fontId="103" type="noConversion"/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97D"/>
    <outlinePr summaryBelow="0" summaryRight="0"/>
  </sheetPr>
  <dimension ref="A1:C62"/>
  <sheetViews>
    <sheetView topLeftCell="A14" workbookViewId="0">
      <selection activeCell="B22" sqref="B22"/>
    </sheetView>
  </sheetViews>
  <sheetFormatPr baseColWidth="10" defaultColWidth="12.6640625" defaultRowHeight="15" customHeight="1" x14ac:dyDescent="0.15"/>
  <cols>
    <col min="1" max="1" width="61.6640625" customWidth="1"/>
    <col min="2" max="2" width="16" customWidth="1"/>
    <col min="3" max="3" width="14.83203125" customWidth="1"/>
  </cols>
  <sheetData>
    <row r="1" spans="1:3" ht="16" x14ac:dyDescent="0.2">
      <c r="A1" s="197" t="str">
        <f>Settings!C5</f>
        <v>CosignSimple</v>
      </c>
      <c r="B1" s="198"/>
      <c r="C1" s="198"/>
    </row>
    <row r="2" spans="1:3" ht="23" x14ac:dyDescent="0.25">
      <c r="A2" s="182" t="s">
        <v>373</v>
      </c>
      <c r="B2" s="198"/>
      <c r="C2" s="198"/>
    </row>
    <row r="3" spans="1:3" ht="16" x14ac:dyDescent="0.2">
      <c r="A3" s="199">
        <f ca="1">+TODAY()</f>
        <v>44539</v>
      </c>
      <c r="B3" s="198"/>
      <c r="C3" s="198"/>
    </row>
    <row r="4" spans="1:3" ht="16" x14ac:dyDescent="0.2">
      <c r="A4" s="199"/>
      <c r="B4" s="200"/>
      <c r="C4" s="200"/>
    </row>
    <row r="5" spans="1:3" ht="56.25" customHeight="1" x14ac:dyDescent="0.2">
      <c r="A5" s="183"/>
      <c r="B5" s="191"/>
      <c r="C5" s="191"/>
    </row>
    <row r="6" spans="1:3" ht="56.25" customHeight="1" x14ac:dyDescent="0.2">
      <c r="A6" s="185"/>
      <c r="B6" s="192"/>
      <c r="C6" s="192"/>
    </row>
    <row r="7" spans="1:3" ht="56.25" customHeight="1" x14ac:dyDescent="0.15">
      <c r="A7" s="90" t="s">
        <v>374</v>
      </c>
      <c r="B7" s="91"/>
      <c r="C7" s="91"/>
    </row>
    <row r="8" spans="1:3" ht="33.75" customHeight="1" x14ac:dyDescent="0.15">
      <c r="A8" s="92" t="s">
        <v>375</v>
      </c>
      <c r="B8" s="93">
        <v>10000000</v>
      </c>
      <c r="C8" s="94"/>
    </row>
    <row r="9" spans="1:3" ht="30" x14ac:dyDescent="0.15">
      <c r="A9" s="201" t="s">
        <v>376</v>
      </c>
      <c r="B9" s="95"/>
      <c r="C9" s="96"/>
    </row>
    <row r="10" spans="1:3" ht="14" x14ac:dyDescent="0.15">
      <c r="A10" s="97"/>
      <c r="B10" s="96"/>
      <c r="C10" s="96"/>
    </row>
    <row r="11" spans="1:3" ht="14" x14ac:dyDescent="0.15">
      <c r="A11" s="96"/>
      <c r="B11" s="96"/>
      <c r="C11" s="96"/>
    </row>
    <row r="12" spans="1:3" ht="33.75" customHeight="1" x14ac:dyDescent="0.15">
      <c r="A12" s="92" t="s">
        <v>377</v>
      </c>
      <c r="B12" s="92" t="s">
        <v>378</v>
      </c>
      <c r="C12" s="92" t="s">
        <v>379</v>
      </c>
    </row>
    <row r="13" spans="1:3" x14ac:dyDescent="0.15">
      <c r="A13" s="201" t="s">
        <v>380</v>
      </c>
      <c r="B13" s="98">
        <v>0.33</v>
      </c>
      <c r="C13" s="95">
        <f>B13*B$8</f>
        <v>3300000</v>
      </c>
    </row>
    <row r="14" spans="1:3" x14ac:dyDescent="0.15">
      <c r="A14" s="201" t="s">
        <v>381</v>
      </c>
      <c r="B14" s="98">
        <v>0.33</v>
      </c>
      <c r="C14" s="95">
        <f>B14*B$8</f>
        <v>3300000</v>
      </c>
    </row>
    <row r="15" spans="1:3" x14ac:dyDescent="0.15">
      <c r="A15" s="201" t="s">
        <v>382</v>
      </c>
      <c r="B15" s="98">
        <v>0.33</v>
      </c>
      <c r="C15" s="95">
        <f>B15*B$8</f>
        <v>3300000</v>
      </c>
    </row>
    <row r="16" spans="1:3" x14ac:dyDescent="0.15">
      <c r="A16" s="201" t="s">
        <v>383</v>
      </c>
      <c r="B16" s="98">
        <v>0.01</v>
      </c>
      <c r="C16" s="95">
        <f>B16*B$8</f>
        <v>100000</v>
      </c>
    </row>
    <row r="17" spans="1:3" x14ac:dyDescent="0.15">
      <c r="A17" s="99" t="s">
        <v>160</v>
      </c>
      <c r="B17" s="100">
        <f>SUM(B13:B16)</f>
        <v>1</v>
      </c>
      <c r="C17" s="95">
        <f>B17*B$8</f>
        <v>10000000</v>
      </c>
    </row>
    <row r="18" spans="1:3" ht="14" x14ac:dyDescent="0.15">
      <c r="A18" s="96"/>
      <c r="B18" s="96"/>
      <c r="C18" s="96"/>
    </row>
    <row r="19" spans="1:3" ht="14" x14ac:dyDescent="0.15">
      <c r="A19" s="96"/>
      <c r="B19" s="96"/>
      <c r="C19" s="96"/>
    </row>
    <row r="20" spans="1:3" ht="33.75" customHeight="1" x14ac:dyDescent="0.15">
      <c r="A20" s="94" t="s">
        <v>384</v>
      </c>
      <c r="B20" s="101">
        <v>500000</v>
      </c>
      <c r="C20" s="92"/>
    </row>
    <row r="21" spans="1:3" ht="14" x14ac:dyDescent="0.15">
      <c r="A21" s="102"/>
      <c r="B21" s="102"/>
      <c r="C21" s="96"/>
    </row>
    <row r="22" spans="1:3" ht="33.75" customHeight="1" x14ac:dyDescent="0.15">
      <c r="A22" s="94" t="s">
        <v>385</v>
      </c>
      <c r="B22" s="101">
        <v>4000000</v>
      </c>
      <c r="C22" s="92"/>
    </row>
    <row r="23" spans="1:3" ht="14" x14ac:dyDescent="0.15">
      <c r="A23" s="103"/>
      <c r="B23" s="103"/>
      <c r="C23" s="103"/>
    </row>
    <row r="24" spans="1:3" ht="14" x14ac:dyDescent="0.15">
      <c r="A24" s="103"/>
      <c r="B24" s="103"/>
      <c r="C24" s="103"/>
    </row>
    <row r="25" spans="1:3" ht="56.25" customHeight="1" x14ac:dyDescent="0.15">
      <c r="A25" s="90" t="s">
        <v>386</v>
      </c>
      <c r="B25" s="91"/>
      <c r="C25" s="91"/>
    </row>
    <row r="26" spans="1:3" ht="33.75" customHeight="1" x14ac:dyDescent="0.15">
      <c r="A26" s="92" t="s">
        <v>387</v>
      </c>
      <c r="B26" s="104"/>
      <c r="C26" s="92"/>
    </row>
    <row r="27" spans="1:3" ht="17" x14ac:dyDescent="0.15">
      <c r="A27" s="105" t="s">
        <v>388</v>
      </c>
      <c r="B27" s="106">
        <f>B22+B20</f>
        <v>4500000</v>
      </c>
      <c r="C27" s="107" t="s">
        <v>150</v>
      </c>
    </row>
    <row r="28" spans="1:3" ht="17" x14ac:dyDescent="0.15">
      <c r="A28" s="105" t="s">
        <v>389</v>
      </c>
      <c r="B28" s="107">
        <f>B20*B8/B22</f>
        <v>1250000</v>
      </c>
      <c r="C28" s="107" t="s">
        <v>390</v>
      </c>
    </row>
    <row r="29" spans="1:3" ht="17" x14ac:dyDescent="0.15">
      <c r="A29" s="105" t="s">
        <v>391</v>
      </c>
      <c r="B29" s="107">
        <f>B28+B8</f>
        <v>11250000</v>
      </c>
      <c r="C29" s="107" t="s">
        <v>390</v>
      </c>
    </row>
    <row r="30" spans="1:3" ht="17" x14ac:dyDescent="0.15">
      <c r="A30" s="105" t="s">
        <v>392</v>
      </c>
      <c r="B30" s="108">
        <f>B28/B29</f>
        <v>0.1111111111111111</v>
      </c>
      <c r="C30" s="107" t="s">
        <v>393</v>
      </c>
    </row>
    <row r="31" spans="1:3" ht="14" x14ac:dyDescent="0.15">
      <c r="A31" s="109"/>
      <c r="B31" s="110"/>
      <c r="C31" s="109"/>
    </row>
    <row r="32" spans="1:3" ht="14" x14ac:dyDescent="0.15">
      <c r="A32" s="111"/>
      <c r="B32" s="111"/>
      <c r="C32" s="111"/>
    </row>
    <row r="33" spans="1:3" ht="33.75" customHeight="1" x14ac:dyDescent="0.15">
      <c r="A33" s="92" t="s">
        <v>394</v>
      </c>
      <c r="B33" s="92" t="s">
        <v>378</v>
      </c>
      <c r="C33" s="92" t="s">
        <v>395</v>
      </c>
    </row>
    <row r="34" spans="1:3" ht="16" x14ac:dyDescent="0.2">
      <c r="A34" s="112" t="str">
        <f>A13</f>
        <v>Founder 1</v>
      </c>
      <c r="B34" s="107">
        <f>C13</f>
        <v>3300000</v>
      </c>
      <c r="C34" s="108">
        <f>B34/$B$29</f>
        <v>0.29333333333333333</v>
      </c>
    </row>
    <row r="35" spans="1:3" ht="16" x14ac:dyDescent="0.2">
      <c r="A35" s="112" t="str">
        <f>A14</f>
        <v>Founder 2</v>
      </c>
      <c r="B35" s="107">
        <f>C14</f>
        <v>3300000</v>
      </c>
      <c r="C35" s="108">
        <f>B35/$B$29</f>
        <v>0.29333333333333333</v>
      </c>
    </row>
    <row r="36" spans="1:3" ht="16" x14ac:dyDescent="0.2">
      <c r="A36" s="112" t="str">
        <f>A15</f>
        <v>Founder 3</v>
      </c>
      <c r="B36" s="107">
        <f>C15</f>
        <v>3300000</v>
      </c>
      <c r="C36" s="108">
        <f>B36/$B$29</f>
        <v>0.29333333333333333</v>
      </c>
    </row>
    <row r="37" spans="1:3" ht="16" x14ac:dyDescent="0.2">
      <c r="A37" s="112" t="str">
        <f>A16</f>
        <v>Other Founders or employees</v>
      </c>
      <c r="B37" s="107">
        <f>C16</f>
        <v>100000</v>
      </c>
      <c r="C37" s="108">
        <f>B37/$B$29</f>
        <v>8.8888888888888889E-3</v>
      </c>
    </row>
    <row r="38" spans="1:3" ht="16" x14ac:dyDescent="0.2">
      <c r="A38" s="112" t="s">
        <v>396</v>
      </c>
      <c r="B38" s="107">
        <f>B28</f>
        <v>1250000</v>
      </c>
      <c r="C38" s="108">
        <f>B38/$B$29</f>
        <v>0.1111111111111111</v>
      </c>
    </row>
    <row r="39" spans="1:3" ht="16" x14ac:dyDescent="0.15">
      <c r="A39" s="113"/>
      <c r="B39" s="114"/>
      <c r="C39" s="114"/>
    </row>
    <row r="40" spans="1:3" ht="14" x14ac:dyDescent="0.15">
      <c r="A40" s="115"/>
      <c r="B40" s="115"/>
      <c r="C40" s="115"/>
    </row>
    <row r="41" spans="1:3" ht="14" x14ac:dyDescent="0.15">
      <c r="A41" s="115"/>
      <c r="B41" s="115"/>
      <c r="C41" s="115"/>
    </row>
    <row r="42" spans="1:3" ht="14" x14ac:dyDescent="0.15">
      <c r="A42" s="115"/>
      <c r="B42" s="115"/>
      <c r="C42" s="115"/>
    </row>
    <row r="43" spans="1:3" ht="14" x14ac:dyDescent="0.15">
      <c r="A43" s="115"/>
      <c r="B43" s="115"/>
      <c r="C43" s="115"/>
    </row>
    <row r="44" spans="1:3" ht="14" x14ac:dyDescent="0.15">
      <c r="A44" s="115"/>
      <c r="B44" s="115"/>
      <c r="C44" s="115"/>
    </row>
    <row r="45" spans="1:3" ht="14" x14ac:dyDescent="0.15">
      <c r="A45" s="115"/>
      <c r="B45" s="115"/>
      <c r="C45" s="115"/>
    </row>
    <row r="46" spans="1:3" ht="14" x14ac:dyDescent="0.15">
      <c r="A46" s="115"/>
      <c r="B46" s="115"/>
      <c r="C46" s="115"/>
    </row>
    <row r="47" spans="1:3" ht="14" x14ac:dyDescent="0.15">
      <c r="A47" s="115"/>
      <c r="B47" s="115"/>
      <c r="C47" s="115"/>
    </row>
    <row r="48" spans="1:3" ht="14" x14ac:dyDescent="0.15">
      <c r="A48" s="115"/>
      <c r="B48" s="115"/>
      <c r="C48" s="115"/>
    </row>
    <row r="49" spans="1:3" ht="14" x14ac:dyDescent="0.15">
      <c r="A49" s="115"/>
      <c r="B49" s="115"/>
      <c r="C49" s="115"/>
    </row>
    <row r="50" spans="1:3" ht="14" x14ac:dyDescent="0.15">
      <c r="A50" s="115"/>
      <c r="B50" s="115"/>
      <c r="C50" s="115"/>
    </row>
    <row r="51" spans="1:3" ht="14" x14ac:dyDescent="0.15">
      <c r="A51" s="115"/>
      <c r="B51" s="115"/>
      <c r="C51" s="115"/>
    </row>
    <row r="52" spans="1:3" ht="14" x14ac:dyDescent="0.15">
      <c r="A52" s="115"/>
      <c r="B52" s="115"/>
      <c r="C52" s="115"/>
    </row>
    <row r="53" spans="1:3" ht="14" x14ac:dyDescent="0.15">
      <c r="A53" s="115"/>
      <c r="B53" s="115"/>
      <c r="C53" s="115"/>
    </row>
    <row r="54" spans="1:3" ht="14" x14ac:dyDescent="0.15">
      <c r="A54" s="115"/>
      <c r="B54" s="115"/>
      <c r="C54" s="115"/>
    </row>
    <row r="55" spans="1:3" ht="14" x14ac:dyDescent="0.15">
      <c r="A55" s="115"/>
      <c r="B55" s="115"/>
      <c r="C55" s="115"/>
    </row>
    <row r="56" spans="1:3" ht="14" x14ac:dyDescent="0.15">
      <c r="A56" s="115"/>
      <c r="B56" s="115"/>
      <c r="C56" s="115"/>
    </row>
    <row r="57" spans="1:3" ht="14" x14ac:dyDescent="0.15">
      <c r="A57" s="115"/>
      <c r="B57" s="115"/>
      <c r="C57" s="115"/>
    </row>
    <row r="58" spans="1:3" ht="14" x14ac:dyDescent="0.15">
      <c r="A58" s="115"/>
      <c r="B58" s="115"/>
      <c r="C58" s="115"/>
    </row>
    <row r="59" spans="1:3" ht="14" x14ac:dyDescent="0.15">
      <c r="A59" s="115"/>
      <c r="B59" s="115"/>
      <c r="C59" s="115"/>
    </row>
    <row r="60" spans="1:3" ht="14" x14ac:dyDescent="0.15">
      <c r="A60" s="115"/>
      <c r="B60" s="115"/>
      <c r="C60" s="115"/>
    </row>
    <row r="61" spans="1:3" ht="14" x14ac:dyDescent="0.15">
      <c r="A61" s="115"/>
      <c r="B61" s="115"/>
      <c r="C61" s="115"/>
    </row>
    <row r="62" spans="1:3" ht="14" x14ac:dyDescent="0.15">
      <c r="A62" s="115"/>
      <c r="B62" s="115"/>
      <c r="C62" s="115"/>
    </row>
  </sheetData>
  <conditionalFormatting sqref="B17">
    <cfRule type="cellIs" dxfId="1" priority="1" operator="notEqual">
      <formula>1</formula>
    </cfRule>
  </conditionalFormatting>
  <dataValidations count="1">
    <dataValidation type="decimal" operator="equal" allowBlank="1" showDropDown="1" showInputMessage="1" prompt="The percentage ownership should be 100%." sqref="B17" xr:uid="{00000000-0002-0000-0E00-000000000000}">
      <formula1>1</formula1>
    </dataValidation>
  </dataValidations>
  <pageMargins left="0" right="0" top="0" bottom="0" header="0" footer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497D"/>
    <outlinePr summaryBelow="0" summaryRight="0"/>
  </sheetPr>
  <dimension ref="A1:C86"/>
  <sheetViews>
    <sheetView topLeftCell="A4" workbookViewId="0"/>
  </sheetViews>
  <sheetFormatPr baseColWidth="10" defaultColWidth="12.6640625" defaultRowHeight="15" customHeight="1" x14ac:dyDescent="0.15"/>
  <cols>
    <col min="1" max="1" width="72.1640625" customWidth="1"/>
    <col min="2" max="3" width="13.6640625" customWidth="1"/>
  </cols>
  <sheetData>
    <row r="1" spans="1:3" ht="16" x14ac:dyDescent="0.2">
      <c r="A1" s="197" t="str">
        <f>Settings!C5</f>
        <v>CosignSimple</v>
      </c>
      <c r="B1" s="198"/>
      <c r="C1" s="189"/>
    </row>
    <row r="2" spans="1:3" ht="23" x14ac:dyDescent="0.25">
      <c r="A2" s="182" t="s">
        <v>397</v>
      </c>
      <c r="B2" s="198"/>
      <c r="C2" s="189"/>
    </row>
    <row r="3" spans="1:3" ht="16" x14ac:dyDescent="0.2">
      <c r="A3" s="199">
        <f ca="1">+TODAY()</f>
        <v>44539</v>
      </c>
      <c r="B3" s="198"/>
      <c r="C3" s="189"/>
    </row>
    <row r="4" spans="1:3" ht="16" x14ac:dyDescent="0.2">
      <c r="A4" s="199"/>
      <c r="B4" s="200"/>
      <c r="C4" s="190"/>
    </row>
    <row r="5" spans="1:3" ht="56.25" customHeight="1" x14ac:dyDescent="0.2">
      <c r="A5" s="183"/>
      <c r="B5" s="191"/>
      <c r="C5" s="190"/>
    </row>
    <row r="6" spans="1:3" ht="56.25" customHeight="1" x14ac:dyDescent="0.2">
      <c r="A6" s="185"/>
      <c r="B6" s="192"/>
      <c r="C6" s="202"/>
    </row>
    <row r="7" spans="1:3" ht="56.25" customHeight="1" x14ac:dyDescent="0.15">
      <c r="A7" s="90" t="s">
        <v>374</v>
      </c>
      <c r="B7" s="116"/>
      <c r="C7" s="117"/>
    </row>
    <row r="8" spans="1:3" x14ac:dyDescent="0.15">
      <c r="A8" s="92" t="s">
        <v>375</v>
      </c>
      <c r="B8" s="93">
        <v>10000000</v>
      </c>
      <c r="C8" s="92"/>
    </row>
    <row r="9" spans="1:3" ht="30" x14ac:dyDescent="0.15">
      <c r="A9" s="201" t="s">
        <v>398</v>
      </c>
      <c r="B9" s="118"/>
      <c r="C9" s="99"/>
    </row>
    <row r="10" spans="1:3" ht="14" x14ac:dyDescent="0.15">
      <c r="A10" s="97"/>
      <c r="B10" s="102"/>
      <c r="C10" s="99"/>
    </row>
    <row r="11" spans="1:3" ht="14" x14ac:dyDescent="0.15">
      <c r="A11" s="96"/>
      <c r="B11" s="102"/>
      <c r="C11" s="99"/>
    </row>
    <row r="12" spans="1:3" ht="30" x14ac:dyDescent="0.15">
      <c r="A12" s="92" t="s">
        <v>377</v>
      </c>
      <c r="B12" s="94" t="s">
        <v>378</v>
      </c>
      <c r="C12" s="92" t="s">
        <v>379</v>
      </c>
    </row>
    <row r="13" spans="1:3" x14ac:dyDescent="0.15">
      <c r="A13" s="201" t="s">
        <v>380</v>
      </c>
      <c r="B13" s="98">
        <v>0.33</v>
      </c>
      <c r="C13" s="95">
        <f>B13*B$8</f>
        <v>3300000</v>
      </c>
    </row>
    <row r="14" spans="1:3" x14ac:dyDescent="0.15">
      <c r="A14" s="201" t="s">
        <v>381</v>
      </c>
      <c r="B14" s="98">
        <v>0.33</v>
      </c>
      <c r="C14" s="95">
        <f>B14*B$8</f>
        <v>3300000</v>
      </c>
    </row>
    <row r="15" spans="1:3" x14ac:dyDescent="0.15">
      <c r="A15" s="201" t="s">
        <v>382</v>
      </c>
      <c r="B15" s="98">
        <v>0.33</v>
      </c>
      <c r="C15" s="95">
        <f>B15*B$8</f>
        <v>3300000</v>
      </c>
    </row>
    <row r="16" spans="1:3" x14ac:dyDescent="0.15">
      <c r="A16" s="201" t="s">
        <v>383</v>
      </c>
      <c r="B16" s="98">
        <v>0.01</v>
      </c>
      <c r="C16" s="95">
        <f>B16*B$8</f>
        <v>100000</v>
      </c>
    </row>
    <row r="17" spans="1:3" x14ac:dyDescent="0.15">
      <c r="A17" s="119" t="s">
        <v>160</v>
      </c>
      <c r="B17" s="100">
        <f>SUM(B13:B16)</f>
        <v>1</v>
      </c>
      <c r="C17" s="95">
        <f>B17*B$8</f>
        <v>10000000</v>
      </c>
    </row>
    <row r="18" spans="1:3" ht="14" x14ac:dyDescent="0.15">
      <c r="A18" s="96"/>
      <c r="B18" s="96"/>
      <c r="C18" s="99"/>
    </row>
    <row r="19" spans="1:3" ht="14" x14ac:dyDescent="0.15">
      <c r="A19" s="96"/>
      <c r="B19" s="102"/>
      <c r="C19" s="99"/>
    </row>
    <row r="20" spans="1:3" x14ac:dyDescent="0.15">
      <c r="A20" s="92" t="s">
        <v>399</v>
      </c>
      <c r="B20" s="101">
        <v>1000000</v>
      </c>
      <c r="C20" s="92"/>
    </row>
    <row r="21" spans="1:3" ht="14" x14ac:dyDescent="0.15">
      <c r="A21" s="96"/>
      <c r="B21" s="102"/>
      <c r="C21" s="99"/>
    </row>
    <row r="22" spans="1:3" x14ac:dyDescent="0.15">
      <c r="A22" s="92" t="s">
        <v>400</v>
      </c>
      <c r="B22" s="101"/>
      <c r="C22" s="92"/>
    </row>
    <row r="23" spans="1:3" x14ac:dyDescent="0.15">
      <c r="A23" s="201" t="s">
        <v>401</v>
      </c>
      <c r="B23" s="98">
        <v>0.2</v>
      </c>
      <c r="C23" s="99"/>
    </row>
    <row r="24" spans="1:3" x14ac:dyDescent="0.15">
      <c r="A24" s="201" t="s">
        <v>402</v>
      </c>
      <c r="B24" s="98">
        <v>0.05</v>
      </c>
      <c r="C24" s="99"/>
    </row>
    <row r="25" spans="1:3" x14ac:dyDescent="0.15">
      <c r="A25" s="201" t="s">
        <v>403</v>
      </c>
      <c r="B25" s="120">
        <v>7000000</v>
      </c>
      <c r="C25" s="121"/>
    </row>
    <row r="26" spans="1:3" ht="14" x14ac:dyDescent="0.15">
      <c r="A26" s="103"/>
      <c r="B26" s="102"/>
      <c r="C26" s="99"/>
    </row>
    <row r="27" spans="1:3" x14ac:dyDescent="0.15">
      <c r="A27" s="92" t="s">
        <v>404</v>
      </c>
      <c r="B27" s="101"/>
      <c r="C27" s="92"/>
    </row>
    <row r="28" spans="1:3" x14ac:dyDescent="0.15">
      <c r="A28" s="201" t="s">
        <v>111</v>
      </c>
      <c r="B28" s="120">
        <v>5000000</v>
      </c>
      <c r="C28" s="121" t="s">
        <v>405</v>
      </c>
    </row>
    <row r="29" spans="1:3" x14ac:dyDescent="0.15">
      <c r="A29" s="201" t="s">
        <v>406</v>
      </c>
      <c r="B29" s="122">
        <v>18</v>
      </c>
      <c r="C29" s="121" t="s">
        <v>407</v>
      </c>
    </row>
    <row r="30" spans="1:3" x14ac:dyDescent="0.15">
      <c r="A30" s="201" t="s">
        <v>408</v>
      </c>
      <c r="B30" s="120">
        <v>1000000</v>
      </c>
      <c r="C30" s="99"/>
    </row>
    <row r="31" spans="1:3" ht="14" x14ac:dyDescent="0.15">
      <c r="A31" s="103"/>
      <c r="B31" s="96"/>
      <c r="C31" s="99"/>
    </row>
    <row r="32" spans="1:3" ht="14" x14ac:dyDescent="0.15">
      <c r="A32" s="103"/>
      <c r="B32" s="96"/>
      <c r="C32" s="99"/>
    </row>
    <row r="33" spans="1:3" ht="14" x14ac:dyDescent="0.15">
      <c r="A33" s="103"/>
      <c r="B33" s="96"/>
      <c r="C33" s="99"/>
    </row>
    <row r="34" spans="1:3" ht="14" x14ac:dyDescent="0.15">
      <c r="A34" s="103"/>
      <c r="B34" s="96"/>
      <c r="C34" s="99"/>
    </row>
    <row r="35" spans="1:3" ht="56.25" customHeight="1" x14ac:dyDescent="0.15">
      <c r="A35" s="90" t="s">
        <v>386</v>
      </c>
      <c r="B35" s="116"/>
      <c r="C35" s="117"/>
    </row>
    <row r="36" spans="1:3" x14ac:dyDescent="0.15">
      <c r="A36" s="92" t="s">
        <v>409</v>
      </c>
      <c r="B36" s="104"/>
      <c r="C36" s="92"/>
    </row>
    <row r="37" spans="1:3" ht="17" x14ac:dyDescent="0.15">
      <c r="A37" s="113" t="s">
        <v>410</v>
      </c>
      <c r="B37" s="123">
        <f>B24/12*B29*B20</f>
        <v>75000</v>
      </c>
      <c r="C37" s="95" t="str">
        <f>B29&amp;" months"</f>
        <v>18 months</v>
      </c>
    </row>
    <row r="38" spans="1:3" ht="30" x14ac:dyDescent="0.15">
      <c r="A38" s="113" t="s">
        <v>411</v>
      </c>
      <c r="B38" s="123">
        <f>B37+B20</f>
        <v>1075000</v>
      </c>
      <c r="C38" s="95" t="s">
        <v>412</v>
      </c>
    </row>
    <row r="39" spans="1:3" ht="30" x14ac:dyDescent="0.15">
      <c r="A39" s="113" t="s">
        <v>413</v>
      </c>
      <c r="B39" s="123">
        <f>IF(B25&gt;0,(MIN(B28*(1-B23),B25)),B28*(1-B23))</f>
        <v>4000000</v>
      </c>
      <c r="C39" s="95" t="str">
        <f>IF(B25=B39,"based on cap","based on discount")</f>
        <v>based on discount</v>
      </c>
    </row>
    <row r="40" spans="1:3" ht="17" x14ac:dyDescent="0.15">
      <c r="A40" s="113" t="s">
        <v>414</v>
      </c>
      <c r="B40" s="95">
        <f>B38*B8/B39</f>
        <v>2687500</v>
      </c>
      <c r="C40" s="95"/>
    </row>
    <row r="41" spans="1:3" ht="17" x14ac:dyDescent="0.15">
      <c r="A41" s="113" t="s">
        <v>415</v>
      </c>
      <c r="B41" s="95">
        <f>B40+B8</f>
        <v>12687500</v>
      </c>
      <c r="C41" s="95"/>
    </row>
    <row r="42" spans="1:3" ht="17" x14ac:dyDescent="0.15">
      <c r="A42" s="113" t="s">
        <v>416</v>
      </c>
      <c r="B42" s="124">
        <f>B40/B41</f>
        <v>0.21182266009852216</v>
      </c>
      <c r="C42" s="95" t="s">
        <v>393</v>
      </c>
    </row>
    <row r="43" spans="1:3" ht="16" x14ac:dyDescent="0.15">
      <c r="A43" s="113"/>
      <c r="B43" s="123"/>
      <c r="C43" s="95"/>
    </row>
    <row r="44" spans="1:3" ht="16" x14ac:dyDescent="0.15">
      <c r="A44" s="113"/>
      <c r="B44" s="123"/>
      <c r="C44" s="95"/>
    </row>
    <row r="45" spans="1:3" x14ac:dyDescent="0.15">
      <c r="A45" s="92" t="s">
        <v>327</v>
      </c>
      <c r="B45" s="104"/>
      <c r="C45" s="92"/>
    </row>
    <row r="46" spans="1:3" ht="17" x14ac:dyDescent="0.15">
      <c r="A46" s="113" t="s">
        <v>417</v>
      </c>
      <c r="B46" s="95">
        <f>B30*B41/B28</f>
        <v>2537500</v>
      </c>
      <c r="C46" s="95"/>
    </row>
    <row r="47" spans="1:3" ht="17" x14ac:dyDescent="0.15">
      <c r="A47" s="113" t="s">
        <v>418</v>
      </c>
      <c r="B47" s="95">
        <f>B46+B41</f>
        <v>15225000</v>
      </c>
      <c r="C47" s="95"/>
    </row>
    <row r="48" spans="1:3" ht="17" x14ac:dyDescent="0.15">
      <c r="A48" s="113" t="s">
        <v>388</v>
      </c>
      <c r="B48" s="123">
        <f>B28+B30</f>
        <v>6000000</v>
      </c>
      <c r="C48" s="95" t="s">
        <v>150</v>
      </c>
    </row>
    <row r="49" spans="1:3" ht="17" x14ac:dyDescent="0.15">
      <c r="A49" s="113" t="s">
        <v>419</v>
      </c>
      <c r="B49" s="124">
        <f>B46/B47</f>
        <v>0.16666666666666666</v>
      </c>
      <c r="C49" s="95"/>
    </row>
    <row r="50" spans="1:3" ht="16" x14ac:dyDescent="0.15">
      <c r="A50" s="113"/>
      <c r="B50" s="95"/>
      <c r="C50" s="95"/>
    </row>
    <row r="51" spans="1:3" x14ac:dyDescent="0.2">
      <c r="A51" s="115"/>
      <c r="B51" s="203"/>
      <c r="C51" s="203"/>
    </row>
    <row r="52" spans="1:3" ht="30" x14ac:dyDescent="0.15">
      <c r="A52" s="92" t="s">
        <v>420</v>
      </c>
      <c r="B52" s="104" t="s">
        <v>379</v>
      </c>
      <c r="C52" s="92" t="s">
        <v>395</v>
      </c>
    </row>
    <row r="53" spans="1:3" ht="16" x14ac:dyDescent="0.2">
      <c r="A53" s="125" t="str">
        <f>A13</f>
        <v>Founder 1</v>
      </c>
      <c r="B53" s="95">
        <f>C13</f>
        <v>3300000</v>
      </c>
      <c r="C53" s="124">
        <f t="shared" ref="C53:C58" si="0">B53/$B$59</f>
        <v>0.21674876847290642</v>
      </c>
    </row>
    <row r="54" spans="1:3" ht="16" x14ac:dyDescent="0.2">
      <c r="A54" s="125" t="str">
        <f>A14</f>
        <v>Founder 2</v>
      </c>
      <c r="B54" s="95">
        <f>C14</f>
        <v>3300000</v>
      </c>
      <c r="C54" s="124">
        <f t="shared" si="0"/>
        <v>0.21674876847290642</v>
      </c>
    </row>
    <row r="55" spans="1:3" ht="16" x14ac:dyDescent="0.2">
      <c r="A55" s="125" t="str">
        <f>A15</f>
        <v>Founder 3</v>
      </c>
      <c r="B55" s="95">
        <f>C15</f>
        <v>3300000</v>
      </c>
      <c r="C55" s="124">
        <f t="shared" si="0"/>
        <v>0.21674876847290642</v>
      </c>
    </row>
    <row r="56" spans="1:3" ht="16" x14ac:dyDescent="0.2">
      <c r="A56" s="125" t="str">
        <f>A16</f>
        <v>Other Founders or employees</v>
      </c>
      <c r="B56" s="95">
        <f>C16</f>
        <v>100000</v>
      </c>
      <c r="C56" s="124">
        <f t="shared" si="0"/>
        <v>6.5681444991789817E-3</v>
      </c>
    </row>
    <row r="57" spans="1:3" ht="16" x14ac:dyDescent="0.2">
      <c r="A57" s="125" t="s">
        <v>421</v>
      </c>
      <c r="B57" s="95">
        <f>B40</f>
        <v>2687500</v>
      </c>
      <c r="C57" s="124">
        <f t="shared" si="0"/>
        <v>0.17651888341543515</v>
      </c>
    </row>
    <row r="58" spans="1:3" ht="17" x14ac:dyDescent="0.15">
      <c r="A58" s="105" t="s">
        <v>422</v>
      </c>
      <c r="B58" s="95">
        <f>B46</f>
        <v>2537500</v>
      </c>
      <c r="C58" s="124">
        <f t="shared" si="0"/>
        <v>0.16666666666666666</v>
      </c>
    </row>
    <row r="59" spans="1:3" ht="17" x14ac:dyDescent="0.2">
      <c r="A59" s="105" t="s">
        <v>160</v>
      </c>
      <c r="B59" s="95">
        <f>B47</f>
        <v>15225000</v>
      </c>
      <c r="C59" s="203"/>
    </row>
    <row r="60" spans="1:3" x14ac:dyDescent="0.2">
      <c r="A60" s="115"/>
      <c r="B60" s="204"/>
      <c r="C60" s="203"/>
    </row>
    <row r="61" spans="1:3" x14ac:dyDescent="0.2">
      <c r="A61" s="115"/>
      <c r="B61" s="204"/>
      <c r="C61" s="203"/>
    </row>
    <row r="62" spans="1:3" x14ac:dyDescent="0.2">
      <c r="A62" s="115"/>
      <c r="B62" s="204"/>
      <c r="C62" s="203"/>
    </row>
    <row r="63" spans="1:3" x14ac:dyDescent="0.2">
      <c r="A63" s="115"/>
      <c r="B63" s="204"/>
      <c r="C63" s="203"/>
    </row>
    <row r="64" spans="1:3" x14ac:dyDescent="0.2">
      <c r="A64" s="115"/>
      <c r="B64" s="204"/>
      <c r="C64" s="203"/>
    </row>
    <row r="65" spans="1:3" x14ac:dyDescent="0.2">
      <c r="A65" s="115"/>
      <c r="B65" s="204"/>
      <c r="C65" s="203"/>
    </row>
    <row r="66" spans="1:3" x14ac:dyDescent="0.2">
      <c r="A66" s="115"/>
      <c r="B66" s="204"/>
      <c r="C66" s="203"/>
    </row>
    <row r="67" spans="1:3" x14ac:dyDescent="0.2">
      <c r="A67" s="115"/>
      <c r="B67" s="204"/>
      <c r="C67" s="203"/>
    </row>
    <row r="68" spans="1:3" x14ac:dyDescent="0.2">
      <c r="A68" s="115"/>
      <c r="B68" s="204"/>
      <c r="C68" s="203"/>
    </row>
    <row r="69" spans="1:3" x14ac:dyDescent="0.2">
      <c r="A69" s="115"/>
      <c r="B69" s="204"/>
      <c r="C69" s="203"/>
    </row>
    <row r="70" spans="1:3" x14ac:dyDescent="0.2">
      <c r="A70" s="115"/>
      <c r="B70" s="204"/>
      <c r="C70" s="203"/>
    </row>
    <row r="71" spans="1:3" x14ac:dyDescent="0.2">
      <c r="A71" s="115"/>
      <c r="B71" s="204"/>
      <c r="C71" s="203"/>
    </row>
    <row r="72" spans="1:3" x14ac:dyDescent="0.2">
      <c r="A72" s="115"/>
      <c r="B72" s="204"/>
      <c r="C72" s="203"/>
    </row>
    <row r="73" spans="1:3" x14ac:dyDescent="0.2">
      <c r="A73" s="115"/>
      <c r="B73" s="204"/>
      <c r="C73" s="203"/>
    </row>
    <row r="74" spans="1:3" x14ac:dyDescent="0.2">
      <c r="A74" s="115"/>
      <c r="B74" s="204"/>
      <c r="C74" s="203"/>
    </row>
    <row r="75" spans="1:3" x14ac:dyDescent="0.2">
      <c r="A75" s="115"/>
      <c r="B75" s="204"/>
      <c r="C75" s="203"/>
    </row>
    <row r="76" spans="1:3" x14ac:dyDescent="0.2">
      <c r="A76" s="115"/>
      <c r="B76" s="204"/>
      <c r="C76" s="203"/>
    </row>
    <row r="77" spans="1:3" x14ac:dyDescent="0.2">
      <c r="A77" s="115"/>
      <c r="B77" s="204"/>
      <c r="C77" s="203"/>
    </row>
    <row r="78" spans="1:3" x14ac:dyDescent="0.2">
      <c r="A78" s="115"/>
      <c r="B78" s="204"/>
      <c r="C78" s="203"/>
    </row>
    <row r="79" spans="1:3" x14ac:dyDescent="0.2">
      <c r="A79" s="115"/>
      <c r="B79" s="204"/>
      <c r="C79" s="203"/>
    </row>
    <row r="80" spans="1:3" x14ac:dyDescent="0.2">
      <c r="A80" s="115"/>
      <c r="B80" s="204"/>
      <c r="C80" s="203"/>
    </row>
    <row r="81" spans="1:3" x14ac:dyDescent="0.2">
      <c r="A81" s="115"/>
      <c r="B81" s="204"/>
      <c r="C81" s="203"/>
    </row>
    <row r="82" spans="1:3" x14ac:dyDescent="0.2">
      <c r="A82" s="115"/>
      <c r="B82" s="204"/>
      <c r="C82" s="203"/>
    </row>
    <row r="83" spans="1:3" x14ac:dyDescent="0.2">
      <c r="A83" s="115"/>
      <c r="B83" s="204"/>
      <c r="C83" s="203"/>
    </row>
    <row r="84" spans="1:3" x14ac:dyDescent="0.2">
      <c r="A84" s="115"/>
      <c r="B84" s="204"/>
      <c r="C84" s="203"/>
    </row>
    <row r="85" spans="1:3" x14ac:dyDescent="0.2">
      <c r="A85" s="115"/>
      <c r="B85" s="204"/>
      <c r="C85" s="203"/>
    </row>
    <row r="86" spans="1:3" x14ac:dyDescent="0.2">
      <c r="A86" s="115"/>
      <c r="B86" s="204"/>
      <c r="C86" s="203"/>
    </row>
  </sheetData>
  <conditionalFormatting sqref="B17">
    <cfRule type="cellIs" dxfId="0" priority="1" operator="notEqual">
      <formula>1</formula>
    </cfRule>
  </conditionalFormatting>
  <dataValidations count="1">
    <dataValidation type="decimal" operator="equal" allowBlank="1" showDropDown="1" showInputMessage="1" prompt="The percentage ownership should be 100%." sqref="B17" xr:uid="{00000000-0002-0000-0F00-000000000000}">
      <formula1>1</formula1>
    </dataValidation>
  </dataValidation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Intro</vt:lpstr>
      <vt:lpstr>CSS Settings</vt:lpstr>
      <vt:lpstr>Settings</vt:lpstr>
      <vt:lpstr>Projections</vt:lpstr>
      <vt:lpstr>Data for Charts</vt:lpstr>
      <vt:lpstr>FS-Month</vt:lpstr>
      <vt:lpstr>Revenue</vt:lpstr>
      <vt:lpstr>COS and SG&amp;A</vt:lpstr>
      <vt:lpstr>WK+CAPEX</vt:lpstr>
      <vt:lpstr>Use of funds</vt:lpstr>
      <vt:lpstr>Valuation</vt:lpstr>
      <vt:lpstr>Funding - Equity Round Calculat</vt:lpstr>
      <vt:lpstr>Funding - Convertible Note 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2020-12-02T22:42:33Z</dcterms:created>
  <dcterms:modified xsi:type="dcterms:W3CDTF">2021-12-09T19:49:51Z</dcterms:modified>
  <cp:category/>
  <cp:contentStatus/>
</cp:coreProperties>
</file>