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freedomcannabisca-my.sharepoint.com/personal/nathanielgarneau_freedomcannabis_ca/Documents/"/>
    </mc:Choice>
  </mc:AlternateContent>
  <xr:revisionPtr revIDLastSave="536" documentId="8_{7B9C62CA-C983-49B7-822F-4D861D929772}" xr6:coauthVersionLast="47" xr6:coauthVersionMax="47" xr10:uidLastSave="{385F0387-3C02-4F37-9B6B-3CFF35760128}"/>
  <bookViews>
    <workbookView minimized="1" xWindow="3312" yWindow="3312" windowWidth="17280" windowHeight="8880" firstSheet="1" activeTab="3" xr2:uid="{6FE2B6BB-A076-4884-B602-DD4A9D70665A}"/>
  </bookViews>
  <sheets>
    <sheet name="Rooms" sheetId="2" r:id="rId1"/>
    <sheet name="Grow Fractional per sqft (2Rms)" sheetId="3" r:id="rId2"/>
    <sheet name="Grow Fractional per sqft (4Rms)" sheetId="1" r:id="rId3"/>
    <sheet name="Grow Fractional per sqft (8Rms)" sheetId="4" r:id="rId4"/>
  </sheets>
  <definedNames>
    <definedName name="DURATION">#REF!</definedName>
    <definedName name="Province">#REF!</definedName>
    <definedName name="TR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4" l="1"/>
  <c r="P56" i="2" l="1"/>
  <c r="D65" i="4"/>
  <c r="D64" i="4"/>
  <c r="D61" i="4"/>
  <c r="AQ59" i="4"/>
  <c r="AD59" i="4"/>
  <c r="AQ57" i="4"/>
  <c r="AD57" i="4"/>
  <c r="AQ56" i="4"/>
  <c r="AD56" i="4"/>
  <c r="AQ55" i="4"/>
  <c r="AD55" i="4"/>
  <c r="AQ54" i="4"/>
  <c r="AD54" i="4"/>
  <c r="AQ53" i="4"/>
  <c r="AD53" i="4"/>
  <c r="AQ52" i="4"/>
  <c r="AD52" i="4"/>
  <c r="AQ51" i="4"/>
  <c r="AD51" i="4"/>
  <c r="AQ50" i="4"/>
  <c r="AD50" i="4"/>
  <c r="AQ49" i="4"/>
  <c r="AD49" i="4"/>
  <c r="AQ48" i="4"/>
  <c r="AD48" i="4"/>
  <c r="D47" i="4"/>
  <c r="E37" i="4"/>
  <c r="AQ31" i="4"/>
  <c r="AD31" i="4"/>
  <c r="AQ29" i="4"/>
  <c r="AD29" i="4"/>
  <c r="Q29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Q25" i="4" s="1"/>
  <c r="AC25" i="4"/>
  <c r="AB25" i="4"/>
  <c r="AA25" i="4"/>
  <c r="Z25" i="4"/>
  <c r="Y25" i="4"/>
  <c r="X25" i="4"/>
  <c r="W25" i="4"/>
  <c r="V25" i="4"/>
  <c r="U25" i="4"/>
  <c r="T25" i="4"/>
  <c r="S25" i="4"/>
  <c r="R25" i="4"/>
  <c r="P25" i="4"/>
  <c r="O25" i="4"/>
  <c r="N25" i="4"/>
  <c r="M25" i="4"/>
  <c r="L25" i="4"/>
  <c r="K25" i="4"/>
  <c r="J25" i="4"/>
  <c r="I25" i="4"/>
  <c r="H25" i="4"/>
  <c r="G25" i="4"/>
  <c r="F25" i="4"/>
  <c r="AQ24" i="4"/>
  <c r="AD24" i="4"/>
  <c r="AM23" i="4"/>
  <c r="Z23" i="4"/>
  <c r="R23" i="4"/>
  <c r="M23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C17" i="4"/>
  <c r="AB17" i="4"/>
  <c r="AA17" i="4"/>
  <c r="Z17" i="4"/>
  <c r="Y17" i="4"/>
  <c r="X17" i="4"/>
  <c r="W17" i="4"/>
  <c r="V17" i="4"/>
  <c r="U17" i="4"/>
  <c r="T17" i="4"/>
  <c r="S17" i="4"/>
  <c r="R17" i="4"/>
  <c r="P17" i="4"/>
  <c r="O17" i="4"/>
  <c r="N17" i="4"/>
  <c r="M17" i="4"/>
  <c r="L17" i="4"/>
  <c r="K17" i="4"/>
  <c r="J17" i="4"/>
  <c r="I17" i="4"/>
  <c r="H17" i="4"/>
  <c r="G17" i="4"/>
  <c r="F17" i="4"/>
  <c r="E17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C16" i="4"/>
  <c r="AB16" i="4"/>
  <c r="AA16" i="4"/>
  <c r="Z16" i="4"/>
  <c r="Y16" i="4"/>
  <c r="X16" i="4"/>
  <c r="W16" i="4"/>
  <c r="V16" i="4"/>
  <c r="U16" i="4"/>
  <c r="T16" i="4"/>
  <c r="S16" i="4"/>
  <c r="R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AD15" i="4"/>
  <c r="E14" i="4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R14" i="4" s="1"/>
  <c r="D14" i="4"/>
  <c r="K13" i="4"/>
  <c r="D12" i="4"/>
  <c r="D11" i="4"/>
  <c r="D10" i="4"/>
  <c r="AN9" i="4"/>
  <c r="AH9" i="4"/>
  <c r="X9" i="4"/>
  <c r="R9" i="4"/>
  <c r="M9" i="4"/>
  <c r="I9" i="4"/>
  <c r="E5" i="4"/>
  <c r="AP4" i="4"/>
  <c r="X4" i="4"/>
  <c r="P4" i="4"/>
  <c r="K12" i="4"/>
  <c r="I13" i="2"/>
  <c r="J13" i="2"/>
  <c r="I14" i="2"/>
  <c r="J14" i="2"/>
  <c r="I15" i="2"/>
  <c r="J15" i="2"/>
  <c r="I16" i="2"/>
  <c r="J16" i="2"/>
  <c r="J12" i="2"/>
  <c r="I12" i="2"/>
  <c r="AA10" i="4" l="1"/>
  <c r="G10" i="4"/>
  <c r="AN11" i="4"/>
  <c r="AA11" i="4"/>
  <c r="I11" i="4"/>
  <c r="AA12" i="4"/>
  <c r="X12" i="4"/>
  <c r="AD16" i="4"/>
  <c r="AD17" i="4"/>
  <c r="AQ17" i="4"/>
  <c r="E6" i="4"/>
  <c r="AP5" i="4"/>
  <c r="AM5" i="4"/>
  <c r="AM6" i="4" s="1"/>
  <c r="AI5" i="4"/>
  <c r="AH5" i="4"/>
  <c r="AH6" i="4" s="1"/>
  <c r="AE5" i="4"/>
  <c r="AE6" i="4" s="1"/>
  <c r="AA5" i="4"/>
  <c r="AA6" i="4" s="1"/>
  <c r="Z5" i="4"/>
  <c r="W5" i="4"/>
  <c r="W6" i="4" s="1"/>
  <c r="S5" i="4"/>
  <c r="R5" i="4"/>
  <c r="O5" i="4"/>
  <c r="O6" i="4" s="1"/>
  <c r="K5" i="4"/>
  <c r="J5" i="4"/>
  <c r="J6" i="4" s="1"/>
  <c r="G5" i="4"/>
  <c r="G6" i="4" s="1"/>
  <c r="S14" i="4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E14" i="4" s="1"/>
  <c r="AD14" i="4"/>
  <c r="AG4" i="4"/>
  <c r="R6" i="4"/>
  <c r="AI13" i="4"/>
  <c r="AP6" i="4"/>
  <c r="AN4" i="4"/>
  <c r="E9" i="4"/>
  <c r="AG9" i="4"/>
  <c r="Q17" i="4"/>
  <c r="D17" i="4"/>
  <c r="Q14" i="4"/>
  <c r="O37" i="4"/>
  <c r="G37" i="4"/>
  <c r="M37" i="4"/>
  <c r="L37" i="4"/>
  <c r="I37" i="4"/>
  <c r="K37" i="4"/>
  <c r="J37" i="4"/>
  <c r="P37" i="4"/>
  <c r="R37" i="4" s="1"/>
  <c r="N37" i="4"/>
  <c r="H37" i="4"/>
  <c r="M19" i="4"/>
  <c r="M18" i="4"/>
  <c r="M20" i="4" s="1"/>
  <c r="E59" i="4"/>
  <c r="Q59" i="4" s="1"/>
  <c r="D58" i="4"/>
  <c r="E58" i="4" s="1"/>
  <c r="E56" i="4"/>
  <c r="Q56" i="4" s="1"/>
  <c r="E54" i="4"/>
  <c r="Q54" i="4" s="1"/>
  <c r="E52" i="4"/>
  <c r="Q52" i="4" s="1"/>
  <c r="E50" i="4"/>
  <c r="Q50" i="4" s="1"/>
  <c r="E48" i="4"/>
  <c r="E55" i="4"/>
  <c r="Q55" i="4" s="1"/>
  <c r="E40" i="4"/>
  <c r="E51" i="4"/>
  <c r="Q51" i="4" s="1"/>
  <c r="E31" i="4"/>
  <c r="Q31" i="4" s="1"/>
  <c r="E57" i="4"/>
  <c r="Q57" i="4" s="1"/>
  <c r="E44" i="4"/>
  <c r="E38" i="4"/>
  <c r="E60" i="4"/>
  <c r="E53" i="4"/>
  <c r="Q53" i="4" s="1"/>
  <c r="E42" i="4"/>
  <c r="E32" i="4"/>
  <c r="E36" i="4"/>
  <c r="E27" i="4"/>
  <c r="E49" i="4"/>
  <c r="Q49" i="4" s="1"/>
  <c r="AN13" i="4"/>
  <c r="V13" i="4"/>
  <c r="AJ9" i="4"/>
  <c r="AB9" i="4"/>
  <c r="T9" i="4"/>
  <c r="E35" i="4"/>
  <c r="E24" i="4"/>
  <c r="Q24" i="4" s="1"/>
  <c r="AL13" i="4"/>
  <c r="T13" i="4"/>
  <c r="AI9" i="4"/>
  <c r="AA9" i="4"/>
  <c r="S9" i="4"/>
  <c r="K9" i="4"/>
  <c r="AA13" i="4"/>
  <c r="AI10" i="4"/>
  <c r="N10" i="4"/>
  <c r="AM9" i="4"/>
  <c r="AC9" i="4"/>
  <c r="H9" i="4"/>
  <c r="M4" i="4"/>
  <c r="E28" i="4"/>
  <c r="E41" i="4"/>
  <c r="E33" i="4"/>
  <c r="E26" i="4"/>
  <c r="X13" i="4"/>
  <c r="AE12" i="4"/>
  <c r="G12" i="4"/>
  <c r="AG10" i="4"/>
  <c r="K10" i="4"/>
  <c r="AL9" i="4"/>
  <c r="Z9" i="4"/>
  <c r="P9" i="4"/>
  <c r="G9" i="4"/>
  <c r="AC4" i="4"/>
  <c r="K4" i="4"/>
  <c r="E43" i="4"/>
  <c r="P13" i="4"/>
  <c r="AE10" i="4"/>
  <c r="I10" i="4"/>
  <c r="AK9" i="4"/>
  <c r="Y9" i="4"/>
  <c r="O9" i="4"/>
  <c r="F9" i="4"/>
  <c r="Z4" i="4"/>
  <c r="I4" i="4"/>
  <c r="AG13" i="4"/>
  <c r="I13" i="4"/>
  <c r="V12" i="4"/>
  <c r="X10" i="4"/>
  <c r="AP9" i="4"/>
  <c r="AF9" i="4"/>
  <c r="V9" i="4"/>
  <c r="L9" i="4"/>
  <c r="AK4" i="4"/>
  <c r="S4" i="4"/>
  <c r="E34" i="4"/>
  <c r="E30" i="4"/>
  <c r="E23" i="4"/>
  <c r="E39" i="4"/>
  <c r="E25" i="4"/>
  <c r="Q25" i="4" s="1"/>
  <c r="AE13" i="4"/>
  <c r="G13" i="4"/>
  <c r="N12" i="4"/>
  <c r="AO9" i="4"/>
  <c r="AE9" i="4"/>
  <c r="U9" i="4"/>
  <c r="J9" i="4"/>
  <c r="AI4" i="4"/>
  <c r="N9" i="4"/>
  <c r="AN10" i="4"/>
  <c r="K11" i="4"/>
  <c r="AN12" i="4"/>
  <c r="R19" i="4"/>
  <c r="R18" i="4"/>
  <c r="V4" i="4"/>
  <c r="W9" i="4"/>
  <c r="P10" i="4"/>
  <c r="AG11" i="4"/>
  <c r="N13" i="4"/>
  <c r="AQ16" i="4"/>
  <c r="H5" i="4"/>
  <c r="P5" i="4"/>
  <c r="P6" i="4" s="1"/>
  <c r="X5" i="4"/>
  <c r="X6" i="4" s="1"/>
  <c r="AF5" i="4"/>
  <c r="AN5" i="4"/>
  <c r="AL11" i="4"/>
  <c r="T11" i="4"/>
  <c r="AI11" i="4"/>
  <c r="P11" i="4"/>
  <c r="I5" i="4"/>
  <c r="Y5" i="4"/>
  <c r="Y6" i="4" s="1"/>
  <c r="AG5" i="4"/>
  <c r="AO5" i="4"/>
  <c r="AO6" i="4" s="1"/>
  <c r="G11" i="4"/>
  <c r="AE11" i="4"/>
  <c r="Q16" i="4"/>
  <c r="L5" i="4"/>
  <c r="L6" i="4" s="1"/>
  <c r="T5" i="4"/>
  <c r="T6" i="4" s="1"/>
  <c r="AB5" i="4"/>
  <c r="AB6" i="4" s="1"/>
  <c r="AJ5" i="4"/>
  <c r="AJ6" i="4" s="1"/>
  <c r="N11" i="4"/>
  <c r="AL12" i="4"/>
  <c r="T12" i="4"/>
  <c r="AI12" i="4"/>
  <c r="P12" i="4"/>
  <c r="M5" i="4"/>
  <c r="O77" i="4" s="1"/>
  <c r="U5" i="4"/>
  <c r="U6" i="4" s="1"/>
  <c r="AC5" i="4"/>
  <c r="AK5" i="4"/>
  <c r="V11" i="4"/>
  <c r="AD25" i="4"/>
  <c r="F5" i="4"/>
  <c r="F6" i="4" s="1"/>
  <c r="N5" i="4"/>
  <c r="V5" i="4"/>
  <c r="AL5" i="4"/>
  <c r="AL6" i="4" s="1"/>
  <c r="X11" i="4"/>
  <c r="I12" i="4"/>
  <c r="AG12" i="4"/>
  <c r="T10" i="4"/>
  <c r="AL10" i="4"/>
  <c r="V10" i="4"/>
  <c r="R20" i="4" l="1"/>
  <c r="X19" i="4"/>
  <c r="Q10" i="4"/>
  <c r="R77" i="4"/>
  <c r="I19" i="4"/>
  <c r="Q37" i="4"/>
  <c r="X18" i="4"/>
  <c r="X20" i="4" s="1"/>
  <c r="X21" i="4" s="1"/>
  <c r="AD11" i="4"/>
  <c r="R21" i="4"/>
  <c r="P19" i="4"/>
  <c r="P18" i="4"/>
  <c r="K44" i="4"/>
  <c r="AG44" i="4"/>
  <c r="N44" i="4"/>
  <c r="AE44" i="4"/>
  <c r="I44" i="4"/>
  <c r="AA44" i="4"/>
  <c r="G44" i="4"/>
  <c r="X44" i="4"/>
  <c r="AN44" i="4"/>
  <c r="T44" i="4"/>
  <c r="AK44" i="4"/>
  <c r="R44" i="4"/>
  <c r="AI44" i="4"/>
  <c r="V44" i="4"/>
  <c r="M21" i="4"/>
  <c r="F19" i="4"/>
  <c r="F18" i="4"/>
  <c r="AA18" i="4"/>
  <c r="AA19" i="4"/>
  <c r="S37" i="4"/>
  <c r="T37" i="4" s="1"/>
  <c r="U37" i="4" s="1"/>
  <c r="V37" i="4" s="1"/>
  <c r="W37" i="4" s="1"/>
  <c r="X37" i="4" s="1"/>
  <c r="Y37" i="4" s="1"/>
  <c r="Z37" i="4" s="1"/>
  <c r="AA37" i="4" s="1"/>
  <c r="AB37" i="4" s="1"/>
  <c r="AC37" i="4" s="1"/>
  <c r="AE37" i="4" s="1"/>
  <c r="Q9" i="4"/>
  <c r="E18" i="4"/>
  <c r="E19" i="4"/>
  <c r="V6" i="4"/>
  <c r="U18" i="4"/>
  <c r="U19" i="4"/>
  <c r="Y23" i="4"/>
  <c r="J23" i="4"/>
  <c r="AE23" i="4"/>
  <c r="O23" i="4"/>
  <c r="W23" i="4"/>
  <c r="AO23" i="4"/>
  <c r="U23" i="4"/>
  <c r="AJ23" i="4"/>
  <c r="L23" i="4"/>
  <c r="AB23" i="4"/>
  <c r="AH23" i="4"/>
  <c r="H23" i="4"/>
  <c r="AL23" i="4"/>
  <c r="O18" i="4"/>
  <c r="O19" i="4"/>
  <c r="AC6" i="4"/>
  <c r="AC18" i="4"/>
  <c r="AC19" i="4"/>
  <c r="F60" i="4"/>
  <c r="G60" i="4" s="1"/>
  <c r="H60" i="4" s="1"/>
  <c r="I60" i="4" s="1"/>
  <c r="J60" i="4" s="1"/>
  <c r="K60" i="4" s="1"/>
  <c r="L60" i="4" s="1"/>
  <c r="M60" i="4" s="1"/>
  <c r="N60" i="4" s="1"/>
  <c r="O60" i="4" s="1"/>
  <c r="P60" i="4" s="1"/>
  <c r="R60" i="4" s="1"/>
  <c r="Q48" i="4"/>
  <c r="E62" i="4"/>
  <c r="AQ4" i="4"/>
  <c r="AG6" i="4"/>
  <c r="J19" i="4"/>
  <c r="J18" i="4"/>
  <c r="J20" i="4" s="1"/>
  <c r="O39" i="4"/>
  <c r="G39" i="4"/>
  <c r="H39" i="4"/>
  <c r="N39" i="4"/>
  <c r="M39" i="4"/>
  <c r="J39" i="4"/>
  <c r="L39" i="4"/>
  <c r="P39" i="4"/>
  <c r="R39" i="4" s="1"/>
  <c r="I39" i="4"/>
  <c r="K39" i="4"/>
  <c r="N74" i="4"/>
  <c r="K6" i="4"/>
  <c r="H18" i="4"/>
  <c r="H19" i="4"/>
  <c r="H20" i="4" s="1"/>
  <c r="AD5" i="4"/>
  <c r="AD12" i="4"/>
  <c r="N77" i="4"/>
  <c r="H6" i="4"/>
  <c r="AQ9" i="4"/>
  <c r="AE19" i="4"/>
  <c r="AE18" i="4"/>
  <c r="L30" i="4"/>
  <c r="P30" i="4"/>
  <c r="R30" i="4" s="1"/>
  <c r="H30" i="4"/>
  <c r="M30" i="4"/>
  <c r="G30" i="4"/>
  <c r="F30" i="4"/>
  <c r="N30" i="4"/>
  <c r="O30" i="4"/>
  <c r="J30" i="4"/>
  <c r="I30" i="4"/>
  <c r="K30" i="4"/>
  <c r="Y19" i="4"/>
  <c r="Y18" i="4"/>
  <c r="Y20" i="4" s="1"/>
  <c r="G18" i="4"/>
  <c r="G19" i="4"/>
  <c r="AD13" i="4"/>
  <c r="M38" i="4"/>
  <c r="I38" i="4"/>
  <c r="P38" i="4"/>
  <c r="R38" i="4" s="1"/>
  <c r="G38" i="4"/>
  <c r="O38" i="4"/>
  <c r="K38" i="4"/>
  <c r="N38" i="4"/>
  <c r="H38" i="4"/>
  <c r="J38" i="4"/>
  <c r="L38" i="4"/>
  <c r="I18" i="4"/>
  <c r="AN6" i="4"/>
  <c r="Z27" i="4"/>
  <c r="AG27" i="4"/>
  <c r="P27" i="4"/>
  <c r="AE27" i="4"/>
  <c r="M27" i="4"/>
  <c r="AC27" i="4"/>
  <c r="W27" i="4"/>
  <c r="T27" i="4"/>
  <c r="AM27" i="4"/>
  <c r="G27" i="4"/>
  <c r="AJ27" i="4"/>
  <c r="AP27" i="4"/>
  <c r="J27" i="4"/>
  <c r="P77" i="4"/>
  <c r="N6" i="4"/>
  <c r="K36" i="4"/>
  <c r="O36" i="4"/>
  <c r="G36" i="4"/>
  <c r="L36" i="4"/>
  <c r="J36" i="4"/>
  <c r="N36" i="4"/>
  <c r="M36" i="4"/>
  <c r="I36" i="4"/>
  <c r="H36" i="4"/>
  <c r="P36" i="4"/>
  <c r="R36" i="4" s="1"/>
  <c r="AD9" i="4"/>
  <c r="O34" i="4"/>
  <c r="G34" i="4"/>
  <c r="K34" i="4"/>
  <c r="H34" i="4"/>
  <c r="M34" i="4"/>
  <c r="L34" i="4"/>
  <c r="P34" i="4"/>
  <c r="R34" i="4" s="1"/>
  <c r="J34" i="4"/>
  <c r="I34" i="4"/>
  <c r="N34" i="4"/>
  <c r="Z19" i="4"/>
  <c r="Z18" i="4"/>
  <c r="AK6" i="4"/>
  <c r="K41" i="4"/>
  <c r="N41" i="4"/>
  <c r="L41" i="4"/>
  <c r="J41" i="4"/>
  <c r="H41" i="4"/>
  <c r="P41" i="4"/>
  <c r="R41" i="4" s="1"/>
  <c r="G41" i="4"/>
  <c r="M41" i="4"/>
  <c r="I41" i="4"/>
  <c r="O41" i="4"/>
  <c r="AF6" i="4"/>
  <c r="AQ5" i="4"/>
  <c r="W19" i="4"/>
  <c r="W18" i="4"/>
  <c r="N19" i="4"/>
  <c r="N18" i="4"/>
  <c r="N20" i="4" s="1"/>
  <c r="L18" i="4"/>
  <c r="L19" i="4"/>
  <c r="L20" i="4"/>
  <c r="M74" i="4"/>
  <c r="I6" i="4"/>
  <c r="Q4" i="4"/>
  <c r="AP28" i="4"/>
  <c r="W28" i="4"/>
  <c r="AJ28" i="4"/>
  <c r="M28" i="4"/>
  <c r="AG28" i="4"/>
  <c r="J28" i="4"/>
  <c r="P28" i="4"/>
  <c r="G28" i="4"/>
  <c r="AC28" i="4"/>
  <c r="T28" i="4"/>
  <c r="Z28" i="4"/>
  <c r="AM28" i="4"/>
  <c r="K19" i="4"/>
  <c r="K18" i="4"/>
  <c r="T18" i="4"/>
  <c r="T19" i="4"/>
  <c r="AC32" i="4"/>
  <c r="N32" i="4"/>
  <c r="AI32" i="4"/>
  <c r="T32" i="4"/>
  <c r="AN32" i="4"/>
  <c r="R32" i="4"/>
  <c r="I32" i="4"/>
  <c r="AA32" i="4"/>
  <c r="G32" i="4"/>
  <c r="AK32" i="4"/>
  <c r="P32" i="4"/>
  <c r="AP32" i="4"/>
  <c r="K32" i="4"/>
  <c r="AE32" i="4"/>
  <c r="V32" i="4"/>
  <c r="X32" i="4"/>
  <c r="AG32" i="4"/>
  <c r="F58" i="4"/>
  <c r="AC26" i="4"/>
  <c r="J26" i="4"/>
  <c r="AJ26" i="4"/>
  <c r="R26" i="4"/>
  <c r="AG26" i="4"/>
  <c r="AM26" i="4"/>
  <c r="G26" i="4"/>
  <c r="Z26" i="4"/>
  <c r="AE26" i="4"/>
  <c r="T26" i="4"/>
  <c r="AP26" i="4"/>
  <c r="M26" i="4"/>
  <c r="P26" i="4"/>
  <c r="W26" i="4"/>
  <c r="AD4" i="4"/>
  <c r="AD6" i="4" s="1"/>
  <c r="S6" i="4"/>
  <c r="M33" i="4"/>
  <c r="I33" i="4"/>
  <c r="N33" i="4"/>
  <c r="H33" i="4"/>
  <c r="G33" i="4"/>
  <c r="J33" i="4"/>
  <c r="O33" i="4"/>
  <c r="K33" i="4"/>
  <c r="L33" i="4"/>
  <c r="P33" i="4"/>
  <c r="R33" i="4" s="1"/>
  <c r="I35" i="4"/>
  <c r="M35" i="4"/>
  <c r="L35" i="4"/>
  <c r="G35" i="4"/>
  <c r="P35" i="4"/>
  <c r="R35" i="4" s="1"/>
  <c r="O35" i="4"/>
  <c r="N35" i="4"/>
  <c r="K35" i="4"/>
  <c r="H35" i="4"/>
  <c r="J35" i="4"/>
  <c r="M77" i="4"/>
  <c r="Q77" i="4" s="1"/>
  <c r="AD10" i="4"/>
  <c r="Q5" i="4"/>
  <c r="AI6" i="4"/>
  <c r="V18" i="4"/>
  <c r="V19" i="4"/>
  <c r="Z6" i="4"/>
  <c r="O43" i="4"/>
  <c r="G43" i="4"/>
  <c r="K43" i="4"/>
  <c r="J43" i="4"/>
  <c r="I43" i="4"/>
  <c r="H43" i="4"/>
  <c r="N43" i="4"/>
  <c r="M43" i="4"/>
  <c r="P43" i="4"/>
  <c r="R43" i="4" s="1"/>
  <c r="L43" i="4"/>
  <c r="AQ10" i="4"/>
  <c r="O74" i="4"/>
  <c r="M6" i="4"/>
  <c r="S18" i="4"/>
  <c r="S19" i="4"/>
  <c r="AB19" i="4"/>
  <c r="AB18" i="4"/>
  <c r="M42" i="4"/>
  <c r="L42" i="4"/>
  <c r="J42" i="4"/>
  <c r="I42" i="4"/>
  <c r="P42" i="4"/>
  <c r="R42" i="4" s="1"/>
  <c r="G42" i="4"/>
  <c r="O42" i="4"/>
  <c r="K42" i="4"/>
  <c r="H42" i="4"/>
  <c r="N42" i="4"/>
  <c r="I40" i="4"/>
  <c r="O40" i="4"/>
  <c r="M40" i="4"/>
  <c r="L40" i="4"/>
  <c r="H40" i="4"/>
  <c r="K40" i="4"/>
  <c r="P40" i="4"/>
  <c r="R40" i="4" s="1"/>
  <c r="N40" i="4"/>
  <c r="J40" i="4"/>
  <c r="G40" i="4"/>
  <c r="AF14" i="4"/>
  <c r="AH14" i="4" s="1"/>
  <c r="AG14" i="4"/>
  <c r="AI14" i="4" s="1"/>
  <c r="AK14" i="4" s="1"/>
  <c r="Q27" i="4" l="1"/>
  <c r="K20" i="4"/>
  <c r="P20" i="4"/>
  <c r="AC20" i="4"/>
  <c r="AD37" i="4"/>
  <c r="AM14" i="4"/>
  <c r="AO14" i="4" s="1"/>
  <c r="AK18" i="4"/>
  <c r="AK20" i="4" s="1"/>
  <c r="AK19" i="4"/>
  <c r="AB20" i="4"/>
  <c r="V20" i="4"/>
  <c r="Q35" i="4"/>
  <c r="Q26" i="4"/>
  <c r="Q34" i="4"/>
  <c r="G45" i="4"/>
  <c r="G46" i="4" s="1"/>
  <c r="O20" i="4"/>
  <c r="O45" i="4" s="1"/>
  <c r="O46" i="4" s="1"/>
  <c r="U20" i="4"/>
  <c r="U21" i="4" s="1"/>
  <c r="AA20" i="4"/>
  <c r="F20" i="4"/>
  <c r="AQ23" i="4"/>
  <c r="Q41" i="4"/>
  <c r="Q43" i="4"/>
  <c r="Q28" i="4"/>
  <c r="Q40" i="4"/>
  <c r="Q33" i="4"/>
  <c r="AQ32" i="4"/>
  <c r="W20" i="4"/>
  <c r="W21" i="4" s="1"/>
  <c r="Q36" i="4"/>
  <c r="AD23" i="4"/>
  <c r="Q44" i="4"/>
  <c r="Q42" i="4"/>
  <c r="M45" i="4"/>
  <c r="M46" i="4" s="1"/>
  <c r="Q32" i="4"/>
  <c r="Q38" i="4"/>
  <c r="Q30" i="4"/>
  <c r="Q39" i="4"/>
  <c r="S20" i="4"/>
  <c r="S21" i="4" s="1"/>
  <c r="R45" i="4"/>
  <c r="R46" i="4" s="1"/>
  <c r="T20" i="4"/>
  <c r="T21" i="4" s="1"/>
  <c r="Z20" i="4"/>
  <c r="Z21" i="4" s="1"/>
  <c r="I20" i="4"/>
  <c r="I21" i="4" s="1"/>
  <c r="Q23" i="4"/>
  <c r="I45" i="4"/>
  <c r="I46" i="4" s="1"/>
  <c r="K45" i="4"/>
  <c r="K46" i="4" s="1"/>
  <c r="K21" i="4"/>
  <c r="H45" i="4"/>
  <c r="H46" i="4" s="1"/>
  <c r="H21" i="4"/>
  <c r="J21" i="4"/>
  <c r="J45" i="4"/>
  <c r="J46" i="4" s="1"/>
  <c r="AB21" i="4"/>
  <c r="L45" i="4"/>
  <c r="L46" i="4" s="1"/>
  <c r="L21" i="4"/>
  <c r="Y21" i="4"/>
  <c r="AF18" i="4"/>
  <c r="AI18" i="4"/>
  <c r="AG18" i="4"/>
  <c r="AD27" i="4"/>
  <c r="AM18" i="4"/>
  <c r="AM20" i="4" s="1"/>
  <c r="AI19" i="4"/>
  <c r="Q18" i="4"/>
  <c r="D18" i="4"/>
  <c r="AD44" i="4"/>
  <c r="AQ44" i="4"/>
  <c r="V21" i="4"/>
  <c r="AD19" i="4"/>
  <c r="S39" i="4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E39" i="4" s="1"/>
  <c r="AQ26" i="4"/>
  <c r="F62" i="4"/>
  <c r="G58" i="4"/>
  <c r="N45" i="4"/>
  <c r="N46" i="4" s="1"/>
  <c r="N21" i="4"/>
  <c r="AM19" i="4"/>
  <c r="AQ6" i="4"/>
  <c r="Q19" i="4"/>
  <c r="D19" i="4"/>
  <c r="AA21" i="4"/>
  <c r="AG19" i="4"/>
  <c r="AD18" i="4"/>
  <c r="AQ28" i="4"/>
  <c r="S41" i="4"/>
  <c r="T41" i="4" s="1"/>
  <c r="U41" i="4" s="1"/>
  <c r="V41" i="4" s="1"/>
  <c r="W41" i="4" s="1"/>
  <c r="X41" i="4" s="1"/>
  <c r="Y41" i="4" s="1"/>
  <c r="Z41" i="4" s="1"/>
  <c r="AA41" i="4" s="1"/>
  <c r="AB41" i="4" s="1"/>
  <c r="AC41" i="4" s="1"/>
  <c r="AE41" i="4" s="1"/>
  <c r="S34" i="4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E34" i="4" s="1"/>
  <c r="E20" i="4"/>
  <c r="S38" i="4"/>
  <c r="T38" i="4" s="1"/>
  <c r="U38" i="4" s="1"/>
  <c r="V38" i="4" s="1"/>
  <c r="W38" i="4" s="1"/>
  <c r="X38" i="4" s="1"/>
  <c r="Y38" i="4" s="1"/>
  <c r="Z38" i="4" s="1"/>
  <c r="AA38" i="4" s="1"/>
  <c r="AB38" i="4" s="1"/>
  <c r="AC38" i="4" s="1"/>
  <c r="AE38" i="4" s="1"/>
  <c r="AD28" i="4"/>
  <c r="AO18" i="4"/>
  <c r="AQ27" i="4"/>
  <c r="S60" i="4"/>
  <c r="T60" i="4" s="1"/>
  <c r="U60" i="4" s="1"/>
  <c r="V60" i="4" s="1"/>
  <c r="W60" i="4" s="1"/>
  <c r="X60" i="4" s="1"/>
  <c r="Y60" i="4" s="1"/>
  <c r="Z60" i="4" s="1"/>
  <c r="AA60" i="4" s="1"/>
  <c r="AB60" i="4" s="1"/>
  <c r="AC60" i="4" s="1"/>
  <c r="AE60" i="4" s="1"/>
  <c r="AF37" i="4"/>
  <c r="AG37" i="4" s="1"/>
  <c r="AH37" i="4" s="1"/>
  <c r="AI37" i="4" s="1"/>
  <c r="AJ37" i="4" s="1"/>
  <c r="AK37" i="4" s="1"/>
  <c r="AL37" i="4" s="1"/>
  <c r="AM37" i="4" s="1"/>
  <c r="AN37" i="4" s="1"/>
  <c r="AO37" i="4" s="1"/>
  <c r="AP37" i="4" s="1"/>
  <c r="E63" i="4"/>
  <c r="D63" i="4" s="1"/>
  <c r="D62" i="4"/>
  <c r="F45" i="4"/>
  <c r="F46" i="4" s="1"/>
  <c r="F21" i="4"/>
  <c r="S43" i="4"/>
  <c r="T43" i="4" s="1"/>
  <c r="U43" i="4" s="1"/>
  <c r="V43" i="4" s="1"/>
  <c r="W43" i="4" s="1"/>
  <c r="X43" i="4" s="1"/>
  <c r="Y43" i="4" s="1"/>
  <c r="Z43" i="4" s="1"/>
  <c r="AA43" i="4" s="1"/>
  <c r="AB43" i="4" s="1"/>
  <c r="AC43" i="4" s="1"/>
  <c r="AE43" i="4" s="1"/>
  <c r="S35" i="4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E35" i="4" s="1"/>
  <c r="AD26" i="4"/>
  <c r="AO19" i="4"/>
  <c r="AD32" i="4"/>
  <c r="Q60" i="4"/>
  <c r="S36" i="4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E36" i="4" s="1"/>
  <c r="S30" i="4"/>
  <c r="T30" i="4" s="1"/>
  <c r="U30" i="4" s="1"/>
  <c r="V30" i="4" s="1"/>
  <c r="W30" i="4" s="1"/>
  <c r="X30" i="4" s="1"/>
  <c r="AC21" i="4"/>
  <c r="S33" i="4"/>
  <c r="S42" i="4"/>
  <c r="T42" i="4" s="1"/>
  <c r="U42" i="4" s="1"/>
  <c r="V42" i="4" s="1"/>
  <c r="W42" i="4" s="1"/>
  <c r="X42" i="4" s="1"/>
  <c r="Y42" i="4" s="1"/>
  <c r="Z42" i="4" s="1"/>
  <c r="AA42" i="4" s="1"/>
  <c r="AB42" i="4" s="1"/>
  <c r="AC42" i="4" s="1"/>
  <c r="AE42" i="4" s="1"/>
  <c r="AD42" i="4"/>
  <c r="AJ14" i="4"/>
  <c r="AH19" i="4"/>
  <c r="AH18" i="4"/>
  <c r="AH20" i="4" s="1"/>
  <c r="S40" i="4"/>
  <c r="T40" i="4" s="1"/>
  <c r="U40" i="4" s="1"/>
  <c r="V40" i="4" s="1"/>
  <c r="W40" i="4" s="1"/>
  <c r="X40" i="4" s="1"/>
  <c r="Y40" i="4" s="1"/>
  <c r="Z40" i="4" s="1"/>
  <c r="AA40" i="4" s="1"/>
  <c r="AB40" i="4" s="1"/>
  <c r="AC40" i="4" s="1"/>
  <c r="AE40" i="4" s="1"/>
  <c r="P74" i="4"/>
  <c r="Q6" i="4"/>
  <c r="AE20" i="4"/>
  <c r="AF19" i="4"/>
  <c r="AF20" i="4" s="1"/>
  <c r="P45" i="4"/>
  <c r="P46" i="4" s="1"/>
  <c r="P21" i="4"/>
  <c r="O21" i="4" l="1"/>
  <c r="G21" i="4"/>
  <c r="AD35" i="4"/>
  <c r="AD34" i="4"/>
  <c r="T33" i="4"/>
  <c r="U33" i="4" s="1"/>
  <c r="V33" i="4" s="1"/>
  <c r="W33" i="4" s="1"/>
  <c r="X33" i="4" s="1"/>
  <c r="Y33" i="4" s="1"/>
  <c r="Z33" i="4" s="1"/>
  <c r="AA33" i="4" s="1"/>
  <c r="AB33" i="4" s="1"/>
  <c r="AC33" i="4" s="1"/>
  <c r="AE33" i="4" s="1"/>
  <c r="AD33" i="4"/>
  <c r="AO20" i="4"/>
  <c r="AO21" i="4" s="1"/>
  <c r="AD20" i="4"/>
  <c r="AD21" i="4" s="1"/>
  <c r="R74" i="4"/>
  <c r="Q74" i="4"/>
  <c r="AD40" i="4"/>
  <c r="AD36" i="4"/>
  <c r="V45" i="4"/>
  <c r="V46" i="4" s="1"/>
  <c r="AI20" i="4"/>
  <c r="AI21" i="4" s="1"/>
  <c r="AD41" i="4"/>
  <c r="AD39" i="4"/>
  <c r="Q20" i="4"/>
  <c r="Q21" i="4" s="1"/>
  <c r="AH21" i="4"/>
  <c r="AM21" i="4"/>
  <c r="AF21" i="4"/>
  <c r="AF60" i="4"/>
  <c r="AG60" i="4" s="1"/>
  <c r="AH60" i="4" s="1"/>
  <c r="AI60" i="4" s="1"/>
  <c r="AJ60" i="4" s="1"/>
  <c r="AK60" i="4" s="1"/>
  <c r="AL60" i="4" s="1"/>
  <c r="AM60" i="4" s="1"/>
  <c r="AN60" i="4" s="1"/>
  <c r="AO60" i="4" s="1"/>
  <c r="AP60" i="4" s="1"/>
  <c r="W45" i="4"/>
  <c r="W46" i="4" s="1"/>
  <c r="AD60" i="4"/>
  <c r="AD38" i="4"/>
  <c r="U45" i="4"/>
  <c r="U46" i="4" s="1"/>
  <c r="AK21" i="4"/>
  <c r="AF43" i="4"/>
  <c r="AG43" i="4" s="1"/>
  <c r="AH43" i="4" s="1"/>
  <c r="AI43" i="4" s="1"/>
  <c r="AJ43" i="4" s="1"/>
  <c r="AK43" i="4" s="1"/>
  <c r="AL43" i="4" s="1"/>
  <c r="AM43" i="4" s="1"/>
  <c r="AN43" i="4" s="1"/>
  <c r="AO43" i="4" s="1"/>
  <c r="AP43" i="4" s="1"/>
  <c r="AF38" i="4"/>
  <c r="AG38" i="4" s="1"/>
  <c r="AH38" i="4" s="1"/>
  <c r="AI38" i="4" s="1"/>
  <c r="AJ38" i="4" s="1"/>
  <c r="AK38" i="4" s="1"/>
  <c r="AL38" i="4" s="1"/>
  <c r="AM38" i="4" s="1"/>
  <c r="AN38" i="4" s="1"/>
  <c r="AO38" i="4" s="1"/>
  <c r="AP38" i="4" s="1"/>
  <c r="AF41" i="4"/>
  <c r="AG41" i="4" s="1"/>
  <c r="AH41" i="4" s="1"/>
  <c r="AI41" i="4" s="1"/>
  <c r="AJ41" i="4" s="1"/>
  <c r="AK41" i="4" s="1"/>
  <c r="AL41" i="4" s="1"/>
  <c r="AM41" i="4" s="1"/>
  <c r="AN41" i="4" s="1"/>
  <c r="AO41" i="4" s="1"/>
  <c r="AP41" i="4" s="1"/>
  <c r="AF39" i="4"/>
  <c r="AG39" i="4" s="1"/>
  <c r="AH39" i="4" s="1"/>
  <c r="AI39" i="4" s="1"/>
  <c r="AJ39" i="4" s="1"/>
  <c r="AK39" i="4" s="1"/>
  <c r="AL39" i="4" s="1"/>
  <c r="AM39" i="4" s="1"/>
  <c r="AN39" i="4" s="1"/>
  <c r="AO39" i="4" s="1"/>
  <c r="AP39" i="4" s="1"/>
  <c r="AE21" i="4"/>
  <c r="AL14" i="4"/>
  <c r="AJ19" i="4"/>
  <c r="AJ18" i="4"/>
  <c r="Y30" i="4"/>
  <c r="X45" i="4"/>
  <c r="X46" i="4" s="1"/>
  <c r="E45" i="4"/>
  <c r="D20" i="4"/>
  <c r="E21" i="4"/>
  <c r="D21" i="4" s="1"/>
  <c r="S45" i="4"/>
  <c r="AF42" i="4"/>
  <c r="AG42" i="4" s="1"/>
  <c r="AH42" i="4" s="1"/>
  <c r="AI42" i="4" s="1"/>
  <c r="AJ42" i="4" s="1"/>
  <c r="AK42" i="4" s="1"/>
  <c r="AL42" i="4" s="1"/>
  <c r="AM42" i="4" s="1"/>
  <c r="AN42" i="4" s="1"/>
  <c r="AO42" i="4" s="1"/>
  <c r="AP42" i="4" s="1"/>
  <c r="AF36" i="4"/>
  <c r="AG36" i="4" s="1"/>
  <c r="AH36" i="4" s="1"/>
  <c r="AI36" i="4" s="1"/>
  <c r="AJ36" i="4" s="1"/>
  <c r="AK36" i="4" s="1"/>
  <c r="AL36" i="4" s="1"/>
  <c r="AM36" i="4" s="1"/>
  <c r="AN36" i="4" s="1"/>
  <c r="AO36" i="4" s="1"/>
  <c r="AP36" i="4" s="1"/>
  <c r="AF35" i="4"/>
  <c r="AG35" i="4" s="1"/>
  <c r="AH35" i="4" s="1"/>
  <c r="AI35" i="4" s="1"/>
  <c r="AJ35" i="4" s="1"/>
  <c r="AK35" i="4" s="1"/>
  <c r="AL35" i="4" s="1"/>
  <c r="AM35" i="4" s="1"/>
  <c r="AN35" i="4" s="1"/>
  <c r="AO35" i="4" s="1"/>
  <c r="AP35" i="4" s="1"/>
  <c r="AQ35" i="4"/>
  <c r="G62" i="4"/>
  <c r="H58" i="4"/>
  <c r="AF40" i="4"/>
  <c r="AG40" i="4" s="1"/>
  <c r="AH40" i="4" s="1"/>
  <c r="AI40" i="4" s="1"/>
  <c r="AJ40" i="4" s="1"/>
  <c r="AK40" i="4" s="1"/>
  <c r="AL40" i="4" s="1"/>
  <c r="AM40" i="4" s="1"/>
  <c r="AN40" i="4" s="1"/>
  <c r="AO40" i="4" s="1"/>
  <c r="AP40" i="4" s="1"/>
  <c r="AF33" i="4"/>
  <c r="AG33" i="4" s="1"/>
  <c r="AH33" i="4" s="1"/>
  <c r="AI33" i="4" s="1"/>
  <c r="AJ33" i="4" s="1"/>
  <c r="AK33" i="4" s="1"/>
  <c r="AL33" i="4" s="1"/>
  <c r="AM33" i="4" s="1"/>
  <c r="AN33" i="4" s="1"/>
  <c r="AO33" i="4" s="1"/>
  <c r="AP33" i="4" s="1"/>
  <c r="AD43" i="4"/>
  <c r="AQ37" i="4"/>
  <c r="AF34" i="4"/>
  <c r="AG34" i="4" s="1"/>
  <c r="AH34" i="4" s="1"/>
  <c r="AI34" i="4" s="1"/>
  <c r="AJ34" i="4" s="1"/>
  <c r="AK34" i="4" s="1"/>
  <c r="AL34" i="4" s="1"/>
  <c r="AM34" i="4" s="1"/>
  <c r="AN34" i="4" s="1"/>
  <c r="AO34" i="4" s="1"/>
  <c r="AP34" i="4" s="1"/>
  <c r="F63" i="4"/>
  <c r="F66" i="4"/>
  <c r="AG20" i="4"/>
  <c r="T45" i="4" l="1"/>
  <c r="T46" i="4" s="1"/>
  <c r="AQ39" i="4"/>
  <c r="AQ38" i="4"/>
  <c r="AQ36" i="4"/>
  <c r="AQ40" i="4"/>
  <c r="AN14" i="4"/>
  <c r="AL19" i="4"/>
  <c r="AL18" i="4"/>
  <c r="AG21" i="4"/>
  <c r="AQ33" i="4"/>
  <c r="E46" i="4"/>
  <c r="D46" i="4" s="1"/>
  <c r="Q45" i="4"/>
  <c r="Q46" i="4" s="1"/>
  <c r="E66" i="4"/>
  <c r="AQ43" i="4"/>
  <c r="F67" i="4"/>
  <c r="AQ34" i="4"/>
  <c r="AQ42" i="4"/>
  <c r="Z30" i="4"/>
  <c r="Y45" i="4"/>
  <c r="Y46" i="4" s="1"/>
  <c r="H62" i="4"/>
  <c r="I58" i="4"/>
  <c r="S46" i="4"/>
  <c r="AJ20" i="4"/>
  <c r="AQ41" i="4"/>
  <c r="AQ60" i="4"/>
  <c r="G66" i="4"/>
  <c r="G63" i="4"/>
  <c r="AL20" i="4" l="1"/>
  <c r="AL21" i="4" s="1"/>
  <c r="AA30" i="4"/>
  <c r="Z45" i="4"/>
  <c r="Z46" i="4" s="1"/>
  <c r="AJ21" i="4"/>
  <c r="H66" i="4"/>
  <c r="H63" i="4"/>
  <c r="M75" i="4"/>
  <c r="E67" i="4"/>
  <c r="E69" i="4"/>
  <c r="F69" i="4" s="1"/>
  <c r="G69" i="4" s="1"/>
  <c r="G67" i="4"/>
  <c r="AP14" i="4"/>
  <c r="AN18" i="4"/>
  <c r="AN19" i="4"/>
  <c r="AQ14" i="4"/>
  <c r="I62" i="4"/>
  <c r="J58" i="4"/>
  <c r="AN20" i="4" l="1"/>
  <c r="AN21" i="4" s="1"/>
  <c r="AP18" i="4"/>
  <c r="AQ18" i="4" s="1"/>
  <c r="AP19" i="4"/>
  <c r="AQ19" i="4" s="1"/>
  <c r="H67" i="4"/>
  <c r="H69" i="4"/>
  <c r="J62" i="4"/>
  <c r="K58" i="4"/>
  <c r="I63" i="4"/>
  <c r="I66" i="4"/>
  <c r="AB30" i="4"/>
  <c r="AA45" i="4"/>
  <c r="M76" i="4"/>
  <c r="AQ20" i="4" l="1"/>
  <c r="AQ21" i="4" s="1"/>
  <c r="AC30" i="4"/>
  <c r="AB45" i="4"/>
  <c r="AB46" i="4" s="1"/>
  <c r="AA46" i="4"/>
  <c r="I69" i="4"/>
  <c r="AP20" i="4"/>
  <c r="J63" i="4"/>
  <c r="J66" i="4"/>
  <c r="L58" i="4"/>
  <c r="K62" i="4"/>
  <c r="I67" i="4"/>
  <c r="K63" i="4" l="1"/>
  <c r="K66" i="4"/>
  <c r="K67" i="4" s="1"/>
  <c r="J69" i="4"/>
  <c r="J67" i="4"/>
  <c r="N75" i="4"/>
  <c r="M58" i="4"/>
  <c r="L62" i="4"/>
  <c r="AE30" i="4"/>
  <c r="AC45" i="4"/>
  <c r="AC46" i="4" s="1"/>
  <c r="AD30" i="4"/>
  <c r="AP21" i="4"/>
  <c r="R78" i="4"/>
  <c r="M62" i="4" l="1"/>
  <c r="N58" i="4"/>
  <c r="N76" i="4"/>
  <c r="K69" i="4"/>
  <c r="AF30" i="4"/>
  <c r="AE45" i="4"/>
  <c r="AE46" i="4" s="1"/>
  <c r="L66" i="4"/>
  <c r="L63" i="4"/>
  <c r="AD45" i="4"/>
  <c r="AD46" i="4" s="1"/>
  <c r="AG30" i="4" l="1"/>
  <c r="AF45" i="4"/>
  <c r="AF46" i="4" s="1"/>
  <c r="L69" i="4"/>
  <c r="L67" i="4"/>
  <c r="N62" i="4"/>
  <c r="O58" i="4"/>
  <c r="M66" i="4"/>
  <c r="M63" i="4"/>
  <c r="M67" i="4" l="1"/>
  <c r="M69" i="4"/>
  <c r="O75" i="4"/>
  <c r="P58" i="4"/>
  <c r="O62" i="4"/>
  <c r="N63" i="4"/>
  <c r="N66" i="4"/>
  <c r="N67" i="4"/>
  <c r="AH30" i="4"/>
  <c r="AG45" i="4"/>
  <c r="AG46" i="4" s="1"/>
  <c r="O66" i="4" l="1"/>
  <c r="O63" i="4"/>
  <c r="N69" i="4"/>
  <c r="AI30" i="4"/>
  <c r="AH45" i="4"/>
  <c r="AH46" i="4" s="1"/>
  <c r="P62" i="4"/>
  <c r="R58" i="4"/>
  <c r="Q58" i="4"/>
  <c r="Q62" i="4" s="1"/>
  <c r="O76" i="4"/>
  <c r="P66" i="4" l="1"/>
  <c r="P67" i="4" s="1"/>
  <c r="P63" i="4"/>
  <c r="R62" i="4"/>
  <c r="S58" i="4"/>
  <c r="AJ30" i="4"/>
  <c r="AI45" i="4"/>
  <c r="AI46" i="4" s="1"/>
  <c r="Q63" i="4"/>
  <c r="Q66" i="4"/>
  <c r="Q67" i="4" s="1"/>
  <c r="O69" i="4"/>
  <c r="O67" i="4"/>
  <c r="AK30" i="4" l="1"/>
  <c r="AJ45" i="4"/>
  <c r="AJ46" i="4" s="1"/>
  <c r="T58" i="4"/>
  <c r="S62" i="4"/>
  <c r="R63" i="4"/>
  <c r="R66" i="4"/>
  <c r="P69" i="4"/>
  <c r="P75" i="4"/>
  <c r="Q69" i="4" l="1"/>
  <c r="N78" i="4" s="1"/>
  <c r="P78" i="4"/>
  <c r="P76" i="4"/>
  <c r="R75" i="4"/>
  <c r="R76" i="4" s="1"/>
  <c r="Q75" i="4"/>
  <c r="Q76" i="4" s="1"/>
  <c r="R69" i="4"/>
  <c r="R67" i="4"/>
  <c r="S66" i="4"/>
  <c r="S63" i="4"/>
  <c r="U58" i="4"/>
  <c r="T62" i="4"/>
  <c r="AL30" i="4"/>
  <c r="AK45" i="4"/>
  <c r="AK46" i="4" s="1"/>
  <c r="AM30" i="4" l="1"/>
  <c r="AL45" i="4"/>
  <c r="AL46" i="4" s="1"/>
  <c r="U62" i="4"/>
  <c r="V58" i="4"/>
  <c r="Q80" i="4"/>
  <c r="P80" i="4"/>
  <c r="Q79" i="4"/>
  <c r="P79" i="4"/>
  <c r="Q81" i="4"/>
  <c r="P81" i="4"/>
  <c r="T66" i="4"/>
  <c r="T63" i="4"/>
  <c r="S69" i="4"/>
  <c r="S67" i="4"/>
  <c r="G1" i="3"/>
  <c r="E27" i="3" s="1"/>
  <c r="D65" i="3"/>
  <c r="D64" i="3"/>
  <c r="D61" i="3"/>
  <c r="AQ59" i="3"/>
  <c r="AD59" i="3"/>
  <c r="AQ57" i="3"/>
  <c r="AD57" i="3"/>
  <c r="AQ56" i="3"/>
  <c r="AD56" i="3"/>
  <c r="AQ55" i="3"/>
  <c r="AD55" i="3"/>
  <c r="AQ54" i="3"/>
  <c r="AD54" i="3"/>
  <c r="AQ53" i="3"/>
  <c r="AD53" i="3"/>
  <c r="AQ52" i="3"/>
  <c r="AD52" i="3"/>
  <c r="AQ51" i="3"/>
  <c r="AD51" i="3"/>
  <c r="AQ50" i="3"/>
  <c r="AD50" i="3"/>
  <c r="AQ49" i="3"/>
  <c r="AD49" i="3"/>
  <c r="AQ48" i="3"/>
  <c r="AD48" i="3"/>
  <c r="D47" i="3"/>
  <c r="AQ31" i="3"/>
  <c r="AD31" i="3"/>
  <c r="AQ29" i="3"/>
  <c r="AD29" i="3"/>
  <c r="Q29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Q25" i="3" s="1"/>
  <c r="AC25" i="3"/>
  <c r="AB25" i="3"/>
  <c r="AA25" i="3"/>
  <c r="Z25" i="3"/>
  <c r="Y25" i="3"/>
  <c r="X25" i="3"/>
  <c r="W25" i="3"/>
  <c r="V25" i="3"/>
  <c r="U25" i="3"/>
  <c r="AD25" i="3" s="1"/>
  <c r="T25" i="3"/>
  <c r="S25" i="3"/>
  <c r="R25" i="3"/>
  <c r="P25" i="3"/>
  <c r="O25" i="3"/>
  <c r="N25" i="3"/>
  <c r="M25" i="3"/>
  <c r="L25" i="3"/>
  <c r="K25" i="3"/>
  <c r="J25" i="3"/>
  <c r="I25" i="3"/>
  <c r="H25" i="3"/>
  <c r="G25" i="3"/>
  <c r="F25" i="3"/>
  <c r="AQ24" i="3"/>
  <c r="AD24" i="3"/>
  <c r="AM23" i="3"/>
  <c r="Z23" i="3"/>
  <c r="R23" i="3"/>
  <c r="M23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C17" i="3"/>
  <c r="AB17" i="3"/>
  <c r="AA17" i="3"/>
  <c r="Z17" i="3"/>
  <c r="Y17" i="3"/>
  <c r="X17" i="3"/>
  <c r="W17" i="3"/>
  <c r="V17" i="3"/>
  <c r="U17" i="3"/>
  <c r="AD17" i="3" s="1"/>
  <c r="T17" i="3"/>
  <c r="S17" i="3"/>
  <c r="R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 s="1"/>
  <c r="AP16" i="3"/>
  <c r="AO16" i="3"/>
  <c r="AN16" i="3"/>
  <c r="AM16" i="3"/>
  <c r="AL16" i="3"/>
  <c r="AK16" i="3"/>
  <c r="AJ16" i="3"/>
  <c r="AI16" i="3"/>
  <c r="AH16" i="3"/>
  <c r="AG16" i="3"/>
  <c r="AF16" i="3"/>
  <c r="AE16" i="3"/>
  <c r="AC16" i="3"/>
  <c r="AB16" i="3"/>
  <c r="AA16" i="3"/>
  <c r="Z16" i="3"/>
  <c r="Y16" i="3"/>
  <c r="X16" i="3"/>
  <c r="W16" i="3"/>
  <c r="V16" i="3"/>
  <c r="U16" i="3"/>
  <c r="AD16" i="3" s="1"/>
  <c r="T16" i="3"/>
  <c r="S16" i="3"/>
  <c r="R16" i="3"/>
  <c r="P16" i="3"/>
  <c r="O16" i="3"/>
  <c r="N16" i="3"/>
  <c r="M16" i="3"/>
  <c r="L16" i="3"/>
  <c r="K16" i="3"/>
  <c r="J16" i="3"/>
  <c r="I16" i="3"/>
  <c r="Q16" i="3" s="1"/>
  <c r="H16" i="3"/>
  <c r="G16" i="3"/>
  <c r="F16" i="3"/>
  <c r="E16" i="3"/>
  <c r="D16" i="3" s="1"/>
  <c r="AD15" i="3"/>
  <c r="E14" i="3"/>
  <c r="D12" i="3"/>
  <c r="D11" i="3"/>
  <c r="D10" i="3"/>
  <c r="E6" i="3"/>
  <c r="AO5" i="3"/>
  <c r="AO6" i="3" s="1"/>
  <c r="AI5" i="3"/>
  <c r="AB5" i="3"/>
  <c r="AB6" i="3" s="1"/>
  <c r="AA5" i="3"/>
  <c r="AA6" i="3" s="1"/>
  <c r="Y5" i="3"/>
  <c r="Y6" i="3" s="1"/>
  <c r="T5" i="3"/>
  <c r="T6" i="3" s="1"/>
  <c r="N5" i="3"/>
  <c r="N6" i="3" s="1"/>
  <c r="L5" i="3"/>
  <c r="L6" i="3" s="1"/>
  <c r="J5" i="3"/>
  <c r="J6" i="3" s="1"/>
  <c r="F5" i="3"/>
  <c r="F6" i="3" s="1"/>
  <c r="E5" i="3"/>
  <c r="AP5" i="3" s="1"/>
  <c r="AD17" i="1"/>
  <c r="AD16" i="1"/>
  <c r="AD15" i="1"/>
  <c r="AD14" i="1"/>
  <c r="G1" i="1"/>
  <c r="C17" i="2"/>
  <c r="E16" i="2"/>
  <c r="D16" i="2"/>
  <c r="E15" i="2"/>
  <c r="D15" i="2"/>
  <c r="B14" i="2"/>
  <c r="B13" i="2"/>
  <c r="B12" i="2"/>
  <c r="E12" i="2" s="1"/>
  <c r="F9" i="2"/>
  <c r="E9" i="2"/>
  <c r="D9" i="2"/>
  <c r="J8" i="2"/>
  <c r="F8" i="2"/>
  <c r="E8" i="2"/>
  <c r="D8" i="2"/>
  <c r="J7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D2" i="2"/>
  <c r="E14" i="1"/>
  <c r="D14" i="1" s="1"/>
  <c r="D12" i="1"/>
  <c r="D11" i="1"/>
  <c r="D10" i="1"/>
  <c r="D47" i="1"/>
  <c r="D61" i="1"/>
  <c r="D64" i="1"/>
  <c r="D65" i="1"/>
  <c r="E13" i="2" l="1"/>
  <c r="D13" i="2"/>
  <c r="D14" i="2"/>
  <c r="E14" i="2"/>
  <c r="AG12" i="1"/>
  <c r="E27" i="1"/>
  <c r="AC27" i="1" s="1"/>
  <c r="I4" i="1"/>
  <c r="AP4" i="1"/>
  <c r="AN4" i="1"/>
  <c r="AK4" i="1"/>
  <c r="AI4" i="1"/>
  <c r="AG4" i="1"/>
  <c r="AC4" i="1"/>
  <c r="Z4" i="1"/>
  <c r="X4" i="1"/>
  <c r="V4" i="1"/>
  <c r="S4" i="1"/>
  <c r="AD4" i="1" s="1"/>
  <c r="P4" i="1"/>
  <c r="M4" i="1"/>
  <c r="K4" i="1"/>
  <c r="Q4" i="1" s="1"/>
  <c r="E53" i="1"/>
  <c r="E54" i="1"/>
  <c r="E55" i="1"/>
  <c r="E56" i="1"/>
  <c r="E57" i="1"/>
  <c r="E60" i="1"/>
  <c r="E50" i="1"/>
  <c r="E51" i="1"/>
  <c r="E52" i="1"/>
  <c r="E49" i="1"/>
  <c r="E48" i="1"/>
  <c r="D58" i="1"/>
  <c r="E58" i="1" s="1"/>
  <c r="E24" i="1"/>
  <c r="E25" i="1"/>
  <c r="E26" i="1"/>
  <c r="E28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3" i="1"/>
  <c r="V62" i="4"/>
  <c r="W58" i="4"/>
  <c r="T69" i="4"/>
  <c r="T67" i="4"/>
  <c r="U66" i="4"/>
  <c r="U63" i="4"/>
  <c r="AN30" i="4"/>
  <c r="AM45" i="4"/>
  <c r="AM46" i="4" s="1"/>
  <c r="P74" i="1"/>
  <c r="R5" i="3"/>
  <c r="R6" i="3" s="1"/>
  <c r="AG5" i="3"/>
  <c r="S5" i="3"/>
  <c r="AH5" i="3"/>
  <c r="AH6" i="3" s="1"/>
  <c r="I5" i="3"/>
  <c r="V5" i="3"/>
  <c r="AJ5" i="3"/>
  <c r="AJ6" i="3" s="1"/>
  <c r="K5" i="3"/>
  <c r="Z5" i="3"/>
  <c r="AK4" i="3"/>
  <c r="V9" i="3"/>
  <c r="AL10" i="3"/>
  <c r="G13" i="3"/>
  <c r="AA9" i="3"/>
  <c r="AG11" i="3"/>
  <c r="T13" i="3"/>
  <c r="AI9" i="3"/>
  <c r="P11" i="3"/>
  <c r="AA13" i="3"/>
  <c r="AL9" i="3"/>
  <c r="AI11" i="3"/>
  <c r="AL13" i="3"/>
  <c r="E51" i="3"/>
  <c r="Q51" i="3" s="1"/>
  <c r="F9" i="3"/>
  <c r="F19" i="3" s="1"/>
  <c r="I4" i="3"/>
  <c r="M74" i="3" s="1"/>
  <c r="K9" i="3"/>
  <c r="I10" i="3"/>
  <c r="P12" i="3"/>
  <c r="AG12" i="3"/>
  <c r="S4" i="3"/>
  <c r="S6" i="3" s="1"/>
  <c r="N9" i="3"/>
  <c r="T10" i="3"/>
  <c r="X12" i="3"/>
  <c r="E35" i="3"/>
  <c r="AI10" i="3"/>
  <c r="Z4" i="3"/>
  <c r="Z6" i="3" s="1"/>
  <c r="S9" i="3"/>
  <c r="AA10" i="3"/>
  <c r="AI12" i="3"/>
  <c r="M35" i="3"/>
  <c r="L35" i="3"/>
  <c r="K35" i="3"/>
  <c r="J35" i="3"/>
  <c r="I35" i="3"/>
  <c r="P35" i="3"/>
  <c r="R35" i="3" s="1"/>
  <c r="H35" i="3"/>
  <c r="N35" i="3"/>
  <c r="O35" i="3"/>
  <c r="G35" i="3"/>
  <c r="Q14" i="3"/>
  <c r="AM27" i="3"/>
  <c r="T27" i="3"/>
  <c r="AJ27" i="3"/>
  <c r="AG27" i="3"/>
  <c r="P27" i="3"/>
  <c r="J27" i="3"/>
  <c r="V4" i="3"/>
  <c r="AN4" i="3"/>
  <c r="L9" i="3"/>
  <c r="T9" i="3"/>
  <c r="AB9" i="3"/>
  <c r="AJ9" i="3"/>
  <c r="V10" i="3"/>
  <c r="AN10" i="3"/>
  <c r="T11" i="3"/>
  <c r="AL11" i="3"/>
  <c r="T12" i="3"/>
  <c r="AL12" i="3"/>
  <c r="V13" i="3"/>
  <c r="AN13" i="3"/>
  <c r="E25" i="3"/>
  <c r="Q25" i="3" s="1"/>
  <c r="G27" i="3"/>
  <c r="E28" i="3"/>
  <c r="E42" i="3"/>
  <c r="E59" i="3"/>
  <c r="Q59" i="3" s="1"/>
  <c r="D58" i="3"/>
  <c r="E58" i="3" s="1"/>
  <c r="E56" i="3"/>
  <c r="Q56" i="3" s="1"/>
  <c r="E54" i="3"/>
  <c r="Q54" i="3" s="1"/>
  <c r="E52" i="3"/>
  <c r="Q52" i="3" s="1"/>
  <c r="E50" i="3"/>
  <c r="Q50" i="3" s="1"/>
  <c r="E48" i="3"/>
  <c r="E43" i="3"/>
  <c r="E39" i="3"/>
  <c r="E44" i="3"/>
  <c r="E40" i="3"/>
  <c r="E53" i="3"/>
  <c r="Q53" i="3" s="1"/>
  <c r="E36" i="3"/>
  <c r="E26" i="3"/>
  <c r="E23" i="3"/>
  <c r="E55" i="3"/>
  <c r="Q55" i="3" s="1"/>
  <c r="E38" i="3"/>
  <c r="E33" i="3"/>
  <c r="E30" i="3"/>
  <c r="E60" i="3"/>
  <c r="E57" i="3"/>
  <c r="Q57" i="3" s="1"/>
  <c r="E49" i="3"/>
  <c r="Q49" i="3" s="1"/>
  <c r="E41" i="3"/>
  <c r="E37" i="3"/>
  <c r="E34" i="3"/>
  <c r="X4" i="3"/>
  <c r="AP4" i="3"/>
  <c r="E9" i="3"/>
  <c r="M9" i="3"/>
  <c r="U9" i="3"/>
  <c r="AC9" i="3"/>
  <c r="AK9" i="3"/>
  <c r="G10" i="3"/>
  <c r="X10" i="3"/>
  <c r="V11" i="3"/>
  <c r="AN11" i="3"/>
  <c r="V12" i="3"/>
  <c r="AN12" i="3"/>
  <c r="X13" i="3"/>
  <c r="D14" i="3"/>
  <c r="M27" i="3"/>
  <c r="Q27" i="3" s="1"/>
  <c r="E32" i="3"/>
  <c r="K4" i="3"/>
  <c r="AC4" i="3"/>
  <c r="M5" i="3"/>
  <c r="U5" i="3"/>
  <c r="U6" i="3" s="1"/>
  <c r="AC5" i="3"/>
  <c r="AK5" i="3"/>
  <c r="G9" i="3"/>
  <c r="O9" i="3"/>
  <c r="W9" i="3"/>
  <c r="AE9" i="3"/>
  <c r="AM9" i="3"/>
  <c r="K10" i="3"/>
  <c r="G11" i="3"/>
  <c r="AA11" i="3"/>
  <c r="G12" i="3"/>
  <c r="AA12" i="3"/>
  <c r="I13" i="3"/>
  <c r="F14" i="3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R14" i="3" s="1"/>
  <c r="Z27" i="3"/>
  <c r="W27" i="3"/>
  <c r="M4" i="3"/>
  <c r="O74" i="3" s="1"/>
  <c r="P77" i="3"/>
  <c r="AL5" i="3"/>
  <c r="AL6" i="3" s="1"/>
  <c r="H9" i="3"/>
  <c r="P9" i="3"/>
  <c r="X9" i="3"/>
  <c r="AF9" i="3"/>
  <c r="AN9" i="3"/>
  <c r="N10" i="3"/>
  <c r="AE10" i="3"/>
  <c r="I11" i="3"/>
  <c r="I12" i="3"/>
  <c r="K13" i="3"/>
  <c r="AE13" i="3"/>
  <c r="AQ17" i="3"/>
  <c r="AC27" i="3"/>
  <c r="P4" i="3"/>
  <c r="AG4" i="3"/>
  <c r="G5" i="3"/>
  <c r="O5" i="3"/>
  <c r="O6" i="3" s="1"/>
  <c r="W5" i="3"/>
  <c r="W6" i="3" s="1"/>
  <c r="AE5" i="3"/>
  <c r="AM5" i="3"/>
  <c r="AM6" i="3" s="1"/>
  <c r="I9" i="3"/>
  <c r="Y9" i="3"/>
  <c r="AG9" i="3"/>
  <c r="AO9" i="3"/>
  <c r="P10" i="3"/>
  <c r="AG10" i="3"/>
  <c r="AQ10" i="3" s="1"/>
  <c r="K11" i="3"/>
  <c r="AE11" i="3"/>
  <c r="K12" i="3"/>
  <c r="AE12" i="3"/>
  <c r="N13" i="3"/>
  <c r="AG13" i="3"/>
  <c r="E24" i="3"/>
  <c r="Q24" i="3" s="1"/>
  <c r="AE27" i="3"/>
  <c r="X11" i="3"/>
  <c r="AI4" i="3"/>
  <c r="H5" i="3"/>
  <c r="P5" i="3"/>
  <c r="X5" i="3"/>
  <c r="AF5" i="3"/>
  <c r="AF6" i="3" s="1"/>
  <c r="AN5" i="3"/>
  <c r="J9" i="3"/>
  <c r="R9" i="3"/>
  <c r="Z9" i="3"/>
  <c r="AH9" i="3"/>
  <c r="AP9" i="3"/>
  <c r="N11" i="3"/>
  <c r="N12" i="3"/>
  <c r="P13" i="3"/>
  <c r="AI13" i="3"/>
  <c r="AQ16" i="3"/>
  <c r="Q17" i="3"/>
  <c r="AP27" i="3"/>
  <c r="E31" i="3"/>
  <c r="Q31" i="3" s="1"/>
  <c r="G27" i="1"/>
  <c r="AE27" i="1"/>
  <c r="J27" i="1"/>
  <c r="AG27" i="1"/>
  <c r="M27" i="1"/>
  <c r="AJ27" i="1"/>
  <c r="P27" i="1"/>
  <c r="AM27" i="1"/>
  <c r="W27" i="1"/>
  <c r="AP27" i="1"/>
  <c r="Z27" i="1"/>
  <c r="T27" i="1"/>
  <c r="W23" i="1"/>
  <c r="Y23" i="1"/>
  <c r="AB23" i="1"/>
  <c r="H23" i="1"/>
  <c r="J23" i="1"/>
  <c r="AH23" i="1"/>
  <c r="L23" i="1"/>
  <c r="AJ23" i="1"/>
  <c r="O23" i="1"/>
  <c r="AG9" i="1"/>
  <c r="AH9" i="1"/>
  <c r="I10" i="1"/>
  <c r="I9" i="1"/>
  <c r="AA10" i="1"/>
  <c r="V9" i="1"/>
  <c r="AI9" i="1"/>
  <c r="AN10" i="1"/>
  <c r="T13" i="1"/>
  <c r="F58" i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R58" i="1" s="1"/>
  <c r="P9" i="1"/>
  <c r="H9" i="1"/>
  <c r="AC9" i="1"/>
  <c r="U9" i="1"/>
  <c r="AJ9" i="1"/>
  <c r="AN12" i="1"/>
  <c r="X9" i="1"/>
  <c r="P10" i="1"/>
  <c r="E9" i="1"/>
  <c r="O9" i="1"/>
  <c r="G9" i="1"/>
  <c r="AB9" i="1"/>
  <c r="T9" i="1"/>
  <c r="AK9" i="1"/>
  <c r="AG13" i="1"/>
  <c r="W9" i="1"/>
  <c r="V10" i="1"/>
  <c r="P13" i="1"/>
  <c r="N9" i="1"/>
  <c r="F9" i="1"/>
  <c r="AA9" i="1"/>
  <c r="S9" i="1"/>
  <c r="AL9" i="1"/>
  <c r="AL13" i="1"/>
  <c r="K9" i="1"/>
  <c r="J9" i="1"/>
  <c r="G11" i="1"/>
  <c r="K13" i="1"/>
  <c r="M9" i="1"/>
  <c r="R9" i="1"/>
  <c r="Z9" i="1"/>
  <c r="AE9" i="1"/>
  <c r="AM9" i="1"/>
  <c r="K12" i="1"/>
  <c r="AO9" i="1"/>
  <c r="AP9" i="1"/>
  <c r="AL12" i="1"/>
  <c r="L9" i="1"/>
  <c r="Y9" i="1"/>
  <c r="AF9" i="1"/>
  <c r="AN9" i="1"/>
  <c r="D12" i="2"/>
  <c r="D17" i="2" s="1"/>
  <c r="I12" i="1"/>
  <c r="N10" i="1"/>
  <c r="V13" i="1"/>
  <c r="X11" i="1"/>
  <c r="AE11" i="1"/>
  <c r="AE13" i="1"/>
  <c r="AG11" i="1"/>
  <c r="AA11" i="1"/>
  <c r="I13" i="1"/>
  <c r="G12" i="1"/>
  <c r="K10" i="1"/>
  <c r="T11" i="1"/>
  <c r="AI11" i="1"/>
  <c r="AN13" i="1"/>
  <c r="AG10" i="1"/>
  <c r="P11" i="1"/>
  <c r="G13" i="1"/>
  <c r="N11" i="1"/>
  <c r="G10" i="1"/>
  <c r="Q10" i="1" s="1"/>
  <c r="AA13" i="1"/>
  <c r="S18" i="1"/>
  <c r="X10" i="1"/>
  <c r="AN11" i="1"/>
  <c r="F14" i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E14" i="1" s="1"/>
  <c r="N13" i="1"/>
  <c r="K11" i="1"/>
  <c r="AA12" i="1"/>
  <c r="T10" i="1"/>
  <c r="AD10" i="1" s="1"/>
  <c r="AE10" i="1"/>
  <c r="AE12" i="1"/>
  <c r="AI13" i="1"/>
  <c r="V12" i="1"/>
  <c r="P12" i="1"/>
  <c r="I11" i="1"/>
  <c r="X12" i="1"/>
  <c r="AI10" i="1"/>
  <c r="AI12" i="1"/>
  <c r="V11" i="1"/>
  <c r="AL11" i="1"/>
  <c r="N12" i="1"/>
  <c r="X13" i="1"/>
  <c r="T12" i="1"/>
  <c r="AD12" i="1" s="1"/>
  <c r="AL10" i="1"/>
  <c r="AQ59" i="1"/>
  <c r="AD59" i="1"/>
  <c r="AQ57" i="1"/>
  <c r="AD57" i="1"/>
  <c r="Q57" i="1"/>
  <c r="AQ56" i="1"/>
  <c r="AD56" i="1"/>
  <c r="Q56" i="1"/>
  <c r="AQ55" i="1"/>
  <c r="AD55" i="1"/>
  <c r="Q55" i="1"/>
  <c r="AQ54" i="1"/>
  <c r="AD54" i="1"/>
  <c r="Q54" i="1"/>
  <c r="AQ53" i="1"/>
  <c r="AD53" i="1"/>
  <c r="Q53" i="1"/>
  <c r="AQ52" i="1"/>
  <c r="AD52" i="1"/>
  <c r="Q52" i="1"/>
  <c r="AQ51" i="1"/>
  <c r="AD51" i="1"/>
  <c r="Q51" i="1"/>
  <c r="AQ50" i="1"/>
  <c r="AD50" i="1"/>
  <c r="Q50" i="1"/>
  <c r="AQ49" i="1"/>
  <c r="AD49" i="1"/>
  <c r="Q49" i="1"/>
  <c r="AQ48" i="1"/>
  <c r="AD48" i="1"/>
  <c r="Q48" i="1"/>
  <c r="AQ31" i="1"/>
  <c r="AD31" i="1"/>
  <c r="Q31" i="1"/>
  <c r="AQ29" i="1"/>
  <c r="AD29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C25" i="1"/>
  <c r="AB25" i="1"/>
  <c r="AA25" i="1"/>
  <c r="Z25" i="1"/>
  <c r="Y25" i="1"/>
  <c r="X25" i="1"/>
  <c r="W25" i="1"/>
  <c r="V25" i="1"/>
  <c r="U25" i="1"/>
  <c r="T25" i="1"/>
  <c r="S25" i="1"/>
  <c r="R25" i="1"/>
  <c r="P25" i="1"/>
  <c r="O25" i="1"/>
  <c r="N25" i="1"/>
  <c r="M25" i="1"/>
  <c r="L25" i="1"/>
  <c r="K25" i="1"/>
  <c r="J25" i="1"/>
  <c r="I25" i="1"/>
  <c r="H25" i="1"/>
  <c r="G25" i="1"/>
  <c r="F25" i="1"/>
  <c r="AQ24" i="1"/>
  <c r="AD24" i="1"/>
  <c r="AM23" i="1"/>
  <c r="Z23" i="1"/>
  <c r="R23" i="1"/>
  <c r="M23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C17" i="1"/>
  <c r="AB17" i="1"/>
  <c r="AA17" i="1"/>
  <c r="Z17" i="1"/>
  <c r="Y17" i="1"/>
  <c r="X17" i="1"/>
  <c r="W17" i="1"/>
  <c r="V17" i="1"/>
  <c r="U17" i="1"/>
  <c r="T17" i="1"/>
  <c r="S17" i="1"/>
  <c r="R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 s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C16" i="1"/>
  <c r="AB16" i="1"/>
  <c r="AA16" i="1"/>
  <c r="Z16" i="1"/>
  <c r="Y16" i="1"/>
  <c r="X16" i="1"/>
  <c r="W16" i="1"/>
  <c r="V16" i="1"/>
  <c r="U16" i="1"/>
  <c r="T16" i="1"/>
  <c r="S16" i="1"/>
  <c r="R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 s="1"/>
  <c r="Q14" i="1"/>
  <c r="E5" i="1"/>
  <c r="AL5" i="1" s="1"/>
  <c r="AL6" i="1" s="1"/>
  <c r="AQ10" i="1" l="1"/>
  <c r="AD11" i="1"/>
  <c r="AD9" i="1"/>
  <c r="Q9" i="1"/>
  <c r="AD13" i="3"/>
  <c r="AD27" i="3"/>
  <c r="Q35" i="3"/>
  <c r="AD10" i="3"/>
  <c r="AL23" i="1"/>
  <c r="AO23" i="1"/>
  <c r="AE23" i="1"/>
  <c r="AQ23" i="1" s="1"/>
  <c r="U23" i="1"/>
  <c r="AD23" i="1" s="1"/>
  <c r="AN44" i="1"/>
  <c r="AK44" i="1"/>
  <c r="AI44" i="1"/>
  <c r="AG44" i="1"/>
  <c r="AE44" i="1"/>
  <c r="AQ44" i="1" s="1"/>
  <c r="AA44" i="1"/>
  <c r="X44" i="1"/>
  <c r="V44" i="1"/>
  <c r="T44" i="1"/>
  <c r="R44" i="1"/>
  <c r="AD44" i="1" s="1"/>
  <c r="N44" i="1"/>
  <c r="K44" i="1"/>
  <c r="I44" i="1"/>
  <c r="G44" i="1"/>
  <c r="Q44" i="1" s="1"/>
  <c r="I43" i="1"/>
  <c r="J43" i="1"/>
  <c r="K43" i="1"/>
  <c r="L43" i="1"/>
  <c r="M43" i="1"/>
  <c r="N43" i="1"/>
  <c r="O43" i="1"/>
  <c r="P43" i="1"/>
  <c r="R43" i="1" s="1"/>
  <c r="H43" i="1"/>
  <c r="G43" i="1"/>
  <c r="Q43" i="1" s="1"/>
  <c r="I42" i="1"/>
  <c r="J42" i="1"/>
  <c r="K42" i="1"/>
  <c r="L42" i="1"/>
  <c r="M42" i="1"/>
  <c r="N42" i="1"/>
  <c r="O42" i="1"/>
  <c r="P42" i="1"/>
  <c r="R42" i="1" s="1"/>
  <c r="H42" i="1"/>
  <c r="G42" i="1"/>
  <c r="Q42" i="1" s="1"/>
  <c r="I41" i="1"/>
  <c r="J41" i="1"/>
  <c r="K41" i="1"/>
  <c r="L41" i="1"/>
  <c r="M41" i="1"/>
  <c r="N41" i="1"/>
  <c r="O41" i="1"/>
  <c r="P41" i="1"/>
  <c r="R41" i="1" s="1"/>
  <c r="H41" i="1"/>
  <c r="G41" i="1"/>
  <c r="Q41" i="1" s="1"/>
  <c r="I40" i="1"/>
  <c r="J40" i="1"/>
  <c r="K40" i="1"/>
  <c r="L40" i="1"/>
  <c r="M40" i="1"/>
  <c r="N40" i="1"/>
  <c r="O40" i="1"/>
  <c r="P40" i="1"/>
  <c r="R40" i="1" s="1"/>
  <c r="H40" i="1"/>
  <c r="G40" i="1"/>
  <c r="Q40" i="1" s="1"/>
  <c r="I39" i="1"/>
  <c r="J39" i="1"/>
  <c r="K39" i="1"/>
  <c r="L39" i="1"/>
  <c r="M39" i="1"/>
  <c r="N39" i="1"/>
  <c r="O39" i="1"/>
  <c r="P39" i="1"/>
  <c r="R39" i="1" s="1"/>
  <c r="H39" i="1"/>
  <c r="G39" i="1"/>
  <c r="Q39" i="1" s="1"/>
  <c r="I38" i="1"/>
  <c r="J38" i="1"/>
  <c r="K38" i="1"/>
  <c r="L38" i="1"/>
  <c r="M38" i="1"/>
  <c r="N38" i="1"/>
  <c r="O38" i="1"/>
  <c r="P38" i="1"/>
  <c r="R38" i="1" s="1"/>
  <c r="H38" i="1"/>
  <c r="G38" i="1"/>
  <c r="Q38" i="1" s="1"/>
  <c r="I37" i="1"/>
  <c r="J37" i="1"/>
  <c r="K37" i="1"/>
  <c r="L37" i="1"/>
  <c r="M37" i="1"/>
  <c r="N37" i="1"/>
  <c r="O37" i="1"/>
  <c r="P37" i="1"/>
  <c r="R37" i="1" s="1"/>
  <c r="H37" i="1"/>
  <c r="G37" i="1"/>
  <c r="Q37" i="1" s="1"/>
  <c r="I36" i="1"/>
  <c r="J36" i="1"/>
  <c r="K36" i="1"/>
  <c r="L36" i="1"/>
  <c r="M36" i="1"/>
  <c r="N36" i="1"/>
  <c r="O36" i="1"/>
  <c r="P36" i="1"/>
  <c r="R36" i="1" s="1"/>
  <c r="H36" i="1"/>
  <c r="G36" i="1"/>
  <c r="Q36" i="1" s="1"/>
  <c r="I35" i="1"/>
  <c r="J35" i="1"/>
  <c r="K35" i="1"/>
  <c r="L35" i="1"/>
  <c r="M35" i="1"/>
  <c r="N35" i="1"/>
  <c r="O35" i="1"/>
  <c r="P35" i="1"/>
  <c r="R35" i="1" s="1"/>
  <c r="H35" i="1"/>
  <c r="G35" i="1"/>
  <c r="Q35" i="1" s="1"/>
  <c r="I34" i="1"/>
  <c r="J34" i="1"/>
  <c r="K34" i="1"/>
  <c r="L34" i="1"/>
  <c r="M34" i="1"/>
  <c r="N34" i="1"/>
  <c r="O34" i="1"/>
  <c r="P34" i="1"/>
  <c r="R34" i="1" s="1"/>
  <c r="H34" i="1"/>
  <c r="G34" i="1"/>
  <c r="Q34" i="1" s="1"/>
  <c r="I33" i="1"/>
  <c r="J33" i="1"/>
  <c r="K33" i="1"/>
  <c r="L33" i="1"/>
  <c r="M33" i="1"/>
  <c r="N33" i="1"/>
  <c r="O33" i="1"/>
  <c r="P33" i="1"/>
  <c r="R33" i="1" s="1"/>
  <c r="H33" i="1"/>
  <c r="G33" i="1"/>
  <c r="Q33" i="1" s="1"/>
  <c r="AP32" i="1"/>
  <c r="AN32" i="1"/>
  <c r="AK32" i="1"/>
  <c r="AI32" i="1"/>
  <c r="AG32" i="1"/>
  <c r="AE32" i="1"/>
  <c r="AQ32" i="1" s="1"/>
  <c r="AC32" i="1"/>
  <c r="AA32" i="1"/>
  <c r="X32" i="1"/>
  <c r="V32" i="1"/>
  <c r="T32" i="1"/>
  <c r="R32" i="1"/>
  <c r="AD32" i="1" s="1"/>
  <c r="P32" i="1"/>
  <c r="N32" i="1"/>
  <c r="K32" i="1"/>
  <c r="I32" i="1"/>
  <c r="G32" i="1"/>
  <c r="Q32" i="1" s="1"/>
  <c r="G30" i="1"/>
  <c r="H30" i="1"/>
  <c r="I30" i="1"/>
  <c r="J30" i="1"/>
  <c r="K30" i="1"/>
  <c r="L30" i="1"/>
  <c r="M30" i="1"/>
  <c r="N30" i="1"/>
  <c r="O30" i="1"/>
  <c r="P30" i="1"/>
  <c r="R30" i="1" s="1"/>
  <c r="F30" i="1"/>
  <c r="Q30" i="1" s="1"/>
  <c r="AP28" i="1"/>
  <c r="AM28" i="1"/>
  <c r="AJ28" i="1"/>
  <c r="AG28" i="1"/>
  <c r="AQ28" i="1" s="1"/>
  <c r="AC28" i="1"/>
  <c r="Z28" i="1"/>
  <c r="W28" i="1"/>
  <c r="T28" i="1"/>
  <c r="AD28" i="1" s="1"/>
  <c r="P28" i="1"/>
  <c r="M28" i="1"/>
  <c r="J28" i="1"/>
  <c r="G28" i="1"/>
  <c r="Q28" i="1" s="1"/>
  <c r="AP26" i="1"/>
  <c r="AM26" i="1"/>
  <c r="AJ26" i="1"/>
  <c r="AG26" i="1"/>
  <c r="AE26" i="1"/>
  <c r="AQ26" i="1" s="1"/>
  <c r="AC26" i="1"/>
  <c r="Z26" i="1"/>
  <c r="W26" i="1"/>
  <c r="T26" i="1"/>
  <c r="R26" i="1"/>
  <c r="AD26" i="1" s="1"/>
  <c r="P26" i="1"/>
  <c r="M26" i="1"/>
  <c r="J26" i="1"/>
  <c r="G26" i="1"/>
  <c r="E17" i="2"/>
  <c r="AO30" i="4"/>
  <c r="AN45" i="4"/>
  <c r="AN46" i="4" s="1"/>
  <c r="U67" i="4"/>
  <c r="U69" i="4"/>
  <c r="W62" i="4"/>
  <c r="X58" i="4"/>
  <c r="V63" i="4"/>
  <c r="V66" i="4"/>
  <c r="V67" i="4" s="1"/>
  <c r="R77" i="3"/>
  <c r="O77" i="3"/>
  <c r="AD4" i="3"/>
  <c r="AK6" i="3"/>
  <c r="AD12" i="3"/>
  <c r="I6" i="3"/>
  <c r="K19" i="3"/>
  <c r="M6" i="3"/>
  <c r="AP26" i="3"/>
  <c r="W26" i="3"/>
  <c r="AM26" i="3"/>
  <c r="T26" i="3"/>
  <c r="AJ26" i="3"/>
  <c r="R26" i="3"/>
  <c r="AE26" i="3"/>
  <c r="P26" i="3"/>
  <c r="G26" i="3"/>
  <c r="Z26" i="3"/>
  <c r="AG26" i="3"/>
  <c r="AC26" i="3"/>
  <c r="J26" i="3"/>
  <c r="M26" i="3"/>
  <c r="N19" i="3"/>
  <c r="Q9" i="3"/>
  <c r="E19" i="3"/>
  <c r="E18" i="3"/>
  <c r="O36" i="3"/>
  <c r="G36" i="3"/>
  <c r="N36" i="3"/>
  <c r="M36" i="3"/>
  <c r="L36" i="3"/>
  <c r="K36" i="3"/>
  <c r="J36" i="3"/>
  <c r="P36" i="3"/>
  <c r="R36" i="3" s="1"/>
  <c r="H36" i="3"/>
  <c r="I36" i="3"/>
  <c r="AM28" i="3"/>
  <c r="AJ28" i="3"/>
  <c r="P28" i="3"/>
  <c r="AG28" i="3"/>
  <c r="M28" i="3"/>
  <c r="AC28" i="3"/>
  <c r="G28" i="3"/>
  <c r="AP28" i="3"/>
  <c r="T28" i="3"/>
  <c r="Z28" i="3"/>
  <c r="W28" i="3"/>
  <c r="J28" i="3"/>
  <c r="AD11" i="3"/>
  <c r="V6" i="3"/>
  <c r="M41" i="3"/>
  <c r="L41" i="3"/>
  <c r="K41" i="3"/>
  <c r="J41" i="3"/>
  <c r="I41" i="3"/>
  <c r="P41" i="3"/>
  <c r="R41" i="3" s="1"/>
  <c r="H41" i="3"/>
  <c r="O41" i="3"/>
  <c r="N41" i="3"/>
  <c r="G41" i="3"/>
  <c r="AQ27" i="3"/>
  <c r="AE6" i="3"/>
  <c r="AQ5" i="3"/>
  <c r="F60" i="3"/>
  <c r="G60" i="3" s="1"/>
  <c r="H60" i="3" s="1"/>
  <c r="I60" i="3" s="1"/>
  <c r="J60" i="3" s="1"/>
  <c r="K60" i="3" s="1"/>
  <c r="L60" i="3" s="1"/>
  <c r="M60" i="3" s="1"/>
  <c r="N60" i="3" s="1"/>
  <c r="O60" i="3" s="1"/>
  <c r="P60" i="3" s="1"/>
  <c r="R60" i="3" s="1"/>
  <c r="P6" i="3"/>
  <c r="L19" i="3"/>
  <c r="L18" i="3"/>
  <c r="L20" i="3" s="1"/>
  <c r="P19" i="3"/>
  <c r="P18" i="3"/>
  <c r="P20" i="3" s="1"/>
  <c r="S14" i="3"/>
  <c r="AQ9" i="3"/>
  <c r="M77" i="3"/>
  <c r="AP6" i="3"/>
  <c r="O30" i="3"/>
  <c r="G30" i="3"/>
  <c r="N30" i="3"/>
  <c r="F30" i="3"/>
  <c r="M30" i="3"/>
  <c r="K30" i="3"/>
  <c r="L30" i="3"/>
  <c r="J30" i="3"/>
  <c r="I30" i="3"/>
  <c r="H30" i="3"/>
  <c r="P30" i="3"/>
  <c r="R30" i="3" s="1"/>
  <c r="K40" i="3"/>
  <c r="J40" i="3"/>
  <c r="I40" i="3"/>
  <c r="P40" i="3"/>
  <c r="R40" i="3" s="1"/>
  <c r="H40" i="3"/>
  <c r="O40" i="3"/>
  <c r="G40" i="3"/>
  <c r="N40" i="3"/>
  <c r="M40" i="3"/>
  <c r="L40" i="3"/>
  <c r="Q40" i="3" s="1"/>
  <c r="Q48" i="3"/>
  <c r="E62" i="3"/>
  <c r="AN6" i="3"/>
  <c r="N77" i="3"/>
  <c r="H6" i="3"/>
  <c r="N18" i="3"/>
  <c r="N20" i="3" s="1"/>
  <c r="H19" i="3"/>
  <c r="H18" i="3"/>
  <c r="H20" i="3" s="1"/>
  <c r="AG32" i="3"/>
  <c r="R32" i="3"/>
  <c r="AE32" i="3"/>
  <c r="P32" i="3"/>
  <c r="AP32" i="3"/>
  <c r="AA32" i="3"/>
  <c r="K32" i="3"/>
  <c r="V32" i="3"/>
  <c r="T32" i="3"/>
  <c r="G32" i="3"/>
  <c r="N32" i="3"/>
  <c r="AK32" i="3"/>
  <c r="AN32" i="3"/>
  <c r="I32" i="3"/>
  <c r="AI32" i="3"/>
  <c r="X32" i="3"/>
  <c r="AC32" i="3"/>
  <c r="F18" i="3"/>
  <c r="F20" i="3" s="1"/>
  <c r="F45" i="3" s="1"/>
  <c r="Q10" i="3"/>
  <c r="X6" i="3"/>
  <c r="P33" i="3"/>
  <c r="R33" i="3" s="1"/>
  <c r="H33" i="3"/>
  <c r="O33" i="3"/>
  <c r="G33" i="3"/>
  <c r="N33" i="3"/>
  <c r="L33" i="3"/>
  <c r="J33" i="3"/>
  <c r="I33" i="3"/>
  <c r="M33" i="3"/>
  <c r="K33" i="3"/>
  <c r="AG44" i="3"/>
  <c r="AE44" i="3"/>
  <c r="N44" i="3"/>
  <c r="K44" i="3"/>
  <c r="AA44" i="3"/>
  <c r="I44" i="3"/>
  <c r="X44" i="3"/>
  <c r="G44" i="3"/>
  <c r="AN44" i="3"/>
  <c r="V44" i="3"/>
  <c r="AK44" i="3"/>
  <c r="AI44" i="3"/>
  <c r="R44" i="3"/>
  <c r="T44" i="3"/>
  <c r="F58" i="3"/>
  <c r="AJ23" i="3"/>
  <c r="U23" i="3"/>
  <c r="AH23" i="3"/>
  <c r="AE23" i="3"/>
  <c r="AB23" i="3"/>
  <c r="W23" i="3"/>
  <c r="AL23" i="3"/>
  <c r="AO23" i="3"/>
  <c r="O23" i="3"/>
  <c r="L23" i="3"/>
  <c r="J23" i="3"/>
  <c r="H23" i="3"/>
  <c r="Y23" i="3"/>
  <c r="I18" i="3"/>
  <c r="I19" i="3"/>
  <c r="R19" i="3"/>
  <c r="R18" i="3"/>
  <c r="AD9" i="3"/>
  <c r="AI6" i="3"/>
  <c r="G6" i="3"/>
  <c r="Q5" i="3"/>
  <c r="O18" i="3"/>
  <c r="O19" i="3"/>
  <c r="O20" i="3" s="1"/>
  <c r="AC6" i="3"/>
  <c r="J34" i="3"/>
  <c r="I34" i="3"/>
  <c r="P34" i="3"/>
  <c r="R34" i="3" s="1"/>
  <c r="H34" i="3"/>
  <c r="N34" i="3"/>
  <c r="O34" i="3"/>
  <c r="L34" i="3"/>
  <c r="M34" i="3"/>
  <c r="K34" i="3"/>
  <c r="G34" i="3"/>
  <c r="Q34" i="3" s="1"/>
  <c r="O38" i="3"/>
  <c r="G38" i="3"/>
  <c r="N38" i="3"/>
  <c r="M38" i="3"/>
  <c r="L38" i="3"/>
  <c r="K38" i="3"/>
  <c r="J38" i="3"/>
  <c r="I38" i="3"/>
  <c r="H38" i="3"/>
  <c r="P38" i="3"/>
  <c r="R38" i="3" s="1"/>
  <c r="I39" i="3"/>
  <c r="P39" i="3"/>
  <c r="R39" i="3" s="1"/>
  <c r="H39" i="3"/>
  <c r="O39" i="3"/>
  <c r="G39" i="3"/>
  <c r="N39" i="3"/>
  <c r="M39" i="3"/>
  <c r="L39" i="3"/>
  <c r="J39" i="3"/>
  <c r="K39" i="3"/>
  <c r="K18" i="3"/>
  <c r="K20" i="3" s="1"/>
  <c r="S35" i="3"/>
  <c r="T35" i="3" s="1"/>
  <c r="U35" i="3" s="1"/>
  <c r="V35" i="3" s="1"/>
  <c r="W35" i="3" s="1"/>
  <c r="X35" i="3" s="1"/>
  <c r="Y35" i="3" s="1"/>
  <c r="Z35" i="3" s="1"/>
  <c r="AA35" i="3" s="1"/>
  <c r="AB35" i="3" s="1"/>
  <c r="AC35" i="3" s="1"/>
  <c r="AE35" i="3" s="1"/>
  <c r="M18" i="3"/>
  <c r="M19" i="3"/>
  <c r="J19" i="3"/>
  <c r="J18" i="3"/>
  <c r="J20" i="3" s="1"/>
  <c r="Q4" i="3"/>
  <c r="P74" i="3" s="1"/>
  <c r="AG6" i="3"/>
  <c r="AQ4" i="3"/>
  <c r="G19" i="3"/>
  <c r="G18" i="3"/>
  <c r="N74" i="3"/>
  <c r="K6" i="3"/>
  <c r="M37" i="3"/>
  <c r="K37" i="3"/>
  <c r="J37" i="3"/>
  <c r="I37" i="3"/>
  <c r="H37" i="3"/>
  <c r="P37" i="3"/>
  <c r="R37" i="3" s="1"/>
  <c r="G37" i="3"/>
  <c r="O37" i="3"/>
  <c r="N37" i="3"/>
  <c r="L37" i="3"/>
  <c r="I43" i="3"/>
  <c r="P43" i="3"/>
  <c r="R43" i="3" s="1"/>
  <c r="H43" i="3"/>
  <c r="O43" i="3"/>
  <c r="G43" i="3"/>
  <c r="N43" i="3"/>
  <c r="M43" i="3"/>
  <c r="L43" i="3"/>
  <c r="K43" i="3"/>
  <c r="J43" i="3"/>
  <c r="O42" i="3"/>
  <c r="G42" i="3"/>
  <c r="N42" i="3"/>
  <c r="M42" i="3"/>
  <c r="L42" i="3"/>
  <c r="K42" i="3"/>
  <c r="J42" i="3"/>
  <c r="P42" i="3"/>
  <c r="R42" i="3" s="1"/>
  <c r="I42" i="3"/>
  <c r="H42" i="3"/>
  <c r="AD5" i="3"/>
  <c r="AD13" i="1"/>
  <c r="Q23" i="1"/>
  <c r="Q58" i="1"/>
  <c r="AF14" i="1"/>
  <c r="AH14" i="1" s="1"/>
  <c r="AJ14" i="1" s="1"/>
  <c r="AL14" i="1" s="1"/>
  <c r="AN14" i="1" s="1"/>
  <c r="AP14" i="1" s="1"/>
  <c r="AG14" i="1"/>
  <c r="AI14" i="1" s="1"/>
  <c r="AK14" i="1" s="1"/>
  <c r="AM14" i="1" s="1"/>
  <c r="G19" i="1"/>
  <c r="L18" i="1"/>
  <c r="AL19" i="1"/>
  <c r="AD25" i="1"/>
  <c r="T18" i="1"/>
  <c r="V19" i="1"/>
  <c r="AA18" i="1"/>
  <c r="AN18" i="1"/>
  <c r="K18" i="1"/>
  <c r="O18" i="1"/>
  <c r="X19" i="1"/>
  <c r="AI18" i="1"/>
  <c r="H19" i="1"/>
  <c r="Y19" i="1"/>
  <c r="Q16" i="1"/>
  <c r="AQ16" i="1"/>
  <c r="AQ17" i="1"/>
  <c r="M74" i="1"/>
  <c r="AQ4" i="1"/>
  <c r="AF19" i="1"/>
  <c r="AG19" i="1"/>
  <c r="P18" i="1"/>
  <c r="AJ19" i="1"/>
  <c r="AD27" i="1"/>
  <c r="N74" i="1"/>
  <c r="I19" i="1"/>
  <c r="G5" i="1"/>
  <c r="G6" i="1" s="1"/>
  <c r="W5" i="1"/>
  <c r="W6" i="1" s="1"/>
  <c r="AN5" i="1"/>
  <c r="AN6" i="1" s="1"/>
  <c r="H5" i="1"/>
  <c r="H6" i="1" s="1"/>
  <c r="X5" i="1"/>
  <c r="X6" i="1" s="1"/>
  <c r="J5" i="1"/>
  <c r="J6" i="1" s="1"/>
  <c r="M5" i="1"/>
  <c r="M6" i="1" s="1"/>
  <c r="AC5" i="1"/>
  <c r="AC6" i="1" s="1"/>
  <c r="V5" i="1"/>
  <c r="V6" i="1" s="1"/>
  <c r="N5" i="1"/>
  <c r="N6" i="1" s="1"/>
  <c r="AH5" i="1"/>
  <c r="AH6" i="1" s="1"/>
  <c r="O5" i="1"/>
  <c r="O6" i="1" s="1"/>
  <c r="AK5" i="1"/>
  <c r="AK6" i="1" s="1"/>
  <c r="AM5" i="1"/>
  <c r="AM6" i="1" s="1"/>
  <c r="Z5" i="1"/>
  <c r="Z6" i="1" s="1"/>
  <c r="U5" i="1"/>
  <c r="U6" i="1" s="1"/>
  <c r="O74" i="1"/>
  <c r="AI19" i="1"/>
  <c r="X18" i="1"/>
  <c r="AK18" i="1"/>
  <c r="L19" i="1"/>
  <c r="W19" i="1"/>
  <c r="U18" i="1"/>
  <c r="AH18" i="1"/>
  <c r="AH19" i="1"/>
  <c r="Z18" i="1"/>
  <c r="Z19" i="1"/>
  <c r="AK19" i="1"/>
  <c r="E6" i="1"/>
  <c r="AJ5" i="1"/>
  <c r="AJ6" i="1" s="1"/>
  <c r="AB5" i="1"/>
  <c r="AB6" i="1" s="1"/>
  <c r="T5" i="1"/>
  <c r="T6" i="1" s="1"/>
  <c r="L5" i="1"/>
  <c r="L6" i="1" s="1"/>
  <c r="AI5" i="1"/>
  <c r="AI6" i="1" s="1"/>
  <c r="AA5" i="1"/>
  <c r="AA6" i="1" s="1"/>
  <c r="S5" i="1"/>
  <c r="S6" i="1" s="1"/>
  <c r="K5" i="1"/>
  <c r="K6" i="1" s="1"/>
  <c r="AO5" i="1"/>
  <c r="AO6" i="1" s="1"/>
  <c r="AG5" i="1"/>
  <c r="AG6" i="1" s="1"/>
  <c r="Y5" i="1"/>
  <c r="Y6" i="1" s="1"/>
  <c r="I5" i="1"/>
  <c r="I6" i="1" s="1"/>
  <c r="P5" i="1"/>
  <c r="P6" i="1" s="1"/>
  <c r="AP5" i="1"/>
  <c r="AP6" i="1" s="1"/>
  <c r="K19" i="1"/>
  <c r="S19" i="1"/>
  <c r="S20" i="1" s="1"/>
  <c r="AA19" i="1"/>
  <c r="M18" i="1"/>
  <c r="AL18" i="1"/>
  <c r="M19" i="1"/>
  <c r="AQ25" i="1"/>
  <c r="H18" i="1"/>
  <c r="Y18" i="1"/>
  <c r="Q17" i="1"/>
  <c r="AJ18" i="1"/>
  <c r="J18" i="1"/>
  <c r="J19" i="1"/>
  <c r="R18" i="1"/>
  <c r="R19" i="1"/>
  <c r="F5" i="1"/>
  <c r="F6" i="1" s="1"/>
  <c r="R5" i="1"/>
  <c r="AE5" i="1"/>
  <c r="AE6" i="1" s="1"/>
  <c r="N18" i="1"/>
  <c r="AB18" i="1"/>
  <c r="N19" i="1"/>
  <c r="AB19" i="1"/>
  <c r="AG18" i="1"/>
  <c r="I18" i="1"/>
  <c r="AF5" i="1"/>
  <c r="AF6" i="1" s="1"/>
  <c r="O19" i="1"/>
  <c r="AQ27" i="1"/>
  <c r="P19" i="1"/>
  <c r="U19" i="1"/>
  <c r="AP19" i="1"/>
  <c r="AE18" i="1"/>
  <c r="AQ9" i="1"/>
  <c r="AM18" i="1"/>
  <c r="G18" i="1"/>
  <c r="W18" i="1"/>
  <c r="AN19" i="1"/>
  <c r="F18" i="1"/>
  <c r="AF18" i="1"/>
  <c r="F19" i="1"/>
  <c r="T19" i="1"/>
  <c r="AE19" i="1"/>
  <c r="S58" i="1" l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E58" i="1" s="1"/>
  <c r="Q43" i="3"/>
  <c r="M20" i="3"/>
  <c r="R20" i="3"/>
  <c r="I20" i="3"/>
  <c r="Q44" i="3"/>
  <c r="Q30" i="3"/>
  <c r="E20" i="3"/>
  <c r="Q26" i="3"/>
  <c r="S30" i="1"/>
  <c r="S33" i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E33" i="1" s="1"/>
  <c r="AD33" i="1"/>
  <c r="S34" i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E34" i="1" s="1"/>
  <c r="AD34" i="1"/>
  <c r="S35" i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E35" i="1" s="1"/>
  <c r="AD35" i="1"/>
  <c r="S36" i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E36" i="1" s="1"/>
  <c r="AD36" i="1"/>
  <c r="S37" i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E37" i="1" s="1"/>
  <c r="AD37" i="1"/>
  <c r="S38" i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E38" i="1" s="1"/>
  <c r="AD38" i="1"/>
  <c r="S39" i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E39" i="1" s="1"/>
  <c r="AD39" i="1"/>
  <c r="S40" i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E40" i="1" s="1"/>
  <c r="AD40" i="1"/>
  <c r="S41" i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E41" i="1" s="1"/>
  <c r="AD41" i="1"/>
  <c r="S42" i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E42" i="1" s="1"/>
  <c r="AD42" i="1"/>
  <c r="S43" i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E43" i="1" s="1"/>
  <c r="AD43" i="1"/>
  <c r="W66" i="4"/>
  <c r="W63" i="4"/>
  <c r="X62" i="4"/>
  <c r="Y58" i="4"/>
  <c r="V69" i="4"/>
  <c r="AP30" i="4"/>
  <c r="AO45" i="4"/>
  <c r="AO46" i="4" s="1"/>
  <c r="AQ6" i="3"/>
  <c r="AD6" i="3"/>
  <c r="Q42" i="3"/>
  <c r="G20" i="3"/>
  <c r="Q38" i="3"/>
  <c r="Q23" i="3"/>
  <c r="AD35" i="3"/>
  <c r="Q33" i="3"/>
  <c r="AQ26" i="3"/>
  <c r="Q37" i="3"/>
  <c r="Q41" i="3"/>
  <c r="Q36" i="3"/>
  <c r="Q28" i="3"/>
  <c r="Q39" i="3"/>
  <c r="Q32" i="3"/>
  <c r="J45" i="3"/>
  <c r="J46" i="3" s="1"/>
  <c r="J21" i="3"/>
  <c r="H45" i="3"/>
  <c r="H46" i="3" s="1"/>
  <c r="H21" i="3"/>
  <c r="P45" i="3"/>
  <c r="P46" i="3" s="1"/>
  <c r="P21" i="3"/>
  <c r="G45" i="3"/>
  <c r="G46" i="3" s="1"/>
  <c r="G21" i="3"/>
  <c r="R45" i="3"/>
  <c r="R21" i="3"/>
  <c r="O45" i="3"/>
  <c r="O46" i="3" s="1"/>
  <c r="O21" i="3"/>
  <c r="M45" i="3"/>
  <c r="M46" i="3" s="1"/>
  <c r="M21" i="3"/>
  <c r="E45" i="3"/>
  <c r="D20" i="3"/>
  <c r="E21" i="3"/>
  <c r="D21" i="3" s="1"/>
  <c r="AF35" i="3"/>
  <c r="AG35" i="3" s="1"/>
  <c r="AH35" i="3" s="1"/>
  <c r="AI35" i="3" s="1"/>
  <c r="AJ35" i="3" s="1"/>
  <c r="AK35" i="3" s="1"/>
  <c r="AL35" i="3" s="1"/>
  <c r="AM35" i="3" s="1"/>
  <c r="AN35" i="3" s="1"/>
  <c r="AO35" i="3" s="1"/>
  <c r="AP35" i="3" s="1"/>
  <c r="S60" i="3"/>
  <c r="T60" i="3" s="1"/>
  <c r="U60" i="3" s="1"/>
  <c r="V60" i="3" s="1"/>
  <c r="W60" i="3" s="1"/>
  <c r="X60" i="3" s="1"/>
  <c r="Y60" i="3" s="1"/>
  <c r="Z60" i="3" s="1"/>
  <c r="AA60" i="3" s="1"/>
  <c r="AB60" i="3" s="1"/>
  <c r="AC60" i="3" s="1"/>
  <c r="AE60" i="3" s="1"/>
  <c r="D19" i="3"/>
  <c r="Q19" i="3"/>
  <c r="Q6" i="3"/>
  <c r="AD44" i="3"/>
  <c r="S33" i="3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AE33" i="3" s="1"/>
  <c r="S40" i="3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E40" i="3" s="1"/>
  <c r="T14" i="3"/>
  <c r="S19" i="3"/>
  <c r="S18" i="3"/>
  <c r="Q60" i="3"/>
  <c r="AD28" i="3"/>
  <c r="AD26" i="3"/>
  <c r="S38" i="3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AE38" i="3" s="1"/>
  <c r="AD23" i="3"/>
  <c r="S34" i="3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E34" i="3" s="1"/>
  <c r="I45" i="3"/>
  <c r="I46" i="3" s="1"/>
  <c r="I21" i="3"/>
  <c r="L45" i="3"/>
  <c r="L46" i="3" s="1"/>
  <c r="L21" i="3"/>
  <c r="S41" i="3"/>
  <c r="T41" i="3" s="1"/>
  <c r="U41" i="3" s="1"/>
  <c r="V41" i="3" s="1"/>
  <c r="W41" i="3" s="1"/>
  <c r="X41" i="3" s="1"/>
  <c r="Y41" i="3" s="1"/>
  <c r="Z41" i="3" s="1"/>
  <c r="AA41" i="3" s="1"/>
  <c r="AB41" i="3" s="1"/>
  <c r="AC41" i="3" s="1"/>
  <c r="AE41" i="3" s="1"/>
  <c r="S43" i="3"/>
  <c r="K45" i="3"/>
  <c r="K46" i="3" s="1"/>
  <c r="K21" i="3"/>
  <c r="AQ44" i="3"/>
  <c r="Q77" i="3"/>
  <c r="G58" i="3"/>
  <c r="F62" i="3"/>
  <c r="S42" i="3"/>
  <c r="S37" i="3"/>
  <c r="T37" i="3" s="1"/>
  <c r="U37" i="3" s="1"/>
  <c r="V37" i="3" s="1"/>
  <c r="W37" i="3" s="1"/>
  <c r="X37" i="3" s="1"/>
  <c r="Y37" i="3" s="1"/>
  <c r="Z37" i="3" s="1"/>
  <c r="AA37" i="3" s="1"/>
  <c r="AB37" i="3" s="1"/>
  <c r="AC37" i="3" s="1"/>
  <c r="AE37" i="3" s="1"/>
  <c r="S39" i="3"/>
  <c r="T39" i="3" s="1"/>
  <c r="U39" i="3" s="1"/>
  <c r="V39" i="3" s="1"/>
  <c r="W39" i="3" s="1"/>
  <c r="X39" i="3" s="1"/>
  <c r="Y39" i="3" s="1"/>
  <c r="Z39" i="3" s="1"/>
  <c r="AA39" i="3" s="1"/>
  <c r="AB39" i="3" s="1"/>
  <c r="AC39" i="3" s="1"/>
  <c r="AE39" i="3" s="1"/>
  <c r="F46" i="3"/>
  <c r="F21" i="3"/>
  <c r="AQ32" i="3"/>
  <c r="S36" i="3"/>
  <c r="T36" i="3" s="1"/>
  <c r="U36" i="3" s="1"/>
  <c r="V36" i="3" s="1"/>
  <c r="W36" i="3" s="1"/>
  <c r="X36" i="3" s="1"/>
  <c r="Y36" i="3" s="1"/>
  <c r="Z36" i="3" s="1"/>
  <c r="AA36" i="3" s="1"/>
  <c r="AB36" i="3" s="1"/>
  <c r="AC36" i="3" s="1"/>
  <c r="AE36" i="3" s="1"/>
  <c r="AQ23" i="3"/>
  <c r="AD32" i="3"/>
  <c r="E66" i="3"/>
  <c r="D62" i="3"/>
  <c r="E63" i="3"/>
  <c r="D63" i="3" s="1"/>
  <c r="S30" i="3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E30" i="3" s="1"/>
  <c r="R74" i="3"/>
  <c r="AQ28" i="3"/>
  <c r="D18" i="3"/>
  <c r="Q18" i="3"/>
  <c r="Q20" i="3" s="1"/>
  <c r="Q21" i="3" s="1"/>
  <c r="N45" i="3"/>
  <c r="N46" i="3" s="1"/>
  <c r="N21" i="3"/>
  <c r="I20" i="1"/>
  <c r="AD58" i="1"/>
  <c r="Y20" i="1"/>
  <c r="AJ20" i="1"/>
  <c r="J20" i="1"/>
  <c r="J45" i="1" s="1"/>
  <c r="U20" i="1"/>
  <c r="U21" i="1" s="1"/>
  <c r="W20" i="1"/>
  <c r="Z20" i="1"/>
  <c r="AO14" i="1"/>
  <c r="AM19" i="1"/>
  <c r="AM20" i="1" s="1"/>
  <c r="M77" i="1"/>
  <c r="R20" i="1"/>
  <c r="R21" i="1" s="1"/>
  <c r="AI20" i="1"/>
  <c r="AI21" i="1" s="1"/>
  <c r="AB20" i="1"/>
  <c r="O20" i="1"/>
  <c r="O45" i="1" s="1"/>
  <c r="AG20" i="1"/>
  <c r="AG21" i="1" s="1"/>
  <c r="AN20" i="1"/>
  <c r="AN21" i="1" s="1"/>
  <c r="T20" i="1"/>
  <c r="K20" i="1"/>
  <c r="K45" i="1" s="1"/>
  <c r="H20" i="1"/>
  <c r="H45" i="1" s="1"/>
  <c r="AA20" i="1"/>
  <c r="AA21" i="1" s="1"/>
  <c r="AH20" i="1"/>
  <c r="AH21" i="1" s="1"/>
  <c r="G20" i="1"/>
  <c r="G21" i="1" s="1"/>
  <c r="N20" i="1"/>
  <c r="N21" i="1" s="1"/>
  <c r="P20" i="1"/>
  <c r="P21" i="1" s="1"/>
  <c r="AF20" i="1"/>
  <c r="AF21" i="1" s="1"/>
  <c r="L20" i="1"/>
  <c r="L45" i="1" s="1"/>
  <c r="AL20" i="1"/>
  <c r="AK20" i="1"/>
  <c r="AK21" i="1" s="1"/>
  <c r="F20" i="1"/>
  <c r="F21" i="1" s="1"/>
  <c r="M20" i="1"/>
  <c r="M21" i="1" s="1"/>
  <c r="V18" i="1"/>
  <c r="V20" i="1" s="1"/>
  <c r="V21" i="1" s="1"/>
  <c r="X20" i="1"/>
  <c r="X21" i="1" s="1"/>
  <c r="AJ21" i="1"/>
  <c r="Q5" i="1"/>
  <c r="P77" i="1"/>
  <c r="AC19" i="1"/>
  <c r="AD19" i="1" s="1"/>
  <c r="R6" i="1"/>
  <c r="AD5" i="1"/>
  <c r="AD6" i="1" s="1"/>
  <c r="N77" i="1"/>
  <c r="R45" i="1"/>
  <c r="I45" i="1"/>
  <c r="I21" i="1"/>
  <c r="S45" i="1"/>
  <c r="S21" i="1"/>
  <c r="Y21" i="1"/>
  <c r="O77" i="1"/>
  <c r="AP18" i="1"/>
  <c r="AP20" i="1" s="1"/>
  <c r="AE20" i="1"/>
  <c r="AC18" i="1"/>
  <c r="AQ5" i="1"/>
  <c r="AQ6" i="1" s="1"/>
  <c r="R77" i="1"/>
  <c r="T42" i="3" l="1"/>
  <c r="U42" i="3" s="1"/>
  <c r="V42" i="3" s="1"/>
  <c r="W42" i="3" s="1"/>
  <c r="X42" i="3" s="1"/>
  <c r="Y42" i="3" s="1"/>
  <c r="Z42" i="3" s="1"/>
  <c r="AA42" i="3" s="1"/>
  <c r="AB42" i="3" s="1"/>
  <c r="AC42" i="3" s="1"/>
  <c r="AE42" i="3" s="1"/>
  <c r="AD42" i="3"/>
  <c r="T43" i="3"/>
  <c r="U43" i="3" s="1"/>
  <c r="V43" i="3" s="1"/>
  <c r="W43" i="3" s="1"/>
  <c r="X43" i="3" s="1"/>
  <c r="Y43" i="3" s="1"/>
  <c r="Z43" i="3" s="1"/>
  <c r="AA43" i="3" s="1"/>
  <c r="AB43" i="3" s="1"/>
  <c r="AC43" i="3" s="1"/>
  <c r="AE43" i="3" s="1"/>
  <c r="AD43" i="3"/>
  <c r="AF43" i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/>
  <c r="AF42" i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/>
  <c r="AF41" i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/>
  <c r="AF40" i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/>
  <c r="AF39" i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/>
  <c r="AF38" i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/>
  <c r="AF37" i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/>
  <c r="AF36" i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/>
  <c r="AF35" i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/>
  <c r="AF34" i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/>
  <c r="AF33" i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/>
  <c r="T30" i="1"/>
  <c r="U30" i="1" s="1"/>
  <c r="W69" i="4"/>
  <c r="W67" i="4"/>
  <c r="AP45" i="4"/>
  <c r="AP46" i="4" s="1"/>
  <c r="AQ30" i="4"/>
  <c r="AQ45" i="4" s="1"/>
  <c r="AQ46" i="4" s="1"/>
  <c r="Y62" i="4"/>
  <c r="Z58" i="4"/>
  <c r="X66" i="4"/>
  <c r="X63" i="4"/>
  <c r="AD33" i="3"/>
  <c r="AQ35" i="3"/>
  <c r="AD30" i="3"/>
  <c r="AD40" i="3"/>
  <c r="AD60" i="3"/>
  <c r="AD41" i="3"/>
  <c r="AD36" i="3"/>
  <c r="AD37" i="3"/>
  <c r="AF40" i="3"/>
  <c r="AG40" i="3" s="1"/>
  <c r="AH40" i="3" s="1"/>
  <c r="AI40" i="3" s="1"/>
  <c r="AJ40" i="3" s="1"/>
  <c r="AK40" i="3" s="1"/>
  <c r="AL40" i="3" s="1"/>
  <c r="AM40" i="3" s="1"/>
  <c r="AN40" i="3" s="1"/>
  <c r="AO40" i="3" s="1"/>
  <c r="AP40" i="3" s="1"/>
  <c r="AF60" i="3"/>
  <c r="AG60" i="3" s="1"/>
  <c r="AH60" i="3" s="1"/>
  <c r="AI60" i="3" s="1"/>
  <c r="AJ60" i="3" s="1"/>
  <c r="AK60" i="3" s="1"/>
  <c r="AL60" i="3" s="1"/>
  <c r="AM60" i="3" s="1"/>
  <c r="AN60" i="3" s="1"/>
  <c r="AO60" i="3" s="1"/>
  <c r="AP60" i="3" s="1"/>
  <c r="AF42" i="3"/>
  <c r="AG42" i="3" s="1"/>
  <c r="AH42" i="3" s="1"/>
  <c r="AI42" i="3" s="1"/>
  <c r="AJ42" i="3" s="1"/>
  <c r="AK42" i="3" s="1"/>
  <c r="AL42" i="3" s="1"/>
  <c r="AM42" i="3" s="1"/>
  <c r="AN42" i="3" s="1"/>
  <c r="AO42" i="3" s="1"/>
  <c r="AP42" i="3" s="1"/>
  <c r="AF43" i="3"/>
  <c r="AG43" i="3" s="1"/>
  <c r="AH43" i="3" s="1"/>
  <c r="AI43" i="3" s="1"/>
  <c r="AJ43" i="3" s="1"/>
  <c r="AK43" i="3" s="1"/>
  <c r="AL43" i="3" s="1"/>
  <c r="AM43" i="3" s="1"/>
  <c r="AN43" i="3" s="1"/>
  <c r="AO43" i="3" s="1"/>
  <c r="AP43" i="3" s="1"/>
  <c r="AQ43" i="3"/>
  <c r="AF33" i="3"/>
  <c r="AG33" i="3" s="1"/>
  <c r="AH33" i="3" s="1"/>
  <c r="AI33" i="3" s="1"/>
  <c r="AJ33" i="3" s="1"/>
  <c r="AK33" i="3" s="1"/>
  <c r="AL33" i="3" s="1"/>
  <c r="AM33" i="3" s="1"/>
  <c r="AN33" i="3" s="1"/>
  <c r="AO33" i="3" s="1"/>
  <c r="AP33" i="3" s="1"/>
  <c r="AQ33" i="3"/>
  <c r="AF36" i="3"/>
  <c r="AG36" i="3" s="1"/>
  <c r="AH36" i="3" s="1"/>
  <c r="AI36" i="3" s="1"/>
  <c r="AJ36" i="3" s="1"/>
  <c r="AK36" i="3" s="1"/>
  <c r="AL36" i="3" s="1"/>
  <c r="AM36" i="3" s="1"/>
  <c r="AN36" i="3" s="1"/>
  <c r="AO36" i="3" s="1"/>
  <c r="AP36" i="3" s="1"/>
  <c r="F66" i="3"/>
  <c r="F63" i="3"/>
  <c r="AD34" i="3"/>
  <c r="G62" i="3"/>
  <c r="H58" i="3"/>
  <c r="AF41" i="3"/>
  <c r="AG41" i="3" s="1"/>
  <c r="AH41" i="3" s="1"/>
  <c r="AI41" i="3" s="1"/>
  <c r="AJ41" i="3" s="1"/>
  <c r="AK41" i="3" s="1"/>
  <c r="AL41" i="3" s="1"/>
  <c r="AM41" i="3" s="1"/>
  <c r="AN41" i="3" s="1"/>
  <c r="AO41" i="3" s="1"/>
  <c r="AP41" i="3" s="1"/>
  <c r="Q74" i="3"/>
  <c r="AF34" i="3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F39" i="3"/>
  <c r="AG39" i="3" s="1"/>
  <c r="AH39" i="3" s="1"/>
  <c r="AI39" i="3" s="1"/>
  <c r="AJ39" i="3" s="1"/>
  <c r="AK39" i="3" s="1"/>
  <c r="AL39" i="3" s="1"/>
  <c r="AM39" i="3" s="1"/>
  <c r="AN39" i="3" s="1"/>
  <c r="AO39" i="3" s="1"/>
  <c r="AP39" i="3" s="1"/>
  <c r="AQ39" i="3"/>
  <c r="AF38" i="3"/>
  <c r="AG38" i="3" s="1"/>
  <c r="AH38" i="3" s="1"/>
  <c r="AI38" i="3" s="1"/>
  <c r="AJ38" i="3" s="1"/>
  <c r="AK38" i="3" s="1"/>
  <c r="AL38" i="3" s="1"/>
  <c r="AM38" i="3" s="1"/>
  <c r="AN38" i="3" s="1"/>
  <c r="AO38" i="3" s="1"/>
  <c r="AP38" i="3" s="1"/>
  <c r="S20" i="3"/>
  <c r="E46" i="3"/>
  <c r="D46" i="3" s="1"/>
  <c r="Q45" i="3"/>
  <c r="Q46" i="3" s="1"/>
  <c r="R46" i="3"/>
  <c r="AF37" i="3"/>
  <c r="AG37" i="3" s="1"/>
  <c r="AH37" i="3" s="1"/>
  <c r="AI37" i="3" s="1"/>
  <c r="AJ37" i="3" s="1"/>
  <c r="AK37" i="3" s="1"/>
  <c r="AL37" i="3" s="1"/>
  <c r="AM37" i="3" s="1"/>
  <c r="AN37" i="3" s="1"/>
  <c r="AO37" i="3" s="1"/>
  <c r="AP37" i="3" s="1"/>
  <c r="E67" i="3"/>
  <c r="E69" i="3"/>
  <c r="AF30" i="3"/>
  <c r="AG30" i="3" s="1"/>
  <c r="AH30" i="3" s="1"/>
  <c r="AI30" i="3" s="1"/>
  <c r="AJ30" i="3" s="1"/>
  <c r="AK30" i="3" s="1"/>
  <c r="AL30" i="3" s="1"/>
  <c r="AM30" i="3" s="1"/>
  <c r="AN30" i="3" s="1"/>
  <c r="AO30" i="3" s="1"/>
  <c r="AP30" i="3" s="1"/>
  <c r="AD39" i="3"/>
  <c r="AD38" i="3"/>
  <c r="U14" i="3"/>
  <c r="T18" i="3"/>
  <c r="T19" i="3"/>
  <c r="AD18" i="1"/>
  <c r="T21" i="1"/>
  <c r="AF58" i="1"/>
  <c r="AG58" i="1" s="1"/>
  <c r="AB21" i="1"/>
  <c r="W21" i="1"/>
  <c r="O21" i="1"/>
  <c r="J21" i="1"/>
  <c r="Z21" i="1"/>
  <c r="G45" i="1"/>
  <c r="AM21" i="1"/>
  <c r="Q77" i="1"/>
  <c r="AO18" i="1"/>
  <c r="AQ18" i="1" s="1"/>
  <c r="AO19" i="1"/>
  <c r="AQ19" i="1" s="1"/>
  <c r="AQ14" i="1"/>
  <c r="T45" i="1"/>
  <c r="T46" i="1" s="1"/>
  <c r="H21" i="1"/>
  <c r="K21" i="1"/>
  <c r="L21" i="1"/>
  <c r="N45" i="1"/>
  <c r="N46" i="1" s="1"/>
  <c r="P45" i="1"/>
  <c r="P46" i="1" s="1"/>
  <c r="M45" i="1"/>
  <c r="M46" i="1" s="1"/>
  <c r="F45" i="1"/>
  <c r="AL21" i="1"/>
  <c r="AP21" i="1"/>
  <c r="H46" i="1"/>
  <c r="O46" i="1"/>
  <c r="AC20" i="1"/>
  <c r="AD20" i="1" s="1"/>
  <c r="L46" i="1"/>
  <c r="AE21" i="1"/>
  <c r="K46" i="1"/>
  <c r="S46" i="1"/>
  <c r="R46" i="1"/>
  <c r="I46" i="1"/>
  <c r="J46" i="1"/>
  <c r="X69" i="4" l="1"/>
  <c r="T20" i="3"/>
  <c r="V30" i="1"/>
  <c r="U45" i="1"/>
  <c r="U46" i="1" s="1"/>
  <c r="AA58" i="4"/>
  <c r="Z62" i="4"/>
  <c r="Y63" i="4"/>
  <c r="Y66" i="4"/>
  <c r="X67" i="4"/>
  <c r="AQ41" i="3"/>
  <c r="AQ34" i="3"/>
  <c r="F67" i="3"/>
  <c r="F69" i="3"/>
  <c r="AQ42" i="3"/>
  <c r="V14" i="3"/>
  <c r="U19" i="3"/>
  <c r="U18" i="3"/>
  <c r="S45" i="3"/>
  <c r="S21" i="3"/>
  <c r="AQ36" i="3"/>
  <c r="AQ60" i="3"/>
  <c r="H62" i="3"/>
  <c r="I58" i="3"/>
  <c r="AQ37" i="3"/>
  <c r="G66" i="3"/>
  <c r="G63" i="3"/>
  <c r="T45" i="3"/>
  <c r="T46" i="3" s="1"/>
  <c r="T21" i="3"/>
  <c r="AQ38" i="3"/>
  <c r="AQ40" i="3"/>
  <c r="AQ30" i="3"/>
  <c r="G46" i="1"/>
  <c r="AO20" i="1"/>
  <c r="AQ20" i="1"/>
  <c r="AQ21" i="1" s="1"/>
  <c r="AH58" i="1"/>
  <c r="F46" i="1"/>
  <c r="AC21" i="1"/>
  <c r="AD21" i="1"/>
  <c r="U20" i="3" l="1"/>
  <c r="W30" i="1"/>
  <c r="V45" i="1"/>
  <c r="V46" i="1" s="1"/>
  <c r="Y67" i="4"/>
  <c r="Y69" i="4"/>
  <c r="Z63" i="4"/>
  <c r="Z66" i="4"/>
  <c r="AB58" i="4"/>
  <c r="AA62" i="4"/>
  <c r="G69" i="3"/>
  <c r="M75" i="3"/>
  <c r="M76" i="3" s="1"/>
  <c r="G67" i="3"/>
  <c r="S46" i="3"/>
  <c r="U45" i="3"/>
  <c r="U46" i="3" s="1"/>
  <c r="U21" i="3"/>
  <c r="W14" i="3"/>
  <c r="V18" i="3"/>
  <c r="V19" i="3"/>
  <c r="I62" i="3"/>
  <c r="J58" i="3"/>
  <c r="H66" i="3"/>
  <c r="H63" i="3"/>
  <c r="AO21" i="1"/>
  <c r="AI58" i="1"/>
  <c r="V20" i="3" l="1"/>
  <c r="X30" i="1"/>
  <c r="W45" i="1"/>
  <c r="W46" i="1" s="1"/>
  <c r="AC58" i="4"/>
  <c r="AB62" i="4"/>
  <c r="AA63" i="4"/>
  <c r="AA66" i="4"/>
  <c r="AA67" i="4" s="1"/>
  <c r="Z69" i="4"/>
  <c r="Z67" i="4"/>
  <c r="V45" i="3"/>
  <c r="V46" i="3" s="1"/>
  <c r="V21" i="3"/>
  <c r="X14" i="3"/>
  <c r="W19" i="3"/>
  <c r="W18" i="3"/>
  <c r="W20" i="3"/>
  <c r="H67" i="3"/>
  <c r="H69" i="3"/>
  <c r="J62" i="3"/>
  <c r="K58" i="3"/>
  <c r="I66" i="3"/>
  <c r="I67" i="3" s="1"/>
  <c r="I63" i="3"/>
  <c r="AJ58" i="1"/>
  <c r="Y30" i="1" l="1"/>
  <c r="X45" i="1"/>
  <c r="X46" i="1" s="1"/>
  <c r="AA69" i="4"/>
  <c r="AB66" i="4"/>
  <c r="AB63" i="4"/>
  <c r="AC62" i="4"/>
  <c r="AE58" i="4"/>
  <c r="AD58" i="4"/>
  <c r="AD62" i="4" s="1"/>
  <c r="J66" i="3"/>
  <c r="J63" i="3"/>
  <c r="K62" i="3"/>
  <c r="L58" i="3"/>
  <c r="Y14" i="3"/>
  <c r="X19" i="3"/>
  <c r="X18" i="3"/>
  <c r="X20" i="3" s="1"/>
  <c r="I69" i="3"/>
  <c r="N75" i="3"/>
  <c r="W45" i="3"/>
  <c r="W46" i="3" s="1"/>
  <c r="W21" i="3"/>
  <c r="AK58" i="1"/>
  <c r="Z30" i="1" l="1"/>
  <c r="Y45" i="1"/>
  <c r="Y46" i="1" s="1"/>
  <c r="AB69" i="4"/>
  <c r="AB67" i="4"/>
  <c r="AD63" i="4"/>
  <c r="AD66" i="4"/>
  <c r="AD67" i="4" s="1"/>
  <c r="AE62" i="4"/>
  <c r="AF58" i="4"/>
  <c r="AC66" i="4"/>
  <c r="AC67" i="4" s="1"/>
  <c r="AC63" i="4"/>
  <c r="X45" i="3"/>
  <c r="X46" i="3" s="1"/>
  <c r="X21" i="3"/>
  <c r="Z14" i="3"/>
  <c r="Y19" i="3"/>
  <c r="Y18" i="3"/>
  <c r="Y20" i="3" s="1"/>
  <c r="M58" i="3"/>
  <c r="L62" i="3"/>
  <c r="N76" i="3"/>
  <c r="K63" i="3"/>
  <c r="K66" i="3"/>
  <c r="J67" i="3"/>
  <c r="J69" i="3"/>
  <c r="R78" i="3"/>
  <c r="AL58" i="1"/>
  <c r="AA30" i="1" l="1"/>
  <c r="Z45" i="1"/>
  <c r="Z46" i="1" s="1"/>
  <c r="AE66" i="4"/>
  <c r="AE63" i="4"/>
  <c r="AC69" i="4"/>
  <c r="AD69" i="4" s="1"/>
  <c r="AF62" i="4"/>
  <c r="AG58" i="4"/>
  <c r="Y45" i="3"/>
  <c r="Y46" i="3" s="1"/>
  <c r="Y21" i="3"/>
  <c r="K69" i="3"/>
  <c r="N58" i="3"/>
  <c r="M62" i="3"/>
  <c r="AA14" i="3"/>
  <c r="Z19" i="3"/>
  <c r="Z18" i="3"/>
  <c r="K67" i="3"/>
  <c r="L66" i="3"/>
  <c r="L63" i="3"/>
  <c r="AM58" i="1"/>
  <c r="AB30" i="1" l="1"/>
  <c r="AA45" i="1"/>
  <c r="AA46" i="1" s="1"/>
  <c r="AG62" i="4"/>
  <c r="AH58" i="4"/>
  <c r="AF66" i="4"/>
  <c r="AF63" i="4"/>
  <c r="AE69" i="4"/>
  <c r="AE67" i="4"/>
  <c r="Z20" i="3"/>
  <c r="Z21" i="3"/>
  <c r="Z45" i="3"/>
  <c r="Z46" i="3" s="1"/>
  <c r="M66" i="3"/>
  <c r="M63" i="3"/>
  <c r="AB14" i="3"/>
  <c r="AA19" i="3"/>
  <c r="AA18" i="3"/>
  <c r="AA20" i="3" s="1"/>
  <c r="O58" i="3"/>
  <c r="N62" i="3"/>
  <c r="L69" i="3"/>
  <c r="L67" i="3"/>
  <c r="AN58" i="1"/>
  <c r="AC30" i="1" l="1"/>
  <c r="AB45" i="1"/>
  <c r="AB46" i="1" s="1"/>
  <c r="AD30" i="1"/>
  <c r="AF67" i="4"/>
  <c r="AF69" i="4"/>
  <c r="AH62" i="4"/>
  <c r="AI58" i="4"/>
  <c r="AG63" i="4"/>
  <c r="AG66" i="4"/>
  <c r="AA45" i="3"/>
  <c r="AA46" i="3" s="1"/>
  <c r="AA21" i="3"/>
  <c r="AC14" i="3"/>
  <c r="AB19" i="3"/>
  <c r="AB18" i="3"/>
  <c r="AB20" i="3" s="1"/>
  <c r="M67" i="3"/>
  <c r="M69" i="3"/>
  <c r="O75" i="3"/>
  <c r="N66" i="3"/>
  <c r="N63" i="3"/>
  <c r="O62" i="3"/>
  <c r="P58" i="3"/>
  <c r="AO58" i="1"/>
  <c r="AE30" i="1" l="1"/>
  <c r="AC45" i="1"/>
  <c r="AG69" i="4"/>
  <c r="AG67" i="4"/>
  <c r="AJ58" i="4"/>
  <c r="AI62" i="4"/>
  <c r="AH63" i="4"/>
  <c r="AH66" i="4"/>
  <c r="AB45" i="3"/>
  <c r="AB46" i="3" s="1"/>
  <c r="AB21" i="3"/>
  <c r="O76" i="3"/>
  <c r="AE14" i="3"/>
  <c r="AC18" i="3"/>
  <c r="AD18" i="3" s="1"/>
  <c r="AC19" i="3"/>
  <c r="AD19" i="3" s="1"/>
  <c r="AD14" i="3"/>
  <c r="P62" i="3"/>
  <c r="R58" i="3"/>
  <c r="Q58" i="3"/>
  <c r="Q62" i="3" s="1"/>
  <c r="O66" i="3"/>
  <c r="O63" i="3"/>
  <c r="N69" i="3"/>
  <c r="N67" i="3"/>
  <c r="AP58" i="1"/>
  <c r="AD45" i="1" l="1"/>
  <c r="AD46" i="1" s="1"/>
  <c r="AC46" i="1"/>
  <c r="AF30" i="1"/>
  <c r="AE45" i="1"/>
  <c r="AE46" i="1" s="1"/>
  <c r="AK58" i="4"/>
  <c r="AJ62" i="4"/>
  <c r="AH69" i="4"/>
  <c r="AH67" i="4"/>
  <c r="AI66" i="4"/>
  <c r="AI63" i="4"/>
  <c r="AC20" i="3"/>
  <c r="O67" i="3"/>
  <c r="O69" i="3"/>
  <c r="AG14" i="3"/>
  <c r="AF14" i="3"/>
  <c r="AE18" i="3"/>
  <c r="AE19" i="3"/>
  <c r="Q66" i="3"/>
  <c r="Q67" i="3" s="1"/>
  <c r="Q63" i="3"/>
  <c r="R62" i="3"/>
  <c r="S58" i="3"/>
  <c r="P66" i="3"/>
  <c r="P63" i="3"/>
  <c r="AQ58" i="1"/>
  <c r="AI69" i="4" l="1"/>
  <c r="AG30" i="1"/>
  <c r="AF45" i="1"/>
  <c r="AF46" i="1" s="1"/>
  <c r="AI67" i="4"/>
  <c r="AJ66" i="4"/>
  <c r="AJ63" i="4"/>
  <c r="AK62" i="4"/>
  <c r="AL58" i="4"/>
  <c r="AH14" i="3"/>
  <c r="AF19" i="3"/>
  <c r="AF18" i="3"/>
  <c r="AF20" i="3" s="1"/>
  <c r="AI14" i="3"/>
  <c r="AG18" i="3"/>
  <c r="AG19" i="3"/>
  <c r="P69" i="3"/>
  <c r="P75" i="3"/>
  <c r="S62" i="3"/>
  <c r="T58" i="3"/>
  <c r="R66" i="3"/>
  <c r="R63" i="3"/>
  <c r="P67" i="3"/>
  <c r="AE20" i="3"/>
  <c r="AC45" i="3"/>
  <c r="AC21" i="3"/>
  <c r="AD20" i="3"/>
  <c r="AD21" i="3" s="1"/>
  <c r="F60" i="1"/>
  <c r="E18" i="1"/>
  <c r="D18" i="1" s="1"/>
  <c r="E19" i="1"/>
  <c r="AH30" i="1" l="1"/>
  <c r="AG45" i="1"/>
  <c r="AG46" i="1" s="1"/>
  <c r="AL62" i="4"/>
  <c r="AM58" i="4"/>
  <c r="AK66" i="4"/>
  <c r="AK67" i="4" s="1"/>
  <c r="AK63" i="4"/>
  <c r="AJ67" i="4"/>
  <c r="AJ69" i="4"/>
  <c r="AG20" i="3"/>
  <c r="AG45" i="3"/>
  <c r="AG46" i="3" s="1"/>
  <c r="AG21" i="3"/>
  <c r="AF45" i="3"/>
  <c r="AF46" i="3" s="1"/>
  <c r="AF21" i="3"/>
  <c r="AK14" i="3"/>
  <c r="AI19" i="3"/>
  <c r="AI18" i="3"/>
  <c r="AI20" i="3" s="1"/>
  <c r="U58" i="3"/>
  <c r="T62" i="3"/>
  <c r="S63" i="3"/>
  <c r="S66" i="3"/>
  <c r="R67" i="3"/>
  <c r="AE45" i="3"/>
  <c r="AE46" i="3" s="1"/>
  <c r="AE21" i="3"/>
  <c r="P76" i="3"/>
  <c r="Q75" i="3"/>
  <c r="Q76" i="3" s="1"/>
  <c r="R75" i="3"/>
  <c r="R76" i="3" s="1"/>
  <c r="AC46" i="3"/>
  <c r="AD45" i="3"/>
  <c r="AD46" i="3" s="1"/>
  <c r="Q69" i="3"/>
  <c r="N78" i="3" s="1"/>
  <c r="P78" i="3"/>
  <c r="AJ14" i="3"/>
  <c r="AH18" i="3"/>
  <c r="AH19" i="3"/>
  <c r="G60" i="1"/>
  <c r="F62" i="1"/>
  <c r="Q19" i="1"/>
  <c r="D19" i="1"/>
  <c r="Q18" i="1"/>
  <c r="E20" i="1"/>
  <c r="AI30" i="1" l="1"/>
  <c r="AH45" i="1"/>
  <c r="AH46" i="1" s="1"/>
  <c r="AK69" i="4"/>
  <c r="AN58" i="4"/>
  <c r="AM62" i="4"/>
  <c r="AL63" i="4"/>
  <c r="AL66" i="4"/>
  <c r="AI45" i="3"/>
  <c r="AI46" i="3" s="1"/>
  <c r="AI21" i="3"/>
  <c r="T66" i="3"/>
  <c r="T63" i="3"/>
  <c r="AL14" i="3"/>
  <c r="AJ19" i="3"/>
  <c r="AJ18" i="3"/>
  <c r="V58" i="3"/>
  <c r="U62" i="3"/>
  <c r="AM14" i="3"/>
  <c r="AK18" i="3"/>
  <c r="AK19" i="3"/>
  <c r="AK20" i="3" s="1"/>
  <c r="AH20" i="3"/>
  <c r="S67" i="3"/>
  <c r="Q81" i="3"/>
  <c r="P81" i="3"/>
  <c r="Q80" i="3"/>
  <c r="P80" i="3"/>
  <c r="Q79" i="3"/>
  <c r="P79" i="3"/>
  <c r="R69" i="3"/>
  <c r="S69" i="3" s="1"/>
  <c r="F63" i="1"/>
  <c r="F66" i="1"/>
  <c r="F67" i="1" s="1"/>
  <c r="H60" i="1"/>
  <c r="G62" i="1"/>
  <c r="G66" i="1" s="1"/>
  <c r="D20" i="1"/>
  <c r="E21" i="1"/>
  <c r="D21" i="1" s="1"/>
  <c r="Q20" i="1"/>
  <c r="AJ30" i="1" l="1"/>
  <c r="AI45" i="1"/>
  <c r="AI46" i="1" s="1"/>
  <c r="AL67" i="4"/>
  <c r="AL69" i="4"/>
  <c r="AM66" i="4"/>
  <c r="AM63" i="4"/>
  <c r="AN62" i="4"/>
  <c r="AO58" i="4"/>
  <c r="AJ20" i="3"/>
  <c r="AJ45" i="3"/>
  <c r="AJ46" i="3" s="1"/>
  <c r="AJ21" i="3"/>
  <c r="AK45" i="3"/>
  <c r="AK46" i="3" s="1"/>
  <c r="AK21" i="3"/>
  <c r="T69" i="3"/>
  <c r="W58" i="3"/>
  <c r="V62" i="3"/>
  <c r="T67" i="3"/>
  <c r="AN14" i="3"/>
  <c r="AL19" i="3"/>
  <c r="AL18" i="3"/>
  <c r="AL20" i="3" s="1"/>
  <c r="AO14" i="3"/>
  <c r="AM19" i="3"/>
  <c r="AM18" i="3"/>
  <c r="AM20" i="3" s="1"/>
  <c r="U66" i="3"/>
  <c r="U63" i="3"/>
  <c r="AH21" i="3"/>
  <c r="AH45" i="3"/>
  <c r="AH46" i="3" s="1"/>
  <c r="G63" i="1"/>
  <c r="I60" i="1"/>
  <c r="H62" i="1"/>
  <c r="AK30" i="1" l="1"/>
  <c r="AJ45" i="1"/>
  <c r="AJ46" i="1" s="1"/>
  <c r="AO62" i="4"/>
  <c r="AP58" i="4"/>
  <c r="AN66" i="4"/>
  <c r="AN63" i="4"/>
  <c r="AM69" i="4"/>
  <c r="AM67" i="4"/>
  <c r="AN67" i="4"/>
  <c r="AL45" i="3"/>
  <c r="AL46" i="3" s="1"/>
  <c r="AL21" i="3"/>
  <c r="AM45" i="3"/>
  <c r="AM46" i="3" s="1"/>
  <c r="AM21" i="3"/>
  <c r="W62" i="3"/>
  <c r="X58" i="3"/>
  <c r="AO19" i="3"/>
  <c r="AO18" i="3"/>
  <c r="U69" i="3"/>
  <c r="U67" i="3"/>
  <c r="AP14" i="3"/>
  <c r="AN18" i="3"/>
  <c r="AN19" i="3"/>
  <c r="V66" i="3"/>
  <c r="V69" i="3" s="1"/>
  <c r="V63" i="3"/>
  <c r="H63" i="1"/>
  <c r="H66" i="1"/>
  <c r="J60" i="1"/>
  <c r="I62" i="1"/>
  <c r="AO20" i="3" l="1"/>
  <c r="AL30" i="1"/>
  <c r="AK45" i="1"/>
  <c r="AK46" i="1" s="1"/>
  <c r="AN69" i="4"/>
  <c r="AP62" i="4"/>
  <c r="AQ58" i="4"/>
  <c r="AQ62" i="4" s="1"/>
  <c r="AO63" i="4"/>
  <c r="AO66" i="4"/>
  <c r="AN20" i="3"/>
  <c r="AN21" i="3" s="1"/>
  <c r="V67" i="3"/>
  <c r="AN45" i="3"/>
  <c r="AN46" i="3" s="1"/>
  <c r="AP19" i="3"/>
  <c r="AQ19" i="3" s="1"/>
  <c r="AP18" i="3"/>
  <c r="AQ18" i="3" s="1"/>
  <c r="W66" i="3"/>
  <c r="W63" i="3"/>
  <c r="X62" i="3"/>
  <c r="Y58" i="3"/>
  <c r="AO45" i="3"/>
  <c r="AO46" i="3" s="1"/>
  <c r="AO21" i="3"/>
  <c r="AQ14" i="3"/>
  <c r="I63" i="1"/>
  <c r="I66" i="1"/>
  <c r="I67" i="1" s="1"/>
  <c r="K60" i="1"/>
  <c r="J62" i="1"/>
  <c r="H67" i="1"/>
  <c r="AM30" i="1" l="1"/>
  <c r="AL45" i="1"/>
  <c r="AL46" i="1" s="1"/>
  <c r="AQ63" i="4"/>
  <c r="AQ66" i="4"/>
  <c r="AQ67" i="4" s="1"/>
  <c r="AP63" i="4"/>
  <c r="AP66" i="4"/>
  <c r="AP67" i="4" s="1"/>
  <c r="AO67" i="4"/>
  <c r="AO69" i="4"/>
  <c r="W67" i="3"/>
  <c r="W69" i="3"/>
  <c r="AQ20" i="3"/>
  <c r="AP20" i="3"/>
  <c r="X66" i="3"/>
  <c r="X69" i="3" s="1"/>
  <c r="X63" i="3"/>
  <c r="Y62" i="3"/>
  <c r="Z58" i="3"/>
  <c r="L60" i="1"/>
  <c r="K62" i="1"/>
  <c r="J63" i="1"/>
  <c r="J66" i="1"/>
  <c r="AN30" i="1" l="1"/>
  <c r="AM45" i="1"/>
  <c r="AM46" i="1" s="1"/>
  <c r="AP69" i="4"/>
  <c r="AQ69" i="4" s="1"/>
  <c r="AQ21" i="3"/>
  <c r="AQ45" i="3" s="1"/>
  <c r="AQ46" i="3" s="1"/>
  <c r="Y66" i="3"/>
  <c r="Y63" i="3"/>
  <c r="AP45" i="3"/>
  <c r="AP46" i="3" s="1"/>
  <c r="AP21" i="3"/>
  <c r="X67" i="3"/>
  <c r="Z62" i="3"/>
  <c r="AA58" i="3"/>
  <c r="J67" i="1"/>
  <c r="N75" i="1"/>
  <c r="M60" i="1"/>
  <c r="L62" i="1"/>
  <c r="K63" i="1"/>
  <c r="K66" i="1"/>
  <c r="AO30" i="1" l="1"/>
  <c r="AN45" i="1"/>
  <c r="AN46" i="1" s="1"/>
  <c r="Z66" i="3"/>
  <c r="Z63" i="3"/>
  <c r="Y67" i="3"/>
  <c r="Y69" i="3"/>
  <c r="AA62" i="3"/>
  <c r="AB58" i="3"/>
  <c r="N60" i="1"/>
  <c r="M62" i="1"/>
  <c r="N76" i="1"/>
  <c r="L63" i="1"/>
  <c r="L66" i="1"/>
  <c r="K67" i="1"/>
  <c r="AP30" i="1" l="1"/>
  <c r="AP45" i="1" s="1"/>
  <c r="AP46" i="1" s="1"/>
  <c r="AO45" i="1"/>
  <c r="AO46" i="1" s="1"/>
  <c r="AQ30" i="1"/>
  <c r="AQ45" i="1" s="1"/>
  <c r="AQ46" i="1" s="1"/>
  <c r="AC58" i="3"/>
  <c r="AB62" i="3"/>
  <c r="AA63" i="3"/>
  <c r="AA66" i="3"/>
  <c r="Z67" i="3"/>
  <c r="Z69" i="3"/>
  <c r="M63" i="1"/>
  <c r="M66" i="1"/>
  <c r="M67" i="1" s="1"/>
  <c r="O60" i="1"/>
  <c r="N62" i="1"/>
  <c r="L67" i="1"/>
  <c r="O75" i="1"/>
  <c r="AA69" i="3" l="1"/>
  <c r="AA67" i="3"/>
  <c r="AB63" i="3"/>
  <c r="AB66" i="3"/>
  <c r="AE58" i="3"/>
  <c r="AC62" i="3"/>
  <c r="AD58" i="3"/>
  <c r="AD62" i="3" s="1"/>
  <c r="O76" i="1"/>
  <c r="N63" i="1"/>
  <c r="N66" i="1"/>
  <c r="P60" i="1"/>
  <c r="O62" i="1"/>
  <c r="P62" i="1" l="1"/>
  <c r="R60" i="1"/>
  <c r="AD66" i="3"/>
  <c r="AD67" i="3" s="1"/>
  <c r="AD63" i="3"/>
  <c r="AC66" i="3"/>
  <c r="AC63" i="3"/>
  <c r="AE62" i="3"/>
  <c r="AF58" i="3"/>
  <c r="AB69" i="3"/>
  <c r="AB67" i="3"/>
  <c r="P63" i="1"/>
  <c r="P66" i="1"/>
  <c r="N67" i="1"/>
  <c r="O63" i="1"/>
  <c r="O66" i="1"/>
  <c r="Q60" i="1"/>
  <c r="AF62" i="3" l="1"/>
  <c r="AG58" i="3"/>
  <c r="AE66" i="3"/>
  <c r="AE63" i="3"/>
  <c r="AC69" i="3"/>
  <c r="AD69" i="3" s="1"/>
  <c r="AC67" i="3"/>
  <c r="P67" i="1"/>
  <c r="O67" i="1"/>
  <c r="P75" i="1"/>
  <c r="AE67" i="3" l="1"/>
  <c r="AE69" i="3"/>
  <c r="AG62" i="3"/>
  <c r="AH58" i="3"/>
  <c r="AF66" i="3"/>
  <c r="AF63" i="3"/>
  <c r="S60" i="1"/>
  <c r="R62" i="1"/>
  <c r="AF67" i="3" l="1"/>
  <c r="AF69" i="3"/>
  <c r="AH62" i="3"/>
  <c r="AI58" i="3"/>
  <c r="AG66" i="3"/>
  <c r="AG63" i="3"/>
  <c r="AG67" i="3"/>
  <c r="R63" i="1"/>
  <c r="R66" i="1"/>
  <c r="T60" i="1"/>
  <c r="S62" i="1"/>
  <c r="AG69" i="3" l="1"/>
  <c r="AI62" i="3"/>
  <c r="AJ58" i="3"/>
  <c r="AH66" i="3"/>
  <c r="AH63" i="3"/>
  <c r="S63" i="1"/>
  <c r="S66" i="1"/>
  <c r="S67" i="1" s="1"/>
  <c r="R67" i="1"/>
  <c r="U60" i="1"/>
  <c r="T62" i="1"/>
  <c r="AH67" i="3" l="1"/>
  <c r="AH69" i="3"/>
  <c r="AK58" i="3"/>
  <c r="AJ62" i="3"/>
  <c r="AI63" i="3"/>
  <c r="AI66" i="3"/>
  <c r="V60" i="1"/>
  <c r="U62" i="1"/>
  <c r="T63" i="1"/>
  <c r="T66" i="1"/>
  <c r="T67" i="1" s="1"/>
  <c r="AI69" i="3" l="1"/>
  <c r="AJ66" i="3"/>
  <c r="AJ63" i="3"/>
  <c r="AL58" i="3"/>
  <c r="AK62" i="3"/>
  <c r="AI67" i="3"/>
  <c r="U63" i="1"/>
  <c r="U66" i="1"/>
  <c r="W60" i="1"/>
  <c r="V62" i="1"/>
  <c r="AK66" i="3" l="1"/>
  <c r="AK63" i="3"/>
  <c r="AM58" i="3"/>
  <c r="AL62" i="3"/>
  <c r="AJ69" i="3"/>
  <c r="AJ67" i="3"/>
  <c r="AK67" i="3"/>
  <c r="V63" i="1"/>
  <c r="V66" i="1"/>
  <c r="U67" i="1"/>
  <c r="V67" i="1"/>
  <c r="X60" i="1"/>
  <c r="W62" i="1"/>
  <c r="AL66" i="3" l="1"/>
  <c r="AL63" i="3"/>
  <c r="AM62" i="3"/>
  <c r="AN58" i="3"/>
  <c r="AK69" i="3"/>
  <c r="Y60" i="1"/>
  <c r="X62" i="1"/>
  <c r="W63" i="1"/>
  <c r="W66" i="1"/>
  <c r="AN62" i="3" l="1"/>
  <c r="AO58" i="3"/>
  <c r="AM66" i="3"/>
  <c r="AM63" i="3"/>
  <c r="AL67" i="3"/>
  <c r="AL69" i="3"/>
  <c r="W67" i="1"/>
  <c r="X63" i="1"/>
  <c r="X66" i="1"/>
  <c r="X67" i="1" s="1"/>
  <c r="Z60" i="1"/>
  <c r="Y62" i="1"/>
  <c r="AM67" i="3" l="1"/>
  <c r="AM69" i="3"/>
  <c r="AO62" i="3"/>
  <c r="AP58" i="3"/>
  <c r="AN66" i="3"/>
  <c r="AN63" i="3"/>
  <c r="AA60" i="1"/>
  <c r="Z62" i="1"/>
  <c r="Y63" i="1"/>
  <c r="Y66" i="1"/>
  <c r="AO66" i="3" l="1"/>
  <c r="AO63" i="3"/>
  <c r="AN69" i="3"/>
  <c r="AN67" i="3"/>
  <c r="AP62" i="3"/>
  <c r="AQ58" i="3"/>
  <c r="AQ62" i="3" s="1"/>
  <c r="Y67" i="1"/>
  <c r="Z63" i="1"/>
  <c r="Z66" i="1"/>
  <c r="Z67" i="1" s="1"/>
  <c r="AB60" i="1"/>
  <c r="AA62" i="1"/>
  <c r="AQ63" i="3" l="1"/>
  <c r="AQ66" i="3"/>
  <c r="AQ67" i="3" s="1"/>
  <c r="AP66" i="3"/>
  <c r="AP63" i="3"/>
  <c r="AO67" i="3"/>
  <c r="AO69" i="3"/>
  <c r="AP67" i="3"/>
  <c r="AC60" i="1"/>
  <c r="AE60" i="1" s="1"/>
  <c r="AB62" i="1"/>
  <c r="AA63" i="1"/>
  <c r="AA66" i="1"/>
  <c r="AP69" i="3" l="1"/>
  <c r="AQ69" i="3" s="1"/>
  <c r="AA67" i="1"/>
  <c r="AB63" i="1"/>
  <c r="AB66" i="1"/>
  <c r="AC62" i="1"/>
  <c r="AD60" i="1"/>
  <c r="AE62" i="1" l="1"/>
  <c r="AD62" i="1"/>
  <c r="AC63" i="1"/>
  <c r="AC66" i="1"/>
  <c r="AC67" i="1" s="1"/>
  <c r="AB67" i="1"/>
  <c r="AD63" i="1" l="1"/>
  <c r="AD66" i="1"/>
  <c r="AD67" i="1" s="1"/>
  <c r="AF60" i="1"/>
  <c r="AE63" i="1" l="1"/>
  <c r="AE66" i="1"/>
  <c r="AG60" i="1"/>
  <c r="AF62" i="1"/>
  <c r="AH60" i="1" l="1"/>
  <c r="AG62" i="1"/>
  <c r="AE67" i="1"/>
  <c r="AF63" i="1"/>
  <c r="AF66" i="1"/>
  <c r="AF67" i="1" s="1"/>
  <c r="AG63" i="1" l="1"/>
  <c r="AG66" i="1"/>
  <c r="AG67" i="1" s="1"/>
  <c r="AI60" i="1"/>
  <c r="AH62" i="1"/>
  <c r="AH63" i="1" l="1"/>
  <c r="AH66" i="1"/>
  <c r="AJ60" i="1"/>
  <c r="AI62" i="1"/>
  <c r="AK60" i="1" l="1"/>
  <c r="AJ62" i="1"/>
  <c r="AI63" i="1"/>
  <c r="AI66" i="1"/>
  <c r="AI67" i="1" s="1"/>
  <c r="AH67" i="1"/>
  <c r="AJ63" i="1" l="1"/>
  <c r="AJ66" i="1"/>
  <c r="AL60" i="1"/>
  <c r="AK62" i="1"/>
  <c r="AM60" i="1" l="1"/>
  <c r="AL62" i="1"/>
  <c r="AK63" i="1"/>
  <c r="AK66" i="1"/>
  <c r="AK67" i="1" s="1"/>
  <c r="AJ67" i="1"/>
  <c r="AL63" i="1" l="1"/>
  <c r="AL66" i="1"/>
  <c r="AN60" i="1"/>
  <c r="AM62" i="1"/>
  <c r="AL67" i="1" l="1"/>
  <c r="AM63" i="1"/>
  <c r="AM66" i="1"/>
  <c r="AM67" i="1" s="1"/>
  <c r="AO60" i="1"/>
  <c r="AN62" i="1"/>
  <c r="AP60" i="1" l="1"/>
  <c r="AO62" i="1"/>
  <c r="AN63" i="1"/>
  <c r="AN66" i="1"/>
  <c r="AN67" i="1" s="1"/>
  <c r="AO63" i="1" l="1"/>
  <c r="AO66" i="1"/>
  <c r="AO67" i="1" s="1"/>
  <c r="AP62" i="1"/>
  <c r="AQ60" i="1"/>
  <c r="AQ62" i="1" s="1"/>
  <c r="AQ63" i="1" l="1"/>
  <c r="AQ66" i="1"/>
  <c r="AQ67" i="1" s="1"/>
  <c r="AP63" i="1"/>
  <c r="AP66" i="1"/>
  <c r="AP67" i="1" s="1"/>
  <c r="Q26" i="1"/>
  <c r="Q27" i="1"/>
  <c r="Q24" i="1"/>
  <c r="Q25" i="1"/>
  <c r="E59" i="1"/>
  <c r="E62" i="1" s="1"/>
  <c r="E63" i="1" l="1"/>
  <c r="D63" i="1" s="1"/>
  <c r="D62" i="1"/>
  <c r="Q59" i="1"/>
  <c r="Q62" i="1" s="1"/>
  <c r="Q21" i="1"/>
  <c r="R74" i="1"/>
  <c r="P76" i="1"/>
  <c r="Q6" i="1"/>
  <c r="Q63" i="1"/>
  <c r="Q74" i="1" l="1"/>
  <c r="Q29" i="1"/>
  <c r="E45" i="1"/>
  <c r="E66" i="1" s="1"/>
  <c r="R78" i="1" s="1"/>
  <c r="E67" i="1" l="1"/>
  <c r="G67" i="1"/>
  <c r="E69" i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M75" i="1"/>
  <c r="Q45" i="1"/>
  <c r="E46" i="1"/>
  <c r="D46" i="1" s="1"/>
  <c r="Q75" i="1" l="1"/>
  <c r="Q76" i="1" s="1"/>
  <c r="R75" i="1"/>
  <c r="R76" i="1" s="1"/>
  <c r="M76" i="1"/>
  <c r="Q46" i="1"/>
  <c r="Q66" i="1"/>
  <c r="Q67" i="1" s="1"/>
  <c r="P78" i="1"/>
  <c r="Q69" i="1"/>
  <c r="N78" i="1" l="1"/>
  <c r="R69" i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Q81" i="1"/>
  <c r="P79" i="1"/>
  <c r="Q79" i="1"/>
  <c r="P81" i="1"/>
  <c r="Q80" i="1"/>
  <c r="P80" i="1"/>
  <c r="AP69" i="1" l="1"/>
  <c r="AQ69" i="1" s="1"/>
</calcChain>
</file>

<file path=xl/sharedStrings.xml><?xml version="1.0" encoding="utf-8"?>
<sst xmlns="http://schemas.openxmlformats.org/spreadsheetml/2006/main" count="587" uniqueCount="161">
  <si>
    <t>Room</t>
  </si>
  <si>
    <t>Sqft</t>
  </si>
  <si>
    <t>Rate Lease</t>
  </si>
  <si>
    <t>Monthly Rate at $9/sqft Longterm Deal</t>
  </si>
  <si>
    <t>Monthly Rate at $10/sqft ShortTerm Deal</t>
  </si>
  <si>
    <t>Canopy Sqft</t>
  </si>
  <si>
    <t>Room Layout</t>
  </si>
  <si>
    <t>Notes</t>
  </si>
  <si>
    <t>Plant Count estimate Sea of Green</t>
  </si>
  <si>
    <t>Plant Count estimate Craft (2 topping veg cycle)</t>
  </si>
  <si>
    <t>P101</t>
  </si>
  <si>
    <t>Single Tier</t>
  </si>
  <si>
    <t>HPS/CMH Blended</t>
  </si>
  <si>
    <t>P102</t>
  </si>
  <si>
    <t>HPS/LED Blended</t>
  </si>
  <si>
    <t>P103</t>
  </si>
  <si>
    <t>P104</t>
  </si>
  <si>
    <t>P105</t>
  </si>
  <si>
    <t>P124</t>
  </si>
  <si>
    <t>P125</t>
  </si>
  <si>
    <t>P126</t>
  </si>
  <si>
    <t>Monthly Rate at $8/sqft Longterm Deal</t>
  </si>
  <si>
    <t>Monthly Rate at $9/sqft ShortTerm Deal</t>
  </si>
  <si>
    <t>P120</t>
  </si>
  <si>
    <t>Vertical</t>
  </si>
  <si>
    <t>ETA - July 15</t>
  </si>
  <si>
    <t>P131</t>
  </si>
  <si>
    <t>ETA - June 15</t>
  </si>
  <si>
    <t>P132A</t>
  </si>
  <si>
    <t>ETA - June 30</t>
  </si>
  <si>
    <t>P107</t>
  </si>
  <si>
    <t>ETA - Aug 15</t>
  </si>
  <si>
    <t>P123</t>
  </si>
  <si>
    <t>Drying Rooms</t>
  </si>
  <si>
    <t>P107A</t>
  </si>
  <si>
    <t>P107B</t>
  </si>
  <si>
    <t>P128</t>
  </si>
  <si>
    <t>P122A</t>
  </si>
  <si>
    <t>P122B</t>
  </si>
  <si>
    <t>P132B1</t>
  </si>
  <si>
    <t>P132B2</t>
  </si>
  <si>
    <t>P132B3</t>
  </si>
  <si>
    <t>Avg selling price Assumption</t>
  </si>
  <si>
    <t>SquareFeet</t>
  </si>
  <si>
    <t>(2Rooms)</t>
  </si>
  <si>
    <t>Fixed Cost</t>
  </si>
  <si>
    <t>Grams per sqft assumption</t>
  </si>
  <si>
    <t>LeaseRate (&lt;12M (10$) vs 24M+ (9$))</t>
  </si>
  <si>
    <t>3 pay periods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</si>
  <si>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</si>
  <si>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</si>
  <si>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</si>
  <si>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</si>
  <si>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</si>
  <si>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</si>
  <si>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</si>
  <si>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</si>
  <si>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</si>
  <si>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</si>
  <si>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</si>
  <si>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</si>
  <si>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FY1</t>
  </si>
  <si>
    <t>FY2</t>
  </si>
  <si>
    <t>FY3</t>
  </si>
  <si>
    <t>Grams - grown/ready for sale</t>
  </si>
  <si>
    <t>Avg selling price</t>
  </si>
  <si>
    <t xml:space="preserve">   Total sales</t>
  </si>
  <si>
    <t>G/L account</t>
  </si>
  <si>
    <t>Category</t>
  </si>
  <si>
    <t>COGS line</t>
  </si>
  <si>
    <t>Rates per sqft (below)</t>
  </si>
  <si>
    <t xml:space="preserve">   Grow labor ( 1 apprentice per room equiv)</t>
  </si>
  <si>
    <t xml:space="preserve">   Sanitation Room Turnover,Foam + Fogg</t>
  </si>
  <si>
    <t>Harvest Labor</t>
  </si>
  <si>
    <t>Dry Cure Labor</t>
  </si>
  <si>
    <t>QC Trim Labor $0.18/g Machine+ Hand finish</t>
  </si>
  <si>
    <t xml:space="preserve">   Mgmt Wages (Master Grower Wage)</t>
  </si>
  <si>
    <t>Irrigation + Hvac Tech (25 hours/ mo) - As Needed</t>
  </si>
  <si>
    <t xml:space="preserve">   QA - Record Keeping review, auditing As Needed</t>
  </si>
  <si>
    <t xml:space="preserve">      WCB</t>
  </si>
  <si>
    <t xml:space="preserve">      Canada Life/Employer CPP/EI</t>
  </si>
  <si>
    <t xml:space="preserve">          Total grow labor</t>
  </si>
  <si>
    <t xml:space="preserve">           Labor/gram</t>
  </si>
  <si>
    <t>Freight related to treatment</t>
  </si>
  <si>
    <t>CCX fees/export fees</t>
  </si>
  <si>
    <t>50160 COS Labour:COS Labour - Laundry</t>
  </si>
  <si>
    <t>COGS - labor - Laundry</t>
  </si>
  <si>
    <t>COGS - labor - Laundry (Pro rated estimate)</t>
  </si>
  <si>
    <t>51060 Cost of Goods Sold:Other Supplies &amp; Materials</t>
  </si>
  <si>
    <t>COGS - grow supplies</t>
  </si>
  <si>
    <t>COGS - Supplies (Nutrients etc)</t>
  </si>
  <si>
    <t>51350 COS - Veg Plant Purchases</t>
  </si>
  <si>
    <t>COGS - veg plant purchases</t>
  </si>
  <si>
    <t>COGS - Veg Plant Purchases</t>
  </si>
  <si>
    <t>52030 Facility Costs:Repairs &amp; Maint - Facility</t>
  </si>
  <si>
    <t>COGS - facility repairs</t>
  </si>
  <si>
    <t>COGS - Facility R&amp;M (Bulbs, Drivers, Fixtures, Irrigation parts etc)</t>
  </si>
  <si>
    <t>52040 Facility Costs:Utilities - Facility</t>
  </si>
  <si>
    <t>COGS - utilities</t>
  </si>
  <si>
    <t>COGS - Facility Utilities (Pro rated estimate)</t>
  </si>
  <si>
    <t>53000 Propagation Materials</t>
  </si>
  <si>
    <t>COGS - grow propagation materials</t>
  </si>
  <si>
    <t>53020 Propagation Materials:Cleaning Supplies</t>
  </si>
  <si>
    <t>53021 Propagation Materials:Cleaning Supplies:Internal Cleaning Supplies</t>
  </si>
  <si>
    <t>53022 Propagation Materials:Cleaning Supplies:External Cleaning Supplies</t>
  </si>
  <si>
    <t>53030 Propagation Materials:CO2</t>
  </si>
  <si>
    <t>53060 Propagation Materials:Small tools and equipment &lt;$500</t>
  </si>
  <si>
    <t>53090 Propagation Materials:Pots</t>
  </si>
  <si>
    <t>53100 Propagation Materials:Nutrients</t>
  </si>
  <si>
    <t>53110 Propagation Materials:Rockwool</t>
  </si>
  <si>
    <t>53120 Propagation Materials:Uniforms</t>
  </si>
  <si>
    <t>53121 Propagation Materials:Uniforms:External Uniform &amp; Apparel</t>
  </si>
  <si>
    <t>53122 Propagation Materials:Uniforms:Internal Uniform/Laundry</t>
  </si>
  <si>
    <t>53150 Propagation Materials:Growing Materials</t>
  </si>
  <si>
    <t xml:space="preserve">               Total labor &amp; direct costs</t>
  </si>
  <si>
    <t xml:space="preserve">               Labor &amp; direct cost/gram</t>
  </si>
  <si>
    <t>51190 Cost of Goods Sold:Testing Products</t>
  </si>
  <si>
    <t>COGS - testing</t>
  </si>
  <si>
    <t>COGS - Testing (COAs)</t>
  </si>
  <si>
    <t>51195 Cost of Goods Sold:Radiation Treatment</t>
  </si>
  <si>
    <t>COGS - radiation</t>
  </si>
  <si>
    <t>COGS - Radiation (Ebeam)</t>
  </si>
  <si>
    <t>52000 Facility Costs</t>
  </si>
  <si>
    <t>COGS - facility</t>
  </si>
  <si>
    <t>COGS - Facility (MISC)</t>
  </si>
  <si>
    <t>52010 Facility Costs:Cleaning Supplies - Facility</t>
  </si>
  <si>
    <t>COGS - Facility Sanitation (MISC)</t>
  </si>
  <si>
    <t>52015 Facility Costs:Supplies - Facility</t>
  </si>
  <si>
    <t>COGS - Facility Supplies</t>
  </si>
  <si>
    <t>52070 Facility Costs:Computer &amp; Internet Expenses - Facility</t>
  </si>
  <si>
    <t>COGS - Facility</t>
  </si>
  <si>
    <t>Cube van</t>
  </si>
  <si>
    <t>Computer software (Evora + M365)</t>
  </si>
  <si>
    <t>OfficeExpenses (paper misc)</t>
  </si>
  <si>
    <t>Repairs and maintenance MISC</t>
  </si>
  <si>
    <t xml:space="preserve">  Rent</t>
  </si>
  <si>
    <t xml:space="preserve">  Other infrastructure changes (ex LED conversion, MISC)</t>
  </si>
  <si>
    <t xml:space="preserve">  Insurance Cost (Service Provided by Freedom)</t>
  </si>
  <si>
    <t xml:space="preserve">               Total indirect costs</t>
  </si>
  <si>
    <t xml:space="preserve">               Indirect cost/gram</t>
  </si>
  <si>
    <t xml:space="preserve">  **excludes depreciation, dues &amp; memberships, interest, meals &amp; entertainment, professional development, professional fees, backoffice salaries, travel, and backoffice utilities</t>
  </si>
  <si>
    <t>Total grow costs</t>
  </si>
  <si>
    <t>Total grow cost/gram</t>
  </si>
  <si>
    <t>Net income (loss) (Total Sales - Total grow Costs) Rolling</t>
  </si>
  <si>
    <t>Actual</t>
  </si>
  <si>
    <t>Q1'</t>
  </si>
  <si>
    <t>Q2'</t>
  </si>
  <si>
    <t>Q3'</t>
  </si>
  <si>
    <t>Q4'</t>
  </si>
  <si>
    <t>FY</t>
  </si>
  <si>
    <t>Monthly Avg</t>
  </si>
  <si>
    <t>Grams grown</t>
  </si>
  <si>
    <t>Total costs</t>
  </si>
  <si>
    <t>Cost per gram</t>
  </si>
  <si>
    <t>Sale Price per gram</t>
  </si>
  <si>
    <t>Year End Dividend split 51/49</t>
  </si>
  <si>
    <t>6 Month Carrying Cost / Initial Investment</t>
  </si>
  <si>
    <t>49er ROI 1st year</t>
  </si>
  <si>
    <t>49er ROI 1st + 2nd year</t>
  </si>
  <si>
    <t>49er ROI 1st, 2nd, 3rd year</t>
  </si>
  <si>
    <t>(4Rooms)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</si>
</sst>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_([$$-409]* #,##0.00_);_([$$-409]* \(#,##0.00\);_([$$-409]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07">
    <xf numFmtId="0" fontId="0" fillId="0" borderId="0" xfId="0"/>
    <xf numFmtId="0" fontId="0" fillId="0" borderId="0" xfId="0" applyAlignment="1">
      <alignment wrapText="1"/>
    </xf>
    <xf numFmtId="164" fontId="0" fillId="2" borderId="0" xfId="2" applyFont="1" applyFill="1"/>
    <xf numFmtId="0" fontId="0" fillId="0" borderId="1" xfId="0" applyBorder="1"/>
    <xf numFmtId="165" fontId="0" fillId="2" borderId="0" xfId="1" applyFont="1" applyFill="1"/>
    <xf numFmtId="165" fontId="0" fillId="0" borderId="0" xfId="0" applyNumberFormat="1"/>
    <xf numFmtId="0" fontId="0" fillId="3" borderId="0" xfId="0" applyFill="1"/>
    <xf numFmtId="0" fontId="0" fillId="3" borderId="0" xfId="0" applyFill="1" applyAlignment="1">
      <alignment wrapText="1"/>
    </xf>
    <xf numFmtId="0" fontId="4" fillId="3" borderId="2" xfId="4" applyFont="1" applyFill="1" applyBorder="1" applyAlignment="1">
      <alignment horizontal="center"/>
    </xf>
    <xf numFmtId="0" fontId="4" fillId="3" borderId="3" xfId="4" applyFont="1" applyFill="1" applyBorder="1" applyAlignment="1">
      <alignment horizontal="center"/>
    </xf>
    <xf numFmtId="166" fontId="3" fillId="4" borderId="0" xfId="1" applyNumberFormat="1" applyFont="1" applyFill="1"/>
    <xf numFmtId="166" fontId="3" fillId="4" borderId="1" xfId="1" applyNumberFormat="1" applyFont="1" applyFill="1" applyBorder="1"/>
    <xf numFmtId="164" fontId="0" fillId="4" borderId="0" xfId="2" applyFont="1" applyFill="1"/>
    <xf numFmtId="164" fontId="0" fillId="4" borderId="1" xfId="2" applyFont="1" applyFill="1" applyBorder="1"/>
    <xf numFmtId="0" fontId="0" fillId="2" borderId="0" xfId="0" applyFill="1"/>
    <xf numFmtId="164" fontId="0" fillId="0" borderId="0" xfId="2" applyFont="1"/>
    <xf numFmtId="164" fontId="0" fillId="0" borderId="1" xfId="2" applyFont="1" applyBorder="1"/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2" applyFont="1"/>
    <xf numFmtId="164" fontId="2" fillId="0" borderId="1" xfId="2" applyFont="1" applyBorder="1"/>
    <xf numFmtId="164" fontId="0" fillId="0" borderId="1" xfId="2" applyFont="1" applyFill="1" applyBorder="1"/>
    <xf numFmtId="164" fontId="0" fillId="0" borderId="2" xfId="2" applyFont="1" applyBorder="1"/>
    <xf numFmtId="164" fontId="0" fillId="0" borderId="3" xfId="2" applyFont="1" applyBorder="1"/>
    <xf numFmtId="0" fontId="2" fillId="5" borderId="0" xfId="0" applyFont="1" applyFill="1" applyAlignment="1">
      <alignment wrapText="1"/>
    </xf>
    <xf numFmtId="164" fontId="2" fillId="5" borderId="0" xfId="2" applyFont="1" applyFill="1"/>
    <xf numFmtId="164" fontId="2" fillId="5" borderId="1" xfId="2" applyFont="1" applyFill="1" applyBorder="1"/>
    <xf numFmtId="0" fontId="0" fillId="5" borderId="0" xfId="0" applyFill="1" applyAlignment="1">
      <alignment wrapText="1"/>
    </xf>
    <xf numFmtId="164" fontId="1" fillId="5" borderId="0" xfId="2" applyFont="1" applyFill="1"/>
    <xf numFmtId="164" fontId="1" fillId="5" borderId="1" xfId="2" applyFont="1" applyFill="1" applyBorder="1"/>
    <xf numFmtId="0" fontId="0" fillId="6" borderId="0" xfId="0" applyFill="1"/>
    <xf numFmtId="0" fontId="0" fillId="6" borderId="0" xfId="0" applyFill="1" applyAlignment="1">
      <alignment wrapText="1"/>
    </xf>
    <xf numFmtId="164" fontId="1" fillId="6" borderId="0" xfId="2" applyFont="1" applyFill="1"/>
    <xf numFmtId="164" fontId="0" fillId="6" borderId="0" xfId="2" applyFont="1" applyFill="1"/>
    <xf numFmtId="164" fontId="0" fillId="6" borderId="1" xfId="2" applyFont="1" applyFill="1" applyBorder="1"/>
    <xf numFmtId="164" fontId="0" fillId="7" borderId="0" xfId="2" applyFont="1" applyFill="1" applyBorder="1"/>
    <xf numFmtId="0" fontId="5" fillId="2" borderId="0" xfId="0" applyFont="1" applyFill="1" applyAlignment="1">
      <alignment horizontal="left"/>
    </xf>
    <xf numFmtId="0" fontId="6" fillId="0" borderId="0" xfId="4" applyFont="1" applyAlignment="1">
      <alignment horizontal="left"/>
    </xf>
    <xf numFmtId="166" fontId="0" fillId="0" borderId="0" xfId="1" applyNumberFormat="1" applyFont="1"/>
    <xf numFmtId="166" fontId="0" fillId="0" borderId="0" xfId="1" applyNumberFormat="1" applyFont="1" applyAlignment="1">
      <alignment wrapText="1"/>
    </xf>
    <xf numFmtId="164" fontId="0" fillId="8" borderId="0" xfId="2" applyFont="1" applyFill="1"/>
    <xf numFmtId="166" fontId="0" fillId="6" borderId="0" xfId="1" applyNumberFormat="1" applyFont="1" applyFill="1"/>
    <xf numFmtId="166" fontId="0" fillId="6" borderId="0" xfId="1" applyNumberFormat="1" applyFont="1" applyFill="1" applyAlignment="1">
      <alignment wrapText="1"/>
    </xf>
    <xf numFmtId="0" fontId="0" fillId="9" borderId="0" xfId="0" applyFill="1"/>
    <xf numFmtId="166" fontId="0" fillId="9" borderId="0" xfId="1" applyNumberFormat="1" applyFont="1" applyFill="1"/>
    <xf numFmtId="164" fontId="0" fillId="9" borderId="0" xfId="2" applyFont="1" applyFill="1"/>
    <xf numFmtId="164" fontId="0" fillId="9" borderId="1" xfId="2" applyFont="1" applyFill="1" applyBorder="1"/>
    <xf numFmtId="164" fontId="0" fillId="0" borderId="0" xfId="2" applyFont="1" applyBorder="1"/>
    <xf numFmtId="166" fontId="0" fillId="0" borderId="0" xfId="1" applyNumberFormat="1" applyFont="1" applyFill="1" applyAlignment="1">
      <alignment wrapText="1"/>
    </xf>
    <xf numFmtId="164" fontId="0" fillId="9" borderId="0" xfId="2" applyFont="1" applyFill="1" applyBorder="1"/>
    <xf numFmtId="164" fontId="0" fillId="8" borderId="0" xfId="2" applyFont="1" applyFill="1" applyBorder="1"/>
    <xf numFmtId="164" fontId="0" fillId="5" borderId="0" xfId="2" applyFont="1" applyFill="1"/>
    <xf numFmtId="164" fontId="0" fillId="5" borderId="1" xfId="2" applyFont="1" applyFill="1" applyBorder="1"/>
    <xf numFmtId="0" fontId="3" fillId="0" borderId="0" xfId="4" applyAlignment="1">
      <alignment horizontal="left" wrapText="1"/>
    </xf>
    <xf numFmtId="164" fontId="3" fillId="0" borderId="0" xfId="2" applyFont="1" applyAlignment="1">
      <alignment horizontal="left" indent="3"/>
    </xf>
    <xf numFmtId="164" fontId="3" fillId="0" borderId="1" xfId="2" applyFont="1" applyBorder="1" applyAlignment="1">
      <alignment horizontal="left" indent="3"/>
    </xf>
    <xf numFmtId="0" fontId="2" fillId="4" borderId="0" xfId="0" applyFont="1" applyFill="1" applyAlignment="1">
      <alignment wrapText="1"/>
    </xf>
    <xf numFmtId="164" fontId="2" fillId="4" borderId="0" xfId="2" applyFont="1" applyFill="1"/>
    <xf numFmtId="164" fontId="2" fillId="4" borderId="1" xfId="2" applyFont="1" applyFill="1" applyBorder="1"/>
    <xf numFmtId="0" fontId="0" fillId="4" borderId="0" xfId="0" applyFill="1" applyAlignment="1">
      <alignment wrapText="1"/>
    </xf>
    <xf numFmtId="164" fontId="1" fillId="4" borderId="0" xfId="2" applyFont="1" applyFill="1"/>
    <xf numFmtId="164" fontId="1" fillId="4" borderId="1" xfId="2" applyFont="1" applyFill="1" applyBorder="1"/>
    <xf numFmtId="167" fontId="0" fillId="0" borderId="0" xfId="0" applyNumberFormat="1"/>
    <xf numFmtId="166" fontId="2" fillId="0" borderId="0" xfId="0" applyNumberFormat="1" applyFont="1"/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166" fontId="0" fillId="0" borderId="0" xfId="0" applyNumberFormat="1"/>
    <xf numFmtId="166" fontId="0" fillId="0" borderId="1" xfId="0" applyNumberFormat="1" applyBorder="1"/>
    <xf numFmtId="168" fontId="0" fillId="0" borderId="0" xfId="0" applyNumberFormat="1"/>
    <xf numFmtId="0" fontId="0" fillId="10" borderId="0" xfId="0" applyFill="1"/>
    <xf numFmtId="169" fontId="2" fillId="10" borderId="0" xfId="0" applyNumberFormat="1" applyFont="1" applyFill="1"/>
    <xf numFmtId="169" fontId="2" fillId="10" borderId="1" xfId="0" applyNumberFormat="1" applyFont="1" applyFill="1" applyBorder="1"/>
    <xf numFmtId="169" fontId="2" fillId="4" borderId="0" xfId="0" applyNumberFormat="1" applyFont="1" applyFill="1"/>
    <xf numFmtId="169" fontId="2" fillId="0" borderId="0" xfId="0" applyNumberFormat="1" applyFont="1"/>
    <xf numFmtId="169" fontId="2" fillId="0" borderId="1" xfId="0" applyNumberFormat="1" applyFont="1" applyBorder="1"/>
    <xf numFmtId="9" fontId="2" fillId="0" borderId="0" xfId="3" applyFont="1"/>
    <xf numFmtId="169" fontId="2" fillId="0" borderId="1" xfId="0" applyNumberFormat="1" applyFont="1" applyBorder="1" applyAlignment="1">
      <alignment wrapText="1"/>
    </xf>
    <xf numFmtId="169" fontId="2" fillId="0" borderId="0" xfId="0" applyNumberFormat="1" applyFont="1" applyAlignment="1">
      <alignment horizontal="center"/>
    </xf>
    <xf numFmtId="0" fontId="0" fillId="0" borderId="4" xfId="0" applyBorder="1"/>
    <xf numFmtId="9" fontId="0" fillId="0" borderId="5" xfId="3" applyFont="1" applyBorder="1"/>
    <xf numFmtId="169" fontId="0" fillId="0" borderId="6" xfId="0" applyNumberFormat="1" applyBorder="1"/>
    <xf numFmtId="0" fontId="0" fillId="0" borderId="7" xfId="0" applyBorder="1"/>
    <xf numFmtId="9" fontId="0" fillId="0" borderId="0" xfId="3" applyFont="1" applyBorder="1"/>
    <xf numFmtId="169" fontId="0" fillId="0" borderId="8" xfId="0" applyNumberFormat="1" applyBorder="1"/>
    <xf numFmtId="0" fontId="0" fillId="0" borderId="9" xfId="0" applyBorder="1"/>
    <xf numFmtId="9" fontId="0" fillId="0" borderId="10" xfId="3" applyFont="1" applyBorder="1"/>
    <xf numFmtId="169" fontId="0" fillId="0" borderId="11" xfId="0" applyNumberFormat="1" applyBorder="1"/>
    <xf numFmtId="165" fontId="0" fillId="0" borderId="0" xfId="1" applyFont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0" fontId="0" fillId="11" borderId="0" xfId="0" applyFill="1"/>
    <xf numFmtId="169" fontId="2" fillId="11" borderId="0" xfId="0" applyNumberFormat="1" applyFont="1" applyFill="1"/>
    <xf numFmtId="0" fontId="0" fillId="12" borderId="0" xfId="0" applyFill="1"/>
    <xf numFmtId="164" fontId="0" fillId="0" borderId="0" xfId="0" applyNumberFormat="1" applyAlignment="1">
      <alignment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0" fillId="6" borderId="12" xfId="0" applyFill="1" applyBorder="1" applyAlignment="1">
      <alignment horizontal="center" vertical="center" wrapText="1"/>
    </xf>
    <xf numFmtId="164" fontId="0" fillId="0" borderId="12" xfId="2" applyFont="1" applyBorder="1" applyAlignment="1">
      <alignment wrapText="1"/>
    </xf>
    <xf numFmtId="166" fontId="0" fillId="0" borderId="12" xfId="1" applyNumberFormat="1" applyFont="1" applyBorder="1" applyAlignment="1">
      <alignment wrapText="1"/>
    </xf>
    <xf numFmtId="0" fontId="0" fillId="0" borderId="12" xfId="0" applyBorder="1" applyAlignment="1">
      <alignment wrapText="1"/>
    </xf>
    <xf numFmtId="1" fontId="0" fillId="0" borderId="0" xfId="0" applyNumberFormat="1" applyAlignment="1">
      <alignment wrapText="1"/>
    </xf>
    <xf numFmtId="164" fontId="0" fillId="6" borderId="12" xfId="2" applyFont="1" applyFill="1" applyBorder="1" applyAlignment="1">
      <alignment horizontal="center" vertical="center" wrapText="1"/>
    </xf>
    <xf numFmtId="164" fontId="0" fillId="0" borderId="0" xfId="2" applyFont="1" applyFill="1" applyBorder="1" applyAlignment="1">
      <alignment wrapText="1"/>
    </xf>
    <xf numFmtId="0" fontId="0" fillId="6" borderId="0" xfId="0" applyFill="1" applyAlignment="1">
      <alignment horizontal="center" vertical="center" wrapText="1"/>
    </xf>
    <xf numFmtId="164" fontId="0" fillId="0" borderId="0" xfId="0" applyNumberFormat="1"/>
  </cellXfs>
  <cellStyles count="5">
    <cellStyle name="Comma" xfId="1" builtinId="3"/>
    <cellStyle name="Currency" xfId="2" builtinId="4"/>
    <cellStyle name="Normal" xfId="0" builtinId="0"/>
    <cellStyle name="Normal 2" xfId="4" xr:uid="{103F7B53-7557-4926-B8D2-0DB7D2C35A4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82550</xdr:colOff>
      <xdr:row>24</xdr:row>
      <xdr:rowOff>165100</xdr:rowOff>
    </xdr:from>
    <xdr:to>
      <xdr:col>14</xdr:col>
      <xdr:colOff>461359</xdr:colOff>
      <xdr:row>71</xdr:row>
      <xdr:rowOff>86921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BF8BB-54AA-4781-A2DC-ABA2E4843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0" y="6804025"/>
          <a:ext cx="6684359" cy="8427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1B80-EE1C-4CDA-A198-DE161047F03E}">
  <dimension ref="A1:P56"/>
  <sheetViews>
    <sheetView topLeftCell="D63" workbookViewId="0">
      <selection activeCell="U55" sqref="U55:Y55"/>
    </sheetView>
  </sheetViews>
  <sheetFormatPr defaultColWidth="8.6640625" defaultRowHeight="14.4" x14ac:dyDescent="0.3"/>
  <cols>
    <col min="1" max="1" width="11.88671875" style="1" bestFit="1" customWidth="1"/>
    <col min="2" max="2" width="10.44140625" style="1" bestFit="1" customWidth="1"/>
    <col min="3" max="3" width="12.109375" style="1" bestFit="1" customWidth="1"/>
    <col min="4" max="4" width="20.33203125" style="1" customWidth="1"/>
    <col min="5" max="5" width="22.5546875" style="1" customWidth="1"/>
    <col min="6" max="6" width="11" style="1" bestFit="1" customWidth="1"/>
    <col min="7" max="7" width="14.6640625" style="1" customWidth="1"/>
    <col min="8" max="8" width="21.109375" style="1" customWidth="1"/>
    <col min="9" max="9" width="13.6640625" style="1" bestFit="1" customWidth="1"/>
    <col min="10" max="10" width="10.109375" style="1" customWidth="1"/>
    <col min="11" max="16384" width="8.6640625" style="1"/>
  </cols>
  <sheetData>
    <row r="1" spans="1:10" ht="86.4" x14ac:dyDescent="0.3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6" t="s">
        <v>6</v>
      </c>
      <c r="H1" s="96" t="s">
        <v>7</v>
      </c>
      <c r="I1" s="97" t="s">
        <v>8</v>
      </c>
      <c r="J1" s="97" t="s">
        <v>9</v>
      </c>
    </row>
    <row r="2" spans="1:10" x14ac:dyDescent="0.3">
      <c r="A2" s="98" t="s">
        <v>10</v>
      </c>
      <c r="B2" s="98">
        <v>1789</v>
      </c>
      <c r="C2" s="99">
        <v>10000</v>
      </c>
      <c r="D2" s="99">
        <f>B2*9</f>
        <v>16101</v>
      </c>
      <c r="E2" s="99">
        <f>B2*10</f>
        <v>17890</v>
      </c>
      <c r="F2" s="100">
        <f>B2</f>
        <v>1789</v>
      </c>
      <c r="G2" s="101" t="s">
        <v>11</v>
      </c>
      <c r="H2" s="101" t="s">
        <v>12</v>
      </c>
      <c r="I2" s="102">
        <v>1200</v>
      </c>
      <c r="J2" s="102">
        <v>630</v>
      </c>
    </row>
    <row r="3" spans="1:10" x14ac:dyDescent="0.3">
      <c r="A3" s="98" t="s">
        <v>13</v>
      </c>
      <c r="B3" s="98">
        <v>1808</v>
      </c>
      <c r="C3" s="99">
        <v>10000</v>
      </c>
      <c r="D3" s="99">
        <f t="shared" ref="D3:D9" si="0">B3*9</f>
        <v>16272</v>
      </c>
      <c r="E3" s="99">
        <f t="shared" ref="E3:E9" si="1">B3*10</f>
        <v>18080</v>
      </c>
      <c r="F3" s="100">
        <f t="shared" ref="F3:F9" si="2">B3</f>
        <v>1808</v>
      </c>
      <c r="G3" s="101" t="s">
        <v>11</v>
      </c>
      <c r="H3" s="101" t="s">
        <v>14</v>
      </c>
      <c r="I3" s="102">
        <v>1210</v>
      </c>
      <c r="J3" s="102">
        <v>630</v>
      </c>
    </row>
    <row r="4" spans="1:10" x14ac:dyDescent="0.3">
      <c r="A4" s="98" t="s">
        <v>15</v>
      </c>
      <c r="B4" s="98">
        <v>1393</v>
      </c>
      <c r="C4" s="99">
        <v>8000</v>
      </c>
      <c r="D4" s="99">
        <f t="shared" si="0"/>
        <v>12537</v>
      </c>
      <c r="E4" s="99">
        <f t="shared" si="1"/>
        <v>13930</v>
      </c>
      <c r="F4" s="100">
        <f t="shared" si="2"/>
        <v>1393</v>
      </c>
      <c r="G4" s="101" t="s">
        <v>11</v>
      </c>
      <c r="H4" s="101" t="s">
        <v>12</v>
      </c>
      <c r="I4" s="102">
        <v>930</v>
      </c>
      <c r="J4" s="102">
        <v>480</v>
      </c>
    </row>
    <row r="5" spans="1:10" x14ac:dyDescent="0.3">
      <c r="A5" s="98" t="s">
        <v>16</v>
      </c>
      <c r="B5" s="98">
        <v>1378</v>
      </c>
      <c r="C5" s="99">
        <v>8000</v>
      </c>
      <c r="D5" s="99">
        <f t="shared" si="0"/>
        <v>12402</v>
      </c>
      <c r="E5" s="99">
        <f t="shared" si="1"/>
        <v>13780</v>
      </c>
      <c r="F5" s="100">
        <f t="shared" si="2"/>
        <v>1378</v>
      </c>
      <c r="G5" s="101" t="s">
        <v>11</v>
      </c>
      <c r="H5" s="101" t="s">
        <v>12</v>
      </c>
      <c r="I5" s="102">
        <v>930</v>
      </c>
      <c r="J5" s="102">
        <v>480</v>
      </c>
    </row>
    <row r="6" spans="1:10" x14ac:dyDescent="0.3">
      <c r="A6" s="98" t="s">
        <v>17</v>
      </c>
      <c r="B6" s="98">
        <v>1509</v>
      </c>
      <c r="C6" s="99">
        <v>9000</v>
      </c>
      <c r="D6" s="99">
        <f t="shared" si="0"/>
        <v>13581</v>
      </c>
      <c r="E6" s="99">
        <f t="shared" si="1"/>
        <v>15090</v>
      </c>
      <c r="F6" s="100">
        <f t="shared" si="2"/>
        <v>1509</v>
      </c>
      <c r="G6" s="101" t="s">
        <v>11</v>
      </c>
      <c r="H6" s="101" t="s">
        <v>12</v>
      </c>
      <c r="I6" s="102">
        <v>1010</v>
      </c>
      <c r="J6" s="102">
        <v>520</v>
      </c>
    </row>
    <row r="7" spans="1:10" x14ac:dyDescent="0.3">
      <c r="A7" s="98" t="s">
        <v>18</v>
      </c>
      <c r="B7" s="98">
        <v>1200</v>
      </c>
      <c r="C7" s="99">
        <v>8000</v>
      </c>
      <c r="D7" s="99">
        <f t="shared" si="0"/>
        <v>10800</v>
      </c>
      <c r="E7" s="99">
        <f t="shared" si="1"/>
        <v>12000</v>
      </c>
      <c r="F7" s="100">
        <f t="shared" si="2"/>
        <v>1200</v>
      </c>
      <c r="G7" s="101" t="s">
        <v>11</v>
      </c>
      <c r="H7" s="101" t="s">
        <v>12</v>
      </c>
      <c r="I7" s="102">
        <v>800</v>
      </c>
      <c r="J7" s="102">
        <f>B7*0.35</f>
        <v>420</v>
      </c>
    </row>
    <row r="8" spans="1:10" x14ac:dyDescent="0.3">
      <c r="A8" s="98" t="s">
        <v>19</v>
      </c>
      <c r="B8" s="98">
        <v>1458</v>
      </c>
      <c r="C8" s="103">
        <v>9000</v>
      </c>
      <c r="D8" s="99">
        <f t="shared" si="0"/>
        <v>13122</v>
      </c>
      <c r="E8" s="99">
        <f t="shared" si="1"/>
        <v>14580</v>
      </c>
      <c r="F8" s="100">
        <f t="shared" si="2"/>
        <v>1458</v>
      </c>
      <c r="G8" s="101" t="s">
        <v>11</v>
      </c>
      <c r="H8" s="101" t="s">
        <v>12</v>
      </c>
      <c r="I8" s="102">
        <v>950</v>
      </c>
      <c r="J8" s="102">
        <f>B8*0.35</f>
        <v>510.29999999999995</v>
      </c>
    </row>
    <row r="9" spans="1:10" x14ac:dyDescent="0.3">
      <c r="A9" s="98" t="s">
        <v>20</v>
      </c>
      <c r="B9" s="98">
        <v>1454</v>
      </c>
      <c r="C9" s="103">
        <v>9000</v>
      </c>
      <c r="D9" s="99">
        <f t="shared" si="0"/>
        <v>13086</v>
      </c>
      <c r="E9" s="99">
        <f t="shared" si="1"/>
        <v>14540</v>
      </c>
      <c r="F9" s="100">
        <f t="shared" si="2"/>
        <v>1454</v>
      </c>
      <c r="G9" s="101" t="s">
        <v>11</v>
      </c>
      <c r="H9" s="101" t="s">
        <v>12</v>
      </c>
      <c r="I9" s="102">
        <v>950</v>
      </c>
      <c r="J9" s="102">
        <v>500</v>
      </c>
    </row>
    <row r="10" spans="1:10" ht="43.5" customHeight="1" x14ac:dyDescent="0.3">
      <c r="I10" s="102"/>
      <c r="J10" s="102"/>
    </row>
    <row r="11" spans="1:10" ht="86.4" x14ac:dyDescent="0.3">
      <c r="A11" s="98"/>
      <c r="B11" s="98"/>
      <c r="C11" s="103"/>
      <c r="D11" s="96" t="s">
        <v>21</v>
      </c>
      <c r="E11" s="96" t="s">
        <v>22</v>
      </c>
      <c r="F11" s="100"/>
      <c r="G11" s="101"/>
      <c r="H11" s="101"/>
      <c r="I11" s="97" t="s">
        <v>8</v>
      </c>
      <c r="J11" s="97" t="s">
        <v>9</v>
      </c>
    </row>
    <row r="12" spans="1:10" x14ac:dyDescent="0.3">
      <c r="A12" s="98" t="s">
        <v>23</v>
      </c>
      <c r="B12" s="98">
        <f>40*32</f>
        <v>1280</v>
      </c>
      <c r="C12" s="103">
        <v>10000</v>
      </c>
      <c r="D12" s="99">
        <f t="shared" ref="D12:D15" si="3">B12*8</f>
        <v>10240</v>
      </c>
      <c r="E12" s="99">
        <f t="shared" ref="E12:E15" si="4">B12*9</f>
        <v>11520</v>
      </c>
      <c r="F12" s="100">
        <v>2200</v>
      </c>
      <c r="G12" s="101" t="s">
        <v>24</v>
      </c>
      <c r="H12" s="101" t="s">
        <v>25</v>
      </c>
      <c r="I12" s="102">
        <f>F12*0.6</f>
        <v>1320</v>
      </c>
      <c r="J12" s="102">
        <f>F12*0.3</f>
        <v>660</v>
      </c>
    </row>
    <row r="13" spans="1:10" x14ac:dyDescent="0.3">
      <c r="A13" s="98" t="s">
        <v>26</v>
      </c>
      <c r="B13" s="98">
        <f t="shared" ref="B13:B14" si="5">40*32</f>
        <v>1280</v>
      </c>
      <c r="C13" s="103">
        <v>10000</v>
      </c>
      <c r="D13" s="99">
        <f t="shared" si="3"/>
        <v>10240</v>
      </c>
      <c r="E13" s="99">
        <f t="shared" si="4"/>
        <v>11520</v>
      </c>
      <c r="F13" s="100">
        <v>2200</v>
      </c>
      <c r="G13" s="101" t="s">
        <v>24</v>
      </c>
      <c r="H13" s="101" t="s">
        <v>27</v>
      </c>
      <c r="I13" s="102">
        <f t="shared" ref="I13:I16" si="6">F13*0.6</f>
        <v>1320</v>
      </c>
      <c r="J13" s="102">
        <f t="shared" ref="J13:J16" si="7">F13*0.3</f>
        <v>660</v>
      </c>
    </row>
    <row r="14" spans="1:10" x14ac:dyDescent="0.3">
      <c r="A14" s="98" t="s">
        <v>28</v>
      </c>
      <c r="B14" s="98">
        <f t="shared" si="5"/>
        <v>1280</v>
      </c>
      <c r="C14" s="103">
        <v>10000</v>
      </c>
      <c r="D14" s="99">
        <f t="shared" si="3"/>
        <v>10240</v>
      </c>
      <c r="E14" s="99">
        <f t="shared" si="4"/>
        <v>11520</v>
      </c>
      <c r="F14" s="100">
        <v>2200</v>
      </c>
      <c r="G14" s="101" t="s">
        <v>24</v>
      </c>
      <c r="H14" s="101" t="s">
        <v>29</v>
      </c>
      <c r="I14" s="102">
        <f t="shared" si="6"/>
        <v>1320</v>
      </c>
      <c r="J14" s="102">
        <f t="shared" si="7"/>
        <v>660</v>
      </c>
    </row>
    <row r="15" spans="1:10" x14ac:dyDescent="0.3">
      <c r="A15" s="98" t="s">
        <v>30</v>
      </c>
      <c r="B15" s="98">
        <v>1100</v>
      </c>
      <c r="C15" s="103">
        <v>10000</v>
      </c>
      <c r="D15" s="99">
        <f t="shared" si="3"/>
        <v>8800</v>
      </c>
      <c r="E15" s="99">
        <f t="shared" si="4"/>
        <v>9900</v>
      </c>
      <c r="F15" s="100">
        <v>1800</v>
      </c>
      <c r="G15" s="101" t="s">
        <v>24</v>
      </c>
      <c r="H15" s="101" t="s">
        <v>31</v>
      </c>
      <c r="I15" s="102">
        <f t="shared" si="6"/>
        <v>1080</v>
      </c>
      <c r="J15" s="102">
        <f t="shared" si="7"/>
        <v>540</v>
      </c>
    </row>
    <row r="16" spans="1:10" x14ac:dyDescent="0.3">
      <c r="A16" s="98" t="s">
        <v>32</v>
      </c>
      <c r="B16" s="98">
        <v>800</v>
      </c>
      <c r="C16" s="103">
        <v>7000</v>
      </c>
      <c r="D16" s="99">
        <f>B16*8</f>
        <v>6400</v>
      </c>
      <c r="E16" s="99">
        <f>B16*9</f>
        <v>7200</v>
      </c>
      <c r="F16" s="100">
        <v>800</v>
      </c>
      <c r="G16" s="101" t="s">
        <v>11</v>
      </c>
      <c r="H16" s="101" t="s">
        <v>25</v>
      </c>
      <c r="I16" s="102">
        <f t="shared" si="6"/>
        <v>480</v>
      </c>
      <c r="J16" s="102">
        <f t="shared" si="7"/>
        <v>240</v>
      </c>
    </row>
    <row r="17" spans="1:5" x14ac:dyDescent="0.3">
      <c r="C17" s="104">
        <f>SUM(C2:C16)</f>
        <v>118000</v>
      </c>
      <c r="D17" s="104">
        <f>SUM(D2:D16)</f>
        <v>153821</v>
      </c>
      <c r="E17" s="104">
        <f>SUM(E2:E16)</f>
        <v>171550</v>
      </c>
    </row>
    <row r="18" spans="1:5" x14ac:dyDescent="0.3">
      <c r="A18" s="105" t="s">
        <v>33</v>
      </c>
    </row>
    <row r="19" spans="1:5" x14ac:dyDescent="0.3">
      <c r="A19" s="105" t="s">
        <v>34</v>
      </c>
    </row>
    <row r="20" spans="1:5" x14ac:dyDescent="0.3">
      <c r="A20" s="105" t="s">
        <v>35</v>
      </c>
    </row>
    <row r="21" spans="1:5" x14ac:dyDescent="0.3">
      <c r="A21" s="105" t="s">
        <v>36</v>
      </c>
    </row>
    <row r="22" spans="1:5" x14ac:dyDescent="0.3">
      <c r="A22" s="105" t="s">
        <v>37</v>
      </c>
    </row>
    <row r="23" spans="1:5" x14ac:dyDescent="0.3">
      <c r="A23" s="105" t="s">
        <v>38</v>
      </c>
    </row>
    <row r="24" spans="1:5" x14ac:dyDescent="0.3">
      <c r="A24" s="105" t="s">
        <v>39</v>
      </c>
    </row>
    <row r="25" spans="1:5" x14ac:dyDescent="0.3">
      <c r="A25" s="105" t="s">
        <v>40</v>
      </c>
    </row>
    <row r="26" spans="1:5" x14ac:dyDescent="0.3">
      <c r="A26" s="105" t="s">
        <v>41</v>
      </c>
    </row>
    <row r="56" spans="16:16" x14ac:dyDescent="0.3">
      <c r="P56" s="1">
        <f>+R52</f>
        <v>0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6390-9730-4F1B-B58F-26609ED21239}">
  <dimension ref="A1:BC86"/>
  <sheetViews>
    <sheetView zoomScale="70" zoomScaleNormal="70" workbookViewId="0">
      <pane ySplit="6" topLeftCell="A7" activePane="bottomLeft" state="frozen"/>
      <selection pane="bottomLeft" activeCell="E3" sqref="E3"/>
    </sheetView>
  </sheetViews>
  <sheetFormatPr defaultRowHeight="14.4" outlineLevelRow="1" outlineLevelCol="1" x14ac:dyDescent="0.3"/>
  <cols>
    <col min="1" max="1" width="1" customWidth="1" outlineLevel="1"/>
    <col min="2" max="2" width="0.88671875" customWidth="1" outlineLevel="1"/>
    <col min="3" max="3" width="38.109375" style="1" customWidth="1"/>
    <col min="4" max="4" width="1.109375" style="1" customWidth="1"/>
    <col min="5" max="5" width="15.88671875" bestFit="1" customWidth="1"/>
    <col min="6" max="6" width="31.109375" bestFit="1" customWidth="1"/>
    <col min="7" max="11" width="15.88671875" bestFit="1" customWidth="1"/>
    <col min="12" max="12" width="16.44140625" bestFit="1" customWidth="1"/>
    <col min="13" max="14" width="15.88671875" bestFit="1" customWidth="1"/>
    <col min="15" max="15" width="22.109375" bestFit="1" customWidth="1"/>
    <col min="16" max="16" width="15.88671875" bestFit="1" customWidth="1"/>
    <col min="17" max="17" width="17.44140625" style="3" bestFit="1" customWidth="1"/>
    <col min="18" max="29" width="17.44140625" bestFit="1" customWidth="1"/>
    <col min="30" max="30" width="18.44140625" style="3" bestFit="1" customWidth="1"/>
    <col min="31" max="32" width="18.44140625" bestFit="1" customWidth="1"/>
    <col min="33" max="36" width="18.44140625" bestFit="1" customWidth="1" outlineLevel="1"/>
    <col min="37" max="42" width="18.44140625" bestFit="1" customWidth="1"/>
    <col min="43" max="43" width="19.44140625" style="3" bestFit="1" customWidth="1"/>
  </cols>
  <sheetData>
    <row r="1" spans="1:55" x14ac:dyDescent="0.3">
      <c r="C1" s="1" t="s">
        <v>42</v>
      </c>
      <c r="E1" s="2">
        <v>2</v>
      </c>
      <c r="F1" t="s">
        <v>43</v>
      </c>
      <c r="G1" s="4">
        <f>SUM(Rooms!B7,Rooms!B6)</f>
        <v>2709</v>
      </c>
      <c r="H1" t="s">
        <v>44</v>
      </c>
      <c r="I1" s="94" t="s">
        <v>45</v>
      </c>
    </row>
    <row r="2" spans="1:55" x14ac:dyDescent="0.3">
      <c r="C2" s="1" t="s">
        <v>46</v>
      </c>
      <c r="E2" s="4">
        <v>50</v>
      </c>
      <c r="F2" t="s">
        <v>47</v>
      </c>
      <c r="G2" s="2">
        <v>9</v>
      </c>
      <c r="H2" s="5" t="s">
        <v>48</v>
      </c>
      <c r="M2" s="5" t="s">
        <v>48</v>
      </c>
      <c r="U2" s="5" t="s">
        <v>48</v>
      </c>
      <c r="Z2" s="5" t="s">
        <v>48</v>
      </c>
      <c r="AH2" s="5" t="s">
        <v>48</v>
      </c>
      <c r="AM2" s="5" t="s">
        <v>48</v>
      </c>
    </row>
    <row r="3" spans="1:55" s="6" customFormat="1" x14ac:dyDescent="0.3">
      <c r="C3" s="7"/>
      <c r="D3" s="7"/>
      <c r="E3" s="8" t="s">
        <v>49</v>
      </c>
      <c r="F3" s="8" t="s">
        <v>50</v>
      </c>
      <c r="G3" s="8" t="s">
        <v>51</v>
      </c>
      <c r="H3" s="8" t="s">
        <v>52</v>
      </c>
      <c r="I3" s="8" t="s">
        <v>53</v>
      </c>
      <c r="J3" s="8" t="s">
        <v>54</v>
      </c>
      <c r="K3" s="8" t="s">
        <v>55</v>
      </c>
      <c r="L3" s="8" t="s">
        <v>56</v>
      </c>
      <c r="M3" s="8" t="s">
        <v>57</v>
      </c>
      <c r="N3" s="8" t="s">
        <v>58</v>
      </c>
      <c r="O3" s="8" t="s">
        <v>59</v>
      </c>
      <c r="P3" s="8" t="s">
        <v>60</v>
      </c>
      <c r="Q3" s="9" t="s">
        <v>61</v>
      </c>
      <c r="R3" s="8" t="s">
        <v>49</v>
      </c>
      <c r="S3" s="8" t="s">
        <v>50</v>
      </c>
      <c r="T3" s="8" t="s">
        <v>51</v>
      </c>
      <c r="U3" s="8" t="s">
        <v>52</v>
      </c>
      <c r="V3" s="8" t="s">
        <v>53</v>
      </c>
      <c r="W3" s="8" t="s">
        <v>54</v>
      </c>
      <c r="X3" s="8" t="s">
        <v>55</v>
      </c>
      <c r="Y3" s="8" t="s">
        <v>56</v>
      </c>
      <c r="Z3" s="8" t="s">
        <v>57</v>
      </c>
      <c r="AA3" s="8" t="s">
        <v>58</v>
      </c>
      <c r="AB3" s="8" t="s">
        <v>59</v>
      </c>
      <c r="AC3" s="8" t="s">
        <v>60</v>
      </c>
      <c r="AD3" s="9" t="s">
        <v>62</v>
      </c>
      <c r="AE3" s="8" t="s">
        <v>49</v>
      </c>
      <c r="AF3" s="8" t="s">
        <v>50</v>
      </c>
      <c r="AG3" s="8" t="s">
        <v>51</v>
      </c>
      <c r="AH3" s="8" t="s">
        <v>52</v>
      </c>
      <c r="AI3" s="8" t="s">
        <v>53</v>
      </c>
      <c r="AJ3" s="8" t="s">
        <v>54</v>
      </c>
      <c r="AK3" s="8" t="s">
        <v>55</v>
      </c>
      <c r="AL3" s="8" t="s">
        <v>56</v>
      </c>
      <c r="AM3" s="8" t="s">
        <v>57</v>
      </c>
      <c r="AN3" s="8" t="s">
        <v>58</v>
      </c>
      <c r="AO3" s="8" t="s">
        <v>59</v>
      </c>
      <c r="AP3" s="8" t="s">
        <v>60</v>
      </c>
      <c r="AQ3" s="9" t="s">
        <v>63</v>
      </c>
    </row>
    <row r="4" spans="1:55" x14ac:dyDescent="0.3">
      <c r="C4" s="1" t="s">
        <v>64</v>
      </c>
      <c r="E4" s="10">
        <v>0</v>
      </c>
      <c r="F4" s="10">
        <v>0</v>
      </c>
      <c r="G4" s="10">
        <v>0</v>
      </c>
      <c r="H4" s="10">
        <v>0</v>
      </c>
      <c r="I4" s="10">
        <f>$G$1*$E$2</f>
        <v>135450</v>
      </c>
      <c r="J4" s="10">
        <v>0</v>
      </c>
      <c r="K4" s="10">
        <f>$G$1*$E$2</f>
        <v>135450</v>
      </c>
      <c r="L4" s="10">
        <v>0</v>
      </c>
      <c r="M4" s="10">
        <f>$G$1*$E$2</f>
        <v>135450</v>
      </c>
      <c r="N4" s="10">
        <v>0</v>
      </c>
      <c r="O4" s="10">
        <v>0</v>
      </c>
      <c r="P4" s="10">
        <f>$G$1*$E$2</f>
        <v>135450</v>
      </c>
      <c r="Q4" s="11">
        <f>SUM(E4:P4)</f>
        <v>541800</v>
      </c>
      <c r="R4" s="10">
        <v>0</v>
      </c>
      <c r="S4" s="10">
        <f>$G$1*$E$2</f>
        <v>135450</v>
      </c>
      <c r="V4" s="10">
        <f>$G$1*$E$2</f>
        <v>135450</v>
      </c>
      <c r="W4" s="10">
        <v>0</v>
      </c>
      <c r="X4" s="10">
        <f>$G$1*$E$2</f>
        <v>135450</v>
      </c>
      <c r="Y4" s="10">
        <v>0</v>
      </c>
      <c r="Z4" s="10">
        <f>$G$1*$E$2</f>
        <v>135450</v>
      </c>
      <c r="AA4" s="10">
        <v>0</v>
      </c>
      <c r="AB4" s="10">
        <v>0</v>
      </c>
      <c r="AC4" s="10">
        <f>$G$1*$E$2</f>
        <v>135450</v>
      </c>
      <c r="AD4" s="21">
        <f>SUM(R4:AC4)</f>
        <v>677250</v>
      </c>
      <c r="AE4" s="10"/>
      <c r="AF4" s="10">
        <v>0</v>
      </c>
      <c r="AG4" s="10">
        <f>$G$1*$E$2</f>
        <v>135450</v>
      </c>
      <c r="AH4" s="10">
        <v>0</v>
      </c>
      <c r="AI4" s="10">
        <f>$G$1*$E$2</f>
        <v>135450</v>
      </c>
      <c r="AJ4" s="10">
        <v>0</v>
      </c>
      <c r="AK4" s="10">
        <f>$G$1*$E$2</f>
        <v>135450</v>
      </c>
      <c r="AL4" s="10">
        <v>0</v>
      </c>
      <c r="AM4" s="10">
        <v>0</v>
      </c>
      <c r="AN4" s="10">
        <f>$G$1*$E$2</f>
        <v>135450</v>
      </c>
      <c r="AO4" s="10">
        <v>0</v>
      </c>
      <c r="AP4" s="10">
        <f>$G$1*$E$2</f>
        <v>135450</v>
      </c>
      <c r="AQ4" s="11">
        <f>SUM(AE4:AP4)</f>
        <v>677250</v>
      </c>
    </row>
    <row r="5" spans="1:55" outlineLevel="1" x14ac:dyDescent="0.3">
      <c r="C5" s="1" t="s">
        <v>65</v>
      </c>
      <c r="E5" s="12">
        <f>E1</f>
        <v>2</v>
      </c>
      <c r="F5" s="12">
        <f>$E$5</f>
        <v>2</v>
      </c>
      <c r="G5" s="12">
        <f t="shared" ref="G5:AP5" si="0">$E$5</f>
        <v>2</v>
      </c>
      <c r="H5" s="12">
        <f t="shared" si="0"/>
        <v>2</v>
      </c>
      <c r="I5" s="12">
        <f t="shared" si="0"/>
        <v>2</v>
      </c>
      <c r="J5" s="12">
        <f t="shared" si="0"/>
        <v>2</v>
      </c>
      <c r="K5" s="12">
        <f t="shared" si="0"/>
        <v>2</v>
      </c>
      <c r="L5" s="12">
        <f t="shared" si="0"/>
        <v>2</v>
      </c>
      <c r="M5" s="12">
        <f t="shared" si="0"/>
        <v>2</v>
      </c>
      <c r="N5" s="12">
        <f t="shared" si="0"/>
        <v>2</v>
      </c>
      <c r="O5" s="12">
        <f t="shared" si="0"/>
        <v>2</v>
      </c>
      <c r="P5" s="12">
        <f t="shared" si="0"/>
        <v>2</v>
      </c>
      <c r="Q5" s="13">
        <f>AVERAGE(E5:P5)</f>
        <v>2</v>
      </c>
      <c r="R5" s="12">
        <f t="shared" si="0"/>
        <v>2</v>
      </c>
      <c r="S5" s="12">
        <f t="shared" si="0"/>
        <v>2</v>
      </c>
      <c r="T5" s="12">
        <f t="shared" si="0"/>
        <v>2</v>
      </c>
      <c r="U5" s="12">
        <f t="shared" si="0"/>
        <v>2</v>
      </c>
      <c r="V5" s="12">
        <f t="shared" si="0"/>
        <v>2</v>
      </c>
      <c r="W5" s="12">
        <f t="shared" si="0"/>
        <v>2</v>
      </c>
      <c r="X5" s="12">
        <f t="shared" si="0"/>
        <v>2</v>
      </c>
      <c r="Y5" s="12">
        <f t="shared" si="0"/>
        <v>2</v>
      </c>
      <c r="Z5" s="12">
        <f t="shared" si="0"/>
        <v>2</v>
      </c>
      <c r="AA5" s="12">
        <f t="shared" si="0"/>
        <v>2</v>
      </c>
      <c r="AB5" s="12">
        <f t="shared" si="0"/>
        <v>2</v>
      </c>
      <c r="AC5" s="12">
        <f t="shared" si="0"/>
        <v>2</v>
      </c>
      <c r="AD5" s="13">
        <f>AVERAGE(R5:AC5)</f>
        <v>2</v>
      </c>
      <c r="AE5" s="12">
        <f t="shared" si="0"/>
        <v>2</v>
      </c>
      <c r="AF5" s="12">
        <f t="shared" si="0"/>
        <v>2</v>
      </c>
      <c r="AG5" s="12">
        <f t="shared" si="0"/>
        <v>2</v>
      </c>
      <c r="AH5" s="12">
        <f t="shared" si="0"/>
        <v>2</v>
      </c>
      <c r="AI5" s="12">
        <f t="shared" si="0"/>
        <v>2</v>
      </c>
      <c r="AJ5" s="12">
        <f t="shared" si="0"/>
        <v>2</v>
      </c>
      <c r="AK5" s="12">
        <f t="shared" si="0"/>
        <v>2</v>
      </c>
      <c r="AL5" s="12">
        <f t="shared" si="0"/>
        <v>2</v>
      </c>
      <c r="AM5" s="12">
        <f t="shared" si="0"/>
        <v>2</v>
      </c>
      <c r="AN5" s="12">
        <f t="shared" si="0"/>
        <v>2</v>
      </c>
      <c r="AO5" s="12">
        <f t="shared" si="0"/>
        <v>2</v>
      </c>
      <c r="AP5" s="12">
        <f t="shared" si="0"/>
        <v>2</v>
      </c>
      <c r="AQ5" s="13">
        <f>AVERAGE(AE5:AP5)</f>
        <v>2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</row>
    <row r="6" spans="1:55" outlineLevel="1" x14ac:dyDescent="0.3">
      <c r="C6" s="1" t="s">
        <v>66</v>
      </c>
      <c r="E6" s="15">
        <f>E4*E5</f>
        <v>0</v>
      </c>
      <c r="F6" s="15">
        <f t="shared" ref="F6:Q6" si="1">F4*F5</f>
        <v>0</v>
      </c>
      <c r="G6" s="15">
        <f>G4*G5</f>
        <v>0</v>
      </c>
      <c r="H6" s="15">
        <f t="shared" ref="H6:P6" si="2">H4*H5</f>
        <v>0</v>
      </c>
      <c r="I6" s="15">
        <f>I4*I5</f>
        <v>270900</v>
      </c>
      <c r="J6" s="15">
        <f t="shared" si="2"/>
        <v>0</v>
      </c>
      <c r="K6" s="15">
        <f t="shared" si="2"/>
        <v>270900</v>
      </c>
      <c r="L6" s="15">
        <f t="shared" si="2"/>
        <v>0</v>
      </c>
      <c r="M6" s="15">
        <f t="shared" si="2"/>
        <v>270900</v>
      </c>
      <c r="N6" s="15">
        <f t="shared" si="2"/>
        <v>0</v>
      </c>
      <c r="O6" s="15">
        <f t="shared" si="2"/>
        <v>0</v>
      </c>
      <c r="P6" s="15">
        <f t="shared" si="2"/>
        <v>270900</v>
      </c>
      <c r="Q6" s="16">
        <f t="shared" si="1"/>
        <v>1083600</v>
      </c>
      <c r="R6" s="15">
        <f>R4*R5</f>
        <v>0</v>
      </c>
      <c r="S6" s="15">
        <f t="shared" ref="S6:AC6" si="3">S4*S5</f>
        <v>270900</v>
      </c>
      <c r="T6" s="15">
        <f t="shared" si="3"/>
        <v>0</v>
      </c>
      <c r="U6" s="15">
        <f t="shared" si="3"/>
        <v>0</v>
      </c>
      <c r="V6" s="15">
        <f t="shared" si="3"/>
        <v>270900</v>
      </c>
      <c r="W6" s="15">
        <f t="shared" si="3"/>
        <v>0</v>
      </c>
      <c r="X6" s="15">
        <f t="shared" si="3"/>
        <v>270900</v>
      </c>
      <c r="Y6" s="15">
        <f t="shared" si="3"/>
        <v>0</v>
      </c>
      <c r="Z6" s="15">
        <f t="shared" si="3"/>
        <v>270900</v>
      </c>
      <c r="AA6" s="15">
        <f t="shared" si="3"/>
        <v>0</v>
      </c>
      <c r="AB6" s="15">
        <f t="shared" si="3"/>
        <v>0</v>
      </c>
      <c r="AC6" s="15">
        <f t="shared" si="3"/>
        <v>270900</v>
      </c>
      <c r="AD6" s="15">
        <f>AD4*AD5</f>
        <v>1354500</v>
      </c>
      <c r="AE6" s="15">
        <f t="shared" ref="AE6:AQ6" si="4">AE4*AE5</f>
        <v>0</v>
      </c>
      <c r="AF6" s="15">
        <f t="shared" si="4"/>
        <v>0</v>
      </c>
      <c r="AG6" s="15">
        <f t="shared" si="4"/>
        <v>270900</v>
      </c>
      <c r="AH6" s="15">
        <f t="shared" si="4"/>
        <v>0</v>
      </c>
      <c r="AI6" s="15">
        <f t="shared" si="4"/>
        <v>270900</v>
      </c>
      <c r="AJ6" s="15">
        <f t="shared" si="4"/>
        <v>0</v>
      </c>
      <c r="AK6" s="15">
        <f t="shared" si="4"/>
        <v>270900</v>
      </c>
      <c r="AL6" s="15">
        <f t="shared" si="4"/>
        <v>0</v>
      </c>
      <c r="AM6" s="15">
        <f t="shared" si="4"/>
        <v>0</v>
      </c>
      <c r="AN6" s="15">
        <f t="shared" si="4"/>
        <v>270900</v>
      </c>
      <c r="AO6" s="15">
        <f t="shared" si="4"/>
        <v>0</v>
      </c>
      <c r="AP6" s="15">
        <f t="shared" si="4"/>
        <v>270900</v>
      </c>
      <c r="AQ6" s="16">
        <f t="shared" si="4"/>
        <v>1354500</v>
      </c>
    </row>
    <row r="7" spans="1:55" x14ac:dyDescent="0.3"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6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6"/>
    </row>
    <row r="8" spans="1:55" ht="18" customHeight="1" x14ac:dyDescent="0.3">
      <c r="A8" s="17" t="s">
        <v>67</v>
      </c>
      <c r="B8" s="17" t="s">
        <v>68</v>
      </c>
      <c r="C8" s="18" t="s">
        <v>69</v>
      </c>
      <c r="D8" s="1" t="s">
        <v>70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</row>
    <row r="9" spans="1:55" x14ac:dyDescent="0.3">
      <c r="C9" s="1" t="s">
        <v>71</v>
      </c>
      <c r="D9" s="95">
        <v>2.5</v>
      </c>
      <c r="E9" s="15">
        <f>$D$9*$G$1</f>
        <v>6772.5</v>
      </c>
      <c r="F9" s="15">
        <f t="shared" ref="F9:AP9" si="5">$D$9*$G$1</f>
        <v>6772.5</v>
      </c>
      <c r="G9" s="15">
        <f t="shared" si="5"/>
        <v>6772.5</v>
      </c>
      <c r="H9" s="15">
        <f t="shared" si="5"/>
        <v>6772.5</v>
      </c>
      <c r="I9" s="15">
        <f t="shared" si="5"/>
        <v>6772.5</v>
      </c>
      <c r="J9" s="15">
        <f t="shared" si="5"/>
        <v>6772.5</v>
      </c>
      <c r="K9" s="15">
        <f t="shared" si="5"/>
        <v>6772.5</v>
      </c>
      <c r="L9" s="15">
        <f t="shared" si="5"/>
        <v>6772.5</v>
      </c>
      <c r="M9" s="15">
        <f t="shared" si="5"/>
        <v>6772.5</v>
      </c>
      <c r="N9" s="15">
        <f t="shared" si="5"/>
        <v>6772.5</v>
      </c>
      <c r="O9" s="15">
        <f t="shared" si="5"/>
        <v>6772.5</v>
      </c>
      <c r="P9" s="15">
        <f t="shared" si="5"/>
        <v>6772.5</v>
      </c>
      <c r="Q9" s="21">
        <f>SUM(E9:P9)</f>
        <v>81270</v>
      </c>
      <c r="R9" s="15">
        <f t="shared" si="5"/>
        <v>6772.5</v>
      </c>
      <c r="S9" s="15">
        <f t="shared" si="5"/>
        <v>6772.5</v>
      </c>
      <c r="T9" s="15">
        <f t="shared" si="5"/>
        <v>6772.5</v>
      </c>
      <c r="U9" s="15">
        <f t="shared" si="5"/>
        <v>6772.5</v>
      </c>
      <c r="V9" s="15">
        <f t="shared" si="5"/>
        <v>6772.5</v>
      </c>
      <c r="W9" s="15">
        <f t="shared" si="5"/>
        <v>6772.5</v>
      </c>
      <c r="X9" s="15">
        <f t="shared" si="5"/>
        <v>6772.5</v>
      </c>
      <c r="Y9" s="15">
        <f t="shared" si="5"/>
        <v>6772.5</v>
      </c>
      <c r="Z9" s="15">
        <f t="shared" si="5"/>
        <v>6772.5</v>
      </c>
      <c r="AA9" s="15">
        <f t="shared" si="5"/>
        <v>6772.5</v>
      </c>
      <c r="AB9" s="15">
        <f t="shared" si="5"/>
        <v>6772.5</v>
      </c>
      <c r="AC9" s="15">
        <f t="shared" si="5"/>
        <v>6772.5</v>
      </c>
      <c r="AD9" s="15">
        <f t="shared" ref="AD9:AD19" si="6">SUM(R9:AC9)</f>
        <v>81270</v>
      </c>
      <c r="AE9" s="15">
        <f t="shared" si="5"/>
        <v>6772.5</v>
      </c>
      <c r="AF9" s="15">
        <f t="shared" si="5"/>
        <v>6772.5</v>
      </c>
      <c r="AG9" s="15">
        <f t="shared" si="5"/>
        <v>6772.5</v>
      </c>
      <c r="AH9" s="15">
        <f t="shared" si="5"/>
        <v>6772.5</v>
      </c>
      <c r="AI9" s="15">
        <f t="shared" si="5"/>
        <v>6772.5</v>
      </c>
      <c r="AJ9" s="15">
        <f t="shared" si="5"/>
        <v>6772.5</v>
      </c>
      <c r="AK9" s="15">
        <f t="shared" si="5"/>
        <v>6772.5</v>
      </c>
      <c r="AL9" s="15">
        <f t="shared" si="5"/>
        <v>6772.5</v>
      </c>
      <c r="AM9" s="15">
        <f t="shared" si="5"/>
        <v>6772.5</v>
      </c>
      <c r="AN9" s="15">
        <f t="shared" si="5"/>
        <v>6772.5</v>
      </c>
      <c r="AO9" s="15">
        <f t="shared" si="5"/>
        <v>6772.5</v>
      </c>
      <c r="AP9" s="15">
        <f t="shared" si="5"/>
        <v>6772.5</v>
      </c>
      <c r="AQ9" s="21">
        <f>SUM(AE9:AP9)</f>
        <v>81270</v>
      </c>
    </row>
    <row r="10" spans="1:55" x14ac:dyDescent="0.3">
      <c r="C10" s="1" t="s">
        <v>72</v>
      </c>
      <c r="D10" s="95">
        <f>400/1600</f>
        <v>0.25</v>
      </c>
      <c r="E10" s="15"/>
      <c r="F10" s="15"/>
      <c r="G10" s="15">
        <f t="shared" ref="G10:AN10" si="7">$D$10*$G$1</f>
        <v>677.25</v>
      </c>
      <c r="H10" s="15"/>
      <c r="I10" s="15">
        <f t="shared" si="7"/>
        <v>677.25</v>
      </c>
      <c r="J10" s="15"/>
      <c r="K10" s="15">
        <f t="shared" si="7"/>
        <v>677.25</v>
      </c>
      <c r="L10" s="15"/>
      <c r="M10" s="15"/>
      <c r="N10" s="15">
        <f t="shared" si="7"/>
        <v>677.25</v>
      </c>
      <c r="O10" s="15"/>
      <c r="P10" s="15">
        <f t="shared" si="7"/>
        <v>677.25</v>
      </c>
      <c r="Q10" s="21">
        <f>SUM(F10:P10)</f>
        <v>3386.25</v>
      </c>
      <c r="R10" s="15"/>
      <c r="S10" s="15"/>
      <c r="T10" s="15">
        <f t="shared" si="7"/>
        <v>677.25</v>
      </c>
      <c r="U10" s="15"/>
      <c r="V10" s="15">
        <f t="shared" si="7"/>
        <v>677.25</v>
      </c>
      <c r="W10" s="15"/>
      <c r="X10" s="15">
        <f t="shared" si="7"/>
        <v>677.25</v>
      </c>
      <c r="Y10" s="15"/>
      <c r="Z10" s="15"/>
      <c r="AA10" s="15">
        <f t="shared" si="7"/>
        <v>677.25</v>
      </c>
      <c r="AB10" s="15"/>
      <c r="AD10" s="15">
        <f t="shared" si="6"/>
        <v>2709</v>
      </c>
      <c r="AE10" s="15">
        <f t="shared" si="7"/>
        <v>677.25</v>
      </c>
      <c r="AF10" s="15"/>
      <c r="AG10" s="15">
        <f t="shared" si="7"/>
        <v>677.25</v>
      </c>
      <c r="AH10" s="15"/>
      <c r="AI10" s="15">
        <f t="shared" si="7"/>
        <v>677.25</v>
      </c>
      <c r="AJ10" s="15"/>
      <c r="AK10" s="15"/>
      <c r="AL10" s="15">
        <f t="shared" si="7"/>
        <v>677.25</v>
      </c>
      <c r="AM10" s="15"/>
      <c r="AN10" s="15">
        <f t="shared" si="7"/>
        <v>677.25</v>
      </c>
      <c r="AO10" s="15"/>
      <c r="AP10" s="15"/>
      <c r="AQ10" s="21">
        <f>SUM(AF10:AP10)</f>
        <v>2709</v>
      </c>
    </row>
    <row r="11" spans="1:55" x14ac:dyDescent="0.3">
      <c r="C11" s="1" t="s">
        <v>73</v>
      </c>
      <c r="D11" s="95">
        <f>2080/1600</f>
        <v>1.3</v>
      </c>
      <c r="E11" s="15"/>
      <c r="F11" s="15"/>
      <c r="G11" s="15">
        <f t="shared" ref="G11:AN11" si="8">$D$11*$G$1</f>
        <v>3521.7000000000003</v>
      </c>
      <c r="H11" s="15"/>
      <c r="I11" s="15">
        <f t="shared" si="8"/>
        <v>3521.7000000000003</v>
      </c>
      <c r="J11" s="15"/>
      <c r="K11" s="15">
        <f t="shared" si="8"/>
        <v>3521.7000000000003</v>
      </c>
      <c r="L11" s="15"/>
      <c r="M11" s="15"/>
      <c r="N11" s="15">
        <f t="shared" si="8"/>
        <v>3521.7000000000003</v>
      </c>
      <c r="O11" s="15"/>
      <c r="P11" s="15">
        <f t="shared" si="8"/>
        <v>3521.7000000000003</v>
      </c>
      <c r="Q11" s="21"/>
      <c r="R11" s="15"/>
      <c r="S11" s="15"/>
      <c r="T11" s="15">
        <f t="shared" si="8"/>
        <v>3521.7000000000003</v>
      </c>
      <c r="U11" s="15"/>
      <c r="V11" s="15">
        <f t="shared" si="8"/>
        <v>3521.7000000000003</v>
      </c>
      <c r="W11" s="15"/>
      <c r="X11" s="15">
        <f t="shared" si="8"/>
        <v>3521.7000000000003</v>
      </c>
      <c r="Y11" s="15"/>
      <c r="Z11" s="15"/>
      <c r="AA11" s="15">
        <f t="shared" si="8"/>
        <v>3521.7000000000003</v>
      </c>
      <c r="AB11" s="15"/>
      <c r="AD11" s="15">
        <f t="shared" si="6"/>
        <v>14086.800000000001</v>
      </c>
      <c r="AE11" s="15">
        <f t="shared" si="8"/>
        <v>3521.7000000000003</v>
      </c>
      <c r="AF11" s="15"/>
      <c r="AG11" s="15">
        <f t="shared" si="8"/>
        <v>3521.7000000000003</v>
      </c>
      <c r="AH11" s="15"/>
      <c r="AI11" s="15">
        <f t="shared" si="8"/>
        <v>3521.7000000000003</v>
      </c>
      <c r="AJ11" s="15"/>
      <c r="AK11" s="15"/>
      <c r="AL11" s="15">
        <f t="shared" si="8"/>
        <v>3521.7000000000003</v>
      </c>
      <c r="AM11" s="15"/>
      <c r="AN11" s="15">
        <f t="shared" si="8"/>
        <v>3521.7000000000003</v>
      </c>
      <c r="AO11" s="15"/>
      <c r="AP11" s="15"/>
      <c r="AQ11" s="21"/>
    </row>
    <row r="12" spans="1:55" x14ac:dyDescent="0.3">
      <c r="C12" s="1" t="s">
        <v>74</v>
      </c>
      <c r="D12" s="95">
        <f>1280/1600</f>
        <v>0.8</v>
      </c>
      <c r="E12" s="15"/>
      <c r="F12" s="15"/>
      <c r="G12" s="15">
        <f t="shared" ref="G12:AN12" si="9">$D$12*$G$1</f>
        <v>2167.2000000000003</v>
      </c>
      <c r="H12" s="15"/>
      <c r="I12" s="15">
        <f t="shared" si="9"/>
        <v>2167.2000000000003</v>
      </c>
      <c r="J12" s="15"/>
      <c r="K12" s="15">
        <f t="shared" si="9"/>
        <v>2167.2000000000003</v>
      </c>
      <c r="L12" s="15"/>
      <c r="M12" s="15"/>
      <c r="N12" s="15">
        <f t="shared" si="9"/>
        <v>2167.2000000000003</v>
      </c>
      <c r="O12" s="15"/>
      <c r="P12" s="15">
        <f t="shared" si="9"/>
        <v>2167.2000000000003</v>
      </c>
      <c r="Q12" s="21"/>
      <c r="R12" s="15"/>
      <c r="S12" s="15"/>
      <c r="T12" s="15">
        <f t="shared" si="9"/>
        <v>2167.2000000000003</v>
      </c>
      <c r="U12" s="15"/>
      <c r="V12" s="15">
        <f t="shared" si="9"/>
        <v>2167.2000000000003</v>
      </c>
      <c r="W12" s="15"/>
      <c r="X12" s="15">
        <f t="shared" si="9"/>
        <v>2167.2000000000003</v>
      </c>
      <c r="Y12" s="15"/>
      <c r="Z12" s="15"/>
      <c r="AA12" s="15">
        <f t="shared" si="9"/>
        <v>2167.2000000000003</v>
      </c>
      <c r="AB12" s="15"/>
      <c r="AD12" s="15">
        <f t="shared" si="6"/>
        <v>8668.8000000000011</v>
      </c>
      <c r="AE12" s="15">
        <f t="shared" si="9"/>
        <v>2167.2000000000003</v>
      </c>
      <c r="AF12" s="15"/>
      <c r="AG12" s="15">
        <f t="shared" si="9"/>
        <v>2167.2000000000003</v>
      </c>
      <c r="AH12" s="15"/>
      <c r="AI12" s="15">
        <f t="shared" si="9"/>
        <v>2167.2000000000003</v>
      </c>
      <c r="AJ12" s="15"/>
      <c r="AK12" s="15"/>
      <c r="AL12" s="15">
        <f t="shared" si="9"/>
        <v>2167.2000000000003</v>
      </c>
      <c r="AM12" s="15"/>
      <c r="AN12" s="15">
        <f t="shared" si="9"/>
        <v>2167.2000000000003</v>
      </c>
      <c r="AO12" s="15"/>
      <c r="AP12" s="15"/>
      <c r="AQ12" s="21"/>
    </row>
    <row r="13" spans="1:55" x14ac:dyDescent="0.3">
      <c r="C13" s="1" t="s">
        <v>75</v>
      </c>
      <c r="D13" s="95">
        <v>8</v>
      </c>
      <c r="E13" s="15"/>
      <c r="F13" s="15"/>
      <c r="G13" s="15">
        <f t="shared" ref="G13:AN13" si="10">$D$13*$G$1</f>
        <v>21672</v>
      </c>
      <c r="H13" s="15"/>
      <c r="I13" s="15">
        <f t="shared" si="10"/>
        <v>21672</v>
      </c>
      <c r="J13" s="15"/>
      <c r="K13" s="15">
        <f t="shared" si="10"/>
        <v>21672</v>
      </c>
      <c r="L13" s="15"/>
      <c r="M13" s="15"/>
      <c r="N13" s="15">
        <f t="shared" si="10"/>
        <v>21672</v>
      </c>
      <c r="O13" s="15"/>
      <c r="P13" s="15">
        <f t="shared" si="10"/>
        <v>21672</v>
      </c>
      <c r="Q13" s="21"/>
      <c r="R13" s="15"/>
      <c r="S13" s="15"/>
      <c r="T13" s="15">
        <f t="shared" si="10"/>
        <v>21672</v>
      </c>
      <c r="U13" s="15"/>
      <c r="V13" s="15">
        <f t="shared" si="10"/>
        <v>21672</v>
      </c>
      <c r="W13" s="15"/>
      <c r="X13" s="15">
        <f t="shared" si="10"/>
        <v>21672</v>
      </c>
      <c r="Y13" s="15"/>
      <c r="Z13" s="15"/>
      <c r="AA13" s="15">
        <f t="shared" si="10"/>
        <v>21672</v>
      </c>
      <c r="AB13" s="15"/>
      <c r="AC13" s="15"/>
      <c r="AD13" s="15">
        <f t="shared" si="6"/>
        <v>86688</v>
      </c>
      <c r="AE13" s="15">
        <f t="shared" si="10"/>
        <v>21672</v>
      </c>
      <c r="AF13" s="15"/>
      <c r="AG13" s="15">
        <f t="shared" si="10"/>
        <v>21672</v>
      </c>
      <c r="AH13" s="15"/>
      <c r="AI13" s="15">
        <f t="shared" si="10"/>
        <v>21672</v>
      </c>
      <c r="AJ13" s="15"/>
      <c r="AK13" s="15"/>
      <c r="AL13" s="15">
        <f t="shared" si="10"/>
        <v>21672</v>
      </c>
      <c r="AM13" s="15"/>
      <c r="AN13" s="15">
        <f t="shared" si="10"/>
        <v>21672</v>
      </c>
      <c r="AO13" s="15"/>
      <c r="AP13" s="15"/>
      <c r="AQ13" s="21"/>
    </row>
    <row r="14" spans="1:55" x14ac:dyDescent="0.3">
      <c r="C14" s="1" t="s">
        <v>76</v>
      </c>
      <c r="D14" s="95">
        <f t="shared" ref="D14:D65" si="11">E14/1600</f>
        <v>4.6875</v>
      </c>
      <c r="E14" s="15">
        <f>90000/12</f>
        <v>7500</v>
      </c>
      <c r="F14" s="15">
        <f>E14</f>
        <v>7500</v>
      </c>
      <c r="G14" s="15">
        <f t="shared" ref="G14:P14" si="12">F14</f>
        <v>7500</v>
      </c>
      <c r="H14" s="15">
        <f t="shared" si="12"/>
        <v>7500</v>
      </c>
      <c r="I14" s="15">
        <f t="shared" si="12"/>
        <v>7500</v>
      </c>
      <c r="J14" s="15">
        <f t="shared" si="12"/>
        <v>7500</v>
      </c>
      <c r="K14" s="15">
        <f t="shared" si="12"/>
        <v>7500</v>
      </c>
      <c r="L14" s="15">
        <f t="shared" si="12"/>
        <v>7500</v>
      </c>
      <c r="M14" s="15">
        <f t="shared" si="12"/>
        <v>7500</v>
      </c>
      <c r="N14" s="15">
        <f t="shared" si="12"/>
        <v>7500</v>
      </c>
      <c r="O14" s="15">
        <f t="shared" si="12"/>
        <v>7500</v>
      </c>
      <c r="P14" s="15">
        <f t="shared" si="12"/>
        <v>7500</v>
      </c>
      <c r="Q14" s="21">
        <f t="shared" ref="Q14:Q19" si="13">SUM(E14:P14)</f>
        <v>90000</v>
      </c>
      <c r="R14" s="15">
        <f>P14</f>
        <v>7500</v>
      </c>
      <c r="S14" s="15">
        <f>R14</f>
        <v>7500</v>
      </c>
      <c r="T14" s="15">
        <f t="shared" ref="T14:AB14" si="14">S14</f>
        <v>7500</v>
      </c>
      <c r="U14" s="15">
        <f t="shared" si="14"/>
        <v>7500</v>
      </c>
      <c r="V14" s="15">
        <f t="shared" si="14"/>
        <v>7500</v>
      </c>
      <c r="W14" s="15">
        <f t="shared" si="14"/>
        <v>7500</v>
      </c>
      <c r="X14" s="15">
        <f t="shared" si="14"/>
        <v>7500</v>
      </c>
      <c r="Y14" s="15">
        <f t="shared" si="14"/>
        <v>7500</v>
      </c>
      <c r="Z14" s="15">
        <f t="shared" si="14"/>
        <v>7500</v>
      </c>
      <c r="AA14" s="15">
        <f t="shared" si="14"/>
        <v>7500</v>
      </c>
      <c r="AB14" s="15">
        <f t="shared" si="14"/>
        <v>7500</v>
      </c>
      <c r="AC14" s="15">
        <f>AB14</f>
        <v>7500</v>
      </c>
      <c r="AD14" s="15">
        <f t="shared" si="6"/>
        <v>90000</v>
      </c>
      <c r="AE14" s="15">
        <f>AC14</f>
        <v>7500</v>
      </c>
      <c r="AF14" s="15">
        <f>AE14</f>
        <v>7500</v>
      </c>
      <c r="AG14" s="15">
        <f t="shared" ref="AG14:AP14" si="15">AE14</f>
        <v>7500</v>
      </c>
      <c r="AH14" s="15">
        <f t="shared" si="15"/>
        <v>7500</v>
      </c>
      <c r="AI14" s="15">
        <f t="shared" si="15"/>
        <v>7500</v>
      </c>
      <c r="AJ14" s="15">
        <f t="shared" si="15"/>
        <v>7500</v>
      </c>
      <c r="AK14" s="15">
        <f t="shared" si="15"/>
        <v>7500</v>
      </c>
      <c r="AL14" s="15">
        <f t="shared" si="15"/>
        <v>7500</v>
      </c>
      <c r="AM14" s="15">
        <f t="shared" si="15"/>
        <v>7500</v>
      </c>
      <c r="AN14" s="15">
        <f t="shared" si="15"/>
        <v>7500</v>
      </c>
      <c r="AO14" s="15">
        <f t="shared" si="15"/>
        <v>7500</v>
      </c>
      <c r="AP14" s="15">
        <f t="shared" si="15"/>
        <v>7500</v>
      </c>
      <c r="AQ14" s="21">
        <f t="shared" ref="AQ14:AQ19" si="16">SUM(AE14:AP14)</f>
        <v>90000</v>
      </c>
    </row>
    <row r="15" spans="1:55" x14ac:dyDescent="0.3">
      <c r="D15" s="9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21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f t="shared" si="6"/>
        <v>0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21"/>
    </row>
    <row r="16" spans="1:55" ht="28.8" x14ac:dyDescent="0.3">
      <c r="C16" s="1" t="s">
        <v>77</v>
      </c>
      <c r="D16" s="95">
        <f t="shared" si="11"/>
        <v>0.390625</v>
      </c>
      <c r="E16" s="15">
        <f>25*25</f>
        <v>625</v>
      </c>
      <c r="F16" s="15">
        <f t="shared" ref="F16:P16" si="17">25*25</f>
        <v>625</v>
      </c>
      <c r="G16" s="15">
        <f t="shared" si="17"/>
        <v>625</v>
      </c>
      <c r="H16" s="15">
        <f t="shared" si="17"/>
        <v>625</v>
      </c>
      <c r="I16" s="15">
        <f t="shared" si="17"/>
        <v>625</v>
      </c>
      <c r="J16" s="15">
        <f t="shared" si="17"/>
        <v>625</v>
      </c>
      <c r="K16" s="15">
        <f t="shared" si="17"/>
        <v>625</v>
      </c>
      <c r="L16" s="15">
        <f t="shared" si="17"/>
        <v>625</v>
      </c>
      <c r="M16" s="15">
        <f t="shared" si="17"/>
        <v>625</v>
      </c>
      <c r="N16" s="15">
        <f t="shared" si="17"/>
        <v>625</v>
      </c>
      <c r="O16" s="15">
        <f t="shared" si="17"/>
        <v>625</v>
      </c>
      <c r="P16" s="15">
        <f t="shared" si="17"/>
        <v>625</v>
      </c>
      <c r="Q16" s="16">
        <f t="shared" si="13"/>
        <v>7500</v>
      </c>
      <c r="R16" s="15">
        <f>25*25</f>
        <v>625</v>
      </c>
      <c r="S16" s="15">
        <f t="shared" ref="S16:AC16" si="18">25*25</f>
        <v>625</v>
      </c>
      <c r="T16" s="15">
        <f t="shared" si="18"/>
        <v>625</v>
      </c>
      <c r="U16" s="15">
        <f t="shared" si="18"/>
        <v>625</v>
      </c>
      <c r="V16" s="15">
        <f t="shared" si="18"/>
        <v>625</v>
      </c>
      <c r="W16" s="15">
        <f t="shared" si="18"/>
        <v>625</v>
      </c>
      <c r="X16" s="15">
        <f t="shared" si="18"/>
        <v>625</v>
      </c>
      <c r="Y16" s="15">
        <f t="shared" si="18"/>
        <v>625</v>
      </c>
      <c r="Z16" s="15">
        <f t="shared" si="18"/>
        <v>625</v>
      </c>
      <c r="AA16" s="15">
        <f t="shared" si="18"/>
        <v>625</v>
      </c>
      <c r="AB16" s="15">
        <f t="shared" si="18"/>
        <v>625</v>
      </c>
      <c r="AC16" s="15">
        <f t="shared" si="18"/>
        <v>625</v>
      </c>
      <c r="AD16" s="15">
        <f t="shared" si="6"/>
        <v>7500</v>
      </c>
      <c r="AE16" s="15">
        <f>25*25</f>
        <v>625</v>
      </c>
      <c r="AF16" s="15">
        <f t="shared" ref="AF16:AP16" si="19">25*25</f>
        <v>625</v>
      </c>
      <c r="AG16" s="15">
        <f t="shared" si="19"/>
        <v>625</v>
      </c>
      <c r="AH16" s="15">
        <f t="shared" si="19"/>
        <v>625</v>
      </c>
      <c r="AI16" s="15">
        <f t="shared" si="19"/>
        <v>625</v>
      </c>
      <c r="AJ16" s="15">
        <f t="shared" si="19"/>
        <v>625</v>
      </c>
      <c r="AK16" s="15">
        <f t="shared" si="19"/>
        <v>625</v>
      </c>
      <c r="AL16" s="15">
        <f t="shared" si="19"/>
        <v>625</v>
      </c>
      <c r="AM16" s="15">
        <f t="shared" si="19"/>
        <v>625</v>
      </c>
      <c r="AN16" s="15">
        <f t="shared" si="19"/>
        <v>625</v>
      </c>
      <c r="AO16" s="15">
        <f t="shared" si="19"/>
        <v>625</v>
      </c>
      <c r="AP16" s="15">
        <f t="shared" si="19"/>
        <v>625</v>
      </c>
      <c r="AQ16" s="16">
        <f t="shared" si="16"/>
        <v>7500</v>
      </c>
    </row>
    <row r="17" spans="1:43" ht="28.8" x14ac:dyDescent="0.3">
      <c r="C17" s="1" t="s">
        <v>78</v>
      </c>
      <c r="D17" s="95">
        <f t="shared" si="11"/>
        <v>0.375</v>
      </c>
      <c r="E17" s="15">
        <f>30*20</f>
        <v>600</v>
      </c>
      <c r="F17" s="15">
        <f t="shared" ref="F17:P17" si="20">30*20</f>
        <v>600</v>
      </c>
      <c r="G17" s="15">
        <f t="shared" si="20"/>
        <v>600</v>
      </c>
      <c r="H17" s="15">
        <f t="shared" si="20"/>
        <v>600</v>
      </c>
      <c r="I17" s="15">
        <f t="shared" si="20"/>
        <v>600</v>
      </c>
      <c r="J17" s="15">
        <f t="shared" si="20"/>
        <v>600</v>
      </c>
      <c r="K17" s="15">
        <f t="shared" si="20"/>
        <v>600</v>
      </c>
      <c r="L17" s="15">
        <f t="shared" si="20"/>
        <v>600</v>
      </c>
      <c r="M17" s="15">
        <f t="shared" si="20"/>
        <v>600</v>
      </c>
      <c r="N17" s="15">
        <f t="shared" si="20"/>
        <v>600</v>
      </c>
      <c r="O17" s="15">
        <f t="shared" si="20"/>
        <v>600</v>
      </c>
      <c r="P17" s="15">
        <f t="shared" si="20"/>
        <v>600</v>
      </c>
      <c r="Q17" s="16">
        <f t="shared" si="13"/>
        <v>7200</v>
      </c>
      <c r="R17" s="15">
        <f>30*20</f>
        <v>600</v>
      </c>
      <c r="S17" s="15">
        <f t="shared" ref="S17:AC17" si="21">30*20</f>
        <v>600</v>
      </c>
      <c r="T17" s="15">
        <f t="shared" si="21"/>
        <v>600</v>
      </c>
      <c r="U17" s="15">
        <f t="shared" si="21"/>
        <v>600</v>
      </c>
      <c r="V17" s="15">
        <f t="shared" si="21"/>
        <v>600</v>
      </c>
      <c r="W17" s="15">
        <f t="shared" si="21"/>
        <v>600</v>
      </c>
      <c r="X17" s="15">
        <f t="shared" si="21"/>
        <v>600</v>
      </c>
      <c r="Y17" s="15">
        <f t="shared" si="21"/>
        <v>600</v>
      </c>
      <c r="Z17" s="15">
        <f t="shared" si="21"/>
        <v>600</v>
      </c>
      <c r="AA17" s="15">
        <f t="shared" si="21"/>
        <v>600</v>
      </c>
      <c r="AB17" s="15">
        <f t="shared" si="21"/>
        <v>600</v>
      </c>
      <c r="AC17" s="15">
        <f t="shared" si="21"/>
        <v>600</v>
      </c>
      <c r="AD17" s="15">
        <f t="shared" si="6"/>
        <v>7200</v>
      </c>
      <c r="AE17" s="15">
        <f>30*20</f>
        <v>600</v>
      </c>
      <c r="AF17" s="15">
        <f t="shared" ref="AF17:AP17" si="22">30*20</f>
        <v>600</v>
      </c>
      <c r="AG17" s="15">
        <f t="shared" si="22"/>
        <v>600</v>
      </c>
      <c r="AH17" s="15">
        <f t="shared" si="22"/>
        <v>600</v>
      </c>
      <c r="AI17" s="15">
        <f t="shared" si="22"/>
        <v>600</v>
      </c>
      <c r="AJ17" s="15">
        <f t="shared" si="22"/>
        <v>600</v>
      </c>
      <c r="AK17" s="15">
        <f t="shared" si="22"/>
        <v>600</v>
      </c>
      <c r="AL17" s="15">
        <f t="shared" si="22"/>
        <v>600</v>
      </c>
      <c r="AM17" s="15">
        <f t="shared" si="22"/>
        <v>600</v>
      </c>
      <c r="AN17" s="15">
        <f t="shared" si="22"/>
        <v>600</v>
      </c>
      <c r="AO17" s="15">
        <f t="shared" si="22"/>
        <v>600</v>
      </c>
      <c r="AP17" s="15">
        <f t="shared" si="22"/>
        <v>600</v>
      </c>
      <c r="AQ17" s="16">
        <f t="shared" si="16"/>
        <v>7200</v>
      </c>
    </row>
    <row r="18" spans="1:43" x14ac:dyDescent="0.3">
      <c r="C18" s="1" t="s">
        <v>79</v>
      </c>
      <c r="D18" s="95">
        <f t="shared" si="11"/>
        <v>0.19953031250000003</v>
      </c>
      <c r="E18" s="15">
        <f t="shared" ref="E18:P18" si="23">2.06*(SUM(E9:E17))/100</f>
        <v>319.24850000000004</v>
      </c>
      <c r="F18" s="15">
        <f t="shared" si="23"/>
        <v>319.24850000000004</v>
      </c>
      <c r="G18" s="15">
        <f t="shared" si="23"/>
        <v>896.83438999999998</v>
      </c>
      <c r="H18" s="15">
        <f t="shared" si="23"/>
        <v>319.24850000000004</v>
      </c>
      <c r="I18" s="15">
        <f t="shared" si="23"/>
        <v>896.83438999999998</v>
      </c>
      <c r="J18" s="15">
        <f t="shared" si="23"/>
        <v>319.24850000000004</v>
      </c>
      <c r="K18" s="15">
        <f t="shared" si="23"/>
        <v>896.83438999999998</v>
      </c>
      <c r="L18" s="15">
        <f t="shared" si="23"/>
        <v>319.24850000000004</v>
      </c>
      <c r="M18" s="15">
        <f t="shared" si="23"/>
        <v>319.24850000000004</v>
      </c>
      <c r="N18" s="15">
        <f t="shared" si="23"/>
        <v>896.83438999999998</v>
      </c>
      <c r="O18" s="15">
        <f t="shared" si="23"/>
        <v>319.24850000000004</v>
      </c>
      <c r="P18" s="15">
        <f t="shared" si="23"/>
        <v>896.83438999999998</v>
      </c>
      <c r="Q18" s="16">
        <f t="shared" si="13"/>
        <v>6718.9114499999996</v>
      </c>
      <c r="R18" s="15">
        <f t="shared" ref="R18:AC18" si="24">2.06*(SUM(R9:R17))/100</f>
        <v>319.24850000000004</v>
      </c>
      <c r="S18" s="15">
        <f t="shared" si="24"/>
        <v>319.24850000000004</v>
      </c>
      <c r="T18" s="15">
        <f t="shared" si="24"/>
        <v>896.83438999999998</v>
      </c>
      <c r="U18" s="15">
        <f t="shared" si="24"/>
        <v>319.24850000000004</v>
      </c>
      <c r="V18" s="15">
        <f t="shared" si="24"/>
        <v>896.83438999999998</v>
      </c>
      <c r="W18" s="15">
        <f t="shared" si="24"/>
        <v>319.24850000000004</v>
      </c>
      <c r="X18" s="15">
        <f t="shared" si="24"/>
        <v>896.83438999999998</v>
      </c>
      <c r="Y18" s="15">
        <f t="shared" si="24"/>
        <v>319.24850000000004</v>
      </c>
      <c r="Z18" s="15">
        <f t="shared" si="24"/>
        <v>319.24850000000004</v>
      </c>
      <c r="AA18" s="15">
        <f t="shared" si="24"/>
        <v>896.83438999999998</v>
      </c>
      <c r="AB18" s="15">
        <f t="shared" si="24"/>
        <v>319.24850000000004</v>
      </c>
      <c r="AC18" s="15">
        <f t="shared" si="24"/>
        <v>319.24850000000004</v>
      </c>
      <c r="AD18" s="15">
        <f t="shared" si="6"/>
        <v>6141.3255599999993</v>
      </c>
      <c r="AE18" s="15">
        <f t="shared" ref="AE18:AP18" si="25">2.06*(SUM(AE9:AE17))/100</f>
        <v>896.83438999999998</v>
      </c>
      <c r="AF18" s="15">
        <f t="shared" si="25"/>
        <v>319.24850000000004</v>
      </c>
      <c r="AG18" s="15">
        <f t="shared" si="25"/>
        <v>896.83438999999998</v>
      </c>
      <c r="AH18" s="15">
        <f t="shared" si="25"/>
        <v>319.24850000000004</v>
      </c>
      <c r="AI18" s="15">
        <f t="shared" si="25"/>
        <v>896.83438999999998</v>
      </c>
      <c r="AJ18" s="15">
        <f t="shared" si="25"/>
        <v>319.24850000000004</v>
      </c>
      <c r="AK18" s="15">
        <f t="shared" si="25"/>
        <v>319.24850000000004</v>
      </c>
      <c r="AL18" s="15">
        <f t="shared" si="25"/>
        <v>896.83438999999998</v>
      </c>
      <c r="AM18" s="15">
        <f t="shared" si="25"/>
        <v>319.24850000000004</v>
      </c>
      <c r="AN18" s="15">
        <f t="shared" si="25"/>
        <v>896.83438999999998</v>
      </c>
      <c r="AO18" s="15">
        <f t="shared" si="25"/>
        <v>319.24850000000004</v>
      </c>
      <c r="AP18" s="15">
        <f t="shared" si="25"/>
        <v>319.24850000000004</v>
      </c>
      <c r="AQ18" s="16">
        <f t="shared" si="16"/>
        <v>6718.9114499999996</v>
      </c>
    </row>
    <row r="19" spans="1:43" x14ac:dyDescent="0.3">
      <c r="C19" s="1" t="s">
        <v>80</v>
      </c>
      <c r="D19" s="95">
        <f t="shared" si="11"/>
        <v>0.96859375000000003</v>
      </c>
      <c r="E19" s="22">
        <f t="shared" ref="E19:P19" si="26">(SUM(E9:E17)*0.1)</f>
        <v>1549.75</v>
      </c>
      <c r="F19" s="22">
        <f t="shared" si="26"/>
        <v>1549.75</v>
      </c>
      <c r="G19" s="22">
        <f t="shared" si="26"/>
        <v>4353.5650000000005</v>
      </c>
      <c r="H19" s="22">
        <f t="shared" si="26"/>
        <v>1549.75</v>
      </c>
      <c r="I19" s="22">
        <f t="shared" si="26"/>
        <v>4353.5650000000005</v>
      </c>
      <c r="J19" s="22">
        <f t="shared" si="26"/>
        <v>1549.75</v>
      </c>
      <c r="K19" s="22">
        <f t="shared" si="26"/>
        <v>4353.5650000000005</v>
      </c>
      <c r="L19" s="22">
        <f t="shared" si="26"/>
        <v>1549.75</v>
      </c>
      <c r="M19" s="22">
        <f t="shared" si="26"/>
        <v>1549.75</v>
      </c>
      <c r="N19" s="22">
        <f t="shared" si="26"/>
        <v>4353.5650000000005</v>
      </c>
      <c r="O19" s="22">
        <f t="shared" si="26"/>
        <v>1549.75</v>
      </c>
      <c r="P19" s="22">
        <f t="shared" si="26"/>
        <v>4353.5650000000005</v>
      </c>
      <c r="Q19" s="23">
        <f t="shared" si="13"/>
        <v>32616.075000000004</v>
      </c>
      <c r="R19" s="22">
        <f t="shared" ref="R19:AC19" si="27">(SUM(R9:R17)*0.1)</f>
        <v>1549.75</v>
      </c>
      <c r="S19" s="22">
        <f t="shared" si="27"/>
        <v>1549.75</v>
      </c>
      <c r="T19" s="22">
        <f t="shared" si="27"/>
        <v>4353.5650000000005</v>
      </c>
      <c r="U19" s="22">
        <f t="shared" si="27"/>
        <v>1549.75</v>
      </c>
      <c r="V19" s="22">
        <f t="shared" si="27"/>
        <v>4353.5650000000005</v>
      </c>
      <c r="W19" s="22">
        <f t="shared" si="27"/>
        <v>1549.75</v>
      </c>
      <c r="X19" s="22">
        <f t="shared" si="27"/>
        <v>4353.5650000000005</v>
      </c>
      <c r="Y19" s="22">
        <f t="shared" si="27"/>
        <v>1549.75</v>
      </c>
      <c r="Z19" s="22">
        <f t="shared" si="27"/>
        <v>1549.75</v>
      </c>
      <c r="AA19" s="22">
        <f t="shared" si="27"/>
        <v>4353.5650000000005</v>
      </c>
      <c r="AB19" s="22">
        <f t="shared" si="27"/>
        <v>1549.75</v>
      </c>
      <c r="AC19" s="22">
        <f t="shared" si="27"/>
        <v>1549.75</v>
      </c>
      <c r="AD19" s="22">
        <f t="shared" si="6"/>
        <v>29812.260000000002</v>
      </c>
      <c r="AE19" s="22">
        <f t="shared" ref="AE19:AP19" si="28">(SUM(AE9:AE17)*0.1)</f>
        <v>4353.5650000000005</v>
      </c>
      <c r="AF19" s="22">
        <f t="shared" si="28"/>
        <v>1549.75</v>
      </c>
      <c r="AG19" s="22">
        <f t="shared" si="28"/>
        <v>4353.5650000000005</v>
      </c>
      <c r="AH19" s="22">
        <f t="shared" si="28"/>
        <v>1549.75</v>
      </c>
      <c r="AI19" s="22">
        <f t="shared" si="28"/>
        <v>4353.5650000000005</v>
      </c>
      <c r="AJ19" s="22">
        <f t="shared" si="28"/>
        <v>1549.75</v>
      </c>
      <c r="AK19" s="22">
        <f t="shared" si="28"/>
        <v>1549.75</v>
      </c>
      <c r="AL19" s="22">
        <f t="shared" si="28"/>
        <v>4353.5650000000005</v>
      </c>
      <c r="AM19" s="22">
        <f t="shared" si="28"/>
        <v>1549.75</v>
      </c>
      <c r="AN19" s="22">
        <f t="shared" si="28"/>
        <v>4353.5650000000005</v>
      </c>
      <c r="AO19" s="22">
        <f t="shared" si="28"/>
        <v>1549.75</v>
      </c>
      <c r="AP19" s="22">
        <f t="shared" si="28"/>
        <v>1549.75</v>
      </c>
      <c r="AQ19" s="23">
        <f t="shared" si="16"/>
        <v>32616.075000000004</v>
      </c>
    </row>
    <row r="20" spans="1:43" x14ac:dyDescent="0.3">
      <c r="C20" s="24" t="s">
        <v>81</v>
      </c>
      <c r="D20" s="95">
        <f t="shared" si="11"/>
        <v>10.8540615625</v>
      </c>
      <c r="E20" s="25">
        <f t="shared" ref="E20:AQ20" si="29">SUM(E9:E19)</f>
        <v>17366.498500000002</v>
      </c>
      <c r="F20" s="25">
        <f t="shared" si="29"/>
        <v>17366.498500000002</v>
      </c>
      <c r="G20" s="25">
        <f t="shared" si="29"/>
        <v>48786.04939</v>
      </c>
      <c r="H20" s="25">
        <f t="shared" si="29"/>
        <v>17366.498500000002</v>
      </c>
      <c r="I20" s="25">
        <f t="shared" si="29"/>
        <v>48786.04939</v>
      </c>
      <c r="J20" s="25">
        <f t="shared" si="29"/>
        <v>17366.498500000002</v>
      </c>
      <c r="K20" s="25">
        <f t="shared" si="29"/>
        <v>48786.04939</v>
      </c>
      <c r="L20" s="25">
        <f t="shared" si="29"/>
        <v>17366.498500000002</v>
      </c>
      <c r="M20" s="25">
        <f t="shared" si="29"/>
        <v>17366.498500000002</v>
      </c>
      <c r="N20" s="25">
        <f t="shared" si="29"/>
        <v>48786.04939</v>
      </c>
      <c r="O20" s="25">
        <f t="shared" si="29"/>
        <v>17366.498500000002</v>
      </c>
      <c r="P20" s="25">
        <f t="shared" si="29"/>
        <v>48786.04939</v>
      </c>
      <c r="Q20" s="26">
        <f t="shared" si="29"/>
        <v>228691.23645000003</v>
      </c>
      <c r="R20" s="25">
        <f t="shared" si="29"/>
        <v>17366.498500000002</v>
      </c>
      <c r="S20" s="25">
        <f t="shared" si="29"/>
        <v>17366.498500000002</v>
      </c>
      <c r="T20" s="25">
        <f t="shared" si="29"/>
        <v>48786.04939</v>
      </c>
      <c r="U20" s="25">
        <f t="shared" si="29"/>
        <v>17366.498500000002</v>
      </c>
      <c r="V20" s="25">
        <f t="shared" si="29"/>
        <v>48786.04939</v>
      </c>
      <c r="W20" s="25">
        <f t="shared" si="29"/>
        <v>17366.498500000002</v>
      </c>
      <c r="X20" s="25">
        <f t="shared" si="29"/>
        <v>48786.04939</v>
      </c>
      <c r="Y20" s="25">
        <f t="shared" si="29"/>
        <v>17366.498500000002</v>
      </c>
      <c r="Z20" s="25">
        <f t="shared" si="29"/>
        <v>17366.498500000002</v>
      </c>
      <c r="AA20" s="25">
        <f t="shared" si="29"/>
        <v>48786.04939</v>
      </c>
      <c r="AB20" s="25">
        <f t="shared" si="29"/>
        <v>17366.498500000002</v>
      </c>
      <c r="AC20" s="25">
        <f t="shared" si="29"/>
        <v>17366.498500000002</v>
      </c>
      <c r="AD20" s="26">
        <f>SUM(R20:AC20)</f>
        <v>334076.18555999995</v>
      </c>
      <c r="AE20" s="25">
        <f t="shared" si="29"/>
        <v>48786.04939</v>
      </c>
      <c r="AF20" s="25">
        <f t="shared" si="29"/>
        <v>17366.498500000002</v>
      </c>
      <c r="AG20" s="25">
        <f t="shared" si="29"/>
        <v>48786.04939</v>
      </c>
      <c r="AH20" s="25">
        <f t="shared" si="29"/>
        <v>17366.498500000002</v>
      </c>
      <c r="AI20" s="25">
        <f t="shared" si="29"/>
        <v>48786.04939</v>
      </c>
      <c r="AJ20" s="25">
        <f t="shared" si="29"/>
        <v>17366.498500000002</v>
      </c>
      <c r="AK20" s="25">
        <f t="shared" si="29"/>
        <v>17366.498500000002</v>
      </c>
      <c r="AL20" s="25">
        <f t="shared" si="29"/>
        <v>48786.04939</v>
      </c>
      <c r="AM20" s="25">
        <f t="shared" si="29"/>
        <v>17366.498500000002</v>
      </c>
      <c r="AN20" s="25">
        <f t="shared" si="29"/>
        <v>48786.04939</v>
      </c>
      <c r="AO20" s="25">
        <f t="shared" si="29"/>
        <v>17366.498500000002</v>
      </c>
      <c r="AP20" s="25">
        <f t="shared" si="29"/>
        <v>17366.498500000002</v>
      </c>
      <c r="AQ20" s="26">
        <f t="shared" si="29"/>
        <v>228013.98645000003</v>
      </c>
    </row>
    <row r="21" spans="1:43" hidden="1" x14ac:dyDescent="0.3">
      <c r="C21" s="27" t="s">
        <v>82</v>
      </c>
      <c r="D21" s="95">
        <f t="shared" si="11"/>
        <v>0</v>
      </c>
      <c r="E21" s="28">
        <f>IFERROR(E20/E$4,0)</f>
        <v>0</v>
      </c>
      <c r="F21" s="28">
        <f t="shared" ref="F21" si="30">IFERROR(F20/F$4,0)</f>
        <v>0</v>
      </c>
      <c r="G21" s="28">
        <f t="shared" ref="G21:N21" si="31">IFERROR(G20/I$4,0)</f>
        <v>0.36017755179032851</v>
      </c>
      <c r="H21" s="28">
        <f t="shared" si="31"/>
        <v>0</v>
      </c>
      <c r="I21" s="28">
        <f t="shared" si="31"/>
        <v>0.36017755179032851</v>
      </c>
      <c r="J21" s="28">
        <f t="shared" si="31"/>
        <v>0</v>
      </c>
      <c r="K21" s="28">
        <f t="shared" si="31"/>
        <v>0.36017755179032851</v>
      </c>
      <c r="L21" s="28">
        <f t="shared" si="31"/>
        <v>0</v>
      </c>
      <c r="M21" s="28">
        <f t="shared" si="31"/>
        <v>0</v>
      </c>
      <c r="N21" s="28">
        <f t="shared" si="31"/>
        <v>0.36017755179032851</v>
      </c>
      <c r="O21" s="28">
        <f>IFERROR(O20/#REF!,0)</f>
        <v>0</v>
      </c>
      <c r="P21" s="28">
        <f>IFERROR(P20/S$4,0)</f>
        <v>0.36017755179032851</v>
      </c>
      <c r="Q21" s="29">
        <f t="shared" ref="Q21" si="32">Q20/Q$4</f>
        <v>0.42209530537098566</v>
      </c>
      <c r="R21" s="28">
        <f>IFERROR(R20/R$4,0)</f>
        <v>0</v>
      </c>
      <c r="S21" s="28">
        <f>IFERROR(S20/#REF!,0)</f>
        <v>0</v>
      </c>
      <c r="T21" s="28">
        <f t="shared" ref="T21:AC21" si="33">IFERROR(T20/V$4,0)</f>
        <v>0.36017755179032851</v>
      </c>
      <c r="U21" s="28">
        <f t="shared" si="33"/>
        <v>0</v>
      </c>
      <c r="V21" s="28">
        <f t="shared" si="33"/>
        <v>0.36017755179032851</v>
      </c>
      <c r="W21" s="28">
        <f t="shared" si="33"/>
        <v>0</v>
      </c>
      <c r="X21" s="28">
        <f t="shared" si="33"/>
        <v>0.36017755179032851</v>
      </c>
      <c r="Y21" s="28">
        <f t="shared" si="33"/>
        <v>0</v>
      </c>
      <c r="Z21" s="28">
        <f t="shared" si="33"/>
        <v>0</v>
      </c>
      <c r="AA21" s="28">
        <f t="shared" si="33"/>
        <v>0.36017755179032851</v>
      </c>
      <c r="AB21" s="28">
        <f t="shared" si="33"/>
        <v>2.5642670358065708E-2</v>
      </c>
      <c r="AC21" s="28">
        <f t="shared" si="33"/>
        <v>0</v>
      </c>
      <c r="AD21" s="29" t="e">
        <f>AD20/#REF!</f>
        <v>#REF!</v>
      </c>
      <c r="AE21" s="28">
        <f>IFERROR(AE20/#REF!,0)</f>
        <v>0</v>
      </c>
      <c r="AF21" s="28">
        <f t="shared" ref="AF21" si="34">IFERROR(AF20/AF$4,0)</f>
        <v>0</v>
      </c>
      <c r="AG21" s="28">
        <f>IFERROR(AG20/AG$4,0)</f>
        <v>0.36017755179032851</v>
      </c>
      <c r="AH21" s="28">
        <f t="shared" ref="AH21:AP21" si="35">IFERROR(AH20/AH$4,0)</f>
        <v>0</v>
      </c>
      <c r="AI21" s="28">
        <f t="shared" si="35"/>
        <v>0.36017755179032851</v>
      </c>
      <c r="AJ21" s="28">
        <f t="shared" si="35"/>
        <v>0</v>
      </c>
      <c r="AK21" s="28">
        <f t="shared" si="35"/>
        <v>0.12821335179032856</v>
      </c>
      <c r="AL21" s="28">
        <f t="shared" si="35"/>
        <v>0</v>
      </c>
      <c r="AM21" s="28">
        <f t="shared" si="35"/>
        <v>0</v>
      </c>
      <c r="AN21" s="28">
        <f t="shared" si="35"/>
        <v>0.36017755179032851</v>
      </c>
      <c r="AO21" s="28">
        <f t="shared" si="35"/>
        <v>0</v>
      </c>
      <c r="AP21" s="28">
        <f t="shared" si="35"/>
        <v>0.12821335179032856</v>
      </c>
      <c r="AQ21" s="29">
        <f t="shared" ref="AQ21" si="36">AQ20/AQ$4</f>
        <v>0.3366762442967885</v>
      </c>
    </row>
    <row r="22" spans="1:43" x14ac:dyDescent="0.3">
      <c r="C22" s="18"/>
      <c r="D22" s="95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20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20"/>
    </row>
    <row r="23" spans="1:43" s="30" customFormat="1" x14ac:dyDescent="0.3">
      <c r="C23" s="31" t="s">
        <v>83</v>
      </c>
      <c r="D23" s="95">
        <v>0.1</v>
      </c>
      <c r="E23" s="32">
        <f>$D23*$G$1</f>
        <v>270.90000000000003</v>
      </c>
      <c r="F23" s="32"/>
      <c r="G23" s="33"/>
      <c r="H23" s="32">
        <f>$E$23</f>
        <v>270.90000000000003</v>
      </c>
      <c r="I23" s="32"/>
      <c r="J23" s="32">
        <f>$E$23</f>
        <v>270.90000000000003</v>
      </c>
      <c r="K23" s="32"/>
      <c r="L23" s="32">
        <f>$E$23</f>
        <v>270.90000000000003</v>
      </c>
      <c r="M23" s="32">
        <f>($AG$23*2)*O4</f>
        <v>0</v>
      </c>
      <c r="N23" s="32"/>
      <c r="O23" s="32">
        <f>$E$23</f>
        <v>270.90000000000003</v>
      </c>
      <c r="P23" s="32">
        <v>0</v>
      </c>
      <c r="Q23" s="34">
        <f>SUM(E23:P23)</f>
        <v>1354.5000000000002</v>
      </c>
      <c r="R23" s="32">
        <f>($AG$23*2)*R4</f>
        <v>0</v>
      </c>
      <c r="S23" s="32"/>
      <c r="T23" s="33"/>
      <c r="U23" s="32">
        <f>$E$23</f>
        <v>270.90000000000003</v>
      </c>
      <c r="V23" s="32"/>
      <c r="W23" s="32">
        <f>$E$23</f>
        <v>270.90000000000003</v>
      </c>
      <c r="X23" s="32"/>
      <c r="Y23" s="32">
        <f>$E$23</f>
        <v>270.90000000000003</v>
      </c>
      <c r="Z23" s="32">
        <f>($AG$23*2)*AB4</f>
        <v>0</v>
      </c>
      <c r="AA23" s="32"/>
      <c r="AB23" s="32">
        <f>$E$23</f>
        <v>270.90000000000003</v>
      </c>
      <c r="AC23" s="32">
        <v>0</v>
      </c>
      <c r="AD23" s="34">
        <f>SUM(R23:AC23)</f>
        <v>1083.6000000000001</v>
      </c>
      <c r="AE23" s="32">
        <f>$E$23</f>
        <v>270.90000000000003</v>
      </c>
      <c r="AF23" s="32"/>
      <c r="AG23" s="33"/>
      <c r="AH23" s="32">
        <f>$E$23</f>
        <v>270.90000000000003</v>
      </c>
      <c r="AI23" s="32"/>
      <c r="AJ23" s="32">
        <f>$E$23</f>
        <v>270.90000000000003</v>
      </c>
      <c r="AK23" s="32"/>
      <c r="AL23" s="32">
        <f>$E$23</f>
        <v>270.90000000000003</v>
      </c>
      <c r="AM23" s="32">
        <f>($AG$23*2)*AM4</f>
        <v>0</v>
      </c>
      <c r="AN23" s="32"/>
      <c r="AO23" s="32">
        <f>$E$23</f>
        <v>270.90000000000003</v>
      </c>
      <c r="AP23" s="32">
        <v>0</v>
      </c>
      <c r="AQ23" s="34">
        <f>SUM(AE23:AP23)</f>
        <v>1354.5000000000002</v>
      </c>
    </row>
    <row r="24" spans="1:43" x14ac:dyDescent="0.3">
      <c r="C24" s="1" t="s">
        <v>84</v>
      </c>
      <c r="D24" s="95">
        <v>0.1</v>
      </c>
      <c r="E24" s="32">
        <f t="shared" ref="E24:E44" si="37">$D24*$G$1</f>
        <v>270.90000000000003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16">
        <f t="shared" ref="Q24:Q44" si="38">SUM(E24:P24)</f>
        <v>270.90000000000003</v>
      </c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16">
        <f t="shared" ref="AD24:AD44" si="39">SUM(R24:AC24)</f>
        <v>0</v>
      </c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16">
        <f t="shared" ref="AQ24:AQ44" si="40">SUM(AE24:AP24)</f>
        <v>0</v>
      </c>
    </row>
    <row r="25" spans="1:43" x14ac:dyDescent="0.3">
      <c r="A25" s="36" t="s">
        <v>85</v>
      </c>
      <c r="B25" s="37" t="s">
        <v>86</v>
      </c>
      <c r="C25" s="94" t="s">
        <v>87</v>
      </c>
      <c r="D25" s="95">
        <v>0.19</v>
      </c>
      <c r="E25" s="32">
        <f t="shared" si="37"/>
        <v>514.71</v>
      </c>
      <c r="F25" s="15">
        <f t="shared" ref="F25:P25" si="41">30*5*2</f>
        <v>300</v>
      </c>
      <c r="G25" s="15">
        <f t="shared" si="41"/>
        <v>300</v>
      </c>
      <c r="H25" s="15">
        <f t="shared" si="41"/>
        <v>300</v>
      </c>
      <c r="I25" s="15">
        <f t="shared" si="41"/>
        <v>300</v>
      </c>
      <c r="J25" s="15">
        <f t="shared" si="41"/>
        <v>300</v>
      </c>
      <c r="K25" s="15">
        <f t="shared" si="41"/>
        <v>300</v>
      </c>
      <c r="L25" s="15">
        <f t="shared" si="41"/>
        <v>300</v>
      </c>
      <c r="M25" s="15">
        <f t="shared" si="41"/>
        <v>300</v>
      </c>
      <c r="N25" s="15">
        <f t="shared" si="41"/>
        <v>300</v>
      </c>
      <c r="O25" s="15">
        <f t="shared" si="41"/>
        <v>300</v>
      </c>
      <c r="P25" s="15">
        <f t="shared" si="41"/>
        <v>300</v>
      </c>
      <c r="Q25" s="16">
        <f t="shared" si="38"/>
        <v>3814.71</v>
      </c>
      <c r="R25" s="15">
        <f>30*5*2</f>
        <v>300</v>
      </c>
      <c r="S25" s="15">
        <f t="shared" ref="S25:AC25" si="42">30*5*2</f>
        <v>300</v>
      </c>
      <c r="T25" s="15">
        <f t="shared" si="42"/>
        <v>300</v>
      </c>
      <c r="U25" s="15">
        <f t="shared" si="42"/>
        <v>300</v>
      </c>
      <c r="V25" s="15">
        <f t="shared" si="42"/>
        <v>300</v>
      </c>
      <c r="W25" s="15">
        <f t="shared" si="42"/>
        <v>300</v>
      </c>
      <c r="X25" s="15">
        <f t="shared" si="42"/>
        <v>300</v>
      </c>
      <c r="Y25" s="15">
        <f t="shared" si="42"/>
        <v>300</v>
      </c>
      <c r="Z25" s="15">
        <f t="shared" si="42"/>
        <v>300</v>
      </c>
      <c r="AA25" s="15">
        <f t="shared" si="42"/>
        <v>300</v>
      </c>
      <c r="AB25" s="15">
        <f t="shared" si="42"/>
        <v>300</v>
      </c>
      <c r="AC25" s="15">
        <f t="shared" si="42"/>
        <v>300</v>
      </c>
      <c r="AD25" s="16">
        <f t="shared" si="39"/>
        <v>3600</v>
      </c>
      <c r="AE25" s="15">
        <f>30*5*2</f>
        <v>300</v>
      </c>
      <c r="AF25" s="15">
        <f t="shared" ref="AF25:AP25" si="43">30*5*2</f>
        <v>300</v>
      </c>
      <c r="AG25" s="15">
        <f t="shared" si="43"/>
        <v>300</v>
      </c>
      <c r="AH25" s="15">
        <f t="shared" si="43"/>
        <v>300</v>
      </c>
      <c r="AI25" s="15">
        <f t="shared" si="43"/>
        <v>300</v>
      </c>
      <c r="AJ25" s="15">
        <f t="shared" si="43"/>
        <v>300</v>
      </c>
      <c r="AK25" s="15">
        <f t="shared" si="43"/>
        <v>300</v>
      </c>
      <c r="AL25" s="15">
        <f t="shared" si="43"/>
        <v>300</v>
      </c>
      <c r="AM25" s="15">
        <f t="shared" si="43"/>
        <v>300</v>
      </c>
      <c r="AN25" s="15">
        <f t="shared" si="43"/>
        <v>300</v>
      </c>
      <c r="AO25" s="15">
        <f t="shared" si="43"/>
        <v>300</v>
      </c>
      <c r="AP25" s="15">
        <f t="shared" si="43"/>
        <v>300</v>
      </c>
      <c r="AQ25" s="16">
        <f t="shared" si="40"/>
        <v>3600</v>
      </c>
    </row>
    <row r="26" spans="1:43" x14ac:dyDescent="0.3">
      <c r="A26" t="s">
        <v>88</v>
      </c>
      <c r="B26" s="38" t="s">
        <v>89</v>
      </c>
      <c r="C26" s="39" t="s">
        <v>90</v>
      </c>
      <c r="D26" s="95">
        <v>0.3</v>
      </c>
      <c r="E26" s="32">
        <f t="shared" si="37"/>
        <v>812.69999999999993</v>
      </c>
      <c r="F26" s="15"/>
      <c r="G26" s="15">
        <f>$E$26</f>
        <v>812.69999999999993</v>
      </c>
      <c r="H26" s="15"/>
      <c r="I26" s="15"/>
      <c r="J26" s="15">
        <f>$E$26</f>
        <v>812.69999999999993</v>
      </c>
      <c r="K26" s="15"/>
      <c r="L26" s="15"/>
      <c r="M26" s="15">
        <f>$E$26</f>
        <v>812.69999999999993</v>
      </c>
      <c r="N26" s="15"/>
      <c r="O26" s="15"/>
      <c r="P26" s="15">
        <f>$E$26</f>
        <v>812.69999999999993</v>
      </c>
      <c r="Q26" s="16">
        <f t="shared" si="38"/>
        <v>4063.4999999999995</v>
      </c>
      <c r="R26" s="15">
        <f>$E$26</f>
        <v>812.69999999999993</v>
      </c>
      <c r="S26" s="15"/>
      <c r="T26" s="15">
        <f>$E$26</f>
        <v>812.69999999999993</v>
      </c>
      <c r="U26" s="15"/>
      <c r="V26" s="15"/>
      <c r="W26" s="15">
        <f>$E$26</f>
        <v>812.69999999999993</v>
      </c>
      <c r="X26" s="15"/>
      <c r="Y26" s="15"/>
      <c r="Z26" s="15">
        <f>$E$26</f>
        <v>812.69999999999993</v>
      </c>
      <c r="AA26" s="15"/>
      <c r="AB26" s="15"/>
      <c r="AC26" s="15">
        <f>$E$26</f>
        <v>812.69999999999993</v>
      </c>
      <c r="AD26" s="16">
        <f t="shared" si="39"/>
        <v>4063.4999999999995</v>
      </c>
      <c r="AE26" s="15">
        <f>$E$26</f>
        <v>812.69999999999993</v>
      </c>
      <c r="AF26" s="15"/>
      <c r="AG26" s="15">
        <f>$E$26</f>
        <v>812.69999999999993</v>
      </c>
      <c r="AH26" s="15"/>
      <c r="AI26" s="15"/>
      <c r="AJ26" s="15">
        <f>$E$26</f>
        <v>812.69999999999993</v>
      </c>
      <c r="AK26" s="15"/>
      <c r="AL26" s="15"/>
      <c r="AM26" s="15">
        <f>$E$26</f>
        <v>812.69999999999993</v>
      </c>
      <c r="AN26" s="15"/>
      <c r="AO26" s="15"/>
      <c r="AP26" s="15">
        <f>$E$26</f>
        <v>812.69999999999993</v>
      </c>
      <c r="AQ26" s="16">
        <f t="shared" si="40"/>
        <v>4063.4999999999995</v>
      </c>
    </row>
    <row r="27" spans="1:43" x14ac:dyDescent="0.3">
      <c r="A27" t="s">
        <v>91</v>
      </c>
      <c r="B27" s="38" t="s">
        <v>92</v>
      </c>
      <c r="C27" s="39" t="s">
        <v>93</v>
      </c>
      <c r="D27" s="95">
        <v>4</v>
      </c>
      <c r="E27" s="32">
        <f>$D27*$G$1</f>
        <v>10836</v>
      </c>
      <c r="F27" s="40"/>
      <c r="G27" s="40">
        <f>$E$27</f>
        <v>10836</v>
      </c>
      <c r="H27" s="40"/>
      <c r="I27" s="40"/>
      <c r="J27" s="40">
        <f>$E$27</f>
        <v>10836</v>
      </c>
      <c r="K27" s="40"/>
      <c r="L27" s="40"/>
      <c r="M27" s="40">
        <f>$E$27</f>
        <v>10836</v>
      </c>
      <c r="N27" s="40"/>
      <c r="O27" s="40"/>
      <c r="P27" s="40">
        <f>$E$27</f>
        <v>10836</v>
      </c>
      <c r="Q27" s="16">
        <f t="shared" si="38"/>
        <v>54180</v>
      </c>
      <c r="R27" s="40"/>
      <c r="S27" s="40"/>
      <c r="T27" s="40">
        <f>$E$27</f>
        <v>10836</v>
      </c>
      <c r="U27" s="40"/>
      <c r="V27" s="40"/>
      <c r="W27" s="40">
        <f>$E$27</f>
        <v>10836</v>
      </c>
      <c r="X27" s="40"/>
      <c r="Y27" s="40"/>
      <c r="Z27" s="40">
        <f>$E$27</f>
        <v>10836</v>
      </c>
      <c r="AA27" s="40"/>
      <c r="AB27" s="40"/>
      <c r="AC27" s="40">
        <f>$E$27</f>
        <v>10836</v>
      </c>
      <c r="AD27" s="16">
        <f t="shared" si="39"/>
        <v>43344</v>
      </c>
      <c r="AE27" s="40">
        <f>$E$27</f>
        <v>10836</v>
      </c>
      <c r="AF27" s="40"/>
      <c r="AG27" s="40">
        <f>$E$27</f>
        <v>10836</v>
      </c>
      <c r="AH27" s="40"/>
      <c r="AI27" s="40"/>
      <c r="AJ27" s="40">
        <f>$E$27</f>
        <v>10836</v>
      </c>
      <c r="AK27" s="40"/>
      <c r="AL27" s="40"/>
      <c r="AM27" s="40">
        <f>$E$27</f>
        <v>10836</v>
      </c>
      <c r="AN27" s="40"/>
      <c r="AO27" s="40"/>
      <c r="AP27" s="40">
        <f>$E$27</f>
        <v>10836</v>
      </c>
      <c r="AQ27" s="16">
        <f t="shared" si="40"/>
        <v>54180</v>
      </c>
    </row>
    <row r="28" spans="1:43" s="30" customFormat="1" ht="72.900000000000006" customHeight="1" x14ac:dyDescent="0.3">
      <c r="A28" s="30" t="s">
        <v>94</v>
      </c>
      <c r="B28" s="41" t="s">
        <v>95</v>
      </c>
      <c r="C28" s="42" t="s">
        <v>96</v>
      </c>
      <c r="D28" s="95">
        <v>0.28999999999999998</v>
      </c>
      <c r="E28" s="32">
        <f t="shared" si="37"/>
        <v>785.6099999999999</v>
      </c>
      <c r="F28" s="33"/>
      <c r="G28" s="33">
        <f>$E$28</f>
        <v>785.6099999999999</v>
      </c>
      <c r="H28" s="33"/>
      <c r="I28" s="33"/>
      <c r="J28" s="33">
        <f>$E$28</f>
        <v>785.6099999999999</v>
      </c>
      <c r="K28" s="33"/>
      <c r="L28" s="33"/>
      <c r="M28" s="33">
        <f>$E$28</f>
        <v>785.6099999999999</v>
      </c>
      <c r="N28" s="33"/>
      <c r="O28" s="33"/>
      <c r="P28" s="33">
        <f>$E$28</f>
        <v>785.6099999999999</v>
      </c>
      <c r="Q28" s="34">
        <f t="shared" si="38"/>
        <v>3928.0499999999993</v>
      </c>
      <c r="R28" s="33"/>
      <c r="S28" s="33"/>
      <c r="T28" s="33">
        <f>$E$28</f>
        <v>785.6099999999999</v>
      </c>
      <c r="U28" s="33"/>
      <c r="V28" s="33"/>
      <c r="W28" s="33">
        <f>$E$28</f>
        <v>785.6099999999999</v>
      </c>
      <c r="X28" s="33"/>
      <c r="Y28" s="33"/>
      <c r="Z28" s="33">
        <f>$E$28</f>
        <v>785.6099999999999</v>
      </c>
      <c r="AA28" s="33"/>
      <c r="AB28" s="33"/>
      <c r="AC28" s="33">
        <f>$E$28</f>
        <v>785.6099999999999</v>
      </c>
      <c r="AD28" s="34">
        <f t="shared" si="39"/>
        <v>3142.4399999999996</v>
      </c>
      <c r="AE28" s="33"/>
      <c r="AF28" s="33"/>
      <c r="AG28" s="33">
        <f>$E$28</f>
        <v>785.6099999999999</v>
      </c>
      <c r="AH28" s="33"/>
      <c r="AI28" s="33"/>
      <c r="AJ28" s="33">
        <f>$E$28</f>
        <v>785.6099999999999</v>
      </c>
      <c r="AK28" s="33"/>
      <c r="AL28" s="33"/>
      <c r="AM28" s="33">
        <f>$E$28</f>
        <v>785.6099999999999</v>
      </c>
      <c r="AN28" s="33"/>
      <c r="AO28" s="33"/>
      <c r="AP28" s="33">
        <f>$E$28</f>
        <v>785.6099999999999</v>
      </c>
      <c r="AQ28" s="34">
        <f t="shared" si="40"/>
        <v>3142.4399999999996</v>
      </c>
    </row>
    <row r="29" spans="1:43" hidden="1" x14ac:dyDescent="0.3">
      <c r="B29" s="38"/>
      <c r="C29" s="39"/>
      <c r="D29" s="95"/>
      <c r="E29" s="3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16">
        <f t="shared" si="38"/>
        <v>0</v>
      </c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16">
        <f t="shared" si="39"/>
        <v>0</v>
      </c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16">
        <f t="shared" si="40"/>
        <v>0</v>
      </c>
    </row>
    <row r="30" spans="1:43" s="43" customFormat="1" x14ac:dyDescent="0.3">
      <c r="A30" s="43" t="s">
        <v>97</v>
      </c>
      <c r="B30" s="44" t="s">
        <v>98</v>
      </c>
      <c r="C30" s="94" t="s">
        <v>99</v>
      </c>
      <c r="D30" s="95">
        <v>4.0599999999999996</v>
      </c>
      <c r="E30" s="32">
        <f t="shared" si="37"/>
        <v>10998.539999999999</v>
      </c>
      <c r="F30" s="45">
        <f>$E$30</f>
        <v>10998.539999999999</v>
      </c>
      <c r="G30" s="45">
        <f t="shared" ref="G30:P30" si="44">$E$30</f>
        <v>10998.539999999999</v>
      </c>
      <c r="H30" s="45">
        <f t="shared" si="44"/>
        <v>10998.539999999999</v>
      </c>
      <c r="I30" s="45">
        <f t="shared" si="44"/>
        <v>10998.539999999999</v>
      </c>
      <c r="J30" s="45">
        <f t="shared" si="44"/>
        <v>10998.539999999999</v>
      </c>
      <c r="K30" s="45">
        <f t="shared" si="44"/>
        <v>10998.539999999999</v>
      </c>
      <c r="L30" s="45">
        <f t="shared" si="44"/>
        <v>10998.539999999999</v>
      </c>
      <c r="M30" s="45">
        <f t="shared" si="44"/>
        <v>10998.539999999999</v>
      </c>
      <c r="N30" s="45">
        <f t="shared" si="44"/>
        <v>10998.539999999999</v>
      </c>
      <c r="O30" s="45">
        <f t="shared" si="44"/>
        <v>10998.539999999999</v>
      </c>
      <c r="P30" s="45">
        <f t="shared" si="44"/>
        <v>10998.539999999999</v>
      </c>
      <c r="Q30" s="46">
        <f>SUM(E30:P30)</f>
        <v>131982.47999999995</v>
      </c>
      <c r="R30" s="45">
        <f>P30</f>
        <v>10998.539999999999</v>
      </c>
      <c r="S30" s="45">
        <f>R30</f>
        <v>10998.539999999999</v>
      </c>
      <c r="T30" s="45">
        <f t="shared" ref="T30:AC30" si="45">S30</f>
        <v>10998.539999999999</v>
      </c>
      <c r="U30" s="45">
        <f t="shared" si="45"/>
        <v>10998.539999999999</v>
      </c>
      <c r="V30" s="45">
        <f t="shared" si="45"/>
        <v>10998.539999999999</v>
      </c>
      <c r="W30" s="45">
        <f t="shared" si="45"/>
        <v>10998.539999999999</v>
      </c>
      <c r="X30" s="45">
        <f t="shared" si="45"/>
        <v>10998.539999999999</v>
      </c>
      <c r="Y30" s="45">
        <f t="shared" si="45"/>
        <v>10998.539999999999</v>
      </c>
      <c r="Z30" s="45">
        <f t="shared" si="45"/>
        <v>10998.539999999999</v>
      </c>
      <c r="AA30" s="45">
        <f t="shared" si="45"/>
        <v>10998.539999999999</v>
      </c>
      <c r="AB30" s="45">
        <f t="shared" si="45"/>
        <v>10998.539999999999</v>
      </c>
      <c r="AC30" s="45">
        <f t="shared" si="45"/>
        <v>10998.539999999999</v>
      </c>
      <c r="AD30" s="46">
        <f>SUM(R30:AC30)</f>
        <v>131982.47999999995</v>
      </c>
      <c r="AE30" s="45">
        <f>AC30</f>
        <v>10998.539999999999</v>
      </c>
      <c r="AF30" s="45">
        <f>AE30</f>
        <v>10998.539999999999</v>
      </c>
      <c r="AG30" s="45">
        <f t="shared" ref="AG30:AP30" si="46">AF30</f>
        <v>10998.539999999999</v>
      </c>
      <c r="AH30" s="45">
        <f t="shared" si="46"/>
        <v>10998.539999999999</v>
      </c>
      <c r="AI30" s="45">
        <f t="shared" si="46"/>
        <v>10998.539999999999</v>
      </c>
      <c r="AJ30" s="45">
        <f t="shared" si="46"/>
        <v>10998.539999999999</v>
      </c>
      <c r="AK30" s="45">
        <f t="shared" si="46"/>
        <v>10998.539999999999</v>
      </c>
      <c r="AL30" s="45">
        <f t="shared" si="46"/>
        <v>10998.539999999999</v>
      </c>
      <c r="AM30" s="45">
        <f t="shared" si="46"/>
        <v>10998.539999999999</v>
      </c>
      <c r="AN30" s="45">
        <f t="shared" si="46"/>
        <v>10998.539999999999</v>
      </c>
      <c r="AO30" s="45">
        <f t="shared" si="46"/>
        <v>10998.539999999999</v>
      </c>
      <c r="AP30" s="45">
        <f t="shared" si="46"/>
        <v>10998.539999999999</v>
      </c>
      <c r="AQ30" s="46">
        <f t="shared" si="40"/>
        <v>131982.47999999995</v>
      </c>
    </row>
    <row r="31" spans="1:43" x14ac:dyDescent="0.3">
      <c r="B31" s="38"/>
      <c r="C31" s="39"/>
      <c r="D31" s="95"/>
      <c r="E31" s="32">
        <f t="shared" si="37"/>
        <v>0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16">
        <f t="shared" si="38"/>
        <v>0</v>
      </c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16">
        <f t="shared" si="39"/>
        <v>0</v>
      </c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16">
        <f t="shared" si="40"/>
        <v>0</v>
      </c>
    </row>
    <row r="32" spans="1:43" x14ac:dyDescent="0.3">
      <c r="A32" t="s">
        <v>100</v>
      </c>
      <c r="B32" s="38" t="s">
        <v>101</v>
      </c>
      <c r="C32" t="s">
        <v>100</v>
      </c>
      <c r="D32" s="95">
        <v>7.0000000000000007E-2</v>
      </c>
      <c r="E32" s="32">
        <f t="shared" si="37"/>
        <v>189.63000000000002</v>
      </c>
      <c r="F32" s="15"/>
      <c r="G32" s="15">
        <f>$E$32</f>
        <v>189.63000000000002</v>
      </c>
      <c r="H32" s="15"/>
      <c r="I32" s="15">
        <f>$E$32</f>
        <v>189.63000000000002</v>
      </c>
      <c r="J32" s="15"/>
      <c r="K32" s="15">
        <f>$E$32</f>
        <v>189.63000000000002</v>
      </c>
      <c r="L32" s="15"/>
      <c r="M32" s="15"/>
      <c r="N32" s="15">
        <f>$E$32</f>
        <v>189.63000000000002</v>
      </c>
      <c r="O32" s="15"/>
      <c r="P32" s="15">
        <f>$E$32</f>
        <v>189.63000000000002</v>
      </c>
      <c r="Q32" s="16">
        <f t="shared" si="38"/>
        <v>1137.7800000000002</v>
      </c>
      <c r="R32" s="15">
        <f>$E$32</f>
        <v>189.63000000000002</v>
      </c>
      <c r="S32" s="15"/>
      <c r="T32" s="15">
        <f>$E$32</f>
        <v>189.63000000000002</v>
      </c>
      <c r="U32" s="15"/>
      <c r="V32" s="15">
        <f>$E$32</f>
        <v>189.63000000000002</v>
      </c>
      <c r="W32" s="15"/>
      <c r="X32" s="15">
        <f>$E$32</f>
        <v>189.63000000000002</v>
      </c>
      <c r="Y32" s="15"/>
      <c r="Z32" s="15"/>
      <c r="AA32" s="15">
        <f>$E$32</f>
        <v>189.63000000000002</v>
      </c>
      <c r="AB32" s="15"/>
      <c r="AC32" s="15">
        <f>$E$32</f>
        <v>189.63000000000002</v>
      </c>
      <c r="AD32" s="16">
        <f t="shared" si="39"/>
        <v>1137.7800000000002</v>
      </c>
      <c r="AE32" s="15">
        <f>$E$32</f>
        <v>189.63000000000002</v>
      </c>
      <c r="AF32" s="15"/>
      <c r="AG32" s="15">
        <f>$E$32</f>
        <v>189.63000000000002</v>
      </c>
      <c r="AH32" s="15"/>
      <c r="AI32" s="15">
        <f>$E$32</f>
        <v>189.63000000000002</v>
      </c>
      <c r="AJ32" s="15"/>
      <c r="AK32" s="15">
        <f>$E$32</f>
        <v>189.63000000000002</v>
      </c>
      <c r="AL32" s="15"/>
      <c r="AM32" s="15"/>
      <c r="AN32" s="15">
        <f>$E$32</f>
        <v>189.63000000000002</v>
      </c>
      <c r="AO32" s="15"/>
      <c r="AP32" s="15">
        <f>$E$32</f>
        <v>189.63000000000002</v>
      </c>
      <c r="AQ32" s="16">
        <f t="shared" si="40"/>
        <v>1137.7800000000002</v>
      </c>
    </row>
    <row r="33" spans="1:43" x14ac:dyDescent="0.3">
      <c r="A33" t="s">
        <v>102</v>
      </c>
      <c r="B33" s="38" t="s">
        <v>89</v>
      </c>
      <c r="C33" t="s">
        <v>102</v>
      </c>
      <c r="D33" s="95">
        <v>0.02</v>
      </c>
      <c r="E33" s="32">
        <f t="shared" si="37"/>
        <v>54.18</v>
      </c>
      <c r="F33" s="15">
        <v>30.657500000000002</v>
      </c>
      <c r="G33" s="15">
        <f>$E$33</f>
        <v>54.18</v>
      </c>
      <c r="H33" s="15">
        <f>$E$33</f>
        <v>54.18</v>
      </c>
      <c r="I33" s="15">
        <f t="shared" ref="I33:P33" si="47">$E$33</f>
        <v>54.18</v>
      </c>
      <c r="J33" s="15">
        <f t="shared" si="47"/>
        <v>54.18</v>
      </c>
      <c r="K33" s="15">
        <f t="shared" si="47"/>
        <v>54.18</v>
      </c>
      <c r="L33" s="15">
        <f t="shared" si="47"/>
        <v>54.18</v>
      </c>
      <c r="M33" s="15">
        <f t="shared" si="47"/>
        <v>54.18</v>
      </c>
      <c r="N33" s="15">
        <f t="shared" si="47"/>
        <v>54.18</v>
      </c>
      <c r="O33" s="15">
        <f t="shared" si="47"/>
        <v>54.18</v>
      </c>
      <c r="P33" s="15">
        <f t="shared" si="47"/>
        <v>54.18</v>
      </c>
      <c r="Q33" s="16">
        <f t="shared" si="38"/>
        <v>626.63749999999993</v>
      </c>
      <c r="R33" s="15">
        <f>P33</f>
        <v>54.18</v>
      </c>
      <c r="S33" s="15">
        <f>R33</f>
        <v>54.18</v>
      </c>
      <c r="T33" s="15">
        <f t="shared" ref="T33:AC34" si="48">S33</f>
        <v>54.18</v>
      </c>
      <c r="U33" s="15">
        <f t="shared" si="48"/>
        <v>54.18</v>
      </c>
      <c r="V33" s="15">
        <f t="shared" si="48"/>
        <v>54.18</v>
      </c>
      <c r="W33" s="15">
        <f t="shared" si="48"/>
        <v>54.18</v>
      </c>
      <c r="X33" s="15">
        <f t="shared" si="48"/>
        <v>54.18</v>
      </c>
      <c r="Y33" s="15">
        <f t="shared" si="48"/>
        <v>54.18</v>
      </c>
      <c r="Z33" s="15">
        <f t="shared" si="48"/>
        <v>54.18</v>
      </c>
      <c r="AA33" s="15">
        <f t="shared" si="48"/>
        <v>54.18</v>
      </c>
      <c r="AB33" s="15">
        <f t="shared" si="48"/>
        <v>54.18</v>
      </c>
      <c r="AC33" s="15">
        <f t="shared" si="48"/>
        <v>54.18</v>
      </c>
      <c r="AD33" s="16">
        <f t="shared" si="39"/>
        <v>650.15999999999985</v>
      </c>
      <c r="AE33" s="15">
        <f>AC33</f>
        <v>54.18</v>
      </c>
      <c r="AF33" s="15">
        <f>AE33</f>
        <v>54.18</v>
      </c>
      <c r="AG33" s="15">
        <f t="shared" ref="AG33:AP34" si="49">AF33</f>
        <v>54.18</v>
      </c>
      <c r="AH33" s="15">
        <f t="shared" si="49"/>
        <v>54.18</v>
      </c>
      <c r="AI33" s="15">
        <f t="shared" si="49"/>
        <v>54.18</v>
      </c>
      <c r="AJ33" s="15">
        <f t="shared" si="49"/>
        <v>54.18</v>
      </c>
      <c r="AK33" s="15">
        <f t="shared" si="49"/>
        <v>54.18</v>
      </c>
      <c r="AL33" s="15">
        <f t="shared" si="49"/>
        <v>54.18</v>
      </c>
      <c r="AM33" s="15">
        <f t="shared" si="49"/>
        <v>54.18</v>
      </c>
      <c r="AN33" s="15">
        <f t="shared" si="49"/>
        <v>54.18</v>
      </c>
      <c r="AO33" s="15">
        <f t="shared" si="49"/>
        <v>54.18</v>
      </c>
      <c r="AP33" s="15">
        <f t="shared" si="49"/>
        <v>54.18</v>
      </c>
      <c r="AQ33" s="16">
        <f t="shared" si="40"/>
        <v>650.15999999999985</v>
      </c>
    </row>
    <row r="34" spans="1:43" x14ac:dyDescent="0.3">
      <c r="A34" t="s">
        <v>103</v>
      </c>
      <c r="B34" s="38" t="s">
        <v>89</v>
      </c>
      <c r="C34" t="s">
        <v>103</v>
      </c>
      <c r="D34" s="95">
        <v>0.08</v>
      </c>
      <c r="E34" s="32">
        <f t="shared" si="37"/>
        <v>216.72</v>
      </c>
      <c r="F34" s="15">
        <v>133.73944444444444</v>
      </c>
      <c r="G34" s="15">
        <f>$E$34</f>
        <v>216.72</v>
      </c>
      <c r="H34" s="15">
        <f>$E$34</f>
        <v>216.72</v>
      </c>
      <c r="I34" s="15">
        <f t="shared" ref="I34:P34" si="50">$E$34</f>
        <v>216.72</v>
      </c>
      <c r="J34" s="15">
        <f t="shared" si="50"/>
        <v>216.72</v>
      </c>
      <c r="K34" s="15">
        <f t="shared" si="50"/>
        <v>216.72</v>
      </c>
      <c r="L34" s="15">
        <f t="shared" si="50"/>
        <v>216.72</v>
      </c>
      <c r="M34" s="15">
        <f t="shared" si="50"/>
        <v>216.72</v>
      </c>
      <c r="N34" s="15">
        <f t="shared" si="50"/>
        <v>216.72</v>
      </c>
      <c r="O34" s="15">
        <f t="shared" si="50"/>
        <v>216.72</v>
      </c>
      <c r="P34" s="15">
        <f t="shared" si="50"/>
        <v>216.72</v>
      </c>
      <c r="Q34" s="16">
        <f t="shared" si="38"/>
        <v>2517.659444444444</v>
      </c>
      <c r="R34" s="15">
        <f>P34</f>
        <v>216.72</v>
      </c>
      <c r="S34" s="15">
        <f>R34</f>
        <v>216.72</v>
      </c>
      <c r="T34" s="15">
        <f t="shared" si="48"/>
        <v>216.72</v>
      </c>
      <c r="U34" s="15">
        <f t="shared" si="48"/>
        <v>216.72</v>
      </c>
      <c r="V34" s="15">
        <f t="shared" si="48"/>
        <v>216.72</v>
      </c>
      <c r="W34" s="15">
        <f t="shared" si="48"/>
        <v>216.72</v>
      </c>
      <c r="X34" s="15">
        <f t="shared" si="48"/>
        <v>216.72</v>
      </c>
      <c r="Y34" s="15">
        <f t="shared" si="48"/>
        <v>216.72</v>
      </c>
      <c r="Z34" s="15">
        <f t="shared" si="48"/>
        <v>216.72</v>
      </c>
      <c r="AA34" s="15">
        <f t="shared" si="48"/>
        <v>216.72</v>
      </c>
      <c r="AB34" s="15">
        <f t="shared" si="48"/>
        <v>216.72</v>
      </c>
      <c r="AC34" s="15">
        <f t="shared" si="48"/>
        <v>216.72</v>
      </c>
      <c r="AD34" s="16">
        <f t="shared" si="39"/>
        <v>2600.6399999999994</v>
      </c>
      <c r="AE34" s="15">
        <f>AC34</f>
        <v>216.72</v>
      </c>
      <c r="AF34" s="15">
        <f>AE34</f>
        <v>216.72</v>
      </c>
      <c r="AG34" s="15">
        <f t="shared" si="49"/>
        <v>216.72</v>
      </c>
      <c r="AH34" s="15">
        <f t="shared" si="49"/>
        <v>216.72</v>
      </c>
      <c r="AI34" s="15">
        <f t="shared" si="49"/>
        <v>216.72</v>
      </c>
      <c r="AJ34" s="15">
        <f t="shared" si="49"/>
        <v>216.72</v>
      </c>
      <c r="AK34" s="15">
        <f t="shared" si="49"/>
        <v>216.72</v>
      </c>
      <c r="AL34" s="15">
        <f t="shared" si="49"/>
        <v>216.72</v>
      </c>
      <c r="AM34" s="15">
        <f t="shared" si="49"/>
        <v>216.72</v>
      </c>
      <c r="AN34" s="15">
        <f t="shared" si="49"/>
        <v>216.72</v>
      </c>
      <c r="AO34" s="15">
        <f t="shared" si="49"/>
        <v>216.72</v>
      </c>
      <c r="AP34" s="15">
        <f t="shared" si="49"/>
        <v>216.72</v>
      </c>
      <c r="AQ34" s="16">
        <f t="shared" si="40"/>
        <v>2600.6399999999994</v>
      </c>
    </row>
    <row r="35" spans="1:43" x14ac:dyDescent="0.3">
      <c r="A35" t="s">
        <v>104</v>
      </c>
      <c r="B35" s="38" t="s">
        <v>89</v>
      </c>
      <c r="C35" t="s">
        <v>104</v>
      </c>
      <c r="D35" s="95">
        <v>0.17</v>
      </c>
      <c r="E35" s="32">
        <f t="shared" si="37"/>
        <v>460.53000000000003</v>
      </c>
      <c r="F35" s="15">
        <v>270.33569444444441</v>
      </c>
      <c r="G35" s="15">
        <f>$E$35</f>
        <v>460.53000000000003</v>
      </c>
      <c r="H35" s="15">
        <f>$E$35</f>
        <v>460.53000000000003</v>
      </c>
      <c r="I35" s="15">
        <f t="shared" ref="I35:P35" si="51">$E$35</f>
        <v>460.53000000000003</v>
      </c>
      <c r="J35" s="15">
        <f t="shared" si="51"/>
        <v>460.53000000000003</v>
      </c>
      <c r="K35" s="15">
        <f t="shared" si="51"/>
        <v>460.53000000000003</v>
      </c>
      <c r="L35" s="15">
        <f t="shared" si="51"/>
        <v>460.53000000000003</v>
      </c>
      <c r="M35" s="15">
        <f t="shared" si="51"/>
        <v>460.53000000000003</v>
      </c>
      <c r="N35" s="15">
        <f t="shared" si="51"/>
        <v>460.53000000000003</v>
      </c>
      <c r="O35" s="15">
        <f t="shared" si="51"/>
        <v>460.53000000000003</v>
      </c>
      <c r="P35" s="15">
        <f t="shared" si="51"/>
        <v>460.53000000000003</v>
      </c>
      <c r="Q35" s="16">
        <f t="shared" si="38"/>
        <v>5336.1656944444449</v>
      </c>
      <c r="R35" s="15">
        <f t="shared" ref="R35:R43" si="52">P35</f>
        <v>460.53000000000003</v>
      </c>
      <c r="S35" s="15">
        <f t="shared" ref="S35:AC43" si="53">R35</f>
        <v>460.53000000000003</v>
      </c>
      <c r="T35" s="15">
        <f t="shared" si="53"/>
        <v>460.53000000000003</v>
      </c>
      <c r="U35" s="15">
        <f t="shared" si="53"/>
        <v>460.53000000000003</v>
      </c>
      <c r="V35" s="15">
        <f t="shared" si="53"/>
        <v>460.53000000000003</v>
      </c>
      <c r="W35" s="15">
        <f t="shared" si="53"/>
        <v>460.53000000000003</v>
      </c>
      <c r="X35" s="15">
        <f t="shared" si="53"/>
        <v>460.53000000000003</v>
      </c>
      <c r="Y35" s="15">
        <f t="shared" si="53"/>
        <v>460.53000000000003</v>
      </c>
      <c r="Z35" s="15">
        <f t="shared" si="53"/>
        <v>460.53000000000003</v>
      </c>
      <c r="AA35" s="15">
        <f t="shared" si="53"/>
        <v>460.53000000000003</v>
      </c>
      <c r="AB35" s="15">
        <f t="shared" si="53"/>
        <v>460.53000000000003</v>
      </c>
      <c r="AC35" s="15">
        <f t="shared" si="53"/>
        <v>460.53000000000003</v>
      </c>
      <c r="AD35" s="16">
        <f t="shared" si="39"/>
        <v>5526.36</v>
      </c>
      <c r="AE35" s="15">
        <f t="shared" ref="AE35:AE43" si="54">AC35</f>
        <v>460.53000000000003</v>
      </c>
      <c r="AF35" s="15">
        <f t="shared" ref="AF35:AP43" si="55">AE35</f>
        <v>460.53000000000003</v>
      </c>
      <c r="AG35" s="15">
        <f t="shared" si="55"/>
        <v>460.53000000000003</v>
      </c>
      <c r="AH35" s="15">
        <f t="shared" si="55"/>
        <v>460.53000000000003</v>
      </c>
      <c r="AI35" s="15">
        <f t="shared" si="55"/>
        <v>460.53000000000003</v>
      </c>
      <c r="AJ35" s="15">
        <f t="shared" si="55"/>
        <v>460.53000000000003</v>
      </c>
      <c r="AK35" s="15">
        <f t="shared" si="55"/>
        <v>460.53000000000003</v>
      </c>
      <c r="AL35" s="15">
        <f t="shared" si="55"/>
        <v>460.53000000000003</v>
      </c>
      <c r="AM35" s="15">
        <f t="shared" si="55"/>
        <v>460.53000000000003</v>
      </c>
      <c r="AN35" s="15">
        <f t="shared" si="55"/>
        <v>460.53000000000003</v>
      </c>
      <c r="AO35" s="15">
        <f t="shared" si="55"/>
        <v>460.53000000000003</v>
      </c>
      <c r="AP35" s="15">
        <f t="shared" si="55"/>
        <v>460.53000000000003</v>
      </c>
      <c r="AQ35" s="16">
        <f t="shared" si="40"/>
        <v>5526.36</v>
      </c>
    </row>
    <row r="36" spans="1:43" x14ac:dyDescent="0.3">
      <c r="A36" t="s">
        <v>105</v>
      </c>
      <c r="B36" s="38" t="s">
        <v>101</v>
      </c>
      <c r="C36" s="94" t="s">
        <v>105</v>
      </c>
      <c r="D36" s="95">
        <v>0.19</v>
      </c>
      <c r="E36" s="32">
        <f t="shared" si="37"/>
        <v>514.71</v>
      </c>
      <c r="F36" s="15">
        <v>302.38833333333332</v>
      </c>
      <c r="G36" s="15">
        <f>$E$36</f>
        <v>514.71</v>
      </c>
      <c r="H36" s="15">
        <f>$E$36</f>
        <v>514.71</v>
      </c>
      <c r="I36" s="15">
        <f t="shared" ref="I36:P36" si="56">$E$36</f>
        <v>514.71</v>
      </c>
      <c r="J36" s="15">
        <f t="shared" si="56"/>
        <v>514.71</v>
      </c>
      <c r="K36" s="15">
        <f t="shared" si="56"/>
        <v>514.71</v>
      </c>
      <c r="L36" s="15">
        <f t="shared" si="56"/>
        <v>514.71</v>
      </c>
      <c r="M36" s="15">
        <f t="shared" si="56"/>
        <v>514.71</v>
      </c>
      <c r="N36" s="15">
        <f t="shared" si="56"/>
        <v>514.71</v>
      </c>
      <c r="O36" s="15">
        <f t="shared" si="56"/>
        <v>514.71</v>
      </c>
      <c r="P36" s="15">
        <f t="shared" si="56"/>
        <v>514.71</v>
      </c>
      <c r="Q36" s="16">
        <f t="shared" si="38"/>
        <v>5964.1983333333337</v>
      </c>
      <c r="R36" s="15">
        <f t="shared" si="52"/>
        <v>514.71</v>
      </c>
      <c r="S36" s="15">
        <f t="shared" si="53"/>
        <v>514.71</v>
      </c>
      <c r="T36" s="15">
        <f t="shared" si="53"/>
        <v>514.71</v>
      </c>
      <c r="U36" s="15">
        <f t="shared" si="53"/>
        <v>514.71</v>
      </c>
      <c r="V36" s="15">
        <f t="shared" si="53"/>
        <v>514.71</v>
      </c>
      <c r="W36" s="15">
        <f t="shared" si="53"/>
        <v>514.71</v>
      </c>
      <c r="X36" s="15">
        <f t="shared" si="53"/>
        <v>514.71</v>
      </c>
      <c r="Y36" s="15">
        <f t="shared" si="53"/>
        <v>514.71</v>
      </c>
      <c r="Z36" s="15">
        <f t="shared" si="53"/>
        <v>514.71</v>
      </c>
      <c r="AA36" s="15">
        <f t="shared" si="53"/>
        <v>514.71</v>
      </c>
      <c r="AB36" s="15">
        <f t="shared" si="53"/>
        <v>514.71</v>
      </c>
      <c r="AC36" s="15">
        <f t="shared" si="53"/>
        <v>514.71</v>
      </c>
      <c r="AD36" s="16">
        <f t="shared" si="39"/>
        <v>6176.52</v>
      </c>
      <c r="AE36" s="15">
        <f t="shared" si="54"/>
        <v>514.71</v>
      </c>
      <c r="AF36" s="15">
        <f t="shared" si="55"/>
        <v>514.71</v>
      </c>
      <c r="AG36" s="15">
        <f t="shared" si="55"/>
        <v>514.71</v>
      </c>
      <c r="AH36" s="15">
        <f t="shared" si="55"/>
        <v>514.71</v>
      </c>
      <c r="AI36" s="15">
        <f t="shared" si="55"/>
        <v>514.71</v>
      </c>
      <c r="AJ36" s="15">
        <f t="shared" si="55"/>
        <v>514.71</v>
      </c>
      <c r="AK36" s="15">
        <f t="shared" si="55"/>
        <v>514.71</v>
      </c>
      <c r="AL36" s="15">
        <f t="shared" si="55"/>
        <v>514.71</v>
      </c>
      <c r="AM36" s="15">
        <f t="shared" si="55"/>
        <v>514.71</v>
      </c>
      <c r="AN36" s="15">
        <f t="shared" si="55"/>
        <v>514.71</v>
      </c>
      <c r="AO36" s="15">
        <f t="shared" si="55"/>
        <v>514.71</v>
      </c>
      <c r="AP36" s="15">
        <f t="shared" si="55"/>
        <v>514.71</v>
      </c>
      <c r="AQ36" s="16">
        <f t="shared" si="40"/>
        <v>6176.52</v>
      </c>
    </row>
    <row r="37" spans="1:43" x14ac:dyDescent="0.3">
      <c r="A37" t="s">
        <v>106</v>
      </c>
      <c r="B37" s="38" t="s">
        <v>89</v>
      </c>
      <c r="C37" t="s">
        <v>106</v>
      </c>
      <c r="D37" s="95">
        <v>0.03</v>
      </c>
      <c r="E37" s="32">
        <f t="shared" si="37"/>
        <v>81.27</v>
      </c>
      <c r="F37" s="15">
        <v>46.12861111111112</v>
      </c>
      <c r="G37" s="15">
        <f>$E$37</f>
        <v>81.27</v>
      </c>
      <c r="H37" s="15">
        <f>$E$37</f>
        <v>81.27</v>
      </c>
      <c r="I37" s="15">
        <f t="shared" ref="I37:P37" si="57">$E$37</f>
        <v>81.27</v>
      </c>
      <c r="J37" s="15">
        <f t="shared" si="57"/>
        <v>81.27</v>
      </c>
      <c r="K37" s="15">
        <f t="shared" si="57"/>
        <v>81.27</v>
      </c>
      <c r="L37" s="15">
        <f t="shared" si="57"/>
        <v>81.27</v>
      </c>
      <c r="M37" s="15">
        <f t="shared" si="57"/>
        <v>81.27</v>
      </c>
      <c r="N37" s="15">
        <f t="shared" si="57"/>
        <v>81.27</v>
      </c>
      <c r="O37" s="15">
        <f t="shared" si="57"/>
        <v>81.27</v>
      </c>
      <c r="P37" s="15">
        <f t="shared" si="57"/>
        <v>81.27</v>
      </c>
      <c r="Q37" s="16">
        <f t="shared" si="38"/>
        <v>940.09861111111093</v>
      </c>
      <c r="R37" s="15">
        <f t="shared" si="52"/>
        <v>81.27</v>
      </c>
      <c r="S37" s="15">
        <f t="shared" si="53"/>
        <v>81.27</v>
      </c>
      <c r="T37" s="15">
        <f t="shared" si="53"/>
        <v>81.27</v>
      </c>
      <c r="U37" s="15">
        <f t="shared" si="53"/>
        <v>81.27</v>
      </c>
      <c r="V37" s="15">
        <f t="shared" si="53"/>
        <v>81.27</v>
      </c>
      <c r="W37" s="15">
        <f t="shared" si="53"/>
        <v>81.27</v>
      </c>
      <c r="X37" s="15">
        <f t="shared" si="53"/>
        <v>81.27</v>
      </c>
      <c r="Y37" s="15">
        <f t="shared" si="53"/>
        <v>81.27</v>
      </c>
      <c r="Z37" s="15">
        <f t="shared" si="53"/>
        <v>81.27</v>
      </c>
      <c r="AA37" s="15">
        <f t="shared" si="53"/>
        <v>81.27</v>
      </c>
      <c r="AB37" s="15">
        <f t="shared" si="53"/>
        <v>81.27</v>
      </c>
      <c r="AC37" s="15">
        <f t="shared" si="53"/>
        <v>81.27</v>
      </c>
      <c r="AD37" s="16">
        <f t="shared" si="39"/>
        <v>975.2399999999999</v>
      </c>
      <c r="AE37" s="15">
        <f t="shared" si="54"/>
        <v>81.27</v>
      </c>
      <c r="AF37" s="15">
        <f t="shared" si="55"/>
        <v>81.27</v>
      </c>
      <c r="AG37" s="15">
        <f t="shared" si="55"/>
        <v>81.27</v>
      </c>
      <c r="AH37" s="15">
        <f t="shared" si="55"/>
        <v>81.27</v>
      </c>
      <c r="AI37" s="15">
        <f t="shared" si="55"/>
        <v>81.27</v>
      </c>
      <c r="AJ37" s="15">
        <f t="shared" si="55"/>
        <v>81.27</v>
      </c>
      <c r="AK37" s="15">
        <f t="shared" si="55"/>
        <v>81.27</v>
      </c>
      <c r="AL37" s="15">
        <f t="shared" si="55"/>
        <v>81.27</v>
      </c>
      <c r="AM37" s="15">
        <f t="shared" si="55"/>
        <v>81.27</v>
      </c>
      <c r="AN37" s="15">
        <f t="shared" si="55"/>
        <v>81.27</v>
      </c>
      <c r="AO37" s="15">
        <f t="shared" si="55"/>
        <v>81.27</v>
      </c>
      <c r="AP37" s="15">
        <f t="shared" si="55"/>
        <v>81.27</v>
      </c>
      <c r="AQ37" s="16">
        <f t="shared" si="40"/>
        <v>975.2399999999999</v>
      </c>
    </row>
    <row r="38" spans="1:43" x14ac:dyDescent="0.3">
      <c r="A38" t="s">
        <v>107</v>
      </c>
      <c r="B38" s="38" t="s">
        <v>89</v>
      </c>
      <c r="C38" t="s">
        <v>107</v>
      </c>
      <c r="D38" s="95">
        <v>0.01</v>
      </c>
      <c r="E38" s="32">
        <f t="shared" si="37"/>
        <v>27.09</v>
      </c>
      <c r="F38" s="15">
        <v>13.766666666666667</v>
      </c>
      <c r="G38" s="15">
        <f>$E$38</f>
        <v>27.09</v>
      </c>
      <c r="H38" s="15">
        <f>$E$38</f>
        <v>27.09</v>
      </c>
      <c r="I38" s="15">
        <f t="shared" ref="I38:P38" si="58">$E$38</f>
        <v>27.09</v>
      </c>
      <c r="J38" s="15">
        <f t="shared" si="58"/>
        <v>27.09</v>
      </c>
      <c r="K38" s="15">
        <f t="shared" si="58"/>
        <v>27.09</v>
      </c>
      <c r="L38" s="15">
        <f t="shared" si="58"/>
        <v>27.09</v>
      </c>
      <c r="M38" s="15">
        <f t="shared" si="58"/>
        <v>27.09</v>
      </c>
      <c r="N38" s="15">
        <f t="shared" si="58"/>
        <v>27.09</v>
      </c>
      <c r="O38" s="15">
        <f t="shared" si="58"/>
        <v>27.09</v>
      </c>
      <c r="P38" s="15">
        <f t="shared" si="58"/>
        <v>27.09</v>
      </c>
      <c r="Q38" s="16">
        <f t="shared" si="38"/>
        <v>311.7566666666666</v>
      </c>
      <c r="R38" s="15">
        <f t="shared" si="52"/>
        <v>27.09</v>
      </c>
      <c r="S38" s="15">
        <f t="shared" si="53"/>
        <v>27.09</v>
      </c>
      <c r="T38" s="15">
        <f t="shared" si="53"/>
        <v>27.09</v>
      </c>
      <c r="U38" s="15">
        <f t="shared" si="53"/>
        <v>27.09</v>
      </c>
      <c r="V38" s="15">
        <f t="shared" si="53"/>
        <v>27.09</v>
      </c>
      <c r="W38" s="15">
        <f t="shared" si="53"/>
        <v>27.09</v>
      </c>
      <c r="X38" s="15">
        <f t="shared" si="53"/>
        <v>27.09</v>
      </c>
      <c r="Y38" s="15">
        <f t="shared" si="53"/>
        <v>27.09</v>
      </c>
      <c r="Z38" s="15">
        <f t="shared" si="53"/>
        <v>27.09</v>
      </c>
      <c r="AA38" s="15">
        <f t="shared" si="53"/>
        <v>27.09</v>
      </c>
      <c r="AB38" s="15">
        <f t="shared" si="53"/>
        <v>27.09</v>
      </c>
      <c r="AC38" s="15">
        <f t="shared" si="53"/>
        <v>27.09</v>
      </c>
      <c r="AD38" s="16">
        <f t="shared" si="39"/>
        <v>325.07999999999993</v>
      </c>
      <c r="AE38" s="15">
        <f t="shared" si="54"/>
        <v>27.09</v>
      </c>
      <c r="AF38" s="15">
        <f t="shared" si="55"/>
        <v>27.09</v>
      </c>
      <c r="AG38" s="15">
        <f t="shared" si="55"/>
        <v>27.09</v>
      </c>
      <c r="AH38" s="15">
        <f t="shared" si="55"/>
        <v>27.09</v>
      </c>
      <c r="AI38" s="15">
        <f t="shared" si="55"/>
        <v>27.09</v>
      </c>
      <c r="AJ38" s="15">
        <f t="shared" si="55"/>
        <v>27.09</v>
      </c>
      <c r="AK38" s="15">
        <f t="shared" si="55"/>
        <v>27.09</v>
      </c>
      <c r="AL38" s="15">
        <f t="shared" si="55"/>
        <v>27.09</v>
      </c>
      <c r="AM38" s="15">
        <f t="shared" si="55"/>
        <v>27.09</v>
      </c>
      <c r="AN38" s="15">
        <f t="shared" si="55"/>
        <v>27.09</v>
      </c>
      <c r="AO38" s="15">
        <f t="shared" si="55"/>
        <v>27.09</v>
      </c>
      <c r="AP38" s="15">
        <f t="shared" si="55"/>
        <v>27.09</v>
      </c>
      <c r="AQ38" s="16">
        <f t="shared" si="40"/>
        <v>325.07999999999993</v>
      </c>
    </row>
    <row r="39" spans="1:43" x14ac:dyDescent="0.3">
      <c r="A39" t="s">
        <v>108</v>
      </c>
      <c r="B39" s="38" t="s">
        <v>101</v>
      </c>
      <c r="C39" t="s">
        <v>108</v>
      </c>
      <c r="D39" s="95">
        <v>0.4</v>
      </c>
      <c r="E39" s="32">
        <f t="shared" si="37"/>
        <v>1083.6000000000001</v>
      </c>
      <c r="F39" s="15">
        <v>639.95875000000001</v>
      </c>
      <c r="G39" s="15">
        <f>$E$39</f>
        <v>1083.6000000000001</v>
      </c>
      <c r="H39" s="15">
        <f>$E$39</f>
        <v>1083.6000000000001</v>
      </c>
      <c r="I39" s="15">
        <f t="shared" ref="I39:P39" si="59">$E$39</f>
        <v>1083.6000000000001</v>
      </c>
      <c r="J39" s="15">
        <f t="shared" si="59"/>
        <v>1083.6000000000001</v>
      </c>
      <c r="K39" s="15">
        <f t="shared" si="59"/>
        <v>1083.6000000000001</v>
      </c>
      <c r="L39" s="15">
        <f t="shared" si="59"/>
        <v>1083.6000000000001</v>
      </c>
      <c r="M39" s="15">
        <f t="shared" si="59"/>
        <v>1083.6000000000001</v>
      </c>
      <c r="N39" s="15">
        <f t="shared" si="59"/>
        <v>1083.6000000000001</v>
      </c>
      <c r="O39" s="15">
        <f t="shared" si="59"/>
        <v>1083.6000000000001</v>
      </c>
      <c r="P39" s="15">
        <f t="shared" si="59"/>
        <v>1083.6000000000001</v>
      </c>
      <c r="Q39" s="16">
        <f t="shared" si="38"/>
        <v>12559.558750000004</v>
      </c>
      <c r="R39" s="15">
        <f t="shared" si="52"/>
        <v>1083.6000000000001</v>
      </c>
      <c r="S39" s="15">
        <f t="shared" si="53"/>
        <v>1083.6000000000001</v>
      </c>
      <c r="T39" s="15">
        <f t="shared" si="53"/>
        <v>1083.6000000000001</v>
      </c>
      <c r="U39" s="15">
        <f t="shared" si="53"/>
        <v>1083.6000000000001</v>
      </c>
      <c r="V39" s="15">
        <f t="shared" si="53"/>
        <v>1083.6000000000001</v>
      </c>
      <c r="W39" s="15">
        <f t="shared" si="53"/>
        <v>1083.6000000000001</v>
      </c>
      <c r="X39" s="15">
        <f t="shared" si="53"/>
        <v>1083.6000000000001</v>
      </c>
      <c r="Y39" s="15">
        <f t="shared" si="53"/>
        <v>1083.6000000000001</v>
      </c>
      <c r="Z39" s="15">
        <f t="shared" si="53"/>
        <v>1083.6000000000001</v>
      </c>
      <c r="AA39" s="15">
        <f t="shared" si="53"/>
        <v>1083.6000000000001</v>
      </c>
      <c r="AB39" s="15">
        <f t="shared" si="53"/>
        <v>1083.6000000000001</v>
      </c>
      <c r="AC39" s="15">
        <f t="shared" si="53"/>
        <v>1083.6000000000001</v>
      </c>
      <c r="AD39" s="16">
        <f t="shared" si="39"/>
        <v>13003.200000000003</v>
      </c>
      <c r="AE39" s="15">
        <f t="shared" si="54"/>
        <v>1083.6000000000001</v>
      </c>
      <c r="AF39" s="15">
        <f t="shared" si="55"/>
        <v>1083.6000000000001</v>
      </c>
      <c r="AG39" s="15">
        <f t="shared" si="55"/>
        <v>1083.6000000000001</v>
      </c>
      <c r="AH39" s="15">
        <f t="shared" si="55"/>
        <v>1083.6000000000001</v>
      </c>
      <c r="AI39" s="15">
        <f t="shared" si="55"/>
        <v>1083.6000000000001</v>
      </c>
      <c r="AJ39" s="15">
        <f t="shared" si="55"/>
        <v>1083.6000000000001</v>
      </c>
      <c r="AK39" s="15">
        <f t="shared" si="55"/>
        <v>1083.6000000000001</v>
      </c>
      <c r="AL39" s="15">
        <f t="shared" si="55"/>
        <v>1083.6000000000001</v>
      </c>
      <c r="AM39" s="15">
        <f t="shared" si="55"/>
        <v>1083.6000000000001</v>
      </c>
      <c r="AN39" s="15">
        <f t="shared" si="55"/>
        <v>1083.6000000000001</v>
      </c>
      <c r="AO39" s="15">
        <f t="shared" si="55"/>
        <v>1083.6000000000001</v>
      </c>
      <c r="AP39" s="15">
        <f t="shared" si="55"/>
        <v>1083.6000000000001</v>
      </c>
      <c r="AQ39" s="16">
        <f t="shared" si="40"/>
        <v>13003.200000000003</v>
      </c>
    </row>
    <row r="40" spans="1:43" x14ac:dyDescent="0.3">
      <c r="A40" t="s">
        <v>109</v>
      </c>
      <c r="B40" s="38" t="s">
        <v>101</v>
      </c>
      <c r="C40" t="s">
        <v>109</v>
      </c>
      <c r="D40" s="95"/>
      <c r="E40" s="32">
        <f t="shared" si="37"/>
        <v>0</v>
      </c>
      <c r="F40" s="15">
        <v>0</v>
      </c>
      <c r="G40" s="15">
        <f>$E$40</f>
        <v>0</v>
      </c>
      <c r="H40" s="15">
        <f>$E$40</f>
        <v>0</v>
      </c>
      <c r="I40" s="15">
        <f t="shared" ref="I40:P40" si="60">$E$40</f>
        <v>0</v>
      </c>
      <c r="J40" s="15">
        <f t="shared" si="60"/>
        <v>0</v>
      </c>
      <c r="K40" s="15">
        <f t="shared" si="60"/>
        <v>0</v>
      </c>
      <c r="L40" s="15">
        <f t="shared" si="60"/>
        <v>0</v>
      </c>
      <c r="M40" s="15">
        <f t="shared" si="60"/>
        <v>0</v>
      </c>
      <c r="N40" s="15">
        <f t="shared" si="60"/>
        <v>0</v>
      </c>
      <c r="O40" s="15">
        <f t="shared" si="60"/>
        <v>0</v>
      </c>
      <c r="P40" s="15">
        <f t="shared" si="60"/>
        <v>0</v>
      </c>
      <c r="Q40" s="16">
        <f t="shared" si="38"/>
        <v>0</v>
      </c>
      <c r="R40" s="15">
        <f t="shared" si="52"/>
        <v>0</v>
      </c>
      <c r="S40" s="15">
        <f t="shared" si="53"/>
        <v>0</v>
      </c>
      <c r="T40" s="15">
        <f t="shared" si="53"/>
        <v>0</v>
      </c>
      <c r="U40" s="15">
        <f t="shared" si="53"/>
        <v>0</v>
      </c>
      <c r="V40" s="15">
        <f t="shared" si="53"/>
        <v>0</v>
      </c>
      <c r="W40" s="15">
        <f t="shared" si="53"/>
        <v>0</v>
      </c>
      <c r="X40" s="15">
        <f t="shared" si="53"/>
        <v>0</v>
      </c>
      <c r="Y40" s="15">
        <f t="shared" si="53"/>
        <v>0</v>
      </c>
      <c r="Z40" s="15">
        <f t="shared" si="53"/>
        <v>0</v>
      </c>
      <c r="AA40" s="15">
        <f t="shared" si="53"/>
        <v>0</v>
      </c>
      <c r="AB40" s="15">
        <f t="shared" si="53"/>
        <v>0</v>
      </c>
      <c r="AC40" s="15">
        <f t="shared" si="53"/>
        <v>0</v>
      </c>
      <c r="AD40" s="16">
        <f t="shared" si="39"/>
        <v>0</v>
      </c>
      <c r="AE40" s="15">
        <f t="shared" si="54"/>
        <v>0</v>
      </c>
      <c r="AF40" s="15">
        <f t="shared" si="55"/>
        <v>0</v>
      </c>
      <c r="AG40" s="15">
        <f t="shared" si="55"/>
        <v>0</v>
      </c>
      <c r="AH40" s="15">
        <f t="shared" si="55"/>
        <v>0</v>
      </c>
      <c r="AI40" s="15">
        <f t="shared" si="55"/>
        <v>0</v>
      </c>
      <c r="AJ40" s="15">
        <f t="shared" si="55"/>
        <v>0</v>
      </c>
      <c r="AK40" s="15">
        <f t="shared" si="55"/>
        <v>0</v>
      </c>
      <c r="AL40" s="15">
        <f t="shared" si="55"/>
        <v>0</v>
      </c>
      <c r="AM40" s="15">
        <f t="shared" si="55"/>
        <v>0</v>
      </c>
      <c r="AN40" s="15">
        <f t="shared" si="55"/>
        <v>0</v>
      </c>
      <c r="AO40" s="15">
        <f t="shared" si="55"/>
        <v>0</v>
      </c>
      <c r="AP40" s="15">
        <f t="shared" si="55"/>
        <v>0</v>
      </c>
      <c r="AQ40" s="16">
        <f t="shared" si="40"/>
        <v>0</v>
      </c>
    </row>
    <row r="41" spans="1:43" x14ac:dyDescent="0.3">
      <c r="A41" t="s">
        <v>110</v>
      </c>
      <c r="B41" s="38" t="s">
        <v>89</v>
      </c>
      <c r="C41" t="s">
        <v>110</v>
      </c>
      <c r="D41" s="95">
        <v>0.66</v>
      </c>
      <c r="E41" s="32">
        <f t="shared" si="37"/>
        <v>1787.94</v>
      </c>
      <c r="F41" s="15">
        <v>0.66138888888888892</v>
      </c>
      <c r="G41" s="15">
        <f>$E$41</f>
        <v>1787.94</v>
      </c>
      <c r="H41" s="15">
        <f>$E$41</f>
        <v>1787.94</v>
      </c>
      <c r="I41" s="15">
        <f t="shared" ref="I41:P41" si="61">$E$41</f>
        <v>1787.94</v>
      </c>
      <c r="J41" s="15">
        <f t="shared" si="61"/>
        <v>1787.94</v>
      </c>
      <c r="K41" s="15">
        <f t="shared" si="61"/>
        <v>1787.94</v>
      </c>
      <c r="L41" s="15">
        <f t="shared" si="61"/>
        <v>1787.94</v>
      </c>
      <c r="M41" s="15">
        <f t="shared" si="61"/>
        <v>1787.94</v>
      </c>
      <c r="N41" s="15">
        <f t="shared" si="61"/>
        <v>1787.94</v>
      </c>
      <c r="O41" s="15">
        <f t="shared" si="61"/>
        <v>1787.94</v>
      </c>
      <c r="P41" s="15">
        <f t="shared" si="61"/>
        <v>1787.94</v>
      </c>
      <c r="Q41" s="16">
        <f t="shared" si="38"/>
        <v>19668.00138888889</v>
      </c>
      <c r="R41" s="15">
        <f t="shared" si="52"/>
        <v>1787.94</v>
      </c>
      <c r="S41" s="15">
        <f t="shared" si="53"/>
        <v>1787.94</v>
      </c>
      <c r="T41" s="15">
        <f t="shared" si="53"/>
        <v>1787.94</v>
      </c>
      <c r="U41" s="15">
        <f t="shared" si="53"/>
        <v>1787.94</v>
      </c>
      <c r="V41" s="15">
        <f t="shared" si="53"/>
        <v>1787.94</v>
      </c>
      <c r="W41" s="15">
        <f t="shared" si="53"/>
        <v>1787.94</v>
      </c>
      <c r="X41" s="15">
        <f t="shared" si="53"/>
        <v>1787.94</v>
      </c>
      <c r="Y41" s="15">
        <f t="shared" si="53"/>
        <v>1787.94</v>
      </c>
      <c r="Z41" s="15">
        <f t="shared" si="53"/>
        <v>1787.94</v>
      </c>
      <c r="AA41" s="15">
        <f t="shared" si="53"/>
        <v>1787.94</v>
      </c>
      <c r="AB41" s="15">
        <f t="shared" si="53"/>
        <v>1787.94</v>
      </c>
      <c r="AC41" s="15">
        <f t="shared" si="53"/>
        <v>1787.94</v>
      </c>
      <c r="AD41" s="16">
        <f t="shared" si="39"/>
        <v>21455.279999999999</v>
      </c>
      <c r="AE41" s="15">
        <f t="shared" si="54"/>
        <v>1787.94</v>
      </c>
      <c r="AF41" s="15">
        <f t="shared" si="55"/>
        <v>1787.94</v>
      </c>
      <c r="AG41" s="15">
        <f t="shared" si="55"/>
        <v>1787.94</v>
      </c>
      <c r="AH41" s="15">
        <f t="shared" si="55"/>
        <v>1787.94</v>
      </c>
      <c r="AI41" s="15">
        <f t="shared" si="55"/>
        <v>1787.94</v>
      </c>
      <c r="AJ41" s="15">
        <f t="shared" si="55"/>
        <v>1787.94</v>
      </c>
      <c r="AK41" s="15">
        <f t="shared" si="55"/>
        <v>1787.94</v>
      </c>
      <c r="AL41" s="15">
        <f t="shared" si="55"/>
        <v>1787.94</v>
      </c>
      <c r="AM41" s="15">
        <f t="shared" si="55"/>
        <v>1787.94</v>
      </c>
      <c r="AN41" s="15">
        <f t="shared" si="55"/>
        <v>1787.94</v>
      </c>
      <c r="AO41" s="15">
        <f t="shared" si="55"/>
        <v>1787.94</v>
      </c>
      <c r="AP41" s="15">
        <f t="shared" si="55"/>
        <v>1787.94</v>
      </c>
      <c r="AQ41" s="16">
        <f t="shared" si="40"/>
        <v>21455.279999999999</v>
      </c>
    </row>
    <row r="42" spans="1:43" x14ac:dyDescent="0.3">
      <c r="A42" t="s">
        <v>111</v>
      </c>
      <c r="B42" s="38" t="s">
        <v>89</v>
      </c>
      <c r="C42" t="s">
        <v>111</v>
      </c>
      <c r="D42" s="95">
        <v>0.44</v>
      </c>
      <c r="E42" s="32">
        <f t="shared" si="37"/>
        <v>1191.96</v>
      </c>
      <c r="F42" s="15">
        <v>696.04986111111111</v>
      </c>
      <c r="G42" s="15">
        <f>$E$42</f>
        <v>1191.96</v>
      </c>
      <c r="H42" s="15">
        <f>$E$42</f>
        <v>1191.96</v>
      </c>
      <c r="I42" s="15">
        <f t="shared" ref="I42:P42" si="62">$E$42</f>
        <v>1191.96</v>
      </c>
      <c r="J42" s="15">
        <f t="shared" si="62"/>
        <v>1191.96</v>
      </c>
      <c r="K42" s="15">
        <f t="shared" si="62"/>
        <v>1191.96</v>
      </c>
      <c r="L42" s="15">
        <f t="shared" si="62"/>
        <v>1191.96</v>
      </c>
      <c r="M42" s="15">
        <f t="shared" si="62"/>
        <v>1191.96</v>
      </c>
      <c r="N42" s="15">
        <f t="shared" si="62"/>
        <v>1191.96</v>
      </c>
      <c r="O42" s="15">
        <f t="shared" si="62"/>
        <v>1191.96</v>
      </c>
      <c r="P42" s="15">
        <f t="shared" si="62"/>
        <v>1191.96</v>
      </c>
      <c r="Q42" s="16">
        <f t="shared" si="38"/>
        <v>13807.609861111108</v>
      </c>
      <c r="R42" s="15">
        <f t="shared" si="52"/>
        <v>1191.96</v>
      </c>
      <c r="S42" s="15">
        <f t="shared" si="53"/>
        <v>1191.96</v>
      </c>
      <c r="T42" s="15">
        <f t="shared" si="53"/>
        <v>1191.96</v>
      </c>
      <c r="U42" s="15">
        <f t="shared" si="53"/>
        <v>1191.96</v>
      </c>
      <c r="V42" s="15">
        <f t="shared" si="53"/>
        <v>1191.96</v>
      </c>
      <c r="W42" s="15">
        <f t="shared" si="53"/>
        <v>1191.96</v>
      </c>
      <c r="X42" s="15">
        <f t="shared" si="53"/>
        <v>1191.96</v>
      </c>
      <c r="Y42" s="15">
        <f t="shared" si="53"/>
        <v>1191.96</v>
      </c>
      <c r="Z42" s="15">
        <f t="shared" si="53"/>
        <v>1191.96</v>
      </c>
      <c r="AA42" s="15">
        <f t="shared" si="53"/>
        <v>1191.96</v>
      </c>
      <c r="AB42" s="15">
        <f t="shared" si="53"/>
        <v>1191.96</v>
      </c>
      <c r="AC42" s="15">
        <f t="shared" si="53"/>
        <v>1191.96</v>
      </c>
      <c r="AD42" s="16">
        <f t="shared" si="39"/>
        <v>14303.519999999997</v>
      </c>
      <c r="AE42" s="15">
        <f t="shared" si="54"/>
        <v>1191.96</v>
      </c>
      <c r="AF42" s="15">
        <f t="shared" si="55"/>
        <v>1191.96</v>
      </c>
      <c r="AG42" s="15">
        <f t="shared" si="55"/>
        <v>1191.96</v>
      </c>
      <c r="AH42" s="15">
        <f t="shared" si="55"/>
        <v>1191.96</v>
      </c>
      <c r="AI42" s="15">
        <f t="shared" si="55"/>
        <v>1191.96</v>
      </c>
      <c r="AJ42" s="15">
        <f t="shared" si="55"/>
        <v>1191.96</v>
      </c>
      <c r="AK42" s="15">
        <f t="shared" si="55"/>
        <v>1191.96</v>
      </c>
      <c r="AL42" s="15">
        <f t="shared" si="55"/>
        <v>1191.96</v>
      </c>
      <c r="AM42" s="15">
        <f t="shared" si="55"/>
        <v>1191.96</v>
      </c>
      <c r="AN42" s="15">
        <f t="shared" si="55"/>
        <v>1191.96</v>
      </c>
      <c r="AO42" s="15">
        <f t="shared" si="55"/>
        <v>1191.96</v>
      </c>
      <c r="AP42" s="15">
        <f t="shared" si="55"/>
        <v>1191.96</v>
      </c>
      <c r="AQ42" s="16">
        <f t="shared" si="40"/>
        <v>14303.519999999997</v>
      </c>
    </row>
    <row r="43" spans="1:43" x14ac:dyDescent="0.3">
      <c r="A43" t="s">
        <v>112</v>
      </c>
      <c r="B43" s="38" t="s">
        <v>89</v>
      </c>
      <c r="C43" t="s">
        <v>112</v>
      </c>
      <c r="D43" s="95">
        <v>0.18</v>
      </c>
      <c r="E43" s="32">
        <f t="shared" si="37"/>
        <v>487.62</v>
      </c>
      <c r="F43" s="15">
        <v>293.5531944444445</v>
      </c>
      <c r="G43" s="15">
        <f>$E$43</f>
        <v>487.62</v>
      </c>
      <c r="H43" s="15">
        <f>$E$43</f>
        <v>487.62</v>
      </c>
      <c r="I43" s="15">
        <f t="shared" ref="I43:P43" si="63">$E$43</f>
        <v>487.62</v>
      </c>
      <c r="J43" s="15">
        <f t="shared" si="63"/>
        <v>487.62</v>
      </c>
      <c r="K43" s="15">
        <f t="shared" si="63"/>
        <v>487.62</v>
      </c>
      <c r="L43" s="15">
        <f t="shared" si="63"/>
        <v>487.62</v>
      </c>
      <c r="M43" s="15">
        <f t="shared" si="63"/>
        <v>487.62</v>
      </c>
      <c r="N43" s="15">
        <f t="shared" si="63"/>
        <v>487.62</v>
      </c>
      <c r="O43" s="15">
        <f t="shared" si="63"/>
        <v>487.62</v>
      </c>
      <c r="P43" s="15">
        <f t="shared" si="63"/>
        <v>487.62</v>
      </c>
      <c r="Q43" s="16">
        <f t="shared" si="38"/>
        <v>5657.3731944444435</v>
      </c>
      <c r="R43" s="15">
        <f t="shared" si="52"/>
        <v>487.62</v>
      </c>
      <c r="S43" s="15">
        <f t="shared" si="53"/>
        <v>487.62</v>
      </c>
      <c r="T43" s="15">
        <f t="shared" si="53"/>
        <v>487.62</v>
      </c>
      <c r="U43" s="15">
        <f t="shared" si="53"/>
        <v>487.62</v>
      </c>
      <c r="V43" s="15">
        <f t="shared" si="53"/>
        <v>487.62</v>
      </c>
      <c r="W43" s="15">
        <f t="shared" si="53"/>
        <v>487.62</v>
      </c>
      <c r="X43" s="15">
        <f t="shared" si="53"/>
        <v>487.62</v>
      </c>
      <c r="Y43" s="15">
        <f t="shared" si="53"/>
        <v>487.62</v>
      </c>
      <c r="Z43" s="15">
        <f t="shared" si="53"/>
        <v>487.62</v>
      </c>
      <c r="AA43" s="15">
        <f t="shared" si="53"/>
        <v>487.62</v>
      </c>
      <c r="AB43" s="15">
        <f t="shared" si="53"/>
        <v>487.62</v>
      </c>
      <c r="AC43" s="15">
        <f t="shared" si="53"/>
        <v>487.62</v>
      </c>
      <c r="AD43" s="16">
        <f t="shared" si="39"/>
        <v>5851.44</v>
      </c>
      <c r="AE43" s="15">
        <f t="shared" si="54"/>
        <v>487.62</v>
      </c>
      <c r="AF43" s="15">
        <f t="shared" si="55"/>
        <v>487.62</v>
      </c>
      <c r="AG43" s="15">
        <f t="shared" si="55"/>
        <v>487.62</v>
      </c>
      <c r="AH43" s="15">
        <f t="shared" si="55"/>
        <v>487.62</v>
      </c>
      <c r="AI43" s="15">
        <f t="shared" si="55"/>
        <v>487.62</v>
      </c>
      <c r="AJ43" s="15">
        <f t="shared" si="55"/>
        <v>487.62</v>
      </c>
      <c r="AK43" s="15">
        <f t="shared" si="55"/>
        <v>487.62</v>
      </c>
      <c r="AL43" s="15">
        <f t="shared" si="55"/>
        <v>487.62</v>
      </c>
      <c r="AM43" s="15">
        <f t="shared" si="55"/>
        <v>487.62</v>
      </c>
      <c r="AN43" s="15">
        <f t="shared" si="55"/>
        <v>487.62</v>
      </c>
      <c r="AO43" s="15">
        <f t="shared" si="55"/>
        <v>487.62</v>
      </c>
      <c r="AP43" s="15">
        <f t="shared" si="55"/>
        <v>487.62</v>
      </c>
      <c r="AQ43" s="16">
        <f t="shared" si="40"/>
        <v>5851.44</v>
      </c>
    </row>
    <row r="44" spans="1:43" x14ac:dyDescent="0.3">
      <c r="A44" t="s">
        <v>113</v>
      </c>
      <c r="B44" s="38" t="s">
        <v>101</v>
      </c>
      <c r="C44" t="s">
        <v>113</v>
      </c>
      <c r="D44" s="95">
        <v>1.67</v>
      </c>
      <c r="E44" s="32">
        <f t="shared" si="37"/>
        <v>4524.03</v>
      </c>
      <c r="F44" s="47"/>
      <c r="G44" s="47">
        <f>$E$44</f>
        <v>4524.03</v>
      </c>
      <c r="H44" s="47"/>
      <c r="I44" s="47">
        <f>$E$44</f>
        <v>4524.03</v>
      </c>
      <c r="J44" s="47"/>
      <c r="K44" s="47">
        <f>$E$44</f>
        <v>4524.03</v>
      </c>
      <c r="L44" s="47"/>
      <c r="M44" s="47"/>
      <c r="N44" s="47">
        <f>$E$44</f>
        <v>4524.03</v>
      </c>
      <c r="O44" s="47"/>
      <c r="P44" s="47"/>
      <c r="Q44" s="16">
        <f t="shared" si="38"/>
        <v>22620.149999999998</v>
      </c>
      <c r="R44" s="47">
        <f>$E$44</f>
        <v>4524.03</v>
      </c>
      <c r="S44" s="47"/>
      <c r="T44" s="47">
        <f>$E$44</f>
        <v>4524.03</v>
      </c>
      <c r="U44" s="47"/>
      <c r="V44" s="47">
        <f>$E$44</f>
        <v>4524.03</v>
      </c>
      <c r="W44" s="47"/>
      <c r="X44" s="47">
        <f>$E$44</f>
        <v>4524.03</v>
      </c>
      <c r="Y44" s="47"/>
      <c r="Z44" s="47"/>
      <c r="AA44" s="47">
        <f>$E$44</f>
        <v>4524.03</v>
      </c>
      <c r="AB44" s="47"/>
      <c r="AC44" s="47"/>
      <c r="AD44" s="16">
        <f t="shared" si="39"/>
        <v>22620.149999999998</v>
      </c>
      <c r="AE44" s="47">
        <f>$E$44</f>
        <v>4524.03</v>
      </c>
      <c r="AF44" s="47"/>
      <c r="AG44" s="47">
        <f>$E$44</f>
        <v>4524.03</v>
      </c>
      <c r="AH44" s="47"/>
      <c r="AI44" s="47">
        <f>$E$44</f>
        <v>4524.03</v>
      </c>
      <c r="AJ44" s="47"/>
      <c r="AK44" s="47">
        <f>$E$44</f>
        <v>4524.03</v>
      </c>
      <c r="AL44" s="47"/>
      <c r="AM44" s="47"/>
      <c r="AN44" s="47">
        <f>$E$44</f>
        <v>4524.03</v>
      </c>
      <c r="AO44" s="47"/>
      <c r="AP44" s="47"/>
      <c r="AQ44" s="16">
        <f t="shared" si="40"/>
        <v>22620.149999999998</v>
      </c>
    </row>
    <row r="45" spans="1:43" x14ac:dyDescent="0.3">
      <c r="C45" s="24" t="s">
        <v>114</v>
      </c>
      <c r="D45" s="95"/>
      <c r="E45" s="25">
        <f t="shared" ref="E45:P45" si="64">SUM(E20,E22:E30,E32:E44)</f>
        <v>52475.138499999994</v>
      </c>
      <c r="F45" s="25">
        <f>SUM(F20,F22:F30,F32:F44)</f>
        <v>31092.27794444445</v>
      </c>
      <c r="G45" s="25">
        <f t="shared" si="64"/>
        <v>83138.179390000005</v>
      </c>
      <c r="H45" s="25">
        <f t="shared" si="64"/>
        <v>34841.558500000006</v>
      </c>
      <c r="I45" s="25">
        <f t="shared" si="64"/>
        <v>70703.869389999993</v>
      </c>
      <c r="J45" s="25">
        <f t="shared" si="64"/>
        <v>47275.868499999997</v>
      </c>
      <c r="K45" s="25">
        <f t="shared" si="64"/>
        <v>70703.869389999993</v>
      </c>
      <c r="L45" s="25">
        <f t="shared" si="64"/>
        <v>34841.558500000006</v>
      </c>
      <c r="M45" s="25">
        <f t="shared" si="64"/>
        <v>47004.968499999995</v>
      </c>
      <c r="N45" s="25">
        <f t="shared" si="64"/>
        <v>70703.869389999993</v>
      </c>
      <c r="O45" s="25">
        <f t="shared" si="64"/>
        <v>34841.558500000006</v>
      </c>
      <c r="P45" s="25">
        <f t="shared" si="64"/>
        <v>78614.149390000006</v>
      </c>
      <c r="Q45" s="25">
        <f>SUM(E45:P45)</f>
        <v>656236.86589444452</v>
      </c>
      <c r="R45" s="25">
        <f t="shared" ref="R45:AC45" si="65">SUM(R20,R22:R30,R32:R44)</f>
        <v>40097.018499999998</v>
      </c>
      <c r="S45" s="25">
        <f t="shared" si="65"/>
        <v>34570.658500000005</v>
      </c>
      <c r="T45" s="25">
        <f t="shared" si="65"/>
        <v>83138.179390000005</v>
      </c>
      <c r="U45" s="25">
        <f t="shared" si="65"/>
        <v>34841.558500000006</v>
      </c>
      <c r="V45" s="25">
        <f t="shared" si="65"/>
        <v>70703.869389999993</v>
      </c>
      <c r="W45" s="25">
        <f t="shared" si="65"/>
        <v>47275.868499999997</v>
      </c>
      <c r="X45" s="25">
        <f t="shared" si="65"/>
        <v>70703.869389999993</v>
      </c>
      <c r="Y45" s="25">
        <f t="shared" si="65"/>
        <v>34841.558500000006</v>
      </c>
      <c r="Z45" s="25">
        <f t="shared" si="65"/>
        <v>47004.968499999995</v>
      </c>
      <c r="AA45" s="25">
        <f t="shared" si="65"/>
        <v>70703.869389999993</v>
      </c>
      <c r="AB45" s="25">
        <f t="shared" si="65"/>
        <v>34841.558500000006</v>
      </c>
      <c r="AC45" s="25">
        <f t="shared" si="65"/>
        <v>47194.598499999993</v>
      </c>
      <c r="AD45" s="25">
        <f>SUM(R45:AC45)</f>
        <v>615917.57556000003</v>
      </c>
      <c r="AE45" s="25">
        <f t="shared" ref="AE45:AP45" si="66">SUM(AE20,AE22:AE30,AE32:AE44)</f>
        <v>82623.469390000013</v>
      </c>
      <c r="AF45" s="25">
        <f t="shared" si="66"/>
        <v>34570.658500000005</v>
      </c>
      <c r="AG45" s="25">
        <f t="shared" si="66"/>
        <v>83138.179390000005</v>
      </c>
      <c r="AH45" s="25">
        <f t="shared" si="66"/>
        <v>34841.558500000006</v>
      </c>
      <c r="AI45" s="25">
        <f t="shared" si="66"/>
        <v>70703.869389999993</v>
      </c>
      <c r="AJ45" s="25">
        <f t="shared" si="66"/>
        <v>47275.868499999997</v>
      </c>
      <c r="AK45" s="25">
        <f t="shared" si="66"/>
        <v>39284.318500000001</v>
      </c>
      <c r="AL45" s="25">
        <f t="shared" si="66"/>
        <v>66261.109389999998</v>
      </c>
      <c r="AM45" s="25">
        <f t="shared" si="66"/>
        <v>47004.968499999995</v>
      </c>
      <c r="AN45" s="25">
        <f t="shared" si="66"/>
        <v>70703.869389999993</v>
      </c>
      <c r="AO45" s="25">
        <f t="shared" si="66"/>
        <v>34841.558500000006</v>
      </c>
      <c r="AP45" s="25">
        <f t="shared" si="66"/>
        <v>47194.598499999993</v>
      </c>
      <c r="AQ45" s="26">
        <f>SUM(AQ20:AQ30,AQ32:AQ44)</f>
        <v>520962.61312624434</v>
      </c>
    </row>
    <row r="46" spans="1:43" hidden="1" x14ac:dyDescent="0.3">
      <c r="C46" s="27" t="s">
        <v>115</v>
      </c>
      <c r="D46" s="95">
        <f t="shared" si="11"/>
        <v>0</v>
      </c>
      <c r="E46" s="28">
        <f>IFERROR(E45/E$4,0)</f>
        <v>0</v>
      </c>
      <c r="F46" s="28">
        <f t="shared" ref="F46" si="67">IFERROR(F45/F$4,0)</f>
        <v>0</v>
      </c>
      <c r="G46" s="28">
        <f t="shared" ref="G46:N46" si="68">IFERROR(G45/I$4,0)</f>
        <v>0.61379239121447027</v>
      </c>
      <c r="H46" s="28">
        <f t="shared" si="68"/>
        <v>0</v>
      </c>
      <c r="I46" s="28">
        <f t="shared" si="68"/>
        <v>0.52199239121447027</v>
      </c>
      <c r="J46" s="28">
        <f t="shared" si="68"/>
        <v>0</v>
      </c>
      <c r="K46" s="28">
        <f t="shared" si="68"/>
        <v>0.52199239121447027</v>
      </c>
      <c r="L46" s="28">
        <f t="shared" si="68"/>
        <v>0</v>
      </c>
      <c r="M46" s="28">
        <f t="shared" si="68"/>
        <v>0</v>
      </c>
      <c r="N46" s="28">
        <f t="shared" si="68"/>
        <v>0.52199239121447027</v>
      </c>
      <c r="O46" s="28">
        <f>IFERROR(O45/#REF!,0)</f>
        <v>0</v>
      </c>
      <c r="P46" s="28">
        <f>IFERROR(P45/S$4,0)</f>
        <v>0.58039239121447028</v>
      </c>
      <c r="Q46" s="29">
        <f t="shared" ref="Q46" si="69">Q45/Q$4</f>
        <v>1.2112160684651985</v>
      </c>
      <c r="R46" s="28">
        <f>IFERROR(R45/R$4,0)</f>
        <v>0</v>
      </c>
      <c r="S46" s="28">
        <f>IFERROR(S45/#REF!,0)</f>
        <v>0</v>
      </c>
      <c r="T46" s="28">
        <f t="shared" ref="T46:AC46" si="70">IFERROR(T45/V$4,0)</f>
        <v>0.61379239121447027</v>
      </c>
      <c r="U46" s="28">
        <f t="shared" si="70"/>
        <v>0</v>
      </c>
      <c r="V46" s="28">
        <f t="shared" si="70"/>
        <v>0.52199239121447027</v>
      </c>
      <c r="W46" s="28">
        <f t="shared" si="70"/>
        <v>0</v>
      </c>
      <c r="X46" s="28">
        <f t="shared" si="70"/>
        <v>0.52199239121447027</v>
      </c>
      <c r="Y46" s="28">
        <f t="shared" si="70"/>
        <v>0</v>
      </c>
      <c r="Z46" s="28">
        <f t="shared" si="70"/>
        <v>0</v>
      </c>
      <c r="AA46" s="28">
        <f t="shared" si="70"/>
        <v>0.52199239121447027</v>
      </c>
      <c r="AB46" s="28">
        <f t="shared" si="70"/>
        <v>5.1445638242894068E-2</v>
      </c>
      <c r="AC46" s="28">
        <f t="shared" si="70"/>
        <v>0</v>
      </c>
      <c r="AD46" s="29" t="e">
        <f>AD45/#REF!</f>
        <v>#REF!</v>
      </c>
      <c r="AE46" s="28">
        <f>IFERROR(AE45/#REF!,0)</f>
        <v>0</v>
      </c>
      <c r="AF46" s="28">
        <f t="shared" ref="AF46:AP46" si="71">IFERROR(AF45/AF$4,0)</f>
        <v>0</v>
      </c>
      <c r="AG46" s="28">
        <f t="shared" si="71"/>
        <v>0.61379239121447027</v>
      </c>
      <c r="AH46" s="28">
        <f t="shared" si="71"/>
        <v>0</v>
      </c>
      <c r="AI46" s="28">
        <f t="shared" si="71"/>
        <v>0.52199239121447027</v>
      </c>
      <c r="AJ46" s="28">
        <f t="shared" si="71"/>
        <v>0</v>
      </c>
      <c r="AK46" s="28">
        <f t="shared" si="71"/>
        <v>0.29002819121447027</v>
      </c>
      <c r="AL46" s="28">
        <f t="shared" si="71"/>
        <v>0</v>
      </c>
      <c r="AM46" s="28">
        <f t="shared" si="71"/>
        <v>0</v>
      </c>
      <c r="AN46" s="28">
        <f t="shared" si="71"/>
        <v>0.52199239121447027</v>
      </c>
      <c r="AO46" s="28">
        <f t="shared" si="71"/>
        <v>0</v>
      </c>
      <c r="AP46" s="28">
        <f t="shared" si="71"/>
        <v>0.34842819121447022</v>
      </c>
      <c r="AQ46" s="29">
        <f t="shared" ref="AQ46" si="72">AQ45/AQ$4</f>
        <v>0.7692323560372748</v>
      </c>
    </row>
    <row r="47" spans="1:43" x14ac:dyDescent="0.3">
      <c r="D47" s="95">
        <f t="shared" si="11"/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6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6"/>
    </row>
    <row r="48" spans="1:43" x14ac:dyDescent="0.3">
      <c r="A48" t="s">
        <v>116</v>
      </c>
      <c r="B48" s="38" t="s">
        <v>117</v>
      </c>
      <c r="C48" s="42" t="s">
        <v>118</v>
      </c>
      <c r="D48" s="95">
        <v>0.09</v>
      </c>
      <c r="E48" s="32">
        <f t="shared" ref="E48:E60" si="73">$D48*$G$1</f>
        <v>243.81</v>
      </c>
      <c r="F48" s="15">
        <v>150</v>
      </c>
      <c r="G48" s="15">
        <v>150</v>
      </c>
      <c r="H48" s="15">
        <v>150</v>
      </c>
      <c r="I48" s="15">
        <v>150</v>
      </c>
      <c r="J48" s="15">
        <v>150</v>
      </c>
      <c r="K48" s="15">
        <v>150</v>
      </c>
      <c r="L48" s="15">
        <v>150</v>
      </c>
      <c r="M48" s="15">
        <v>150</v>
      </c>
      <c r="N48" s="15">
        <v>150</v>
      </c>
      <c r="O48" s="15">
        <v>150</v>
      </c>
      <c r="P48" s="15">
        <v>150</v>
      </c>
      <c r="Q48" s="16">
        <f t="shared" ref="Q48:Q60" si="74">SUM(E48:P48)</f>
        <v>1893.81</v>
      </c>
      <c r="R48" s="15">
        <v>150</v>
      </c>
      <c r="S48" s="15">
        <v>150</v>
      </c>
      <c r="T48" s="15">
        <v>150</v>
      </c>
      <c r="U48" s="15">
        <v>150</v>
      </c>
      <c r="V48" s="15">
        <v>150</v>
      </c>
      <c r="W48" s="15">
        <v>150</v>
      </c>
      <c r="X48" s="15">
        <v>150</v>
      </c>
      <c r="Y48" s="15">
        <v>150</v>
      </c>
      <c r="Z48" s="15">
        <v>150</v>
      </c>
      <c r="AA48" s="15">
        <v>150</v>
      </c>
      <c r="AB48" s="15">
        <v>150</v>
      </c>
      <c r="AC48" s="15">
        <v>150</v>
      </c>
      <c r="AD48" s="16">
        <f t="shared" ref="AD48:AD60" si="75">SUM(R48:AC48)</f>
        <v>1800</v>
      </c>
      <c r="AE48" s="15">
        <v>150</v>
      </c>
      <c r="AF48" s="15">
        <v>150</v>
      </c>
      <c r="AG48" s="15">
        <v>150</v>
      </c>
      <c r="AH48" s="15">
        <v>150</v>
      </c>
      <c r="AI48" s="15">
        <v>150</v>
      </c>
      <c r="AJ48" s="15">
        <v>150</v>
      </c>
      <c r="AK48" s="15">
        <v>150</v>
      </c>
      <c r="AL48" s="15">
        <v>150</v>
      </c>
      <c r="AM48" s="15">
        <v>150</v>
      </c>
      <c r="AN48" s="15">
        <v>150</v>
      </c>
      <c r="AO48" s="15">
        <v>150</v>
      </c>
      <c r="AP48" s="15">
        <v>150</v>
      </c>
      <c r="AQ48" s="16">
        <f t="shared" ref="AQ48:AQ60" si="76">SUM(AE48:AP48)</f>
        <v>1800</v>
      </c>
    </row>
    <row r="49" spans="1:43" x14ac:dyDescent="0.3">
      <c r="A49" t="s">
        <v>119</v>
      </c>
      <c r="B49" s="38" t="s">
        <v>120</v>
      </c>
      <c r="C49" s="42" t="s">
        <v>121</v>
      </c>
      <c r="D49" s="95">
        <v>0.06</v>
      </c>
      <c r="E49" s="32">
        <f t="shared" si="73"/>
        <v>162.54</v>
      </c>
      <c r="F49" s="15">
        <v>100</v>
      </c>
      <c r="G49" s="15">
        <v>100</v>
      </c>
      <c r="H49" s="15">
        <v>100</v>
      </c>
      <c r="I49" s="15">
        <v>100</v>
      </c>
      <c r="J49" s="15">
        <v>100</v>
      </c>
      <c r="K49" s="15">
        <v>100</v>
      </c>
      <c r="L49" s="15">
        <v>100</v>
      </c>
      <c r="M49" s="15">
        <v>100</v>
      </c>
      <c r="N49" s="15">
        <v>100</v>
      </c>
      <c r="O49" s="15">
        <v>100</v>
      </c>
      <c r="P49" s="15">
        <v>100</v>
      </c>
      <c r="Q49" s="16">
        <f t="shared" si="74"/>
        <v>1262.54</v>
      </c>
      <c r="R49" s="15">
        <v>100</v>
      </c>
      <c r="S49" s="15">
        <v>100</v>
      </c>
      <c r="T49" s="15">
        <v>100</v>
      </c>
      <c r="U49" s="15">
        <v>100</v>
      </c>
      <c r="V49" s="15">
        <v>100</v>
      </c>
      <c r="W49" s="15">
        <v>100</v>
      </c>
      <c r="X49" s="15">
        <v>100</v>
      </c>
      <c r="Y49" s="15">
        <v>100</v>
      </c>
      <c r="Z49" s="15">
        <v>100</v>
      </c>
      <c r="AA49" s="15">
        <v>100</v>
      </c>
      <c r="AB49" s="15">
        <v>100</v>
      </c>
      <c r="AC49" s="15">
        <v>100</v>
      </c>
      <c r="AD49" s="16">
        <f t="shared" si="75"/>
        <v>1200</v>
      </c>
      <c r="AE49" s="15">
        <v>100</v>
      </c>
      <c r="AF49" s="15">
        <v>100</v>
      </c>
      <c r="AG49" s="15">
        <v>100</v>
      </c>
      <c r="AH49" s="15">
        <v>100</v>
      </c>
      <c r="AI49" s="15">
        <v>100</v>
      </c>
      <c r="AJ49" s="15">
        <v>100</v>
      </c>
      <c r="AK49" s="15">
        <v>100</v>
      </c>
      <c r="AL49" s="15">
        <v>100</v>
      </c>
      <c r="AM49" s="15">
        <v>100</v>
      </c>
      <c r="AN49" s="15">
        <v>100</v>
      </c>
      <c r="AO49" s="15">
        <v>100</v>
      </c>
      <c r="AP49" s="15">
        <v>100</v>
      </c>
      <c r="AQ49" s="16">
        <f t="shared" si="76"/>
        <v>1200</v>
      </c>
    </row>
    <row r="50" spans="1:43" x14ac:dyDescent="0.3">
      <c r="A50" t="s">
        <v>122</v>
      </c>
      <c r="B50" s="38" t="s">
        <v>123</v>
      </c>
      <c r="C50" s="42" t="s">
        <v>124</v>
      </c>
      <c r="D50" s="95">
        <v>0.28999999999999998</v>
      </c>
      <c r="E50" s="32">
        <f t="shared" si="73"/>
        <v>785.6099999999999</v>
      </c>
      <c r="F50" s="15">
        <v>466.1493055555556</v>
      </c>
      <c r="G50" s="15">
        <v>466.1493055555556</v>
      </c>
      <c r="H50" s="15">
        <v>466.1493055555556</v>
      </c>
      <c r="I50" s="15">
        <v>466.1493055555556</v>
      </c>
      <c r="J50" s="15">
        <v>466.1493055555556</v>
      </c>
      <c r="K50" s="15">
        <v>466.1493055555556</v>
      </c>
      <c r="L50" s="15">
        <v>466.1493055555556</v>
      </c>
      <c r="M50" s="15">
        <v>466.1493055555556</v>
      </c>
      <c r="N50" s="15">
        <v>466.1493055555556</v>
      </c>
      <c r="O50" s="15">
        <v>466.1493055555556</v>
      </c>
      <c r="P50" s="15">
        <v>466.1493055555556</v>
      </c>
      <c r="Q50" s="16">
        <f t="shared" si="74"/>
        <v>5913.2523611111119</v>
      </c>
      <c r="R50" s="15">
        <v>466.1493055555556</v>
      </c>
      <c r="S50" s="15">
        <v>466.1493055555556</v>
      </c>
      <c r="T50" s="15">
        <v>466.1493055555556</v>
      </c>
      <c r="U50" s="15">
        <v>466.1493055555556</v>
      </c>
      <c r="V50" s="15">
        <v>466.1493055555556</v>
      </c>
      <c r="W50" s="15">
        <v>466.1493055555556</v>
      </c>
      <c r="X50" s="15">
        <v>466.1493055555556</v>
      </c>
      <c r="Y50" s="15">
        <v>466.1493055555556</v>
      </c>
      <c r="Z50" s="15">
        <v>466.1493055555556</v>
      </c>
      <c r="AA50" s="15">
        <v>466.1493055555556</v>
      </c>
      <c r="AB50" s="15">
        <v>466.1493055555556</v>
      </c>
      <c r="AC50" s="15">
        <v>466.1493055555556</v>
      </c>
      <c r="AD50" s="16">
        <f t="shared" si="75"/>
        <v>5593.791666666667</v>
      </c>
      <c r="AE50" s="15">
        <v>466.1493055555556</v>
      </c>
      <c r="AF50" s="15">
        <v>466.1493055555556</v>
      </c>
      <c r="AG50" s="15">
        <v>466.1493055555556</v>
      </c>
      <c r="AH50" s="15">
        <v>466.1493055555556</v>
      </c>
      <c r="AI50" s="15">
        <v>466.1493055555556</v>
      </c>
      <c r="AJ50" s="15">
        <v>466.1493055555556</v>
      </c>
      <c r="AK50" s="15">
        <v>466.1493055555556</v>
      </c>
      <c r="AL50" s="15">
        <v>466.1493055555556</v>
      </c>
      <c r="AM50" s="15">
        <v>466.1493055555556</v>
      </c>
      <c r="AN50" s="15">
        <v>466.1493055555556</v>
      </c>
      <c r="AO50" s="15">
        <v>466.1493055555556</v>
      </c>
      <c r="AP50" s="15">
        <v>466.1493055555556</v>
      </c>
      <c r="AQ50" s="16">
        <f t="shared" si="76"/>
        <v>5593.791666666667</v>
      </c>
    </row>
    <row r="51" spans="1:43" x14ac:dyDescent="0.3">
      <c r="A51" t="s">
        <v>125</v>
      </c>
      <c r="B51" s="38" t="s">
        <v>123</v>
      </c>
      <c r="C51" s="42" t="s">
        <v>126</v>
      </c>
      <c r="D51" s="95">
        <v>0.03</v>
      </c>
      <c r="E51" s="32">
        <f t="shared" si="73"/>
        <v>81.27</v>
      </c>
      <c r="F51" s="15">
        <v>50</v>
      </c>
      <c r="G51" s="15">
        <v>50</v>
      </c>
      <c r="H51" s="15">
        <v>50</v>
      </c>
      <c r="I51" s="15">
        <v>50</v>
      </c>
      <c r="J51" s="15">
        <v>50</v>
      </c>
      <c r="K51" s="15">
        <v>50</v>
      </c>
      <c r="L51" s="15">
        <v>50</v>
      </c>
      <c r="M51" s="15">
        <v>50</v>
      </c>
      <c r="N51" s="15">
        <v>50</v>
      </c>
      <c r="O51" s="15">
        <v>50</v>
      </c>
      <c r="P51" s="15">
        <v>50</v>
      </c>
      <c r="Q51" s="16">
        <f t="shared" si="74"/>
        <v>631.27</v>
      </c>
      <c r="R51" s="15">
        <v>50</v>
      </c>
      <c r="S51" s="15">
        <v>50</v>
      </c>
      <c r="T51" s="15">
        <v>50</v>
      </c>
      <c r="U51" s="15">
        <v>50</v>
      </c>
      <c r="V51" s="15">
        <v>50</v>
      </c>
      <c r="W51" s="15">
        <v>50</v>
      </c>
      <c r="X51" s="15">
        <v>50</v>
      </c>
      <c r="Y51" s="15">
        <v>50</v>
      </c>
      <c r="Z51" s="15">
        <v>50</v>
      </c>
      <c r="AA51" s="15">
        <v>50</v>
      </c>
      <c r="AB51" s="15">
        <v>50</v>
      </c>
      <c r="AC51" s="15">
        <v>50</v>
      </c>
      <c r="AD51" s="16">
        <f t="shared" si="75"/>
        <v>600</v>
      </c>
      <c r="AE51" s="15">
        <v>50</v>
      </c>
      <c r="AF51" s="15">
        <v>50</v>
      </c>
      <c r="AG51" s="15">
        <v>50</v>
      </c>
      <c r="AH51" s="15">
        <v>50</v>
      </c>
      <c r="AI51" s="15">
        <v>50</v>
      </c>
      <c r="AJ51" s="15">
        <v>50</v>
      </c>
      <c r="AK51" s="15">
        <v>50</v>
      </c>
      <c r="AL51" s="15">
        <v>50</v>
      </c>
      <c r="AM51" s="15">
        <v>50</v>
      </c>
      <c r="AN51" s="15">
        <v>50</v>
      </c>
      <c r="AO51" s="15">
        <v>50</v>
      </c>
      <c r="AP51" s="15">
        <v>50</v>
      </c>
      <c r="AQ51" s="16">
        <f t="shared" si="76"/>
        <v>600</v>
      </c>
    </row>
    <row r="52" spans="1:43" x14ac:dyDescent="0.3">
      <c r="A52" t="s">
        <v>127</v>
      </c>
      <c r="B52" s="38" t="s">
        <v>123</v>
      </c>
      <c r="C52" s="42" t="s">
        <v>128</v>
      </c>
      <c r="D52" s="95">
        <v>0.06</v>
      </c>
      <c r="E52" s="32">
        <f t="shared" si="73"/>
        <v>162.54</v>
      </c>
      <c r="F52" s="15">
        <v>100</v>
      </c>
      <c r="G52" s="15">
        <v>100</v>
      </c>
      <c r="H52" s="15">
        <v>100</v>
      </c>
      <c r="I52" s="15">
        <v>100</v>
      </c>
      <c r="J52" s="15">
        <v>100</v>
      </c>
      <c r="K52" s="15">
        <v>100</v>
      </c>
      <c r="L52" s="15">
        <v>100</v>
      </c>
      <c r="M52" s="15">
        <v>100</v>
      </c>
      <c r="N52" s="15">
        <v>100</v>
      </c>
      <c r="O52" s="15">
        <v>100</v>
      </c>
      <c r="P52" s="15">
        <v>100</v>
      </c>
      <c r="Q52" s="16">
        <f t="shared" si="74"/>
        <v>1262.54</v>
      </c>
      <c r="R52" s="15">
        <v>100</v>
      </c>
      <c r="S52" s="15">
        <v>100</v>
      </c>
      <c r="T52" s="15">
        <v>100</v>
      </c>
      <c r="U52" s="15">
        <v>100</v>
      </c>
      <c r="V52" s="15">
        <v>100</v>
      </c>
      <c r="W52" s="15">
        <v>100</v>
      </c>
      <c r="X52" s="15">
        <v>100</v>
      </c>
      <c r="Y52" s="15">
        <v>100</v>
      </c>
      <c r="Z52" s="15">
        <v>100</v>
      </c>
      <c r="AA52" s="15">
        <v>100</v>
      </c>
      <c r="AB52" s="15">
        <v>100</v>
      </c>
      <c r="AC52" s="15">
        <v>100</v>
      </c>
      <c r="AD52" s="16">
        <f t="shared" si="75"/>
        <v>1200</v>
      </c>
      <c r="AE52" s="15">
        <v>100</v>
      </c>
      <c r="AF52" s="15">
        <v>100</v>
      </c>
      <c r="AG52" s="15">
        <v>100</v>
      </c>
      <c r="AH52" s="15">
        <v>100</v>
      </c>
      <c r="AI52" s="15">
        <v>100</v>
      </c>
      <c r="AJ52" s="15">
        <v>100</v>
      </c>
      <c r="AK52" s="15">
        <v>100</v>
      </c>
      <c r="AL52" s="15">
        <v>100</v>
      </c>
      <c r="AM52" s="15">
        <v>100</v>
      </c>
      <c r="AN52" s="15">
        <v>100</v>
      </c>
      <c r="AO52" s="15">
        <v>100</v>
      </c>
      <c r="AP52" s="15">
        <v>100</v>
      </c>
      <c r="AQ52" s="16">
        <f t="shared" si="76"/>
        <v>1200</v>
      </c>
    </row>
    <row r="53" spans="1:43" x14ac:dyDescent="0.3">
      <c r="A53" t="s">
        <v>129</v>
      </c>
      <c r="B53" s="38" t="s">
        <v>123</v>
      </c>
      <c r="C53" s="42" t="s">
        <v>130</v>
      </c>
      <c r="D53" s="95">
        <v>0.01</v>
      </c>
      <c r="E53" s="32">
        <f t="shared" si="73"/>
        <v>27.09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16">
        <f t="shared" si="74"/>
        <v>27.09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16">
        <f t="shared" si="75"/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7">
        <v>0</v>
      </c>
      <c r="AO53" s="47">
        <v>0</v>
      </c>
      <c r="AP53" s="47">
        <v>0</v>
      </c>
      <c r="AQ53" s="16">
        <f t="shared" si="76"/>
        <v>0</v>
      </c>
    </row>
    <row r="54" spans="1:43" x14ac:dyDescent="0.3">
      <c r="B54" s="38"/>
      <c r="C54" s="48" t="s">
        <v>131</v>
      </c>
      <c r="D54" s="95">
        <v>0.01</v>
      </c>
      <c r="E54" s="32">
        <f t="shared" si="73"/>
        <v>27.09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16">
        <f t="shared" si="74"/>
        <v>27.09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16">
        <f t="shared" si="75"/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16">
        <f t="shared" si="76"/>
        <v>0</v>
      </c>
    </row>
    <row r="55" spans="1:43" x14ac:dyDescent="0.3">
      <c r="B55" s="38"/>
      <c r="C55" s="48" t="s">
        <v>132</v>
      </c>
      <c r="D55" s="95">
        <v>0.1</v>
      </c>
      <c r="E55" s="32">
        <f t="shared" si="73"/>
        <v>270.90000000000003</v>
      </c>
      <c r="F55" s="47">
        <v>165</v>
      </c>
      <c r="G55" s="47">
        <v>165</v>
      </c>
      <c r="H55" s="47">
        <v>165</v>
      </c>
      <c r="I55" s="47">
        <v>165</v>
      </c>
      <c r="J55" s="47">
        <v>165</v>
      </c>
      <c r="K55" s="47">
        <v>165</v>
      </c>
      <c r="L55" s="47">
        <v>165</v>
      </c>
      <c r="M55" s="47">
        <v>165</v>
      </c>
      <c r="N55" s="47">
        <v>165</v>
      </c>
      <c r="O55" s="47">
        <v>165</v>
      </c>
      <c r="P55" s="47">
        <v>165</v>
      </c>
      <c r="Q55" s="16">
        <f t="shared" si="74"/>
        <v>2085.9</v>
      </c>
      <c r="R55" s="47">
        <v>165</v>
      </c>
      <c r="S55" s="47">
        <v>165</v>
      </c>
      <c r="T55" s="47">
        <v>165</v>
      </c>
      <c r="U55" s="47">
        <v>165</v>
      </c>
      <c r="V55" s="47">
        <v>165</v>
      </c>
      <c r="W55" s="47">
        <v>165</v>
      </c>
      <c r="X55" s="47">
        <v>165</v>
      </c>
      <c r="Y55" s="47">
        <v>165</v>
      </c>
      <c r="Z55" s="47">
        <v>165</v>
      </c>
      <c r="AA55" s="47">
        <v>165</v>
      </c>
      <c r="AB55" s="47">
        <v>165</v>
      </c>
      <c r="AC55" s="47">
        <v>165</v>
      </c>
      <c r="AD55" s="16">
        <f t="shared" si="75"/>
        <v>1980</v>
      </c>
      <c r="AE55" s="47">
        <v>165</v>
      </c>
      <c r="AF55" s="47">
        <v>165</v>
      </c>
      <c r="AG55" s="47">
        <v>165</v>
      </c>
      <c r="AH55" s="47">
        <v>165</v>
      </c>
      <c r="AI55" s="47">
        <v>165</v>
      </c>
      <c r="AJ55" s="47">
        <v>165</v>
      </c>
      <c r="AK55" s="47">
        <v>165</v>
      </c>
      <c r="AL55" s="47">
        <v>165</v>
      </c>
      <c r="AM55" s="47">
        <v>165</v>
      </c>
      <c r="AN55" s="47">
        <v>165</v>
      </c>
      <c r="AO55" s="47">
        <v>165</v>
      </c>
      <c r="AP55" s="47">
        <v>165</v>
      </c>
      <c r="AQ55" s="16">
        <f t="shared" si="76"/>
        <v>1980</v>
      </c>
    </row>
    <row r="56" spans="1:43" x14ac:dyDescent="0.3">
      <c r="B56" s="38"/>
      <c r="C56" s="48" t="s">
        <v>133</v>
      </c>
      <c r="D56" s="95">
        <v>0.01</v>
      </c>
      <c r="E56" s="32">
        <f t="shared" si="73"/>
        <v>27.09</v>
      </c>
      <c r="F56" s="47">
        <v>50</v>
      </c>
      <c r="G56" s="47">
        <v>50</v>
      </c>
      <c r="H56" s="47">
        <v>50</v>
      </c>
      <c r="I56" s="47">
        <v>50</v>
      </c>
      <c r="J56" s="47">
        <v>50</v>
      </c>
      <c r="K56" s="47">
        <v>50</v>
      </c>
      <c r="L56" s="47">
        <v>50</v>
      </c>
      <c r="M56" s="47">
        <v>50</v>
      </c>
      <c r="N56" s="47">
        <v>50</v>
      </c>
      <c r="O56" s="47">
        <v>50</v>
      </c>
      <c r="P56" s="47">
        <v>50</v>
      </c>
      <c r="Q56" s="16">
        <f t="shared" si="74"/>
        <v>577.09</v>
      </c>
      <c r="R56" s="47">
        <v>50</v>
      </c>
      <c r="S56" s="47">
        <v>50</v>
      </c>
      <c r="T56" s="47">
        <v>50</v>
      </c>
      <c r="U56" s="47">
        <v>50</v>
      </c>
      <c r="V56" s="47">
        <v>50</v>
      </c>
      <c r="W56" s="47">
        <v>50</v>
      </c>
      <c r="X56" s="47">
        <v>50</v>
      </c>
      <c r="Y56" s="47">
        <v>50</v>
      </c>
      <c r="Z56" s="47">
        <v>50</v>
      </c>
      <c r="AA56" s="47">
        <v>50</v>
      </c>
      <c r="AB56" s="47">
        <v>50</v>
      </c>
      <c r="AC56" s="47">
        <v>50</v>
      </c>
      <c r="AD56" s="16">
        <f t="shared" si="75"/>
        <v>600</v>
      </c>
      <c r="AE56" s="47">
        <v>50</v>
      </c>
      <c r="AF56" s="47">
        <v>50</v>
      </c>
      <c r="AG56" s="47">
        <v>50</v>
      </c>
      <c r="AH56" s="47">
        <v>50</v>
      </c>
      <c r="AI56" s="47">
        <v>50</v>
      </c>
      <c r="AJ56" s="47">
        <v>50</v>
      </c>
      <c r="AK56" s="47">
        <v>50</v>
      </c>
      <c r="AL56" s="47">
        <v>50</v>
      </c>
      <c r="AM56" s="47">
        <v>50</v>
      </c>
      <c r="AN56" s="47">
        <v>50</v>
      </c>
      <c r="AO56" s="47">
        <v>50</v>
      </c>
      <c r="AP56" s="47">
        <v>50</v>
      </c>
      <c r="AQ56" s="16">
        <f t="shared" si="76"/>
        <v>600</v>
      </c>
    </row>
    <row r="57" spans="1:43" x14ac:dyDescent="0.3">
      <c r="B57" s="38"/>
      <c r="C57" s="48" t="s">
        <v>134</v>
      </c>
      <c r="D57" s="95">
        <v>0.06</v>
      </c>
      <c r="E57" s="32">
        <f t="shared" si="73"/>
        <v>162.54</v>
      </c>
      <c r="F57" s="47">
        <v>100</v>
      </c>
      <c r="G57" s="47">
        <v>100</v>
      </c>
      <c r="H57" s="47">
        <v>100</v>
      </c>
      <c r="I57" s="47">
        <v>100</v>
      </c>
      <c r="J57" s="47">
        <v>100</v>
      </c>
      <c r="K57" s="47">
        <v>100</v>
      </c>
      <c r="L57" s="47">
        <v>100</v>
      </c>
      <c r="M57" s="47">
        <v>100</v>
      </c>
      <c r="N57" s="47">
        <v>100</v>
      </c>
      <c r="O57" s="47">
        <v>100</v>
      </c>
      <c r="P57" s="47">
        <v>100</v>
      </c>
      <c r="Q57" s="16">
        <f t="shared" si="74"/>
        <v>1262.54</v>
      </c>
      <c r="R57" s="47">
        <v>100</v>
      </c>
      <c r="S57" s="47">
        <v>100</v>
      </c>
      <c r="T57" s="47">
        <v>100</v>
      </c>
      <c r="U57" s="47">
        <v>100</v>
      </c>
      <c r="V57" s="47">
        <v>100</v>
      </c>
      <c r="W57" s="47">
        <v>100</v>
      </c>
      <c r="X57" s="47">
        <v>100</v>
      </c>
      <c r="Y57" s="47">
        <v>100</v>
      </c>
      <c r="Z57" s="47">
        <v>100</v>
      </c>
      <c r="AA57" s="47">
        <v>100</v>
      </c>
      <c r="AB57" s="47">
        <v>100</v>
      </c>
      <c r="AC57" s="47">
        <v>100</v>
      </c>
      <c r="AD57" s="16">
        <f t="shared" si="75"/>
        <v>1200</v>
      </c>
      <c r="AE57" s="47">
        <v>100</v>
      </c>
      <c r="AF57" s="47">
        <v>100</v>
      </c>
      <c r="AG57" s="47">
        <v>100</v>
      </c>
      <c r="AH57" s="47">
        <v>100</v>
      </c>
      <c r="AI57" s="47">
        <v>100</v>
      </c>
      <c r="AJ57" s="47">
        <v>100</v>
      </c>
      <c r="AK57" s="47">
        <v>100</v>
      </c>
      <c r="AL57" s="47">
        <v>100</v>
      </c>
      <c r="AM57" s="47">
        <v>100</v>
      </c>
      <c r="AN57" s="47">
        <v>100</v>
      </c>
      <c r="AO57" s="47">
        <v>100</v>
      </c>
      <c r="AP57" s="47">
        <v>100</v>
      </c>
      <c r="AQ57" s="16">
        <f t="shared" si="76"/>
        <v>1200</v>
      </c>
    </row>
    <row r="58" spans="1:43" x14ac:dyDescent="0.3">
      <c r="B58" s="38"/>
      <c r="C58" s="94" t="s">
        <v>135</v>
      </c>
      <c r="D58" s="95">
        <f>$G$2*$G$1</f>
        <v>24381</v>
      </c>
      <c r="E58" s="32">
        <f>D58</f>
        <v>24381</v>
      </c>
      <c r="F58" s="49">
        <f t="shared" ref="F58:AP58" si="77">E58</f>
        <v>24381</v>
      </c>
      <c r="G58" s="49">
        <f t="shared" si="77"/>
        <v>24381</v>
      </c>
      <c r="H58" s="49">
        <f t="shared" si="77"/>
        <v>24381</v>
      </c>
      <c r="I58" s="49">
        <f t="shared" si="77"/>
        <v>24381</v>
      </c>
      <c r="J58" s="49">
        <f t="shared" si="77"/>
        <v>24381</v>
      </c>
      <c r="K58" s="49">
        <f t="shared" si="77"/>
        <v>24381</v>
      </c>
      <c r="L58" s="49">
        <f t="shared" si="77"/>
        <v>24381</v>
      </c>
      <c r="M58" s="49">
        <f t="shared" si="77"/>
        <v>24381</v>
      </c>
      <c r="N58" s="49">
        <f t="shared" si="77"/>
        <v>24381</v>
      </c>
      <c r="O58" s="49">
        <f t="shared" si="77"/>
        <v>24381</v>
      </c>
      <c r="P58" s="49">
        <f t="shared" si="77"/>
        <v>24381</v>
      </c>
      <c r="Q58" s="16">
        <f t="shared" si="74"/>
        <v>292572</v>
      </c>
      <c r="R58" s="49">
        <f>P58</f>
        <v>24381</v>
      </c>
      <c r="S58" s="49">
        <f t="shared" si="77"/>
        <v>24381</v>
      </c>
      <c r="T58" s="49">
        <f t="shared" si="77"/>
        <v>24381</v>
      </c>
      <c r="U58" s="49">
        <f t="shared" si="77"/>
        <v>24381</v>
      </c>
      <c r="V58" s="49">
        <f t="shared" si="77"/>
        <v>24381</v>
      </c>
      <c r="W58" s="49">
        <f t="shared" si="77"/>
        <v>24381</v>
      </c>
      <c r="X58" s="49">
        <f t="shared" si="77"/>
        <v>24381</v>
      </c>
      <c r="Y58" s="49">
        <f t="shared" si="77"/>
        <v>24381</v>
      </c>
      <c r="Z58" s="49">
        <f t="shared" si="77"/>
        <v>24381</v>
      </c>
      <c r="AA58" s="49">
        <f t="shared" si="77"/>
        <v>24381</v>
      </c>
      <c r="AB58" s="49">
        <f t="shared" si="77"/>
        <v>24381</v>
      </c>
      <c r="AC58" s="49">
        <f t="shared" si="77"/>
        <v>24381</v>
      </c>
      <c r="AD58" s="16">
        <f t="shared" si="75"/>
        <v>292572</v>
      </c>
      <c r="AE58" s="49">
        <f>AC58</f>
        <v>24381</v>
      </c>
      <c r="AF58" s="49">
        <f t="shared" si="77"/>
        <v>24381</v>
      </c>
      <c r="AG58" s="49">
        <f t="shared" si="77"/>
        <v>24381</v>
      </c>
      <c r="AH58" s="49">
        <f t="shared" si="77"/>
        <v>24381</v>
      </c>
      <c r="AI58" s="49">
        <f t="shared" si="77"/>
        <v>24381</v>
      </c>
      <c r="AJ58" s="49">
        <f t="shared" si="77"/>
        <v>24381</v>
      </c>
      <c r="AK58" s="49">
        <f t="shared" si="77"/>
        <v>24381</v>
      </c>
      <c r="AL58" s="49">
        <f t="shared" si="77"/>
        <v>24381</v>
      </c>
      <c r="AM58" s="49">
        <f t="shared" si="77"/>
        <v>24381</v>
      </c>
      <c r="AN58" s="49">
        <f t="shared" si="77"/>
        <v>24381</v>
      </c>
      <c r="AO58" s="49">
        <f t="shared" si="77"/>
        <v>24381</v>
      </c>
      <c r="AP58" s="49">
        <f t="shared" si="77"/>
        <v>24381</v>
      </c>
      <c r="AQ58" s="16">
        <f t="shared" si="76"/>
        <v>292572</v>
      </c>
    </row>
    <row r="59" spans="1:43" ht="28.8" x14ac:dyDescent="0.3">
      <c r="B59" s="38"/>
      <c r="C59" s="48" t="s">
        <v>136</v>
      </c>
      <c r="D59" s="95">
        <v>0</v>
      </c>
      <c r="E59" s="32">
        <f t="shared" si="73"/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16">
        <f t="shared" si="74"/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16">
        <f t="shared" si="75"/>
        <v>0</v>
      </c>
      <c r="AE59" s="50">
        <v>0</v>
      </c>
      <c r="AF59" s="50">
        <v>0</v>
      </c>
      <c r="AG59" s="50">
        <v>0</v>
      </c>
      <c r="AH59" s="50">
        <v>0</v>
      </c>
      <c r="AI59" s="50">
        <v>0</v>
      </c>
      <c r="AJ59" s="50">
        <v>0</v>
      </c>
      <c r="AK59" s="50">
        <v>0</v>
      </c>
      <c r="AL59" s="50">
        <v>0</v>
      </c>
      <c r="AM59" s="50">
        <v>0</v>
      </c>
      <c r="AN59" s="50">
        <v>0</v>
      </c>
      <c r="AO59" s="50">
        <v>0</v>
      </c>
      <c r="AP59" s="50">
        <v>0</v>
      </c>
      <c r="AQ59" s="16">
        <f t="shared" si="76"/>
        <v>0</v>
      </c>
    </row>
    <row r="60" spans="1:43" x14ac:dyDescent="0.3">
      <c r="B60" s="38"/>
      <c r="C60" s="94" t="s">
        <v>137</v>
      </c>
      <c r="D60" s="95">
        <v>1.88</v>
      </c>
      <c r="E60" s="32">
        <f t="shared" si="73"/>
        <v>5092.92</v>
      </c>
      <c r="F60" s="49">
        <f>E60</f>
        <v>5092.92</v>
      </c>
      <c r="G60" s="49">
        <f t="shared" ref="G60:AP60" si="78">F60</f>
        <v>5092.92</v>
      </c>
      <c r="H60" s="49">
        <f t="shared" si="78"/>
        <v>5092.92</v>
      </c>
      <c r="I60" s="49">
        <f t="shared" si="78"/>
        <v>5092.92</v>
      </c>
      <c r="J60" s="49">
        <f t="shared" si="78"/>
        <v>5092.92</v>
      </c>
      <c r="K60" s="49">
        <f t="shared" si="78"/>
        <v>5092.92</v>
      </c>
      <c r="L60" s="49">
        <f t="shared" si="78"/>
        <v>5092.92</v>
      </c>
      <c r="M60" s="49">
        <f t="shared" si="78"/>
        <v>5092.92</v>
      </c>
      <c r="N60" s="49">
        <f t="shared" si="78"/>
        <v>5092.92</v>
      </c>
      <c r="O60" s="49">
        <f t="shared" si="78"/>
        <v>5092.92</v>
      </c>
      <c r="P60" s="49">
        <f t="shared" si="78"/>
        <v>5092.92</v>
      </c>
      <c r="Q60" s="16">
        <f t="shared" si="74"/>
        <v>61115.039999999986</v>
      </c>
      <c r="R60" s="49">
        <f>P60</f>
        <v>5092.92</v>
      </c>
      <c r="S60" s="49">
        <f t="shared" si="78"/>
        <v>5092.92</v>
      </c>
      <c r="T60" s="49">
        <f t="shared" si="78"/>
        <v>5092.92</v>
      </c>
      <c r="U60" s="49">
        <f t="shared" si="78"/>
        <v>5092.92</v>
      </c>
      <c r="V60" s="49">
        <f t="shared" si="78"/>
        <v>5092.92</v>
      </c>
      <c r="W60" s="49">
        <f t="shared" si="78"/>
        <v>5092.92</v>
      </c>
      <c r="X60" s="49">
        <f t="shared" si="78"/>
        <v>5092.92</v>
      </c>
      <c r="Y60" s="49">
        <f t="shared" si="78"/>
        <v>5092.92</v>
      </c>
      <c r="Z60" s="49">
        <f t="shared" si="78"/>
        <v>5092.92</v>
      </c>
      <c r="AA60" s="49">
        <f t="shared" si="78"/>
        <v>5092.92</v>
      </c>
      <c r="AB60" s="49">
        <f t="shared" si="78"/>
        <v>5092.92</v>
      </c>
      <c r="AC60" s="49">
        <f t="shared" si="78"/>
        <v>5092.92</v>
      </c>
      <c r="AD60" s="16">
        <f t="shared" si="75"/>
        <v>61115.039999999986</v>
      </c>
      <c r="AE60" s="49">
        <f>AC60</f>
        <v>5092.92</v>
      </c>
      <c r="AF60" s="49">
        <f t="shared" si="78"/>
        <v>5092.92</v>
      </c>
      <c r="AG60" s="49">
        <f t="shared" si="78"/>
        <v>5092.92</v>
      </c>
      <c r="AH60" s="49">
        <f t="shared" si="78"/>
        <v>5092.92</v>
      </c>
      <c r="AI60" s="49">
        <f t="shared" si="78"/>
        <v>5092.92</v>
      </c>
      <c r="AJ60" s="49">
        <f t="shared" si="78"/>
        <v>5092.92</v>
      </c>
      <c r="AK60" s="49">
        <f t="shared" si="78"/>
        <v>5092.92</v>
      </c>
      <c r="AL60" s="49">
        <f t="shared" si="78"/>
        <v>5092.92</v>
      </c>
      <c r="AM60" s="49">
        <f t="shared" si="78"/>
        <v>5092.92</v>
      </c>
      <c r="AN60" s="49">
        <f t="shared" si="78"/>
        <v>5092.92</v>
      </c>
      <c r="AO60" s="49">
        <f t="shared" si="78"/>
        <v>5092.92</v>
      </c>
      <c r="AP60" s="49">
        <f t="shared" si="78"/>
        <v>5092.92</v>
      </c>
      <c r="AQ60" s="16">
        <f t="shared" si="76"/>
        <v>61115.039999999986</v>
      </c>
    </row>
    <row r="61" spans="1:43" x14ac:dyDescent="0.3">
      <c r="B61" s="38"/>
      <c r="C61" s="48"/>
      <c r="D61" s="95">
        <f t="shared" si="11"/>
        <v>0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3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3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3"/>
    </row>
    <row r="62" spans="1:43" x14ac:dyDescent="0.3">
      <c r="C62" s="24" t="s">
        <v>138</v>
      </c>
      <c r="D62" s="95">
        <f t="shared" si="11"/>
        <v>19.640250000000002</v>
      </c>
      <c r="E62" s="25">
        <f t="shared" ref="E62:AQ62" si="79">SUM(E48:E61)</f>
        <v>31424.400000000001</v>
      </c>
      <c r="F62" s="25">
        <f t="shared" si="79"/>
        <v>30655.069305555553</v>
      </c>
      <c r="G62" s="25">
        <f t="shared" si="79"/>
        <v>30655.069305555553</v>
      </c>
      <c r="H62" s="25">
        <f t="shared" si="79"/>
        <v>30655.069305555553</v>
      </c>
      <c r="I62" s="25">
        <f t="shared" si="79"/>
        <v>30655.069305555553</v>
      </c>
      <c r="J62" s="25">
        <f t="shared" si="79"/>
        <v>30655.069305555553</v>
      </c>
      <c r="K62" s="25">
        <f t="shared" si="79"/>
        <v>30655.069305555553</v>
      </c>
      <c r="L62" s="25">
        <f t="shared" si="79"/>
        <v>30655.069305555553</v>
      </c>
      <c r="M62" s="25">
        <f t="shared" si="79"/>
        <v>30655.069305555553</v>
      </c>
      <c r="N62" s="25">
        <f t="shared" si="79"/>
        <v>30655.069305555553</v>
      </c>
      <c r="O62" s="25">
        <f t="shared" si="79"/>
        <v>30655.069305555553</v>
      </c>
      <c r="P62" s="25">
        <f t="shared" si="79"/>
        <v>30655.069305555553</v>
      </c>
      <c r="Q62" s="26">
        <f>SUM(Q48:Q61)</f>
        <v>368630.16236111108</v>
      </c>
      <c r="R62" s="25">
        <f t="shared" si="79"/>
        <v>30655.069305555553</v>
      </c>
      <c r="S62" s="25">
        <f t="shared" si="79"/>
        <v>30655.069305555553</v>
      </c>
      <c r="T62" s="25">
        <f t="shared" si="79"/>
        <v>30655.069305555553</v>
      </c>
      <c r="U62" s="25">
        <f t="shared" si="79"/>
        <v>30655.069305555553</v>
      </c>
      <c r="V62" s="25">
        <f t="shared" si="79"/>
        <v>30655.069305555553</v>
      </c>
      <c r="W62" s="25">
        <f t="shared" si="79"/>
        <v>30655.069305555553</v>
      </c>
      <c r="X62" s="25">
        <f t="shared" si="79"/>
        <v>30655.069305555553</v>
      </c>
      <c r="Y62" s="25">
        <f t="shared" si="79"/>
        <v>30655.069305555553</v>
      </c>
      <c r="Z62" s="25">
        <f t="shared" si="79"/>
        <v>30655.069305555553</v>
      </c>
      <c r="AA62" s="25">
        <f t="shared" si="79"/>
        <v>30655.069305555553</v>
      </c>
      <c r="AB62" s="25">
        <f t="shared" si="79"/>
        <v>30655.069305555553</v>
      </c>
      <c r="AC62" s="25">
        <f t="shared" si="79"/>
        <v>30655.069305555553</v>
      </c>
      <c r="AD62" s="26">
        <f t="shared" si="79"/>
        <v>367860.83166666667</v>
      </c>
      <c r="AE62" s="25">
        <f>SUM(AE48:AE61)</f>
        <v>30655.069305555553</v>
      </c>
      <c r="AF62" s="25">
        <f t="shared" si="79"/>
        <v>30655.069305555553</v>
      </c>
      <c r="AG62" s="25">
        <f t="shared" si="79"/>
        <v>30655.069305555553</v>
      </c>
      <c r="AH62" s="25">
        <f t="shared" si="79"/>
        <v>30655.069305555553</v>
      </c>
      <c r="AI62" s="25">
        <f t="shared" si="79"/>
        <v>30655.069305555553</v>
      </c>
      <c r="AJ62" s="25">
        <f t="shared" si="79"/>
        <v>30655.069305555553</v>
      </c>
      <c r="AK62" s="25">
        <f t="shared" si="79"/>
        <v>30655.069305555553</v>
      </c>
      <c r="AL62" s="25">
        <f t="shared" si="79"/>
        <v>30655.069305555553</v>
      </c>
      <c r="AM62" s="25">
        <f t="shared" si="79"/>
        <v>30655.069305555553</v>
      </c>
      <c r="AN62" s="25">
        <f t="shared" si="79"/>
        <v>30655.069305555553</v>
      </c>
      <c r="AO62" s="25">
        <f t="shared" si="79"/>
        <v>30655.069305555553</v>
      </c>
      <c r="AP62" s="25">
        <f t="shared" si="79"/>
        <v>30655.069305555553</v>
      </c>
      <c r="AQ62" s="26">
        <f t="shared" si="79"/>
        <v>367860.83166666667</v>
      </c>
    </row>
    <row r="63" spans="1:43" hidden="1" x14ac:dyDescent="0.3">
      <c r="C63" s="27" t="s">
        <v>139</v>
      </c>
      <c r="D63" s="95">
        <f t="shared" si="11"/>
        <v>0</v>
      </c>
      <c r="E63" s="51">
        <f t="shared" ref="E63:F63" si="80">IFERROR(E62/E4,0)</f>
        <v>0</v>
      </c>
      <c r="F63" s="51">
        <f t="shared" si="80"/>
        <v>0</v>
      </c>
      <c r="G63" s="51">
        <f t="shared" ref="G63:N63" si="81">IFERROR(G62/I4,0)</f>
        <v>0.22632018682580696</v>
      </c>
      <c r="H63" s="51">
        <f t="shared" si="81"/>
        <v>0</v>
      </c>
      <c r="I63" s="51">
        <f t="shared" si="81"/>
        <v>0.22632018682580696</v>
      </c>
      <c r="J63" s="51">
        <f t="shared" si="81"/>
        <v>0</v>
      </c>
      <c r="K63" s="51">
        <f t="shared" si="81"/>
        <v>0.22632018682580696</v>
      </c>
      <c r="L63" s="51">
        <f t="shared" si="81"/>
        <v>0</v>
      </c>
      <c r="M63" s="51">
        <f t="shared" si="81"/>
        <v>0</v>
      </c>
      <c r="N63" s="51">
        <f t="shared" si="81"/>
        <v>0.22632018682580696</v>
      </c>
      <c r="O63" s="51">
        <f>IFERROR(O62/#REF!,0)</f>
        <v>0</v>
      </c>
      <c r="P63" s="51">
        <f>IFERROR(P62/S4,0)</f>
        <v>0.22632018682580696</v>
      </c>
      <c r="Q63" s="52">
        <f>Q62/Q4</f>
        <v>0.6803805137709692</v>
      </c>
      <c r="R63" s="51">
        <f t="shared" ref="R63" si="82">IFERROR(R62/R4,0)</f>
        <v>0</v>
      </c>
      <c r="S63" s="51">
        <f>IFERROR(S62/#REF!,0)</f>
        <v>0</v>
      </c>
      <c r="T63" s="51">
        <f t="shared" ref="T63:AC63" si="83">IFERROR(T62/V4,0)</f>
        <v>0.22632018682580696</v>
      </c>
      <c r="U63" s="51">
        <f t="shared" si="83"/>
        <v>0</v>
      </c>
      <c r="V63" s="51">
        <f t="shared" si="83"/>
        <v>0.22632018682580696</v>
      </c>
      <c r="W63" s="51">
        <f t="shared" si="83"/>
        <v>0</v>
      </c>
      <c r="X63" s="51">
        <f t="shared" si="83"/>
        <v>0.22632018682580696</v>
      </c>
      <c r="Y63" s="51">
        <f t="shared" si="83"/>
        <v>0</v>
      </c>
      <c r="Z63" s="51">
        <f t="shared" si="83"/>
        <v>0</v>
      </c>
      <c r="AA63" s="51">
        <f t="shared" si="83"/>
        <v>0.22632018682580696</v>
      </c>
      <c r="AB63" s="51">
        <f t="shared" si="83"/>
        <v>4.5264037365161394E-2</v>
      </c>
      <c r="AC63" s="51">
        <f t="shared" si="83"/>
        <v>0</v>
      </c>
      <c r="AD63" s="52" t="e">
        <f>AD62/#REF!</f>
        <v>#REF!</v>
      </c>
      <c r="AE63" s="51">
        <f>IFERROR(AE62/#REF!,0)</f>
        <v>0</v>
      </c>
      <c r="AF63" s="51">
        <f t="shared" ref="AF63:AP63" si="84">IFERROR(AF62/AF4,0)</f>
        <v>0</v>
      </c>
      <c r="AG63" s="51">
        <f t="shared" si="84"/>
        <v>0.22632018682580696</v>
      </c>
      <c r="AH63" s="51">
        <f t="shared" si="84"/>
        <v>0</v>
      </c>
      <c r="AI63" s="51">
        <f t="shared" si="84"/>
        <v>0.22632018682580696</v>
      </c>
      <c r="AJ63" s="51">
        <f t="shared" si="84"/>
        <v>0</v>
      </c>
      <c r="AK63" s="51">
        <f t="shared" si="84"/>
        <v>0.22632018682580696</v>
      </c>
      <c r="AL63" s="51">
        <f t="shared" si="84"/>
        <v>0</v>
      </c>
      <c r="AM63" s="51">
        <f t="shared" si="84"/>
        <v>0</v>
      </c>
      <c r="AN63" s="51">
        <f t="shared" si="84"/>
        <v>0.22632018682580696</v>
      </c>
      <c r="AO63" s="51">
        <f t="shared" si="84"/>
        <v>0</v>
      </c>
      <c r="AP63" s="51">
        <f t="shared" si="84"/>
        <v>0.22632018682580696</v>
      </c>
      <c r="AQ63" s="52">
        <f>AQ62/AQ4</f>
        <v>0.54316844838193679</v>
      </c>
    </row>
    <row r="64" spans="1:43" ht="72" x14ac:dyDescent="0.3">
      <c r="C64" s="53" t="s">
        <v>140</v>
      </c>
      <c r="D64" s="95">
        <f t="shared" si="11"/>
        <v>0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5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5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5"/>
    </row>
    <row r="65" spans="1:43" x14ac:dyDescent="0.3">
      <c r="C65" s="53"/>
      <c r="D65" s="95">
        <f t="shared" si="11"/>
        <v>0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5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5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5"/>
    </row>
    <row r="66" spans="1:43" x14ac:dyDescent="0.3">
      <c r="C66" s="56" t="s">
        <v>141</v>
      </c>
      <c r="D66" s="95"/>
      <c r="E66" s="57">
        <f t="shared" ref="E66:AQ66" si="85">E62+E45</f>
        <v>83899.538499999995</v>
      </c>
      <c r="F66" s="57">
        <f t="shared" si="85"/>
        <v>61747.347250000006</v>
      </c>
      <c r="G66" s="57">
        <f>G62+G45</f>
        <v>113793.24869555555</v>
      </c>
      <c r="H66" s="57">
        <f t="shared" si="85"/>
        <v>65496.627805555559</v>
      </c>
      <c r="I66" s="57">
        <f t="shared" si="85"/>
        <v>101358.93869555555</v>
      </c>
      <c r="J66" s="57">
        <f t="shared" si="85"/>
        <v>77930.937805555557</v>
      </c>
      <c r="K66" s="57">
        <f t="shared" si="85"/>
        <v>101358.93869555555</v>
      </c>
      <c r="L66" s="57">
        <f t="shared" si="85"/>
        <v>65496.627805555559</v>
      </c>
      <c r="M66" s="57">
        <f t="shared" si="85"/>
        <v>77660.037805555548</v>
      </c>
      <c r="N66" s="57">
        <f t="shared" si="85"/>
        <v>101358.93869555555</v>
      </c>
      <c r="O66" s="57">
        <f t="shared" si="85"/>
        <v>65496.627805555559</v>
      </c>
      <c r="P66" s="57">
        <f t="shared" si="85"/>
        <v>109269.21869555555</v>
      </c>
      <c r="Q66" s="58">
        <f>Q62+Q45</f>
        <v>1024867.0282555555</v>
      </c>
      <c r="R66" s="57">
        <f t="shared" si="85"/>
        <v>70752.087805555551</v>
      </c>
      <c r="S66" s="57">
        <f t="shared" si="85"/>
        <v>65225.727805555558</v>
      </c>
      <c r="T66" s="57">
        <f t="shared" si="85"/>
        <v>113793.24869555555</v>
      </c>
      <c r="U66" s="57">
        <f t="shared" si="85"/>
        <v>65496.627805555559</v>
      </c>
      <c r="V66" s="57">
        <f t="shared" si="85"/>
        <v>101358.93869555555</v>
      </c>
      <c r="W66" s="57">
        <f t="shared" si="85"/>
        <v>77930.937805555557</v>
      </c>
      <c r="X66" s="57">
        <f t="shared" si="85"/>
        <v>101358.93869555555</v>
      </c>
      <c r="Y66" s="57">
        <f t="shared" si="85"/>
        <v>65496.627805555559</v>
      </c>
      <c r="Z66" s="57">
        <f t="shared" si="85"/>
        <v>77660.037805555548</v>
      </c>
      <c r="AA66" s="57">
        <f t="shared" si="85"/>
        <v>101358.93869555555</v>
      </c>
      <c r="AB66" s="57">
        <f t="shared" si="85"/>
        <v>65496.627805555559</v>
      </c>
      <c r="AC66" s="57">
        <f t="shared" si="85"/>
        <v>77849.667805555539</v>
      </c>
      <c r="AD66" s="58">
        <f t="shared" si="85"/>
        <v>983778.40722666669</v>
      </c>
      <c r="AE66" s="57">
        <f t="shared" si="85"/>
        <v>113278.53869555556</v>
      </c>
      <c r="AF66" s="57">
        <f t="shared" si="85"/>
        <v>65225.727805555558</v>
      </c>
      <c r="AG66" s="57">
        <f t="shared" si="85"/>
        <v>113793.24869555555</v>
      </c>
      <c r="AH66" s="57">
        <f t="shared" si="85"/>
        <v>65496.627805555559</v>
      </c>
      <c r="AI66" s="57">
        <f t="shared" si="85"/>
        <v>101358.93869555555</v>
      </c>
      <c r="AJ66" s="57">
        <f t="shared" si="85"/>
        <v>77930.937805555557</v>
      </c>
      <c r="AK66" s="57">
        <f t="shared" si="85"/>
        <v>69939.387805555554</v>
      </c>
      <c r="AL66" s="57">
        <f t="shared" si="85"/>
        <v>96916.178695555544</v>
      </c>
      <c r="AM66" s="57">
        <f t="shared" si="85"/>
        <v>77660.037805555548</v>
      </c>
      <c r="AN66" s="57">
        <f t="shared" si="85"/>
        <v>101358.93869555555</v>
      </c>
      <c r="AO66" s="57">
        <f t="shared" si="85"/>
        <v>65496.627805555559</v>
      </c>
      <c r="AP66" s="57">
        <f t="shared" si="85"/>
        <v>77849.667805555539</v>
      </c>
      <c r="AQ66" s="58">
        <f t="shared" si="85"/>
        <v>888823.44479291094</v>
      </c>
    </row>
    <row r="67" spans="1:43" x14ac:dyDescent="0.3">
      <c r="C67" s="59" t="s">
        <v>142</v>
      </c>
      <c r="D67" s="95"/>
      <c r="E67" s="60">
        <f>IFERROR(E66/E$4,0)</f>
        <v>0</v>
      </c>
      <c r="F67" s="60">
        <f t="shared" ref="F67" si="86">IFERROR(F66/F$4,0)</f>
        <v>0</v>
      </c>
      <c r="G67" s="60">
        <f>IFERROR(SUM(E66:G66)/I$4,0)</f>
        <v>1.9153941265821748</v>
      </c>
      <c r="H67" s="60">
        <f>IFERROR(H66/J$4,0)</f>
        <v>0</v>
      </c>
      <c r="I67" s="60">
        <f>IFERROR(SUM(H66:I66)/K$4,0)</f>
        <v>1.2318609560805545</v>
      </c>
      <c r="J67" s="60">
        <f>IFERROR(J66/L$4,0)</f>
        <v>0</v>
      </c>
      <c r="K67" s="60">
        <f>IFERROR(SUM(J66:K66)/M$4,0)</f>
        <v>1.3236609560805546</v>
      </c>
      <c r="L67" s="60">
        <f>IFERROR(L66/N$4,0)</f>
        <v>0</v>
      </c>
      <c r="M67" s="60">
        <f>IFERROR(M66/O$4,0)</f>
        <v>0</v>
      </c>
      <c r="N67" s="60">
        <f>IFERROR(SUM(L66:N66)/P$4,0)</f>
        <v>1.8052093341208317</v>
      </c>
      <c r="O67" s="60">
        <f>IFERROR(O66/#REF!,0)</f>
        <v>0</v>
      </c>
      <c r="P67" s="60">
        <f>IFERROR(SUM(O66:P66)/S$4,0)</f>
        <v>1.2902609560805545</v>
      </c>
      <c r="Q67" s="61">
        <f t="shared" ref="Q67" si="87">Q66/Q$4</f>
        <v>1.8915965822361676</v>
      </c>
      <c r="R67" s="60">
        <f>IFERROR(R66/R$4,0)</f>
        <v>0</v>
      </c>
      <c r="S67" s="60">
        <f>IFERROR(S66/#REF!,0)</f>
        <v>0</v>
      </c>
      <c r="T67" s="60">
        <f>IFERROR(SUM(R66:T66)/V$4,0)</f>
        <v>1.8440093341208319</v>
      </c>
      <c r="U67" s="60">
        <f>IFERROR(U66/W$4,0)</f>
        <v>0</v>
      </c>
      <c r="V67" s="60">
        <f>IFERROR(SUM(U66:V66)/X$4,0)</f>
        <v>1.2318609560805545</v>
      </c>
      <c r="W67" s="60">
        <f>IFERROR(W66/Y$4,0)</f>
        <v>0</v>
      </c>
      <c r="X67" s="60">
        <f>IFERROR(SUM(W66:X66)/Z$4,0)</f>
        <v>1.3236609560805546</v>
      </c>
      <c r="Y67" s="60">
        <f>IFERROR(Y66/AA$4,0)</f>
        <v>0</v>
      </c>
      <c r="Z67" s="60">
        <f>IFERROR(Z66/AB$4,0)</f>
        <v>0</v>
      </c>
      <c r="AA67" s="60">
        <f>IFERROR(SUM(Y66:AA66)/AC$4,0)</f>
        <v>1.8052093341208317</v>
      </c>
      <c r="AB67" s="60">
        <f>IFERROR(AB66/AD$4,0)</f>
        <v>9.6709675608055462E-2</v>
      </c>
      <c r="AC67" s="60">
        <f>IFERROR(SUM(AB66:AC66)/AE$4,0)</f>
        <v>0</v>
      </c>
      <c r="AD67" s="61">
        <f>AD66/AD4</f>
        <v>1.4526074672966656</v>
      </c>
      <c r="AE67" s="60">
        <f>IFERROR(AE66/#REF!,0)</f>
        <v>0</v>
      </c>
      <c r="AF67" s="60">
        <f t="shared" ref="AF67" si="88">IFERROR(AF66/AF$4,0)</f>
        <v>0</v>
      </c>
      <c r="AG67" s="60">
        <f>IFERROR(SUM(AE66:AG66)/AG$4,0)</f>
        <v>2.1579735341208321</v>
      </c>
      <c r="AH67" s="60">
        <f t="shared" ref="AH67" si="89">IFERROR(AH66/AH$4,0)</f>
        <v>0</v>
      </c>
      <c r="AI67" s="60">
        <f>IFERROR(SUM(AH66:AI66)/AI$4,0)</f>
        <v>1.2318609560805545</v>
      </c>
      <c r="AJ67" s="60">
        <f t="shared" ref="AJ67" si="90">IFERROR(AJ66/AJ$4,0)</f>
        <v>0</v>
      </c>
      <c r="AK67" s="60">
        <f>IFERROR(SUM(AJ66:AK66)/AK$4,0)</f>
        <v>1.0916967560805546</v>
      </c>
      <c r="AL67" s="60">
        <f t="shared" ref="AL67:AM67" si="91">IFERROR(AL66/AL$4,0)</f>
        <v>0</v>
      </c>
      <c r="AM67" s="60">
        <f t="shared" si="91"/>
        <v>0</v>
      </c>
      <c r="AN67" s="60">
        <f>IFERROR(SUM(AL66:AN66)/AN$4,0)</f>
        <v>2.0371735341208317</v>
      </c>
      <c r="AO67" s="60">
        <f t="shared" ref="AO67" si="92">IFERROR(AO66/AO$4,0)</f>
        <v>0</v>
      </c>
      <c r="AP67" s="60">
        <f>IFERROR(SUM(AO66:AP66)/AP$4,0)</f>
        <v>1.0582967560805545</v>
      </c>
      <c r="AQ67" s="61">
        <f>AQ66/AQ$4</f>
        <v>1.3124008044192115</v>
      </c>
    </row>
    <row r="68" spans="1:43" x14ac:dyDescent="0.3"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6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6"/>
    </row>
    <row r="69" spans="1:43" ht="28.8" outlineLevel="1" x14ac:dyDescent="0.3">
      <c r="C69" s="1" t="s">
        <v>143</v>
      </c>
      <c r="E69" s="15">
        <f>E6-E66</f>
        <v>-83899.538499999995</v>
      </c>
      <c r="F69" s="15">
        <f>SUM(E69,F6)-F66</f>
        <v>-145646.88575000002</v>
      </c>
      <c r="G69" s="15">
        <f t="shared" ref="G69:N69" si="93">SUM(F69,G6)-G66</f>
        <v>-259440.13444555557</v>
      </c>
      <c r="H69" s="15">
        <f t="shared" si="93"/>
        <v>-324936.7622511111</v>
      </c>
      <c r="I69" s="15">
        <f t="shared" si="93"/>
        <v>-155395.70094666665</v>
      </c>
      <c r="J69" s="15">
        <f t="shared" si="93"/>
        <v>-233326.63875222221</v>
      </c>
      <c r="K69" s="15">
        <f t="shared" si="93"/>
        <v>-63785.57744777776</v>
      </c>
      <c r="L69" s="15">
        <f t="shared" si="93"/>
        <v>-129282.20525333332</v>
      </c>
      <c r="M69" s="15">
        <f t="shared" si="93"/>
        <v>63957.756941111133</v>
      </c>
      <c r="N69" s="15">
        <f t="shared" si="93"/>
        <v>-37401.18175444442</v>
      </c>
      <c r="O69" s="15">
        <f>SUM(N69,O6)-O66</f>
        <v>-102897.80955999998</v>
      </c>
      <c r="P69" s="15">
        <f>SUM(O69,P6)-P66</f>
        <v>58732.971744444483</v>
      </c>
      <c r="Q69" s="16">
        <f>P69</f>
        <v>58732.971744444483</v>
      </c>
      <c r="R69" s="15">
        <f>SUM(Q69,R6)-R66</f>
        <v>-12019.116061111068</v>
      </c>
      <c r="S69" s="15">
        <f t="shared" ref="S69:AO69" si="94">SUM(R69,S6)-S66</f>
        <v>193655.15613333337</v>
      </c>
      <c r="T69" s="15">
        <f t="shared" si="94"/>
        <v>79861.907437777816</v>
      </c>
      <c r="U69" s="15">
        <f t="shared" si="94"/>
        <v>14365.279632222257</v>
      </c>
      <c r="V69" s="15">
        <f t="shared" si="94"/>
        <v>183906.3409366667</v>
      </c>
      <c r="W69" s="15">
        <f t="shared" si="94"/>
        <v>105975.40313111115</v>
      </c>
      <c r="X69" s="15">
        <f t="shared" si="94"/>
        <v>275516.46443555562</v>
      </c>
      <c r="Y69" s="15">
        <f t="shared" si="94"/>
        <v>210019.83663000006</v>
      </c>
      <c r="Z69" s="15">
        <f t="shared" si="94"/>
        <v>403259.79882444447</v>
      </c>
      <c r="AA69" s="15">
        <f t="shared" si="94"/>
        <v>301900.86012888892</v>
      </c>
      <c r="AB69" s="15">
        <f t="shared" si="94"/>
        <v>236404.23232333336</v>
      </c>
      <c r="AC69" s="15">
        <f t="shared" si="94"/>
        <v>429454.56451777788</v>
      </c>
      <c r="AD69" s="16">
        <f>AC69</f>
        <v>429454.56451777788</v>
      </c>
      <c r="AE69" s="15">
        <f t="shared" si="94"/>
        <v>316176.02582222235</v>
      </c>
      <c r="AF69" s="15">
        <f t="shared" si="94"/>
        <v>250950.29801666678</v>
      </c>
      <c r="AG69" s="15">
        <f t="shared" si="94"/>
        <v>408057.04932111123</v>
      </c>
      <c r="AH69" s="15">
        <f t="shared" si="94"/>
        <v>342560.4215155557</v>
      </c>
      <c r="AI69" s="15">
        <f t="shared" si="94"/>
        <v>512101.48282000015</v>
      </c>
      <c r="AJ69" s="15">
        <f t="shared" si="94"/>
        <v>434170.54501444462</v>
      </c>
      <c r="AK69" s="15">
        <f t="shared" si="94"/>
        <v>635131.15720888902</v>
      </c>
      <c r="AL69" s="15">
        <f t="shared" si="94"/>
        <v>538214.97851333348</v>
      </c>
      <c r="AM69" s="15">
        <f t="shared" si="94"/>
        <v>460554.94070777792</v>
      </c>
      <c r="AN69" s="15">
        <f t="shared" si="94"/>
        <v>630096.00201222231</v>
      </c>
      <c r="AO69" s="15">
        <f t="shared" si="94"/>
        <v>564599.37420666672</v>
      </c>
      <c r="AP69" s="15">
        <f>SUM(AO69,AP6)-AP66</f>
        <v>757649.70640111121</v>
      </c>
      <c r="AQ69" s="16">
        <f>AP69</f>
        <v>757649.70640111121</v>
      </c>
    </row>
    <row r="70" spans="1:43" x14ac:dyDescent="0.3">
      <c r="G70" s="106"/>
      <c r="R70" s="62"/>
      <c r="S70" s="62"/>
      <c r="T70" s="62"/>
      <c r="U70" s="62"/>
      <c r="V70" s="62"/>
      <c r="W70" s="62"/>
      <c r="X70" s="62"/>
      <c r="Y70" s="62"/>
      <c r="Z70" s="62"/>
      <c r="AA70" s="63"/>
      <c r="AG70" s="62"/>
      <c r="AH70" s="62"/>
      <c r="AI70" s="62"/>
    </row>
    <row r="71" spans="1:43" x14ac:dyDescent="0.3">
      <c r="R71" s="62"/>
      <c r="S71" s="62"/>
      <c r="T71" s="62"/>
      <c r="U71" s="62"/>
      <c r="V71" s="62"/>
      <c r="W71" s="62"/>
      <c r="X71" s="62"/>
      <c r="Y71" s="62"/>
      <c r="Z71" s="62"/>
      <c r="AA71" s="63"/>
      <c r="AG71" s="62"/>
      <c r="AH71" s="62"/>
      <c r="AI71" s="62"/>
    </row>
    <row r="72" spans="1:43" x14ac:dyDescent="0.3">
      <c r="R72" s="62"/>
      <c r="S72" s="62"/>
      <c r="T72" s="62"/>
      <c r="U72" s="62"/>
      <c r="V72" s="62"/>
      <c r="W72" s="62"/>
      <c r="X72" s="62"/>
      <c r="Y72" s="62"/>
      <c r="Z72" s="62"/>
      <c r="AA72" s="63"/>
      <c r="AG72" s="62"/>
      <c r="AH72" s="62"/>
      <c r="AI72" s="62"/>
    </row>
    <row r="73" spans="1:43" x14ac:dyDescent="0.3">
      <c r="L73" s="64" t="s">
        <v>144</v>
      </c>
      <c r="M73" s="65" t="s">
        <v>145</v>
      </c>
      <c r="N73" s="65" t="s">
        <v>146</v>
      </c>
      <c r="O73" s="65" t="s">
        <v>147</v>
      </c>
      <c r="P73" s="65" t="s">
        <v>148</v>
      </c>
      <c r="Q73" s="66" t="s">
        <v>149</v>
      </c>
      <c r="R73" s="67" t="s">
        <v>150</v>
      </c>
      <c r="S73" s="64"/>
      <c r="T73" s="65"/>
      <c r="U73" s="65"/>
      <c r="V73" s="65"/>
      <c r="W73" s="67"/>
      <c r="AA73" s="63"/>
    </row>
    <row r="74" spans="1:43" x14ac:dyDescent="0.3">
      <c r="L74" t="s">
        <v>151</v>
      </c>
      <c r="M74" s="68">
        <f>SUM(E4:I4)</f>
        <v>135450</v>
      </c>
      <c r="N74" s="68">
        <f>SUM(J4:L4)</f>
        <v>135450</v>
      </c>
      <c r="O74" s="68">
        <f>SUM(M4:O4)</f>
        <v>135450</v>
      </c>
      <c r="P74" s="68">
        <f>SUM(P4:S4)-Q4</f>
        <v>270900</v>
      </c>
      <c r="Q74" s="69">
        <f>SUM(M74:P74)</f>
        <v>677250</v>
      </c>
      <c r="R74" s="68">
        <f>SUM(M74:P74)/12</f>
        <v>56437.5</v>
      </c>
      <c r="T74" s="68"/>
      <c r="U74" s="68"/>
      <c r="V74" s="68"/>
      <c r="W74" s="68"/>
      <c r="AA74" s="63"/>
      <c r="AG74" s="68"/>
      <c r="AH74" s="68"/>
      <c r="AI74" s="68"/>
    </row>
    <row r="75" spans="1:43" x14ac:dyDescent="0.3">
      <c r="L75" t="s">
        <v>152</v>
      </c>
      <c r="M75" s="70">
        <f>SUM(E66:G66)</f>
        <v>259440.13444555557</v>
      </c>
      <c r="N75" s="70">
        <f>SUM(H66:J66)</f>
        <v>244786.50430666667</v>
      </c>
      <c r="O75" s="70">
        <f>SUM(K66:M66)</f>
        <v>244515.60430666665</v>
      </c>
      <c r="P75" s="70">
        <f>SUM(N66:P66)</f>
        <v>276124.78519666666</v>
      </c>
      <c r="Q75" s="16">
        <f>SUM(M75:P75)</f>
        <v>1024867.0282555555</v>
      </c>
      <c r="R75" s="15">
        <f>SUM(M75:P75)/12</f>
        <v>85405.585687962957</v>
      </c>
      <c r="T75" s="70"/>
      <c r="U75" s="70"/>
      <c r="V75" s="70"/>
      <c r="W75" s="70"/>
      <c r="AA75" s="63"/>
      <c r="AG75" s="70"/>
      <c r="AH75" s="70"/>
      <c r="AI75" s="70"/>
    </row>
    <row r="76" spans="1:43" x14ac:dyDescent="0.3">
      <c r="A76" s="17"/>
      <c r="L76" s="71" t="s">
        <v>153</v>
      </c>
      <c r="M76" s="72">
        <f>M75/M74</f>
        <v>1.9153941265821748</v>
      </c>
      <c r="N76" s="72">
        <f t="shared" ref="N76:R76" si="95">N75/N74</f>
        <v>1.8072093341208317</v>
      </c>
      <c r="O76" s="72">
        <f t="shared" si="95"/>
        <v>1.8052093341208317</v>
      </c>
      <c r="P76" s="72">
        <f t="shared" si="95"/>
        <v>1.019286767060416</v>
      </c>
      <c r="Q76" s="73">
        <f t="shared" si="95"/>
        <v>1.513277265788934</v>
      </c>
      <c r="R76" s="72">
        <f t="shared" si="95"/>
        <v>1.513277265788934</v>
      </c>
      <c r="S76" s="71"/>
      <c r="T76" s="72"/>
      <c r="U76" s="72"/>
      <c r="V76" s="72"/>
      <c r="W76" s="72"/>
      <c r="AA76" s="63"/>
      <c r="AG76" s="74"/>
      <c r="AH76" s="74"/>
      <c r="AI76" s="74"/>
    </row>
    <row r="77" spans="1:43" x14ac:dyDescent="0.3">
      <c r="A77" s="17"/>
      <c r="L77" t="s">
        <v>154</v>
      </c>
      <c r="M77" s="75">
        <f>SUM(E5:G5)/3</f>
        <v>2</v>
      </c>
      <c r="N77" s="75">
        <f>SUM(H5:J5)/3</f>
        <v>2</v>
      </c>
      <c r="O77" s="75">
        <f>SUM(K5:M5)/3</f>
        <v>2</v>
      </c>
      <c r="P77" s="75">
        <f>SUM(N5:P5)/3</f>
        <v>2</v>
      </c>
      <c r="Q77" s="76">
        <f>AVERAGE(M77:P77)</f>
        <v>2</v>
      </c>
      <c r="R77" s="75">
        <f>SUM(E5:P5)/12</f>
        <v>2</v>
      </c>
      <c r="T77" s="75"/>
      <c r="U77" s="75"/>
      <c r="V77" s="75"/>
      <c r="W77" s="75"/>
      <c r="AA77" s="63"/>
      <c r="AG77" s="75"/>
      <c r="AH77" s="75"/>
      <c r="AI77" s="75"/>
    </row>
    <row r="78" spans="1:43" ht="43.8" thickBot="1" x14ac:dyDescent="0.35">
      <c r="A78" s="17"/>
      <c r="L78" s="1" t="s">
        <v>155</v>
      </c>
      <c r="M78" s="77">
        <v>0.51</v>
      </c>
      <c r="N78" s="75">
        <f>Q69*0.51</f>
        <v>29953.815589666687</v>
      </c>
      <c r="O78" s="77">
        <v>0.49</v>
      </c>
      <c r="P78" s="75">
        <f>P69*0.49</f>
        <v>28779.156154777796</v>
      </c>
      <c r="Q78" s="78" t="s">
        <v>156</v>
      </c>
      <c r="R78" s="75">
        <f>SUM(E66:J66)</f>
        <v>504226.63875222218</v>
      </c>
      <c r="T78" s="79"/>
      <c r="U78" s="79"/>
      <c r="V78" s="79"/>
      <c r="W78" s="79"/>
      <c r="AA78" s="63"/>
      <c r="AG78" s="75"/>
      <c r="AH78" s="75"/>
      <c r="AI78" s="75"/>
    </row>
    <row r="79" spans="1:43" x14ac:dyDescent="0.3">
      <c r="O79" s="80" t="s">
        <v>157</v>
      </c>
      <c r="P79" s="81">
        <f>P78/R78</f>
        <v>5.7075834442217803E-2</v>
      </c>
      <c r="Q79" s="82">
        <f>P78</f>
        <v>28779.156154777796</v>
      </c>
      <c r="T79" s="68"/>
      <c r="U79" s="68"/>
      <c r="V79" s="68"/>
      <c r="W79" s="68"/>
      <c r="AA79" s="63"/>
    </row>
    <row r="80" spans="1:43" x14ac:dyDescent="0.3">
      <c r="O80" s="83" t="s">
        <v>158</v>
      </c>
      <c r="P80" s="84">
        <f>(P78*2)/R78</f>
        <v>0.11415166888443561</v>
      </c>
      <c r="Q80" s="85">
        <f>P78</f>
        <v>28779.156154777796</v>
      </c>
      <c r="T80" s="70"/>
      <c r="U80" s="70"/>
      <c r="V80" s="70"/>
      <c r="W80" s="68"/>
    </row>
    <row r="81" spans="15:23" ht="15" thickBot="1" x14ac:dyDescent="0.35">
      <c r="O81" s="86" t="s">
        <v>159</v>
      </c>
      <c r="P81" s="87">
        <f>(P78*3)/R78</f>
        <v>0.1712275033266534</v>
      </c>
      <c r="Q81" s="88">
        <f>P78</f>
        <v>28779.156154777796</v>
      </c>
      <c r="T81" s="89"/>
      <c r="U81" s="89"/>
      <c r="V81" s="89"/>
      <c r="W81" s="89"/>
    </row>
    <row r="83" spans="15:23" x14ac:dyDescent="0.3">
      <c r="S83" s="90"/>
      <c r="T83" s="91"/>
      <c r="U83" s="91"/>
      <c r="V83" s="91"/>
      <c r="W83" s="92"/>
    </row>
    <row r="84" spans="15:23" x14ac:dyDescent="0.3">
      <c r="T84" s="68"/>
      <c r="U84" s="68"/>
      <c r="V84" s="68"/>
      <c r="W84" s="68"/>
    </row>
    <row r="85" spans="15:23" x14ac:dyDescent="0.3">
      <c r="T85" s="70"/>
      <c r="U85" s="70"/>
      <c r="V85" s="70"/>
      <c r="W85" s="70"/>
    </row>
    <row r="86" spans="15:23" x14ac:dyDescent="0.3">
      <c r="S86" s="92"/>
      <c r="T86" s="93"/>
      <c r="U86" s="93"/>
      <c r="V86" s="93"/>
      <c r="W86" s="9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02CE-99C4-48B0-AC37-E3506D92EA78}">
  <dimension ref="A1:BC86"/>
  <sheetViews>
    <sheetView zoomScale="70" zoomScaleNormal="70" workbookViewId="0">
      <pane ySplit="6" topLeftCell="A64" activePane="bottomLeft" state="frozen"/>
      <selection pane="bottomLeft" activeCell="M76" sqref="M76"/>
    </sheetView>
  </sheetViews>
  <sheetFormatPr defaultRowHeight="14.4" outlineLevelRow="1" outlineLevelCol="1" x14ac:dyDescent="0.3"/>
  <cols>
    <col min="1" max="1" width="1" customWidth="1" outlineLevel="1"/>
    <col min="2" max="2" width="0.88671875" customWidth="1" outlineLevel="1"/>
    <col min="3" max="3" width="33.88671875" style="1" customWidth="1"/>
    <col min="4" max="4" width="1.109375" style="1" customWidth="1"/>
    <col min="5" max="5" width="15.88671875" bestFit="1" customWidth="1"/>
    <col min="6" max="6" width="31.109375" bestFit="1" customWidth="1"/>
    <col min="7" max="11" width="15.88671875" bestFit="1" customWidth="1"/>
    <col min="12" max="12" width="16.44140625" bestFit="1" customWidth="1"/>
    <col min="13" max="14" width="15.88671875" bestFit="1" customWidth="1"/>
    <col min="15" max="15" width="22.109375" bestFit="1" customWidth="1"/>
    <col min="16" max="16" width="15.88671875" bestFit="1" customWidth="1"/>
    <col min="17" max="17" width="17.44140625" style="3" bestFit="1" customWidth="1"/>
    <col min="18" max="29" width="17.44140625" bestFit="1" customWidth="1"/>
    <col min="30" max="30" width="18.44140625" style="3" bestFit="1" customWidth="1"/>
    <col min="31" max="32" width="18.44140625" bestFit="1" customWidth="1"/>
    <col min="33" max="36" width="18.44140625" bestFit="1" customWidth="1" outlineLevel="1"/>
    <col min="37" max="42" width="18.44140625" bestFit="1" customWidth="1"/>
    <col min="43" max="43" width="19.44140625" style="3" bestFit="1" customWidth="1"/>
  </cols>
  <sheetData>
    <row r="1" spans="1:55" x14ac:dyDescent="0.3">
      <c r="C1" s="1" t="s">
        <v>42</v>
      </c>
      <c r="E1" s="2">
        <v>2</v>
      </c>
      <c r="F1" t="s">
        <v>43</v>
      </c>
      <c r="G1" s="4">
        <f>SUM(Rooms!B7,Rooms!B6,Rooms!B5,Rooms!B4)</f>
        <v>5480</v>
      </c>
      <c r="H1" t="s">
        <v>160</v>
      </c>
      <c r="I1" s="94" t="s">
        <v>45</v>
      </c>
    </row>
    <row r="2" spans="1:55" x14ac:dyDescent="0.3">
      <c r="C2" s="1" t="s">
        <v>46</v>
      </c>
      <c r="E2" s="4">
        <v>50</v>
      </c>
      <c r="F2" t="s">
        <v>47</v>
      </c>
      <c r="G2" s="2">
        <v>9</v>
      </c>
      <c r="H2" s="5" t="s">
        <v>48</v>
      </c>
      <c r="M2" s="5" t="s">
        <v>48</v>
      </c>
      <c r="U2" s="5" t="s">
        <v>48</v>
      </c>
      <c r="Z2" s="5" t="s">
        <v>48</v>
      </c>
      <c r="AH2" s="5" t="s">
        <v>48</v>
      </c>
      <c r="AM2" s="5" t="s">
        <v>48</v>
      </c>
    </row>
    <row r="3" spans="1:55" s="6" customFormat="1" x14ac:dyDescent="0.3">
      <c r="C3" s="7"/>
      <c r="D3" s="7"/>
      <c r="E3" s="8" t="s">
        <v>49</v>
      </c>
      <c r="F3" s="8" t="s">
        <v>50</v>
      </c>
      <c r="G3" s="8" t="s">
        <v>51</v>
      </c>
      <c r="H3" s="8" t="s">
        <v>52</v>
      </c>
      <c r="I3" s="8" t="s">
        <v>53</v>
      </c>
      <c r="J3" s="8" t="s">
        <v>54</v>
      </c>
      <c r="K3" s="8" t="s">
        <v>55</v>
      </c>
      <c r="L3" s="8" t="s">
        <v>56</v>
      </c>
      <c r="M3" s="8" t="s">
        <v>57</v>
      </c>
      <c r="N3" s="8" t="s">
        <v>58</v>
      </c>
      <c r="O3" s="8" t="s">
        <v>59</v>
      </c>
      <c r="P3" s="8" t="s">
        <v>60</v>
      </c>
      <c r="Q3" s="9" t="s">
        <v>61</v>
      </c>
      <c r="R3" s="8" t="s">
        <v>49</v>
      </c>
      <c r="S3" s="8" t="s">
        <v>50</v>
      </c>
      <c r="T3" s="8" t="s">
        <v>51</v>
      </c>
      <c r="U3" s="8" t="s">
        <v>52</v>
      </c>
      <c r="V3" s="8" t="s">
        <v>53</v>
      </c>
      <c r="W3" s="8" t="s">
        <v>54</v>
      </c>
      <c r="X3" s="8" t="s">
        <v>55</v>
      </c>
      <c r="Y3" s="8" t="s">
        <v>56</v>
      </c>
      <c r="Z3" s="8" t="s">
        <v>57</v>
      </c>
      <c r="AA3" s="8" t="s">
        <v>58</v>
      </c>
      <c r="AB3" s="8" t="s">
        <v>59</v>
      </c>
      <c r="AC3" s="8" t="s">
        <v>60</v>
      </c>
      <c r="AD3" s="9" t="s">
        <v>62</v>
      </c>
      <c r="AE3" s="8" t="s">
        <v>49</v>
      </c>
      <c r="AF3" s="8" t="s">
        <v>50</v>
      </c>
      <c r="AG3" s="8" t="s">
        <v>51</v>
      </c>
      <c r="AH3" s="8" t="s">
        <v>52</v>
      </c>
      <c r="AI3" s="8" t="s">
        <v>53</v>
      </c>
      <c r="AJ3" s="8" t="s">
        <v>54</v>
      </c>
      <c r="AK3" s="8" t="s">
        <v>55</v>
      </c>
      <c r="AL3" s="8" t="s">
        <v>56</v>
      </c>
      <c r="AM3" s="8" t="s">
        <v>57</v>
      </c>
      <c r="AN3" s="8" t="s">
        <v>58</v>
      </c>
      <c r="AO3" s="8" t="s">
        <v>59</v>
      </c>
      <c r="AP3" s="8" t="s">
        <v>60</v>
      </c>
      <c r="AQ3" s="9" t="s">
        <v>63</v>
      </c>
    </row>
    <row r="4" spans="1:55" x14ac:dyDescent="0.3">
      <c r="C4" s="1" t="s">
        <v>64</v>
      </c>
      <c r="E4" s="10">
        <v>0</v>
      </c>
      <c r="F4" s="10">
        <v>0</v>
      </c>
      <c r="G4" s="10">
        <v>0</v>
      </c>
      <c r="H4" s="10">
        <v>0</v>
      </c>
      <c r="I4" s="10">
        <f>$G$1*$E$2</f>
        <v>274000</v>
      </c>
      <c r="J4" s="10">
        <v>0</v>
      </c>
      <c r="K4" s="10">
        <f>$G$1*$E$2</f>
        <v>274000</v>
      </c>
      <c r="L4" s="10">
        <v>0</v>
      </c>
      <c r="M4" s="10">
        <f>$G$1*$E$2</f>
        <v>274000</v>
      </c>
      <c r="N4" s="10">
        <v>0</v>
      </c>
      <c r="O4" s="10">
        <v>0</v>
      </c>
      <c r="P4" s="10">
        <f>$G$1*$E$2</f>
        <v>274000</v>
      </c>
      <c r="Q4" s="11">
        <f>SUM(E4:P4)</f>
        <v>1096000</v>
      </c>
      <c r="R4" s="10">
        <v>0</v>
      </c>
      <c r="S4" s="10">
        <f>$G$1*$E$2</f>
        <v>274000</v>
      </c>
      <c r="V4" s="10">
        <f>$G$1*$E$2</f>
        <v>274000</v>
      </c>
      <c r="W4" s="10">
        <v>0</v>
      </c>
      <c r="X4" s="10">
        <f>$G$1*$E$2</f>
        <v>274000</v>
      </c>
      <c r="Y4" s="10">
        <v>0</v>
      </c>
      <c r="Z4" s="10">
        <f>$G$1*$E$2</f>
        <v>274000</v>
      </c>
      <c r="AA4" s="10">
        <v>0</v>
      </c>
      <c r="AB4" s="10">
        <v>0</v>
      </c>
      <c r="AC4" s="10">
        <f>$G$1*$E$2</f>
        <v>274000</v>
      </c>
      <c r="AD4" s="21">
        <f>SUM(R4:AC4)</f>
        <v>1370000</v>
      </c>
      <c r="AE4" s="10"/>
      <c r="AF4" s="10">
        <v>0</v>
      </c>
      <c r="AG4" s="10">
        <f>$G$1*$E$2</f>
        <v>274000</v>
      </c>
      <c r="AH4" s="10">
        <v>0</v>
      </c>
      <c r="AI4" s="10">
        <f>$G$1*$E$2</f>
        <v>274000</v>
      </c>
      <c r="AJ4" s="10">
        <v>0</v>
      </c>
      <c r="AK4" s="10">
        <f>$G$1*$E$2</f>
        <v>274000</v>
      </c>
      <c r="AL4" s="10">
        <v>0</v>
      </c>
      <c r="AM4" s="10">
        <v>0</v>
      </c>
      <c r="AN4" s="10">
        <f>$G$1*$E$2</f>
        <v>274000</v>
      </c>
      <c r="AO4" s="10">
        <v>0</v>
      </c>
      <c r="AP4" s="10">
        <f>$G$1*$E$2</f>
        <v>274000</v>
      </c>
      <c r="AQ4" s="11">
        <f>SUM(AE4:AP4)</f>
        <v>1370000</v>
      </c>
    </row>
    <row r="5" spans="1:55" outlineLevel="1" x14ac:dyDescent="0.3">
      <c r="C5" s="1" t="s">
        <v>65</v>
      </c>
      <c r="E5" s="12">
        <f>E1</f>
        <v>2</v>
      </c>
      <c r="F5" s="12">
        <f>$E$5</f>
        <v>2</v>
      </c>
      <c r="G5" s="12">
        <f t="shared" ref="G5:AP5" si="0">$E$5</f>
        <v>2</v>
      </c>
      <c r="H5" s="12">
        <f t="shared" si="0"/>
        <v>2</v>
      </c>
      <c r="I5" s="12">
        <f t="shared" si="0"/>
        <v>2</v>
      </c>
      <c r="J5" s="12">
        <f t="shared" si="0"/>
        <v>2</v>
      </c>
      <c r="K5" s="12">
        <f t="shared" si="0"/>
        <v>2</v>
      </c>
      <c r="L5" s="12">
        <f t="shared" si="0"/>
        <v>2</v>
      </c>
      <c r="M5" s="12">
        <f t="shared" si="0"/>
        <v>2</v>
      </c>
      <c r="N5" s="12">
        <f t="shared" si="0"/>
        <v>2</v>
      </c>
      <c r="O5" s="12">
        <f t="shared" si="0"/>
        <v>2</v>
      </c>
      <c r="P5" s="12">
        <f t="shared" si="0"/>
        <v>2</v>
      </c>
      <c r="Q5" s="13">
        <f>AVERAGE(E5:P5)</f>
        <v>2</v>
      </c>
      <c r="R5" s="12">
        <f t="shared" si="0"/>
        <v>2</v>
      </c>
      <c r="S5" s="12">
        <f t="shared" si="0"/>
        <v>2</v>
      </c>
      <c r="T5" s="12">
        <f t="shared" si="0"/>
        <v>2</v>
      </c>
      <c r="U5" s="12">
        <f t="shared" si="0"/>
        <v>2</v>
      </c>
      <c r="V5" s="12">
        <f t="shared" si="0"/>
        <v>2</v>
      </c>
      <c r="W5" s="12">
        <f t="shared" si="0"/>
        <v>2</v>
      </c>
      <c r="X5" s="12">
        <f t="shared" si="0"/>
        <v>2</v>
      </c>
      <c r="Y5" s="12">
        <f t="shared" si="0"/>
        <v>2</v>
      </c>
      <c r="Z5" s="12">
        <f t="shared" si="0"/>
        <v>2</v>
      </c>
      <c r="AA5" s="12">
        <f t="shared" si="0"/>
        <v>2</v>
      </c>
      <c r="AB5" s="12">
        <f t="shared" si="0"/>
        <v>2</v>
      </c>
      <c r="AC5" s="12">
        <f t="shared" si="0"/>
        <v>2</v>
      </c>
      <c r="AD5" s="13">
        <f>AVERAGE(R5:AC5)</f>
        <v>2</v>
      </c>
      <c r="AE5" s="12">
        <f t="shared" si="0"/>
        <v>2</v>
      </c>
      <c r="AF5" s="12">
        <f t="shared" si="0"/>
        <v>2</v>
      </c>
      <c r="AG5" s="12">
        <f t="shared" si="0"/>
        <v>2</v>
      </c>
      <c r="AH5" s="12">
        <f t="shared" si="0"/>
        <v>2</v>
      </c>
      <c r="AI5" s="12">
        <f t="shared" si="0"/>
        <v>2</v>
      </c>
      <c r="AJ5" s="12">
        <f t="shared" si="0"/>
        <v>2</v>
      </c>
      <c r="AK5" s="12">
        <f t="shared" si="0"/>
        <v>2</v>
      </c>
      <c r="AL5" s="12">
        <f t="shared" si="0"/>
        <v>2</v>
      </c>
      <c r="AM5" s="12">
        <f t="shared" si="0"/>
        <v>2</v>
      </c>
      <c r="AN5" s="12">
        <f t="shared" si="0"/>
        <v>2</v>
      </c>
      <c r="AO5" s="12">
        <f t="shared" si="0"/>
        <v>2</v>
      </c>
      <c r="AP5" s="12">
        <f t="shared" si="0"/>
        <v>2</v>
      </c>
      <c r="AQ5" s="13">
        <f>AVERAGE(AE5:AP5)</f>
        <v>2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</row>
    <row r="6" spans="1:55" outlineLevel="1" x14ac:dyDescent="0.3">
      <c r="C6" s="1" t="s">
        <v>66</v>
      </c>
      <c r="E6" s="15">
        <f>E4*E5</f>
        <v>0</v>
      </c>
      <c r="F6" s="15">
        <f t="shared" ref="F6:Q6" si="1">F4*F5</f>
        <v>0</v>
      </c>
      <c r="G6" s="15">
        <f>G4*G5</f>
        <v>0</v>
      </c>
      <c r="H6" s="15">
        <f t="shared" ref="H6:P6" si="2">H4*H5</f>
        <v>0</v>
      </c>
      <c r="I6" s="15">
        <f>I4*I5</f>
        <v>548000</v>
      </c>
      <c r="J6" s="15">
        <f t="shared" si="2"/>
        <v>0</v>
      </c>
      <c r="K6" s="15">
        <f t="shared" si="2"/>
        <v>548000</v>
      </c>
      <c r="L6" s="15">
        <f t="shared" si="2"/>
        <v>0</v>
      </c>
      <c r="M6" s="15">
        <f t="shared" si="2"/>
        <v>548000</v>
      </c>
      <c r="N6" s="15">
        <f t="shared" si="2"/>
        <v>0</v>
      </c>
      <c r="O6" s="15">
        <f t="shared" si="2"/>
        <v>0</v>
      </c>
      <c r="P6" s="15">
        <f t="shared" si="2"/>
        <v>548000</v>
      </c>
      <c r="Q6" s="16">
        <f t="shared" si="1"/>
        <v>2192000</v>
      </c>
      <c r="R6" s="15">
        <f>R4*R5</f>
        <v>0</v>
      </c>
      <c r="S6" s="15">
        <f t="shared" ref="S6:AC6" si="3">S4*S5</f>
        <v>548000</v>
      </c>
      <c r="T6" s="15">
        <f t="shared" si="3"/>
        <v>0</v>
      </c>
      <c r="U6" s="15">
        <f t="shared" si="3"/>
        <v>0</v>
      </c>
      <c r="V6" s="15">
        <f t="shared" si="3"/>
        <v>548000</v>
      </c>
      <c r="W6" s="15">
        <f t="shared" si="3"/>
        <v>0</v>
      </c>
      <c r="X6" s="15">
        <f t="shared" si="3"/>
        <v>548000</v>
      </c>
      <c r="Y6" s="15">
        <f t="shared" si="3"/>
        <v>0</v>
      </c>
      <c r="Z6" s="15">
        <f t="shared" si="3"/>
        <v>548000</v>
      </c>
      <c r="AA6" s="15">
        <f t="shared" si="3"/>
        <v>0</v>
      </c>
      <c r="AB6" s="15">
        <f t="shared" si="3"/>
        <v>0</v>
      </c>
      <c r="AC6" s="15">
        <f t="shared" si="3"/>
        <v>548000</v>
      </c>
      <c r="AD6" s="15">
        <f>AD4*AD5</f>
        <v>2740000</v>
      </c>
      <c r="AE6" s="15">
        <f t="shared" ref="AE6:AP6" si="4">AE4*AE5</f>
        <v>0</v>
      </c>
      <c r="AF6" s="15">
        <f t="shared" si="4"/>
        <v>0</v>
      </c>
      <c r="AG6" s="15">
        <f t="shared" si="4"/>
        <v>548000</v>
      </c>
      <c r="AH6" s="15">
        <f t="shared" si="4"/>
        <v>0</v>
      </c>
      <c r="AI6" s="15">
        <f t="shared" si="4"/>
        <v>548000</v>
      </c>
      <c r="AJ6" s="15">
        <f t="shared" si="4"/>
        <v>0</v>
      </c>
      <c r="AK6" s="15">
        <f t="shared" si="4"/>
        <v>548000</v>
      </c>
      <c r="AL6" s="15">
        <f t="shared" si="4"/>
        <v>0</v>
      </c>
      <c r="AM6" s="15">
        <f t="shared" si="4"/>
        <v>0</v>
      </c>
      <c r="AN6" s="15">
        <f t="shared" si="4"/>
        <v>548000</v>
      </c>
      <c r="AO6" s="15">
        <f t="shared" si="4"/>
        <v>0</v>
      </c>
      <c r="AP6" s="15">
        <f t="shared" si="4"/>
        <v>548000</v>
      </c>
      <c r="AQ6" s="16">
        <f t="shared" ref="AQ6" si="5">AQ4*AQ5</f>
        <v>2740000</v>
      </c>
    </row>
    <row r="7" spans="1:55" x14ac:dyDescent="0.3"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6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6"/>
    </row>
    <row r="8" spans="1:55" ht="273.60000000000002" x14ac:dyDescent="0.3">
      <c r="A8" s="17" t="s">
        <v>67</v>
      </c>
      <c r="B8" s="17" t="s">
        <v>68</v>
      </c>
      <c r="C8" s="18" t="s">
        <v>69</v>
      </c>
      <c r="D8" s="1" t="s">
        <v>70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</row>
    <row r="9" spans="1:55" ht="28.8" x14ac:dyDescent="0.3">
      <c r="C9" s="1" t="s">
        <v>71</v>
      </c>
      <c r="D9" s="95">
        <v>2.5</v>
      </c>
      <c r="E9" s="15">
        <f>$D$9*$G$1</f>
        <v>13700</v>
      </c>
      <c r="F9" s="15">
        <f t="shared" ref="F9:AP9" si="6">$D$9*$G$1</f>
        <v>13700</v>
      </c>
      <c r="G9" s="15">
        <f t="shared" si="6"/>
        <v>13700</v>
      </c>
      <c r="H9" s="15">
        <f t="shared" si="6"/>
        <v>13700</v>
      </c>
      <c r="I9" s="15">
        <f t="shared" si="6"/>
        <v>13700</v>
      </c>
      <c r="J9" s="15">
        <f t="shared" si="6"/>
        <v>13700</v>
      </c>
      <c r="K9" s="15">
        <f t="shared" si="6"/>
        <v>13700</v>
      </c>
      <c r="L9" s="15">
        <f t="shared" si="6"/>
        <v>13700</v>
      </c>
      <c r="M9" s="15">
        <f t="shared" si="6"/>
        <v>13700</v>
      </c>
      <c r="N9" s="15">
        <f t="shared" si="6"/>
        <v>13700</v>
      </c>
      <c r="O9" s="15">
        <f t="shared" si="6"/>
        <v>13700</v>
      </c>
      <c r="P9" s="15">
        <f t="shared" si="6"/>
        <v>13700</v>
      </c>
      <c r="Q9" s="21">
        <f>SUM(E9:P9)</f>
        <v>164400</v>
      </c>
      <c r="R9" s="15">
        <f t="shared" si="6"/>
        <v>13700</v>
      </c>
      <c r="S9" s="15">
        <f t="shared" si="6"/>
        <v>13700</v>
      </c>
      <c r="T9" s="15">
        <f t="shared" si="6"/>
        <v>13700</v>
      </c>
      <c r="U9" s="15">
        <f t="shared" si="6"/>
        <v>13700</v>
      </c>
      <c r="V9" s="15">
        <f t="shared" si="6"/>
        <v>13700</v>
      </c>
      <c r="W9" s="15">
        <f t="shared" si="6"/>
        <v>13700</v>
      </c>
      <c r="X9" s="15">
        <f t="shared" si="6"/>
        <v>13700</v>
      </c>
      <c r="Y9" s="15">
        <f t="shared" si="6"/>
        <v>13700</v>
      </c>
      <c r="Z9" s="15">
        <f t="shared" si="6"/>
        <v>13700</v>
      </c>
      <c r="AA9" s="15">
        <f t="shared" si="6"/>
        <v>13700</v>
      </c>
      <c r="AB9" s="15">
        <f t="shared" si="6"/>
        <v>13700</v>
      </c>
      <c r="AC9" s="15">
        <f t="shared" si="6"/>
        <v>13700</v>
      </c>
      <c r="AD9" s="15">
        <f t="shared" ref="AD9:AD19" si="7">SUM(R9:AC9)</f>
        <v>164400</v>
      </c>
      <c r="AE9" s="15">
        <f t="shared" si="6"/>
        <v>13700</v>
      </c>
      <c r="AF9" s="15">
        <f t="shared" si="6"/>
        <v>13700</v>
      </c>
      <c r="AG9" s="15">
        <f t="shared" si="6"/>
        <v>13700</v>
      </c>
      <c r="AH9" s="15">
        <f t="shared" si="6"/>
        <v>13700</v>
      </c>
      <c r="AI9" s="15">
        <f t="shared" si="6"/>
        <v>13700</v>
      </c>
      <c r="AJ9" s="15">
        <f t="shared" si="6"/>
        <v>13700</v>
      </c>
      <c r="AK9" s="15">
        <f t="shared" si="6"/>
        <v>13700</v>
      </c>
      <c r="AL9" s="15">
        <f t="shared" si="6"/>
        <v>13700</v>
      </c>
      <c r="AM9" s="15">
        <f t="shared" si="6"/>
        <v>13700</v>
      </c>
      <c r="AN9" s="15">
        <f t="shared" si="6"/>
        <v>13700</v>
      </c>
      <c r="AO9" s="15">
        <f t="shared" si="6"/>
        <v>13700</v>
      </c>
      <c r="AP9" s="15">
        <f t="shared" si="6"/>
        <v>13700</v>
      </c>
      <c r="AQ9" s="21">
        <f>SUM(AE9:AP9)</f>
        <v>164400</v>
      </c>
    </row>
    <row r="10" spans="1:55" x14ac:dyDescent="0.3">
      <c r="C10" s="1" t="s">
        <v>72</v>
      </c>
      <c r="D10" s="95">
        <f>400/1600</f>
        <v>0.25</v>
      </c>
      <c r="E10" s="15"/>
      <c r="F10" s="15"/>
      <c r="G10" s="15">
        <f t="shared" ref="G10:AN10" si="8">$D$10*$G$1</f>
        <v>1370</v>
      </c>
      <c r="H10" s="15"/>
      <c r="I10" s="15">
        <f t="shared" si="8"/>
        <v>1370</v>
      </c>
      <c r="J10" s="15"/>
      <c r="K10" s="15">
        <f t="shared" si="8"/>
        <v>1370</v>
      </c>
      <c r="L10" s="15"/>
      <c r="M10" s="15"/>
      <c r="N10" s="15">
        <f t="shared" si="8"/>
        <v>1370</v>
      </c>
      <c r="O10" s="15"/>
      <c r="P10" s="15">
        <f t="shared" si="8"/>
        <v>1370</v>
      </c>
      <c r="Q10" s="21">
        <f>SUM(F10:P10)</f>
        <v>6850</v>
      </c>
      <c r="R10" s="15"/>
      <c r="S10" s="15"/>
      <c r="T10" s="15">
        <f t="shared" si="8"/>
        <v>1370</v>
      </c>
      <c r="U10" s="15"/>
      <c r="V10" s="15">
        <f t="shared" si="8"/>
        <v>1370</v>
      </c>
      <c r="W10" s="15"/>
      <c r="X10" s="15">
        <f t="shared" si="8"/>
        <v>1370</v>
      </c>
      <c r="Y10" s="15"/>
      <c r="Z10" s="15"/>
      <c r="AA10" s="15">
        <f t="shared" si="8"/>
        <v>1370</v>
      </c>
      <c r="AB10" s="15"/>
      <c r="AD10" s="15">
        <f t="shared" si="7"/>
        <v>5480</v>
      </c>
      <c r="AE10" s="15">
        <f t="shared" si="8"/>
        <v>1370</v>
      </c>
      <c r="AF10" s="15"/>
      <c r="AG10" s="15">
        <f t="shared" si="8"/>
        <v>1370</v>
      </c>
      <c r="AH10" s="15"/>
      <c r="AI10" s="15">
        <f t="shared" si="8"/>
        <v>1370</v>
      </c>
      <c r="AJ10" s="15"/>
      <c r="AK10" s="15"/>
      <c r="AL10" s="15">
        <f t="shared" si="8"/>
        <v>1370</v>
      </c>
      <c r="AM10" s="15"/>
      <c r="AN10" s="15">
        <f t="shared" si="8"/>
        <v>1370</v>
      </c>
      <c r="AO10" s="15"/>
      <c r="AP10" s="15"/>
      <c r="AQ10" s="21">
        <f>SUM(AF10:AP10)</f>
        <v>5480</v>
      </c>
    </row>
    <row r="11" spans="1:55" x14ac:dyDescent="0.3">
      <c r="C11" s="1" t="s">
        <v>73</v>
      </c>
      <c r="D11" s="95">
        <f>2080/1600</f>
        <v>1.3</v>
      </c>
      <c r="E11" s="15"/>
      <c r="F11" s="15"/>
      <c r="G11" s="15">
        <f t="shared" ref="G11:AN11" si="9">$D$11*$G$1</f>
        <v>7124</v>
      </c>
      <c r="H11" s="15"/>
      <c r="I11" s="15">
        <f t="shared" si="9"/>
        <v>7124</v>
      </c>
      <c r="J11" s="15"/>
      <c r="K11" s="15">
        <f t="shared" si="9"/>
        <v>7124</v>
      </c>
      <c r="L11" s="15"/>
      <c r="M11" s="15"/>
      <c r="N11" s="15">
        <f t="shared" si="9"/>
        <v>7124</v>
      </c>
      <c r="O11" s="15"/>
      <c r="P11" s="15">
        <f t="shared" si="9"/>
        <v>7124</v>
      </c>
      <c r="Q11" s="21"/>
      <c r="R11" s="15"/>
      <c r="S11" s="15"/>
      <c r="T11" s="15">
        <f t="shared" si="9"/>
        <v>7124</v>
      </c>
      <c r="U11" s="15"/>
      <c r="V11" s="15">
        <f t="shared" si="9"/>
        <v>7124</v>
      </c>
      <c r="W11" s="15"/>
      <c r="X11" s="15">
        <f t="shared" si="9"/>
        <v>7124</v>
      </c>
      <c r="Y11" s="15"/>
      <c r="Z11" s="15"/>
      <c r="AA11" s="15">
        <f t="shared" si="9"/>
        <v>7124</v>
      </c>
      <c r="AB11" s="15"/>
      <c r="AD11" s="15">
        <f t="shared" si="7"/>
        <v>28496</v>
      </c>
      <c r="AE11" s="15">
        <f t="shared" si="9"/>
        <v>7124</v>
      </c>
      <c r="AF11" s="15"/>
      <c r="AG11" s="15">
        <f t="shared" si="9"/>
        <v>7124</v>
      </c>
      <c r="AH11" s="15"/>
      <c r="AI11" s="15">
        <f t="shared" si="9"/>
        <v>7124</v>
      </c>
      <c r="AJ11" s="15"/>
      <c r="AK11" s="15"/>
      <c r="AL11" s="15">
        <f t="shared" si="9"/>
        <v>7124</v>
      </c>
      <c r="AM11" s="15"/>
      <c r="AN11" s="15">
        <f t="shared" si="9"/>
        <v>7124</v>
      </c>
      <c r="AO11" s="15"/>
      <c r="AP11" s="15"/>
      <c r="AQ11" s="21"/>
    </row>
    <row r="12" spans="1:55" x14ac:dyDescent="0.3">
      <c r="C12" s="1" t="s">
        <v>74</v>
      </c>
      <c r="D12" s="95">
        <f>1280/1600</f>
        <v>0.8</v>
      </c>
      <c r="E12" s="15"/>
      <c r="F12" s="15"/>
      <c r="G12" s="15">
        <f t="shared" ref="G12:AN12" si="10">$D$12*$G$1</f>
        <v>4384</v>
      </c>
      <c r="H12" s="15"/>
      <c r="I12" s="15">
        <f t="shared" si="10"/>
        <v>4384</v>
      </c>
      <c r="J12" s="15"/>
      <c r="K12" s="15">
        <f t="shared" si="10"/>
        <v>4384</v>
      </c>
      <c r="L12" s="15"/>
      <c r="M12" s="15"/>
      <c r="N12" s="15">
        <f t="shared" si="10"/>
        <v>4384</v>
      </c>
      <c r="O12" s="15"/>
      <c r="P12" s="15">
        <f t="shared" si="10"/>
        <v>4384</v>
      </c>
      <c r="Q12" s="21"/>
      <c r="R12" s="15"/>
      <c r="S12" s="15"/>
      <c r="T12" s="15">
        <f t="shared" si="10"/>
        <v>4384</v>
      </c>
      <c r="U12" s="15"/>
      <c r="V12" s="15">
        <f t="shared" si="10"/>
        <v>4384</v>
      </c>
      <c r="W12" s="15"/>
      <c r="X12" s="15">
        <f t="shared" si="10"/>
        <v>4384</v>
      </c>
      <c r="Y12" s="15"/>
      <c r="Z12" s="15"/>
      <c r="AA12" s="15">
        <f t="shared" si="10"/>
        <v>4384</v>
      </c>
      <c r="AB12" s="15"/>
      <c r="AD12" s="15">
        <f t="shared" si="7"/>
        <v>17536</v>
      </c>
      <c r="AE12" s="15">
        <f t="shared" si="10"/>
        <v>4384</v>
      </c>
      <c r="AF12" s="15"/>
      <c r="AG12" s="15">
        <f t="shared" si="10"/>
        <v>4384</v>
      </c>
      <c r="AH12" s="15"/>
      <c r="AI12" s="15">
        <f t="shared" si="10"/>
        <v>4384</v>
      </c>
      <c r="AJ12" s="15"/>
      <c r="AK12" s="15"/>
      <c r="AL12" s="15">
        <f t="shared" si="10"/>
        <v>4384</v>
      </c>
      <c r="AM12" s="15"/>
      <c r="AN12" s="15">
        <f t="shared" si="10"/>
        <v>4384</v>
      </c>
      <c r="AO12" s="15"/>
      <c r="AP12" s="15"/>
      <c r="AQ12" s="21"/>
    </row>
    <row r="13" spans="1:55" ht="28.8" x14ac:dyDescent="0.3">
      <c r="C13" s="1" t="s">
        <v>75</v>
      </c>
      <c r="D13" s="95">
        <v>8</v>
      </c>
      <c r="E13" s="15"/>
      <c r="F13" s="15"/>
      <c r="G13" s="15">
        <f t="shared" ref="G13:AN13" si="11">$D$13*$G$1</f>
        <v>43840</v>
      </c>
      <c r="H13" s="15"/>
      <c r="I13" s="15">
        <f t="shared" si="11"/>
        <v>43840</v>
      </c>
      <c r="J13" s="15"/>
      <c r="K13" s="15">
        <f t="shared" si="11"/>
        <v>43840</v>
      </c>
      <c r="L13" s="15"/>
      <c r="M13" s="15"/>
      <c r="N13" s="15">
        <f t="shared" si="11"/>
        <v>43840</v>
      </c>
      <c r="O13" s="15"/>
      <c r="P13" s="15">
        <f t="shared" si="11"/>
        <v>43840</v>
      </c>
      <c r="Q13" s="21"/>
      <c r="R13" s="15"/>
      <c r="S13" s="15"/>
      <c r="T13" s="15">
        <f t="shared" si="11"/>
        <v>43840</v>
      </c>
      <c r="U13" s="15"/>
      <c r="V13" s="15">
        <f t="shared" si="11"/>
        <v>43840</v>
      </c>
      <c r="W13" s="15"/>
      <c r="X13" s="15">
        <f t="shared" si="11"/>
        <v>43840</v>
      </c>
      <c r="Y13" s="15"/>
      <c r="Z13" s="15"/>
      <c r="AA13" s="15">
        <f t="shared" si="11"/>
        <v>43840</v>
      </c>
      <c r="AB13" s="15"/>
      <c r="AC13" s="15"/>
      <c r="AD13" s="15">
        <f t="shared" si="7"/>
        <v>175360</v>
      </c>
      <c r="AE13" s="15">
        <f t="shared" si="11"/>
        <v>43840</v>
      </c>
      <c r="AF13" s="15"/>
      <c r="AG13" s="15">
        <f t="shared" si="11"/>
        <v>43840</v>
      </c>
      <c r="AH13" s="15"/>
      <c r="AI13" s="15">
        <f t="shared" si="11"/>
        <v>43840</v>
      </c>
      <c r="AJ13" s="15"/>
      <c r="AK13" s="15"/>
      <c r="AL13" s="15">
        <f t="shared" si="11"/>
        <v>43840</v>
      </c>
      <c r="AM13" s="15"/>
      <c r="AN13" s="15">
        <f t="shared" si="11"/>
        <v>43840</v>
      </c>
      <c r="AO13" s="15"/>
      <c r="AP13" s="15"/>
      <c r="AQ13" s="21"/>
    </row>
    <row r="14" spans="1:55" x14ac:dyDescent="0.3">
      <c r="C14" s="1" t="s">
        <v>76</v>
      </c>
      <c r="D14" s="95">
        <f t="shared" ref="D14:D65" si="12">E14/1600</f>
        <v>4.6875</v>
      </c>
      <c r="E14" s="15">
        <f>90000/12</f>
        <v>7500</v>
      </c>
      <c r="F14" s="15">
        <f>E14</f>
        <v>7500</v>
      </c>
      <c r="G14" s="15">
        <f t="shared" ref="G14:P14" si="13">F14</f>
        <v>7500</v>
      </c>
      <c r="H14" s="15">
        <f t="shared" si="13"/>
        <v>7500</v>
      </c>
      <c r="I14" s="15">
        <f t="shared" si="13"/>
        <v>7500</v>
      </c>
      <c r="J14" s="15">
        <f t="shared" si="13"/>
        <v>7500</v>
      </c>
      <c r="K14" s="15">
        <f t="shared" si="13"/>
        <v>7500</v>
      </c>
      <c r="L14" s="15">
        <f t="shared" si="13"/>
        <v>7500</v>
      </c>
      <c r="M14" s="15">
        <f t="shared" si="13"/>
        <v>7500</v>
      </c>
      <c r="N14" s="15">
        <f t="shared" si="13"/>
        <v>7500</v>
      </c>
      <c r="O14" s="15">
        <f t="shared" si="13"/>
        <v>7500</v>
      </c>
      <c r="P14" s="15">
        <f t="shared" si="13"/>
        <v>7500</v>
      </c>
      <c r="Q14" s="21">
        <f t="shared" ref="Q14:Q19" si="14">SUM(E14:P14)</f>
        <v>90000</v>
      </c>
      <c r="R14" s="15">
        <f>P14</f>
        <v>7500</v>
      </c>
      <c r="S14" s="15">
        <f>R14</f>
        <v>7500</v>
      </c>
      <c r="T14" s="15">
        <f t="shared" ref="T14:AB14" si="15">S14</f>
        <v>7500</v>
      </c>
      <c r="U14" s="15">
        <f t="shared" si="15"/>
        <v>7500</v>
      </c>
      <c r="V14" s="15">
        <f t="shared" si="15"/>
        <v>7500</v>
      </c>
      <c r="W14" s="15">
        <f t="shared" si="15"/>
        <v>7500</v>
      </c>
      <c r="X14" s="15">
        <f t="shared" si="15"/>
        <v>7500</v>
      </c>
      <c r="Y14" s="15">
        <f t="shared" si="15"/>
        <v>7500</v>
      </c>
      <c r="Z14" s="15">
        <f t="shared" si="15"/>
        <v>7500</v>
      </c>
      <c r="AA14" s="15">
        <f t="shared" si="15"/>
        <v>7500</v>
      </c>
      <c r="AB14" s="15">
        <f t="shared" si="15"/>
        <v>7500</v>
      </c>
      <c r="AC14" s="15">
        <f>AB14</f>
        <v>7500</v>
      </c>
      <c r="AD14" s="15">
        <f t="shared" si="7"/>
        <v>90000</v>
      </c>
      <c r="AE14" s="15">
        <f>AC14</f>
        <v>7500</v>
      </c>
      <c r="AF14" s="15">
        <f>AE14</f>
        <v>7500</v>
      </c>
      <c r="AG14" s="15">
        <f t="shared" ref="AG14:AP14" si="16">AE14</f>
        <v>7500</v>
      </c>
      <c r="AH14" s="15">
        <f t="shared" si="16"/>
        <v>7500</v>
      </c>
      <c r="AI14" s="15">
        <f t="shared" si="16"/>
        <v>7500</v>
      </c>
      <c r="AJ14" s="15">
        <f t="shared" si="16"/>
        <v>7500</v>
      </c>
      <c r="AK14" s="15">
        <f t="shared" si="16"/>
        <v>7500</v>
      </c>
      <c r="AL14" s="15">
        <f t="shared" si="16"/>
        <v>7500</v>
      </c>
      <c r="AM14" s="15">
        <f t="shared" si="16"/>
        <v>7500</v>
      </c>
      <c r="AN14" s="15">
        <f t="shared" si="16"/>
        <v>7500</v>
      </c>
      <c r="AO14" s="15">
        <f t="shared" si="16"/>
        <v>7500</v>
      </c>
      <c r="AP14" s="15">
        <f t="shared" si="16"/>
        <v>7500</v>
      </c>
      <c r="AQ14" s="21">
        <f t="shared" ref="AQ14:AQ19" si="17">SUM(AE14:AP14)</f>
        <v>90000</v>
      </c>
    </row>
    <row r="15" spans="1:55" x14ac:dyDescent="0.3">
      <c r="D15" s="9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21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f t="shared" si="7"/>
        <v>0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21"/>
    </row>
    <row r="16" spans="1:55" ht="28.8" x14ac:dyDescent="0.3">
      <c r="C16" s="1" t="s">
        <v>77</v>
      </c>
      <c r="D16" s="95">
        <f t="shared" si="12"/>
        <v>0.390625</v>
      </c>
      <c r="E16" s="15">
        <f>25*25</f>
        <v>625</v>
      </c>
      <c r="F16" s="15">
        <f t="shared" ref="F16:P16" si="18">25*25</f>
        <v>625</v>
      </c>
      <c r="G16" s="15">
        <f t="shared" si="18"/>
        <v>625</v>
      </c>
      <c r="H16" s="15">
        <f t="shared" si="18"/>
        <v>625</v>
      </c>
      <c r="I16" s="15">
        <f t="shared" si="18"/>
        <v>625</v>
      </c>
      <c r="J16" s="15">
        <f t="shared" si="18"/>
        <v>625</v>
      </c>
      <c r="K16" s="15">
        <f t="shared" si="18"/>
        <v>625</v>
      </c>
      <c r="L16" s="15">
        <f t="shared" si="18"/>
        <v>625</v>
      </c>
      <c r="M16" s="15">
        <f t="shared" si="18"/>
        <v>625</v>
      </c>
      <c r="N16" s="15">
        <f t="shared" si="18"/>
        <v>625</v>
      </c>
      <c r="O16" s="15">
        <f t="shared" si="18"/>
        <v>625</v>
      </c>
      <c r="P16" s="15">
        <f t="shared" si="18"/>
        <v>625</v>
      </c>
      <c r="Q16" s="16">
        <f t="shared" si="14"/>
        <v>7500</v>
      </c>
      <c r="R16" s="15">
        <f>25*25</f>
        <v>625</v>
      </c>
      <c r="S16" s="15">
        <f t="shared" ref="S16:AC16" si="19">25*25</f>
        <v>625</v>
      </c>
      <c r="T16" s="15">
        <f t="shared" si="19"/>
        <v>625</v>
      </c>
      <c r="U16" s="15">
        <f t="shared" si="19"/>
        <v>625</v>
      </c>
      <c r="V16" s="15">
        <f t="shared" si="19"/>
        <v>625</v>
      </c>
      <c r="W16" s="15">
        <f t="shared" si="19"/>
        <v>625</v>
      </c>
      <c r="X16" s="15">
        <f t="shared" si="19"/>
        <v>625</v>
      </c>
      <c r="Y16" s="15">
        <f t="shared" si="19"/>
        <v>625</v>
      </c>
      <c r="Z16" s="15">
        <f t="shared" si="19"/>
        <v>625</v>
      </c>
      <c r="AA16" s="15">
        <f t="shared" si="19"/>
        <v>625</v>
      </c>
      <c r="AB16" s="15">
        <f t="shared" si="19"/>
        <v>625</v>
      </c>
      <c r="AC16" s="15">
        <f t="shared" si="19"/>
        <v>625</v>
      </c>
      <c r="AD16" s="15">
        <f t="shared" si="7"/>
        <v>7500</v>
      </c>
      <c r="AE16" s="15">
        <f>25*25</f>
        <v>625</v>
      </c>
      <c r="AF16" s="15">
        <f t="shared" ref="AF16:AP16" si="20">25*25</f>
        <v>625</v>
      </c>
      <c r="AG16" s="15">
        <f t="shared" si="20"/>
        <v>625</v>
      </c>
      <c r="AH16" s="15">
        <f t="shared" si="20"/>
        <v>625</v>
      </c>
      <c r="AI16" s="15">
        <f t="shared" si="20"/>
        <v>625</v>
      </c>
      <c r="AJ16" s="15">
        <f t="shared" si="20"/>
        <v>625</v>
      </c>
      <c r="AK16" s="15">
        <f t="shared" si="20"/>
        <v>625</v>
      </c>
      <c r="AL16" s="15">
        <f t="shared" si="20"/>
        <v>625</v>
      </c>
      <c r="AM16" s="15">
        <f t="shared" si="20"/>
        <v>625</v>
      </c>
      <c r="AN16" s="15">
        <f t="shared" si="20"/>
        <v>625</v>
      </c>
      <c r="AO16" s="15">
        <f t="shared" si="20"/>
        <v>625</v>
      </c>
      <c r="AP16" s="15">
        <f t="shared" si="20"/>
        <v>625</v>
      </c>
      <c r="AQ16" s="16">
        <f t="shared" si="17"/>
        <v>7500</v>
      </c>
    </row>
    <row r="17" spans="1:43" ht="28.8" x14ac:dyDescent="0.3">
      <c r="C17" s="1" t="s">
        <v>78</v>
      </c>
      <c r="D17" s="95">
        <f t="shared" si="12"/>
        <v>0.375</v>
      </c>
      <c r="E17" s="15">
        <f>30*20</f>
        <v>600</v>
      </c>
      <c r="F17" s="15">
        <f t="shared" ref="F17:P17" si="21">30*20</f>
        <v>600</v>
      </c>
      <c r="G17" s="15">
        <f t="shared" si="21"/>
        <v>600</v>
      </c>
      <c r="H17" s="15">
        <f t="shared" si="21"/>
        <v>600</v>
      </c>
      <c r="I17" s="15">
        <f t="shared" si="21"/>
        <v>600</v>
      </c>
      <c r="J17" s="15">
        <f t="shared" si="21"/>
        <v>600</v>
      </c>
      <c r="K17" s="15">
        <f t="shared" si="21"/>
        <v>600</v>
      </c>
      <c r="L17" s="15">
        <f t="shared" si="21"/>
        <v>600</v>
      </c>
      <c r="M17" s="15">
        <f t="shared" si="21"/>
        <v>600</v>
      </c>
      <c r="N17" s="15">
        <f t="shared" si="21"/>
        <v>600</v>
      </c>
      <c r="O17" s="15">
        <f t="shared" si="21"/>
        <v>600</v>
      </c>
      <c r="P17" s="15">
        <f t="shared" si="21"/>
        <v>600</v>
      </c>
      <c r="Q17" s="16">
        <f t="shared" si="14"/>
        <v>7200</v>
      </c>
      <c r="R17" s="15">
        <f>30*20</f>
        <v>600</v>
      </c>
      <c r="S17" s="15">
        <f t="shared" ref="S17:AC17" si="22">30*20</f>
        <v>600</v>
      </c>
      <c r="T17" s="15">
        <f t="shared" si="22"/>
        <v>600</v>
      </c>
      <c r="U17" s="15">
        <f t="shared" si="22"/>
        <v>600</v>
      </c>
      <c r="V17" s="15">
        <f t="shared" si="22"/>
        <v>600</v>
      </c>
      <c r="W17" s="15">
        <f t="shared" si="22"/>
        <v>600</v>
      </c>
      <c r="X17" s="15">
        <f t="shared" si="22"/>
        <v>600</v>
      </c>
      <c r="Y17" s="15">
        <f t="shared" si="22"/>
        <v>600</v>
      </c>
      <c r="Z17" s="15">
        <f t="shared" si="22"/>
        <v>600</v>
      </c>
      <c r="AA17" s="15">
        <f t="shared" si="22"/>
        <v>600</v>
      </c>
      <c r="AB17" s="15">
        <f t="shared" si="22"/>
        <v>600</v>
      </c>
      <c r="AC17" s="15">
        <f t="shared" si="22"/>
        <v>600</v>
      </c>
      <c r="AD17" s="15">
        <f t="shared" si="7"/>
        <v>7200</v>
      </c>
      <c r="AE17" s="15">
        <f>30*20</f>
        <v>600</v>
      </c>
      <c r="AF17" s="15">
        <f t="shared" ref="AF17:AP17" si="23">30*20</f>
        <v>600</v>
      </c>
      <c r="AG17" s="15">
        <f t="shared" si="23"/>
        <v>600</v>
      </c>
      <c r="AH17" s="15">
        <f t="shared" si="23"/>
        <v>600</v>
      </c>
      <c r="AI17" s="15">
        <f t="shared" si="23"/>
        <v>600</v>
      </c>
      <c r="AJ17" s="15">
        <f t="shared" si="23"/>
        <v>600</v>
      </c>
      <c r="AK17" s="15">
        <f t="shared" si="23"/>
        <v>600</v>
      </c>
      <c r="AL17" s="15">
        <f t="shared" si="23"/>
        <v>600</v>
      </c>
      <c r="AM17" s="15">
        <f t="shared" si="23"/>
        <v>600</v>
      </c>
      <c r="AN17" s="15">
        <f t="shared" si="23"/>
        <v>600</v>
      </c>
      <c r="AO17" s="15">
        <f t="shared" si="23"/>
        <v>600</v>
      </c>
      <c r="AP17" s="15">
        <f t="shared" si="23"/>
        <v>600</v>
      </c>
      <c r="AQ17" s="16">
        <f t="shared" si="17"/>
        <v>7200</v>
      </c>
    </row>
    <row r="18" spans="1:43" x14ac:dyDescent="0.3">
      <c r="C18" s="1" t="s">
        <v>79</v>
      </c>
      <c r="D18" s="95">
        <f t="shared" si="12"/>
        <v>0.28872187500000002</v>
      </c>
      <c r="E18" s="15">
        <f t="shared" ref="E18:P18" si="24">2.06*(SUM(E9:E17))/100</f>
        <v>461.95499999999998</v>
      </c>
      <c r="F18" s="15">
        <f t="shared" si="24"/>
        <v>461.95499999999998</v>
      </c>
      <c r="G18" s="15">
        <f t="shared" si="24"/>
        <v>1630.3458000000001</v>
      </c>
      <c r="H18" s="15">
        <f t="shared" si="24"/>
        <v>461.95499999999998</v>
      </c>
      <c r="I18" s="15">
        <f t="shared" si="24"/>
        <v>1630.3458000000001</v>
      </c>
      <c r="J18" s="15">
        <f t="shared" si="24"/>
        <v>461.95499999999998</v>
      </c>
      <c r="K18" s="15">
        <f t="shared" si="24"/>
        <v>1630.3458000000001</v>
      </c>
      <c r="L18" s="15">
        <f t="shared" si="24"/>
        <v>461.95499999999998</v>
      </c>
      <c r="M18" s="15">
        <f t="shared" si="24"/>
        <v>461.95499999999998</v>
      </c>
      <c r="N18" s="15">
        <f t="shared" si="24"/>
        <v>1630.3458000000001</v>
      </c>
      <c r="O18" s="15">
        <f t="shared" si="24"/>
        <v>461.95499999999998</v>
      </c>
      <c r="P18" s="15">
        <f t="shared" si="24"/>
        <v>1630.3458000000001</v>
      </c>
      <c r="Q18" s="16">
        <f t="shared" si="14"/>
        <v>11385.414000000001</v>
      </c>
      <c r="R18" s="15">
        <f t="shared" ref="R18:AC18" si="25">2.06*(SUM(R9:R17))/100</f>
        <v>461.95499999999998</v>
      </c>
      <c r="S18" s="15">
        <f t="shared" si="25"/>
        <v>461.95499999999998</v>
      </c>
      <c r="T18" s="15">
        <f t="shared" si="25"/>
        <v>1630.3458000000001</v>
      </c>
      <c r="U18" s="15">
        <f t="shared" si="25"/>
        <v>461.95499999999998</v>
      </c>
      <c r="V18" s="15">
        <f t="shared" si="25"/>
        <v>1630.3458000000001</v>
      </c>
      <c r="W18" s="15">
        <f t="shared" si="25"/>
        <v>461.95499999999998</v>
      </c>
      <c r="X18" s="15">
        <f t="shared" si="25"/>
        <v>1630.3458000000001</v>
      </c>
      <c r="Y18" s="15">
        <f t="shared" si="25"/>
        <v>461.95499999999998</v>
      </c>
      <c r="Z18" s="15">
        <f t="shared" si="25"/>
        <v>461.95499999999998</v>
      </c>
      <c r="AA18" s="15">
        <f t="shared" si="25"/>
        <v>1630.3458000000001</v>
      </c>
      <c r="AB18" s="15">
        <f t="shared" si="25"/>
        <v>461.95499999999998</v>
      </c>
      <c r="AC18" s="15">
        <f t="shared" si="25"/>
        <v>461.95499999999998</v>
      </c>
      <c r="AD18" s="15">
        <f t="shared" si="7"/>
        <v>10217.0232</v>
      </c>
      <c r="AE18" s="15">
        <f t="shared" ref="AE18:AP18" si="26">2.06*(SUM(AE9:AE17))/100</f>
        <v>1630.3458000000001</v>
      </c>
      <c r="AF18" s="15">
        <f t="shared" si="26"/>
        <v>461.95499999999998</v>
      </c>
      <c r="AG18" s="15">
        <f t="shared" si="26"/>
        <v>1630.3458000000001</v>
      </c>
      <c r="AH18" s="15">
        <f t="shared" si="26"/>
        <v>461.95499999999998</v>
      </c>
      <c r="AI18" s="15">
        <f t="shared" si="26"/>
        <v>1630.3458000000001</v>
      </c>
      <c r="AJ18" s="15">
        <f t="shared" si="26"/>
        <v>461.95499999999998</v>
      </c>
      <c r="AK18" s="15">
        <f t="shared" si="26"/>
        <v>461.95499999999998</v>
      </c>
      <c r="AL18" s="15">
        <f t="shared" si="26"/>
        <v>1630.3458000000001</v>
      </c>
      <c r="AM18" s="15">
        <f t="shared" si="26"/>
        <v>461.95499999999998</v>
      </c>
      <c r="AN18" s="15">
        <f t="shared" si="26"/>
        <v>1630.3458000000001</v>
      </c>
      <c r="AO18" s="15">
        <f t="shared" si="26"/>
        <v>461.95499999999998</v>
      </c>
      <c r="AP18" s="15">
        <f t="shared" si="26"/>
        <v>461.95499999999998</v>
      </c>
      <c r="AQ18" s="16">
        <f t="shared" si="17"/>
        <v>11385.414000000001</v>
      </c>
    </row>
    <row r="19" spans="1:43" x14ac:dyDescent="0.3">
      <c r="C19" s="1" t="s">
        <v>80</v>
      </c>
      <c r="D19" s="95">
        <f t="shared" si="12"/>
        <v>1.4015625</v>
      </c>
      <c r="E19" s="22">
        <f t="shared" ref="E19:P19" si="27">(SUM(E9:E17)*0.1)</f>
        <v>2242.5</v>
      </c>
      <c r="F19" s="22">
        <f t="shared" si="27"/>
        <v>2242.5</v>
      </c>
      <c r="G19" s="22">
        <f t="shared" si="27"/>
        <v>7914.3</v>
      </c>
      <c r="H19" s="22">
        <f t="shared" si="27"/>
        <v>2242.5</v>
      </c>
      <c r="I19" s="22">
        <f t="shared" si="27"/>
        <v>7914.3</v>
      </c>
      <c r="J19" s="22">
        <f t="shared" si="27"/>
        <v>2242.5</v>
      </c>
      <c r="K19" s="22">
        <f t="shared" si="27"/>
        <v>7914.3</v>
      </c>
      <c r="L19" s="22">
        <f t="shared" si="27"/>
        <v>2242.5</v>
      </c>
      <c r="M19" s="22">
        <f t="shared" si="27"/>
        <v>2242.5</v>
      </c>
      <c r="N19" s="22">
        <f t="shared" si="27"/>
        <v>7914.3</v>
      </c>
      <c r="O19" s="22">
        <f t="shared" si="27"/>
        <v>2242.5</v>
      </c>
      <c r="P19" s="22">
        <f t="shared" si="27"/>
        <v>7914.3</v>
      </c>
      <c r="Q19" s="23">
        <f t="shared" si="14"/>
        <v>55269</v>
      </c>
      <c r="R19" s="22">
        <f t="shared" ref="R19:AC19" si="28">(SUM(R9:R17)*0.1)</f>
        <v>2242.5</v>
      </c>
      <c r="S19" s="22">
        <f t="shared" si="28"/>
        <v>2242.5</v>
      </c>
      <c r="T19" s="22">
        <f t="shared" si="28"/>
        <v>7914.3</v>
      </c>
      <c r="U19" s="22">
        <f t="shared" si="28"/>
        <v>2242.5</v>
      </c>
      <c r="V19" s="22">
        <f t="shared" si="28"/>
        <v>7914.3</v>
      </c>
      <c r="W19" s="22">
        <f t="shared" si="28"/>
        <v>2242.5</v>
      </c>
      <c r="X19" s="22">
        <f t="shared" si="28"/>
        <v>7914.3</v>
      </c>
      <c r="Y19" s="22">
        <f t="shared" si="28"/>
        <v>2242.5</v>
      </c>
      <c r="Z19" s="22">
        <f t="shared" si="28"/>
        <v>2242.5</v>
      </c>
      <c r="AA19" s="22">
        <f t="shared" si="28"/>
        <v>7914.3</v>
      </c>
      <c r="AB19" s="22">
        <f t="shared" si="28"/>
        <v>2242.5</v>
      </c>
      <c r="AC19" s="22">
        <f t="shared" si="28"/>
        <v>2242.5</v>
      </c>
      <c r="AD19" s="22">
        <f t="shared" si="7"/>
        <v>49597.2</v>
      </c>
      <c r="AE19" s="22">
        <f t="shared" ref="AE19:AP19" si="29">(SUM(AE9:AE17)*0.1)</f>
        <v>7914.3</v>
      </c>
      <c r="AF19" s="22">
        <f t="shared" si="29"/>
        <v>2242.5</v>
      </c>
      <c r="AG19" s="22">
        <f t="shared" si="29"/>
        <v>7914.3</v>
      </c>
      <c r="AH19" s="22">
        <f t="shared" si="29"/>
        <v>2242.5</v>
      </c>
      <c r="AI19" s="22">
        <f t="shared" si="29"/>
        <v>7914.3</v>
      </c>
      <c r="AJ19" s="22">
        <f t="shared" si="29"/>
        <v>2242.5</v>
      </c>
      <c r="AK19" s="22">
        <f t="shared" si="29"/>
        <v>2242.5</v>
      </c>
      <c r="AL19" s="22">
        <f t="shared" si="29"/>
        <v>7914.3</v>
      </c>
      <c r="AM19" s="22">
        <f t="shared" si="29"/>
        <v>2242.5</v>
      </c>
      <c r="AN19" s="22">
        <f t="shared" si="29"/>
        <v>7914.3</v>
      </c>
      <c r="AO19" s="22">
        <f t="shared" si="29"/>
        <v>2242.5</v>
      </c>
      <c r="AP19" s="22">
        <f t="shared" si="29"/>
        <v>2242.5</v>
      </c>
      <c r="AQ19" s="23">
        <f t="shared" si="17"/>
        <v>55269</v>
      </c>
    </row>
    <row r="20" spans="1:43" x14ac:dyDescent="0.3">
      <c r="C20" s="24" t="s">
        <v>81</v>
      </c>
      <c r="D20" s="95">
        <f t="shared" si="12"/>
        <v>15.705909375000001</v>
      </c>
      <c r="E20" s="25">
        <f t="shared" ref="E20:AQ20" si="30">SUM(E9:E19)</f>
        <v>25129.455000000002</v>
      </c>
      <c r="F20" s="25">
        <f t="shared" si="30"/>
        <v>25129.455000000002</v>
      </c>
      <c r="G20" s="25">
        <f t="shared" si="30"/>
        <v>88687.645799999998</v>
      </c>
      <c r="H20" s="25">
        <f t="shared" si="30"/>
        <v>25129.455000000002</v>
      </c>
      <c r="I20" s="25">
        <f t="shared" si="30"/>
        <v>88687.645799999998</v>
      </c>
      <c r="J20" s="25">
        <f t="shared" si="30"/>
        <v>25129.455000000002</v>
      </c>
      <c r="K20" s="25">
        <f t="shared" si="30"/>
        <v>88687.645799999998</v>
      </c>
      <c r="L20" s="25">
        <f t="shared" si="30"/>
        <v>25129.455000000002</v>
      </c>
      <c r="M20" s="25">
        <f t="shared" si="30"/>
        <v>25129.455000000002</v>
      </c>
      <c r="N20" s="25">
        <f t="shared" si="30"/>
        <v>88687.645799999998</v>
      </c>
      <c r="O20" s="25">
        <f t="shared" si="30"/>
        <v>25129.455000000002</v>
      </c>
      <c r="P20" s="25">
        <f t="shared" si="30"/>
        <v>88687.645799999998</v>
      </c>
      <c r="Q20" s="26">
        <f t="shared" si="30"/>
        <v>342604.41399999999</v>
      </c>
      <c r="R20" s="25">
        <f t="shared" si="30"/>
        <v>25129.455000000002</v>
      </c>
      <c r="S20" s="25">
        <f t="shared" si="30"/>
        <v>25129.455000000002</v>
      </c>
      <c r="T20" s="25">
        <f t="shared" si="30"/>
        <v>88687.645799999998</v>
      </c>
      <c r="U20" s="25">
        <f t="shared" si="30"/>
        <v>25129.455000000002</v>
      </c>
      <c r="V20" s="25">
        <f t="shared" si="30"/>
        <v>88687.645799999998</v>
      </c>
      <c r="W20" s="25">
        <f t="shared" si="30"/>
        <v>25129.455000000002</v>
      </c>
      <c r="X20" s="25">
        <f t="shared" si="30"/>
        <v>88687.645799999998</v>
      </c>
      <c r="Y20" s="25">
        <f t="shared" si="30"/>
        <v>25129.455000000002</v>
      </c>
      <c r="Z20" s="25">
        <f t="shared" si="30"/>
        <v>25129.455000000002</v>
      </c>
      <c r="AA20" s="25">
        <f t="shared" si="30"/>
        <v>88687.645799999998</v>
      </c>
      <c r="AB20" s="25">
        <f t="shared" si="30"/>
        <v>25129.455000000002</v>
      </c>
      <c r="AC20" s="25">
        <f t="shared" si="30"/>
        <v>25129.455000000002</v>
      </c>
      <c r="AD20" s="26">
        <f>SUM(R20:AC20)</f>
        <v>555786.22320000001</v>
      </c>
      <c r="AE20" s="25">
        <f t="shared" si="30"/>
        <v>88687.645799999998</v>
      </c>
      <c r="AF20" s="25">
        <f t="shared" si="30"/>
        <v>25129.455000000002</v>
      </c>
      <c r="AG20" s="25">
        <f t="shared" si="30"/>
        <v>88687.645799999998</v>
      </c>
      <c r="AH20" s="25">
        <f t="shared" si="30"/>
        <v>25129.455000000002</v>
      </c>
      <c r="AI20" s="25">
        <f t="shared" si="30"/>
        <v>88687.645799999998</v>
      </c>
      <c r="AJ20" s="25">
        <f t="shared" si="30"/>
        <v>25129.455000000002</v>
      </c>
      <c r="AK20" s="25">
        <f t="shared" si="30"/>
        <v>25129.455000000002</v>
      </c>
      <c r="AL20" s="25">
        <f t="shared" si="30"/>
        <v>88687.645799999998</v>
      </c>
      <c r="AM20" s="25">
        <f t="shared" si="30"/>
        <v>25129.455000000002</v>
      </c>
      <c r="AN20" s="25">
        <f t="shared" si="30"/>
        <v>88687.645799999998</v>
      </c>
      <c r="AO20" s="25">
        <f t="shared" si="30"/>
        <v>25129.455000000002</v>
      </c>
      <c r="AP20" s="25">
        <f t="shared" si="30"/>
        <v>25129.455000000002</v>
      </c>
      <c r="AQ20" s="26">
        <f t="shared" si="30"/>
        <v>341234.41399999999</v>
      </c>
    </row>
    <row r="21" spans="1:43" hidden="1" x14ac:dyDescent="0.3">
      <c r="C21" s="27" t="s">
        <v>82</v>
      </c>
      <c r="D21" s="95">
        <f t="shared" si="12"/>
        <v>0</v>
      </c>
      <c r="E21" s="28">
        <f>IFERROR(E20/E$4,0)</f>
        <v>0</v>
      </c>
      <c r="F21" s="28">
        <f t="shared" ref="F21" si="31">IFERROR(F20/F$4,0)</f>
        <v>0</v>
      </c>
      <c r="G21" s="28">
        <f t="shared" ref="G21:N21" si="32">IFERROR(G20/I$4,0)</f>
        <v>0.32367753941605837</v>
      </c>
      <c r="H21" s="28">
        <f t="shared" si="32"/>
        <v>0</v>
      </c>
      <c r="I21" s="28">
        <f t="shared" si="32"/>
        <v>0.32367753941605837</v>
      </c>
      <c r="J21" s="28">
        <f t="shared" si="32"/>
        <v>0</v>
      </c>
      <c r="K21" s="28">
        <f t="shared" si="32"/>
        <v>0.32367753941605837</v>
      </c>
      <c r="L21" s="28">
        <f t="shared" si="32"/>
        <v>0</v>
      </c>
      <c r="M21" s="28">
        <f t="shared" si="32"/>
        <v>0</v>
      </c>
      <c r="N21" s="28">
        <f t="shared" si="32"/>
        <v>0.32367753941605837</v>
      </c>
      <c r="O21" s="28">
        <f>IFERROR(O20/#REF!,0)</f>
        <v>0</v>
      </c>
      <c r="P21" s="28">
        <f>IFERROR(P20/S$4,0)</f>
        <v>0.32367753941605837</v>
      </c>
      <c r="Q21" s="29">
        <f t="shared" ref="Q21" si="33">Q20/Q$4</f>
        <v>0.31259526824817518</v>
      </c>
      <c r="R21" s="28">
        <f>IFERROR(R20/R$4,0)</f>
        <v>0</v>
      </c>
      <c r="S21" s="28">
        <f>IFERROR(S20/#REF!,0)</f>
        <v>0</v>
      </c>
      <c r="T21" s="28">
        <f t="shared" ref="T21:AC21" si="34">IFERROR(T20/V$4,0)</f>
        <v>0.32367753941605837</v>
      </c>
      <c r="U21" s="28">
        <f t="shared" si="34"/>
        <v>0</v>
      </c>
      <c r="V21" s="28">
        <f t="shared" si="34"/>
        <v>0.32367753941605837</v>
      </c>
      <c r="W21" s="28">
        <f t="shared" si="34"/>
        <v>0</v>
      </c>
      <c r="X21" s="28">
        <f t="shared" si="34"/>
        <v>0.32367753941605837</v>
      </c>
      <c r="Y21" s="28">
        <f t="shared" si="34"/>
        <v>0</v>
      </c>
      <c r="Z21" s="28">
        <f t="shared" si="34"/>
        <v>0</v>
      </c>
      <c r="AA21" s="28">
        <f t="shared" si="34"/>
        <v>0.32367753941605837</v>
      </c>
      <c r="AB21" s="28">
        <f t="shared" si="34"/>
        <v>1.8342667883211681E-2</v>
      </c>
      <c r="AC21" s="28">
        <f t="shared" si="34"/>
        <v>0</v>
      </c>
      <c r="AD21" s="29" t="e">
        <f>AD20/#REF!</f>
        <v>#REF!</v>
      </c>
      <c r="AE21" s="28">
        <f>IFERROR(AE20/#REF!,0)</f>
        <v>0</v>
      </c>
      <c r="AF21" s="28">
        <f t="shared" ref="AF21" si="35">IFERROR(AF20/AF$4,0)</f>
        <v>0</v>
      </c>
      <c r="AG21" s="28">
        <f>IFERROR(AG20/AG$4,0)</f>
        <v>0.32367753941605837</v>
      </c>
      <c r="AH21" s="28">
        <f t="shared" ref="AH21:AP21" si="36">IFERROR(AH20/AH$4,0)</f>
        <v>0</v>
      </c>
      <c r="AI21" s="28">
        <f t="shared" si="36"/>
        <v>0.32367753941605837</v>
      </c>
      <c r="AJ21" s="28">
        <f t="shared" si="36"/>
        <v>0</v>
      </c>
      <c r="AK21" s="28">
        <f t="shared" si="36"/>
        <v>9.1713339416058401E-2</v>
      </c>
      <c r="AL21" s="28">
        <f t="shared" si="36"/>
        <v>0</v>
      </c>
      <c r="AM21" s="28">
        <f t="shared" si="36"/>
        <v>0</v>
      </c>
      <c r="AN21" s="28">
        <f t="shared" si="36"/>
        <v>0.32367753941605837</v>
      </c>
      <c r="AO21" s="28">
        <f t="shared" si="36"/>
        <v>0</v>
      </c>
      <c r="AP21" s="28">
        <f t="shared" si="36"/>
        <v>9.1713339416058401E-2</v>
      </c>
      <c r="AQ21" s="29">
        <f t="shared" ref="AQ21" si="37">AQ20/AQ$4</f>
        <v>0.24907621459854015</v>
      </c>
    </row>
    <row r="22" spans="1:43" x14ac:dyDescent="0.3">
      <c r="C22" s="18"/>
      <c r="D22" s="95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20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20"/>
    </row>
    <row r="23" spans="1:43" s="30" customFormat="1" x14ac:dyDescent="0.3">
      <c r="C23" s="31" t="s">
        <v>83</v>
      </c>
      <c r="D23" s="95">
        <v>0.1</v>
      </c>
      <c r="E23" s="32">
        <f>$D23*$G$1</f>
        <v>548</v>
      </c>
      <c r="F23" s="32"/>
      <c r="G23" s="33"/>
      <c r="H23" s="32">
        <f>$E$23</f>
        <v>548</v>
      </c>
      <c r="I23" s="32"/>
      <c r="J23" s="32">
        <f>$E$23</f>
        <v>548</v>
      </c>
      <c r="K23" s="32"/>
      <c r="L23" s="32">
        <f>$E$23</f>
        <v>548</v>
      </c>
      <c r="M23" s="32">
        <f>($AG$23*2)*O4</f>
        <v>0</v>
      </c>
      <c r="N23" s="32"/>
      <c r="O23" s="32">
        <f>$E$23</f>
        <v>548</v>
      </c>
      <c r="P23" s="32">
        <v>0</v>
      </c>
      <c r="Q23" s="34">
        <f>SUM(E23:P23)</f>
        <v>2740</v>
      </c>
      <c r="R23" s="32">
        <f>($AG$23*2)*R4</f>
        <v>0</v>
      </c>
      <c r="S23" s="32"/>
      <c r="T23" s="33"/>
      <c r="U23" s="32">
        <f>$E$23</f>
        <v>548</v>
      </c>
      <c r="V23" s="32"/>
      <c r="W23" s="32">
        <f>$E$23</f>
        <v>548</v>
      </c>
      <c r="X23" s="32"/>
      <c r="Y23" s="32">
        <f>$E$23</f>
        <v>548</v>
      </c>
      <c r="Z23" s="32">
        <f>($AG$23*2)*AB4</f>
        <v>0</v>
      </c>
      <c r="AA23" s="32"/>
      <c r="AB23" s="32">
        <f>$E$23</f>
        <v>548</v>
      </c>
      <c r="AC23" s="32">
        <v>0</v>
      </c>
      <c r="AD23" s="34">
        <f>SUM(R23:AC23)</f>
        <v>2192</v>
      </c>
      <c r="AE23" s="32">
        <f>$E$23</f>
        <v>548</v>
      </c>
      <c r="AF23" s="32"/>
      <c r="AG23" s="33"/>
      <c r="AH23" s="32">
        <f>$E$23</f>
        <v>548</v>
      </c>
      <c r="AI23" s="32"/>
      <c r="AJ23" s="32">
        <f>$E$23</f>
        <v>548</v>
      </c>
      <c r="AK23" s="32"/>
      <c r="AL23" s="32">
        <f>$E$23</f>
        <v>548</v>
      </c>
      <c r="AM23" s="32">
        <f>($AG$23*2)*AM4</f>
        <v>0</v>
      </c>
      <c r="AN23" s="32"/>
      <c r="AO23" s="32">
        <f>$E$23</f>
        <v>548</v>
      </c>
      <c r="AP23" s="32">
        <v>0</v>
      </c>
      <c r="AQ23" s="34">
        <f>SUM(AE23:AP23)</f>
        <v>2740</v>
      </c>
    </row>
    <row r="24" spans="1:43" x14ac:dyDescent="0.3">
      <c r="C24" s="1" t="s">
        <v>84</v>
      </c>
      <c r="D24" s="95">
        <v>0.1</v>
      </c>
      <c r="E24" s="32">
        <f t="shared" ref="E24:E44" si="38">$D24*$G$1</f>
        <v>548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16">
        <f t="shared" ref="Q24:Q44" si="39">SUM(E24:P24)</f>
        <v>548</v>
      </c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16">
        <f t="shared" ref="AD24:AD44" si="40">SUM(R24:AC24)</f>
        <v>0</v>
      </c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16">
        <f t="shared" ref="AQ24:AQ44" si="41">SUM(AE24:AP24)</f>
        <v>0</v>
      </c>
    </row>
    <row r="25" spans="1:43" x14ac:dyDescent="0.3">
      <c r="A25" s="36" t="s">
        <v>85</v>
      </c>
      <c r="B25" s="37" t="s">
        <v>86</v>
      </c>
      <c r="C25" s="94" t="s">
        <v>87</v>
      </c>
      <c r="D25" s="95">
        <v>0.19</v>
      </c>
      <c r="E25" s="32">
        <f t="shared" si="38"/>
        <v>1041.2</v>
      </c>
      <c r="F25" s="15">
        <f t="shared" ref="F25:P25" si="42">30*5*2</f>
        <v>300</v>
      </c>
      <c r="G25" s="15">
        <f t="shared" si="42"/>
        <v>300</v>
      </c>
      <c r="H25" s="15">
        <f t="shared" si="42"/>
        <v>300</v>
      </c>
      <c r="I25" s="15">
        <f t="shared" si="42"/>
        <v>300</v>
      </c>
      <c r="J25" s="15">
        <f t="shared" si="42"/>
        <v>300</v>
      </c>
      <c r="K25" s="15">
        <f t="shared" si="42"/>
        <v>300</v>
      </c>
      <c r="L25" s="15">
        <f t="shared" si="42"/>
        <v>300</v>
      </c>
      <c r="M25" s="15">
        <f t="shared" si="42"/>
        <v>300</v>
      </c>
      <c r="N25" s="15">
        <f t="shared" si="42"/>
        <v>300</v>
      </c>
      <c r="O25" s="15">
        <f t="shared" si="42"/>
        <v>300</v>
      </c>
      <c r="P25" s="15">
        <f t="shared" si="42"/>
        <v>300</v>
      </c>
      <c r="Q25" s="16">
        <f t="shared" si="39"/>
        <v>4341.2</v>
      </c>
      <c r="R25" s="15">
        <f>30*5*2</f>
        <v>300</v>
      </c>
      <c r="S25" s="15">
        <f t="shared" ref="S25:AC25" si="43">30*5*2</f>
        <v>300</v>
      </c>
      <c r="T25" s="15">
        <f t="shared" si="43"/>
        <v>300</v>
      </c>
      <c r="U25" s="15">
        <f t="shared" si="43"/>
        <v>300</v>
      </c>
      <c r="V25" s="15">
        <f t="shared" si="43"/>
        <v>300</v>
      </c>
      <c r="W25" s="15">
        <f t="shared" si="43"/>
        <v>300</v>
      </c>
      <c r="X25" s="15">
        <f t="shared" si="43"/>
        <v>300</v>
      </c>
      <c r="Y25" s="15">
        <f t="shared" si="43"/>
        <v>300</v>
      </c>
      <c r="Z25" s="15">
        <f t="shared" si="43"/>
        <v>300</v>
      </c>
      <c r="AA25" s="15">
        <f t="shared" si="43"/>
        <v>300</v>
      </c>
      <c r="AB25" s="15">
        <f t="shared" si="43"/>
        <v>300</v>
      </c>
      <c r="AC25" s="15">
        <f t="shared" si="43"/>
        <v>300</v>
      </c>
      <c r="AD25" s="16">
        <f t="shared" si="40"/>
        <v>3600</v>
      </c>
      <c r="AE25" s="15">
        <f>30*5*2</f>
        <v>300</v>
      </c>
      <c r="AF25" s="15">
        <f t="shared" ref="AF25:AP25" si="44">30*5*2</f>
        <v>300</v>
      </c>
      <c r="AG25" s="15">
        <f t="shared" si="44"/>
        <v>300</v>
      </c>
      <c r="AH25" s="15">
        <f t="shared" si="44"/>
        <v>300</v>
      </c>
      <c r="AI25" s="15">
        <f t="shared" si="44"/>
        <v>300</v>
      </c>
      <c r="AJ25" s="15">
        <f t="shared" si="44"/>
        <v>300</v>
      </c>
      <c r="AK25" s="15">
        <f t="shared" si="44"/>
        <v>300</v>
      </c>
      <c r="AL25" s="15">
        <f t="shared" si="44"/>
        <v>300</v>
      </c>
      <c r="AM25" s="15">
        <f t="shared" si="44"/>
        <v>300</v>
      </c>
      <c r="AN25" s="15">
        <f t="shared" si="44"/>
        <v>300</v>
      </c>
      <c r="AO25" s="15">
        <f t="shared" si="44"/>
        <v>300</v>
      </c>
      <c r="AP25" s="15">
        <f t="shared" si="44"/>
        <v>300</v>
      </c>
      <c r="AQ25" s="16">
        <f t="shared" si="41"/>
        <v>3600</v>
      </c>
    </row>
    <row r="26" spans="1:43" x14ac:dyDescent="0.3">
      <c r="A26" t="s">
        <v>88</v>
      </c>
      <c r="B26" s="38" t="s">
        <v>89</v>
      </c>
      <c r="C26" s="39" t="s">
        <v>90</v>
      </c>
      <c r="D26" s="95">
        <v>0.3</v>
      </c>
      <c r="E26" s="32">
        <f t="shared" si="38"/>
        <v>1644</v>
      </c>
      <c r="F26" s="15"/>
      <c r="G26" s="15">
        <f>$E$26</f>
        <v>1644</v>
      </c>
      <c r="H26" s="15"/>
      <c r="I26" s="15"/>
      <c r="J26" s="15">
        <f>$E$26</f>
        <v>1644</v>
      </c>
      <c r="K26" s="15"/>
      <c r="L26" s="15"/>
      <c r="M26" s="15">
        <f>$E$26</f>
        <v>1644</v>
      </c>
      <c r="N26" s="15"/>
      <c r="O26" s="15"/>
      <c r="P26" s="15">
        <f>$E$26</f>
        <v>1644</v>
      </c>
      <c r="Q26" s="16">
        <f t="shared" si="39"/>
        <v>8220</v>
      </c>
      <c r="R26" s="15">
        <f>$E$26</f>
        <v>1644</v>
      </c>
      <c r="S26" s="15"/>
      <c r="T26" s="15">
        <f>$E$26</f>
        <v>1644</v>
      </c>
      <c r="U26" s="15"/>
      <c r="V26" s="15"/>
      <c r="W26" s="15">
        <f>$E$26</f>
        <v>1644</v>
      </c>
      <c r="X26" s="15"/>
      <c r="Y26" s="15"/>
      <c r="Z26" s="15">
        <f>$E$26</f>
        <v>1644</v>
      </c>
      <c r="AA26" s="15"/>
      <c r="AB26" s="15"/>
      <c r="AC26" s="15">
        <f>$E$26</f>
        <v>1644</v>
      </c>
      <c r="AD26" s="16">
        <f t="shared" si="40"/>
        <v>8220</v>
      </c>
      <c r="AE26" s="15">
        <f>$E$26</f>
        <v>1644</v>
      </c>
      <c r="AF26" s="15"/>
      <c r="AG26" s="15">
        <f>$E$26</f>
        <v>1644</v>
      </c>
      <c r="AH26" s="15"/>
      <c r="AI26" s="15"/>
      <c r="AJ26" s="15">
        <f>$E$26</f>
        <v>1644</v>
      </c>
      <c r="AK26" s="15"/>
      <c r="AL26" s="15"/>
      <c r="AM26" s="15">
        <f>$E$26</f>
        <v>1644</v>
      </c>
      <c r="AN26" s="15"/>
      <c r="AO26" s="15"/>
      <c r="AP26" s="15">
        <f>$E$26</f>
        <v>1644</v>
      </c>
      <c r="AQ26" s="16">
        <f t="shared" si="41"/>
        <v>8220</v>
      </c>
    </row>
    <row r="27" spans="1:43" x14ac:dyDescent="0.3">
      <c r="A27" t="s">
        <v>91</v>
      </c>
      <c r="B27" s="38" t="s">
        <v>92</v>
      </c>
      <c r="C27" s="39" t="s">
        <v>93</v>
      </c>
      <c r="D27" s="95">
        <v>4</v>
      </c>
      <c r="E27" s="32">
        <f>$D27*$G$1</f>
        <v>21920</v>
      </c>
      <c r="F27" s="40"/>
      <c r="G27" s="40">
        <f>$E$27</f>
        <v>21920</v>
      </c>
      <c r="H27" s="40"/>
      <c r="I27" s="40"/>
      <c r="J27" s="40">
        <f>$E$27</f>
        <v>21920</v>
      </c>
      <c r="K27" s="40"/>
      <c r="L27" s="40"/>
      <c r="M27" s="40">
        <f>$E$27</f>
        <v>21920</v>
      </c>
      <c r="N27" s="40"/>
      <c r="O27" s="40"/>
      <c r="P27" s="40">
        <f>$E$27</f>
        <v>21920</v>
      </c>
      <c r="Q27" s="16">
        <f t="shared" si="39"/>
        <v>109600</v>
      </c>
      <c r="R27" s="40"/>
      <c r="S27" s="40"/>
      <c r="T27" s="40">
        <f>$E$27</f>
        <v>21920</v>
      </c>
      <c r="U27" s="40"/>
      <c r="V27" s="40"/>
      <c r="W27" s="40">
        <f>$E$27</f>
        <v>21920</v>
      </c>
      <c r="X27" s="40"/>
      <c r="Y27" s="40"/>
      <c r="Z27" s="40">
        <f>$E$27</f>
        <v>21920</v>
      </c>
      <c r="AA27" s="40"/>
      <c r="AB27" s="40"/>
      <c r="AC27" s="40">
        <f>$E$27</f>
        <v>21920</v>
      </c>
      <c r="AD27" s="16">
        <f t="shared" si="40"/>
        <v>87680</v>
      </c>
      <c r="AE27" s="40">
        <f>$E$27</f>
        <v>21920</v>
      </c>
      <c r="AF27" s="40"/>
      <c r="AG27" s="40">
        <f>$E$27</f>
        <v>21920</v>
      </c>
      <c r="AH27" s="40"/>
      <c r="AI27" s="40"/>
      <c r="AJ27" s="40">
        <f>$E$27</f>
        <v>21920</v>
      </c>
      <c r="AK27" s="40"/>
      <c r="AL27" s="40"/>
      <c r="AM27" s="40">
        <f>$E$27</f>
        <v>21920</v>
      </c>
      <c r="AN27" s="40"/>
      <c r="AO27" s="40"/>
      <c r="AP27" s="40">
        <f>$E$27</f>
        <v>21920</v>
      </c>
      <c r="AQ27" s="16">
        <f t="shared" si="41"/>
        <v>109600</v>
      </c>
    </row>
    <row r="28" spans="1:43" s="30" customFormat="1" ht="72.900000000000006" customHeight="1" x14ac:dyDescent="0.3">
      <c r="A28" s="30" t="s">
        <v>94</v>
      </c>
      <c r="B28" s="41" t="s">
        <v>95</v>
      </c>
      <c r="C28" s="42" t="s">
        <v>96</v>
      </c>
      <c r="D28" s="95">
        <v>0.28999999999999998</v>
      </c>
      <c r="E28" s="32">
        <f t="shared" si="38"/>
        <v>1589.1999999999998</v>
      </c>
      <c r="F28" s="33"/>
      <c r="G28" s="33">
        <f>$E$28</f>
        <v>1589.1999999999998</v>
      </c>
      <c r="H28" s="33"/>
      <c r="I28" s="33"/>
      <c r="J28" s="33">
        <f>$E$28</f>
        <v>1589.1999999999998</v>
      </c>
      <c r="K28" s="33"/>
      <c r="L28" s="33"/>
      <c r="M28" s="33">
        <f>$E$28</f>
        <v>1589.1999999999998</v>
      </c>
      <c r="N28" s="33"/>
      <c r="O28" s="33"/>
      <c r="P28" s="33">
        <f>$E$28</f>
        <v>1589.1999999999998</v>
      </c>
      <c r="Q28" s="34">
        <f t="shared" si="39"/>
        <v>7945.9999999999991</v>
      </c>
      <c r="R28" s="33"/>
      <c r="S28" s="33"/>
      <c r="T28" s="33">
        <f>$E$28</f>
        <v>1589.1999999999998</v>
      </c>
      <c r="U28" s="33"/>
      <c r="V28" s="33"/>
      <c r="W28" s="33">
        <f>$E$28</f>
        <v>1589.1999999999998</v>
      </c>
      <c r="X28" s="33"/>
      <c r="Y28" s="33"/>
      <c r="Z28" s="33">
        <f>$E$28</f>
        <v>1589.1999999999998</v>
      </c>
      <c r="AA28" s="33"/>
      <c r="AB28" s="33"/>
      <c r="AC28" s="33">
        <f>$E$28</f>
        <v>1589.1999999999998</v>
      </c>
      <c r="AD28" s="34">
        <f t="shared" si="40"/>
        <v>6356.7999999999993</v>
      </c>
      <c r="AE28" s="33"/>
      <c r="AF28" s="33"/>
      <c r="AG28" s="33">
        <f>$E$28</f>
        <v>1589.1999999999998</v>
      </c>
      <c r="AH28" s="33"/>
      <c r="AI28" s="33"/>
      <c r="AJ28" s="33">
        <f>$E$28</f>
        <v>1589.1999999999998</v>
      </c>
      <c r="AK28" s="33"/>
      <c r="AL28" s="33"/>
      <c r="AM28" s="33">
        <f>$E$28</f>
        <v>1589.1999999999998</v>
      </c>
      <c r="AN28" s="33"/>
      <c r="AO28" s="33"/>
      <c r="AP28" s="33">
        <f>$E$28</f>
        <v>1589.1999999999998</v>
      </c>
      <c r="AQ28" s="34">
        <f t="shared" si="41"/>
        <v>6356.7999999999993</v>
      </c>
    </row>
    <row r="29" spans="1:43" hidden="1" x14ac:dyDescent="0.3">
      <c r="B29" s="38"/>
      <c r="C29" s="39"/>
      <c r="D29" s="95"/>
      <c r="E29" s="3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16">
        <f t="shared" si="39"/>
        <v>0</v>
      </c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16">
        <f t="shared" si="40"/>
        <v>0</v>
      </c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16">
        <f t="shared" si="41"/>
        <v>0</v>
      </c>
    </row>
    <row r="30" spans="1:43" s="43" customFormat="1" x14ac:dyDescent="0.3">
      <c r="A30" s="43" t="s">
        <v>97</v>
      </c>
      <c r="B30" s="44" t="s">
        <v>98</v>
      </c>
      <c r="C30" s="94" t="s">
        <v>99</v>
      </c>
      <c r="D30" s="95">
        <v>4.0599999999999996</v>
      </c>
      <c r="E30" s="32">
        <f t="shared" si="38"/>
        <v>22248.799999999999</v>
      </c>
      <c r="F30" s="45">
        <f>$E$30</f>
        <v>22248.799999999999</v>
      </c>
      <c r="G30" s="45">
        <f t="shared" ref="G30:P30" si="45">$E$30</f>
        <v>22248.799999999999</v>
      </c>
      <c r="H30" s="45">
        <f t="shared" si="45"/>
        <v>22248.799999999999</v>
      </c>
      <c r="I30" s="45">
        <f t="shared" si="45"/>
        <v>22248.799999999999</v>
      </c>
      <c r="J30" s="45">
        <f t="shared" si="45"/>
        <v>22248.799999999999</v>
      </c>
      <c r="K30" s="45">
        <f t="shared" si="45"/>
        <v>22248.799999999999</v>
      </c>
      <c r="L30" s="45">
        <f t="shared" si="45"/>
        <v>22248.799999999999</v>
      </c>
      <c r="M30" s="45">
        <f t="shared" si="45"/>
        <v>22248.799999999999</v>
      </c>
      <c r="N30" s="45">
        <f t="shared" si="45"/>
        <v>22248.799999999999</v>
      </c>
      <c r="O30" s="45">
        <f t="shared" si="45"/>
        <v>22248.799999999999</v>
      </c>
      <c r="P30" s="45">
        <f t="shared" si="45"/>
        <v>22248.799999999999</v>
      </c>
      <c r="Q30" s="46">
        <f>SUM(E30:P30)</f>
        <v>266985.59999999992</v>
      </c>
      <c r="R30" s="45">
        <f>P30</f>
        <v>22248.799999999999</v>
      </c>
      <c r="S30" s="45">
        <f>R30</f>
        <v>22248.799999999999</v>
      </c>
      <c r="T30" s="45">
        <f t="shared" ref="T30:AC30" si="46">S30</f>
        <v>22248.799999999999</v>
      </c>
      <c r="U30" s="45">
        <f t="shared" si="46"/>
        <v>22248.799999999999</v>
      </c>
      <c r="V30" s="45">
        <f t="shared" si="46"/>
        <v>22248.799999999999</v>
      </c>
      <c r="W30" s="45">
        <f t="shared" si="46"/>
        <v>22248.799999999999</v>
      </c>
      <c r="X30" s="45">
        <f t="shared" si="46"/>
        <v>22248.799999999999</v>
      </c>
      <c r="Y30" s="45">
        <f t="shared" si="46"/>
        <v>22248.799999999999</v>
      </c>
      <c r="Z30" s="45">
        <f t="shared" si="46"/>
        <v>22248.799999999999</v>
      </c>
      <c r="AA30" s="45">
        <f t="shared" si="46"/>
        <v>22248.799999999999</v>
      </c>
      <c r="AB30" s="45">
        <f t="shared" si="46"/>
        <v>22248.799999999999</v>
      </c>
      <c r="AC30" s="45">
        <f t="shared" si="46"/>
        <v>22248.799999999999</v>
      </c>
      <c r="AD30" s="46">
        <f>SUM(R30:AC30)</f>
        <v>266985.59999999992</v>
      </c>
      <c r="AE30" s="45">
        <f>AC30</f>
        <v>22248.799999999999</v>
      </c>
      <c r="AF30" s="45">
        <f>AE30</f>
        <v>22248.799999999999</v>
      </c>
      <c r="AG30" s="45">
        <f t="shared" ref="AG30:AP30" si="47">AF30</f>
        <v>22248.799999999999</v>
      </c>
      <c r="AH30" s="45">
        <f t="shared" si="47"/>
        <v>22248.799999999999</v>
      </c>
      <c r="AI30" s="45">
        <f t="shared" si="47"/>
        <v>22248.799999999999</v>
      </c>
      <c r="AJ30" s="45">
        <f t="shared" si="47"/>
        <v>22248.799999999999</v>
      </c>
      <c r="AK30" s="45">
        <f t="shared" si="47"/>
        <v>22248.799999999999</v>
      </c>
      <c r="AL30" s="45">
        <f t="shared" si="47"/>
        <v>22248.799999999999</v>
      </c>
      <c r="AM30" s="45">
        <f t="shared" si="47"/>
        <v>22248.799999999999</v>
      </c>
      <c r="AN30" s="45">
        <f t="shared" si="47"/>
        <v>22248.799999999999</v>
      </c>
      <c r="AO30" s="45">
        <f t="shared" si="47"/>
        <v>22248.799999999999</v>
      </c>
      <c r="AP30" s="45">
        <f t="shared" si="47"/>
        <v>22248.799999999999</v>
      </c>
      <c r="AQ30" s="46">
        <f t="shared" si="41"/>
        <v>266985.59999999992</v>
      </c>
    </row>
    <row r="31" spans="1:43" x14ac:dyDescent="0.3">
      <c r="B31" s="38"/>
      <c r="C31" s="39"/>
      <c r="D31" s="95"/>
      <c r="E31" s="32">
        <f t="shared" si="38"/>
        <v>0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16">
        <f t="shared" si="39"/>
        <v>0</v>
      </c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16">
        <f t="shared" si="40"/>
        <v>0</v>
      </c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16">
        <f t="shared" si="41"/>
        <v>0</v>
      </c>
    </row>
    <row r="32" spans="1:43" x14ac:dyDescent="0.3">
      <c r="A32" t="s">
        <v>100</v>
      </c>
      <c r="B32" s="38" t="s">
        <v>101</v>
      </c>
      <c r="C32" t="s">
        <v>100</v>
      </c>
      <c r="D32" s="95">
        <v>7.0000000000000007E-2</v>
      </c>
      <c r="E32" s="32">
        <f t="shared" si="38"/>
        <v>383.6</v>
      </c>
      <c r="F32" s="15"/>
      <c r="G32" s="15">
        <f>$E$32</f>
        <v>383.6</v>
      </c>
      <c r="H32" s="15"/>
      <c r="I32" s="15">
        <f>$E$32</f>
        <v>383.6</v>
      </c>
      <c r="J32" s="15"/>
      <c r="K32" s="15">
        <f>$E$32</f>
        <v>383.6</v>
      </c>
      <c r="L32" s="15"/>
      <c r="M32" s="15"/>
      <c r="N32" s="15">
        <f>$E$32</f>
        <v>383.6</v>
      </c>
      <c r="O32" s="15"/>
      <c r="P32" s="15">
        <f>$E$32</f>
        <v>383.6</v>
      </c>
      <c r="Q32" s="16">
        <f t="shared" si="39"/>
        <v>2301.6</v>
      </c>
      <c r="R32" s="15">
        <f>$E$32</f>
        <v>383.6</v>
      </c>
      <c r="S32" s="15"/>
      <c r="T32" s="15">
        <f>$E$32</f>
        <v>383.6</v>
      </c>
      <c r="U32" s="15"/>
      <c r="V32" s="15">
        <f>$E$32</f>
        <v>383.6</v>
      </c>
      <c r="W32" s="15"/>
      <c r="X32" s="15">
        <f>$E$32</f>
        <v>383.6</v>
      </c>
      <c r="Y32" s="15"/>
      <c r="Z32" s="15"/>
      <c r="AA32" s="15">
        <f>$E$32</f>
        <v>383.6</v>
      </c>
      <c r="AB32" s="15"/>
      <c r="AC32" s="15">
        <f>$E$32</f>
        <v>383.6</v>
      </c>
      <c r="AD32" s="16">
        <f t="shared" si="40"/>
        <v>2301.6</v>
      </c>
      <c r="AE32" s="15">
        <f>$E$32</f>
        <v>383.6</v>
      </c>
      <c r="AF32" s="15"/>
      <c r="AG32" s="15">
        <f>$E$32</f>
        <v>383.6</v>
      </c>
      <c r="AH32" s="15"/>
      <c r="AI32" s="15">
        <f>$E$32</f>
        <v>383.6</v>
      </c>
      <c r="AJ32" s="15"/>
      <c r="AK32" s="15">
        <f>$E$32</f>
        <v>383.6</v>
      </c>
      <c r="AL32" s="15"/>
      <c r="AM32" s="15"/>
      <c r="AN32" s="15">
        <f>$E$32</f>
        <v>383.6</v>
      </c>
      <c r="AO32" s="15"/>
      <c r="AP32" s="15">
        <f>$E$32</f>
        <v>383.6</v>
      </c>
      <c r="AQ32" s="16">
        <f t="shared" si="41"/>
        <v>2301.6</v>
      </c>
    </row>
    <row r="33" spans="1:43" x14ac:dyDescent="0.3">
      <c r="A33" t="s">
        <v>102</v>
      </c>
      <c r="B33" s="38" t="s">
        <v>89</v>
      </c>
      <c r="C33" t="s">
        <v>102</v>
      </c>
      <c r="D33" s="95">
        <v>0.02</v>
      </c>
      <c r="E33" s="32">
        <f t="shared" si="38"/>
        <v>109.60000000000001</v>
      </c>
      <c r="F33" s="15">
        <v>30.657500000000002</v>
      </c>
      <c r="G33" s="15">
        <f>$E$33</f>
        <v>109.60000000000001</v>
      </c>
      <c r="H33" s="15">
        <f>$E$33</f>
        <v>109.60000000000001</v>
      </c>
      <c r="I33" s="15">
        <f t="shared" ref="I33:P33" si="48">$E$33</f>
        <v>109.60000000000001</v>
      </c>
      <c r="J33" s="15">
        <f t="shared" si="48"/>
        <v>109.60000000000001</v>
      </c>
      <c r="K33" s="15">
        <f t="shared" si="48"/>
        <v>109.60000000000001</v>
      </c>
      <c r="L33" s="15">
        <f t="shared" si="48"/>
        <v>109.60000000000001</v>
      </c>
      <c r="M33" s="15">
        <f t="shared" si="48"/>
        <v>109.60000000000001</v>
      </c>
      <c r="N33" s="15">
        <f t="shared" si="48"/>
        <v>109.60000000000001</v>
      </c>
      <c r="O33" s="15">
        <f t="shared" si="48"/>
        <v>109.60000000000001</v>
      </c>
      <c r="P33" s="15">
        <f t="shared" si="48"/>
        <v>109.60000000000001</v>
      </c>
      <c r="Q33" s="16">
        <f t="shared" si="39"/>
        <v>1236.2574999999999</v>
      </c>
      <c r="R33" s="15">
        <f>P33</f>
        <v>109.60000000000001</v>
      </c>
      <c r="S33" s="15">
        <f>R33</f>
        <v>109.60000000000001</v>
      </c>
      <c r="T33" s="15">
        <f t="shared" ref="T33:AC33" si="49">S33</f>
        <v>109.60000000000001</v>
      </c>
      <c r="U33" s="15">
        <f t="shared" si="49"/>
        <v>109.60000000000001</v>
      </c>
      <c r="V33" s="15">
        <f t="shared" si="49"/>
        <v>109.60000000000001</v>
      </c>
      <c r="W33" s="15">
        <f t="shared" si="49"/>
        <v>109.60000000000001</v>
      </c>
      <c r="X33" s="15">
        <f t="shared" si="49"/>
        <v>109.60000000000001</v>
      </c>
      <c r="Y33" s="15">
        <f t="shared" si="49"/>
        <v>109.60000000000001</v>
      </c>
      <c r="Z33" s="15">
        <f t="shared" si="49"/>
        <v>109.60000000000001</v>
      </c>
      <c r="AA33" s="15">
        <f t="shared" si="49"/>
        <v>109.60000000000001</v>
      </c>
      <c r="AB33" s="15">
        <f t="shared" si="49"/>
        <v>109.60000000000001</v>
      </c>
      <c r="AC33" s="15">
        <f t="shared" si="49"/>
        <v>109.60000000000001</v>
      </c>
      <c r="AD33" s="16">
        <f t="shared" si="40"/>
        <v>1315.1999999999998</v>
      </c>
      <c r="AE33" s="15">
        <f>AC33</f>
        <v>109.60000000000001</v>
      </c>
      <c r="AF33" s="15">
        <f>AE33</f>
        <v>109.60000000000001</v>
      </c>
      <c r="AG33" s="15">
        <f t="shared" ref="AG33:AP33" si="50">AF33</f>
        <v>109.60000000000001</v>
      </c>
      <c r="AH33" s="15">
        <f t="shared" si="50"/>
        <v>109.60000000000001</v>
      </c>
      <c r="AI33" s="15">
        <f t="shared" si="50"/>
        <v>109.60000000000001</v>
      </c>
      <c r="AJ33" s="15">
        <f t="shared" si="50"/>
        <v>109.60000000000001</v>
      </c>
      <c r="AK33" s="15">
        <f t="shared" si="50"/>
        <v>109.60000000000001</v>
      </c>
      <c r="AL33" s="15">
        <f t="shared" si="50"/>
        <v>109.60000000000001</v>
      </c>
      <c r="AM33" s="15">
        <f t="shared" si="50"/>
        <v>109.60000000000001</v>
      </c>
      <c r="AN33" s="15">
        <f t="shared" si="50"/>
        <v>109.60000000000001</v>
      </c>
      <c r="AO33" s="15">
        <f t="shared" si="50"/>
        <v>109.60000000000001</v>
      </c>
      <c r="AP33" s="15">
        <f t="shared" si="50"/>
        <v>109.60000000000001</v>
      </c>
      <c r="AQ33" s="16">
        <f t="shared" si="41"/>
        <v>1315.1999999999998</v>
      </c>
    </row>
    <row r="34" spans="1:43" x14ac:dyDescent="0.3">
      <c r="A34" t="s">
        <v>103</v>
      </c>
      <c r="B34" s="38" t="s">
        <v>89</v>
      </c>
      <c r="C34" t="s">
        <v>103</v>
      </c>
      <c r="D34" s="95">
        <v>0.08</v>
      </c>
      <c r="E34" s="32">
        <f t="shared" si="38"/>
        <v>438.40000000000003</v>
      </c>
      <c r="F34" s="15">
        <v>133.73944444444444</v>
      </c>
      <c r="G34" s="15">
        <f>$E$34</f>
        <v>438.40000000000003</v>
      </c>
      <c r="H34" s="15">
        <f>$E$34</f>
        <v>438.40000000000003</v>
      </c>
      <c r="I34" s="15">
        <f t="shared" ref="I34:P34" si="51">$E$34</f>
        <v>438.40000000000003</v>
      </c>
      <c r="J34" s="15">
        <f t="shared" si="51"/>
        <v>438.40000000000003</v>
      </c>
      <c r="K34" s="15">
        <f t="shared" si="51"/>
        <v>438.40000000000003</v>
      </c>
      <c r="L34" s="15">
        <f t="shared" si="51"/>
        <v>438.40000000000003</v>
      </c>
      <c r="M34" s="15">
        <f t="shared" si="51"/>
        <v>438.40000000000003</v>
      </c>
      <c r="N34" s="15">
        <f t="shared" si="51"/>
        <v>438.40000000000003</v>
      </c>
      <c r="O34" s="15">
        <f t="shared" si="51"/>
        <v>438.40000000000003</v>
      </c>
      <c r="P34" s="15">
        <f t="shared" si="51"/>
        <v>438.40000000000003</v>
      </c>
      <c r="Q34" s="16">
        <f t="shared" si="39"/>
        <v>4956.139444444445</v>
      </c>
      <c r="R34" s="15">
        <f>P34</f>
        <v>438.40000000000003</v>
      </c>
      <c r="S34" s="15">
        <f>R34</f>
        <v>438.40000000000003</v>
      </c>
      <c r="T34" s="15">
        <f t="shared" ref="T34:AC34" si="52">S34</f>
        <v>438.40000000000003</v>
      </c>
      <c r="U34" s="15">
        <f t="shared" si="52"/>
        <v>438.40000000000003</v>
      </c>
      <c r="V34" s="15">
        <f t="shared" si="52"/>
        <v>438.40000000000003</v>
      </c>
      <c r="W34" s="15">
        <f t="shared" si="52"/>
        <v>438.40000000000003</v>
      </c>
      <c r="X34" s="15">
        <f t="shared" si="52"/>
        <v>438.40000000000003</v>
      </c>
      <c r="Y34" s="15">
        <f t="shared" si="52"/>
        <v>438.40000000000003</v>
      </c>
      <c r="Z34" s="15">
        <f t="shared" si="52"/>
        <v>438.40000000000003</v>
      </c>
      <c r="AA34" s="15">
        <f t="shared" si="52"/>
        <v>438.40000000000003</v>
      </c>
      <c r="AB34" s="15">
        <f t="shared" si="52"/>
        <v>438.40000000000003</v>
      </c>
      <c r="AC34" s="15">
        <f t="shared" si="52"/>
        <v>438.40000000000003</v>
      </c>
      <c r="AD34" s="16">
        <f t="shared" si="40"/>
        <v>5260.7999999999993</v>
      </c>
      <c r="AE34" s="15">
        <f>AC34</f>
        <v>438.40000000000003</v>
      </c>
      <c r="AF34" s="15">
        <f>AE34</f>
        <v>438.40000000000003</v>
      </c>
      <c r="AG34" s="15">
        <f t="shared" ref="AG34:AP34" si="53">AF34</f>
        <v>438.40000000000003</v>
      </c>
      <c r="AH34" s="15">
        <f t="shared" si="53"/>
        <v>438.40000000000003</v>
      </c>
      <c r="AI34" s="15">
        <f t="shared" si="53"/>
        <v>438.40000000000003</v>
      </c>
      <c r="AJ34" s="15">
        <f t="shared" si="53"/>
        <v>438.40000000000003</v>
      </c>
      <c r="AK34" s="15">
        <f t="shared" si="53"/>
        <v>438.40000000000003</v>
      </c>
      <c r="AL34" s="15">
        <f t="shared" si="53"/>
        <v>438.40000000000003</v>
      </c>
      <c r="AM34" s="15">
        <f t="shared" si="53"/>
        <v>438.40000000000003</v>
      </c>
      <c r="AN34" s="15">
        <f t="shared" si="53"/>
        <v>438.40000000000003</v>
      </c>
      <c r="AO34" s="15">
        <f t="shared" si="53"/>
        <v>438.40000000000003</v>
      </c>
      <c r="AP34" s="15">
        <f t="shared" si="53"/>
        <v>438.40000000000003</v>
      </c>
      <c r="AQ34" s="16">
        <f t="shared" si="41"/>
        <v>5260.7999999999993</v>
      </c>
    </row>
    <row r="35" spans="1:43" x14ac:dyDescent="0.3">
      <c r="A35" t="s">
        <v>104</v>
      </c>
      <c r="B35" s="38" t="s">
        <v>89</v>
      </c>
      <c r="C35" t="s">
        <v>104</v>
      </c>
      <c r="D35" s="95">
        <v>0.17</v>
      </c>
      <c r="E35" s="32">
        <f t="shared" si="38"/>
        <v>931.6</v>
      </c>
      <c r="F35" s="15">
        <v>270.33569444444441</v>
      </c>
      <c r="G35" s="15">
        <f>$E$35</f>
        <v>931.6</v>
      </c>
      <c r="H35" s="15">
        <f>$E$35</f>
        <v>931.6</v>
      </c>
      <c r="I35" s="15">
        <f t="shared" ref="I35:P35" si="54">$E$35</f>
        <v>931.6</v>
      </c>
      <c r="J35" s="15">
        <f t="shared" si="54"/>
        <v>931.6</v>
      </c>
      <c r="K35" s="15">
        <f t="shared" si="54"/>
        <v>931.6</v>
      </c>
      <c r="L35" s="15">
        <f t="shared" si="54"/>
        <v>931.6</v>
      </c>
      <c r="M35" s="15">
        <f t="shared" si="54"/>
        <v>931.6</v>
      </c>
      <c r="N35" s="15">
        <f t="shared" si="54"/>
        <v>931.6</v>
      </c>
      <c r="O35" s="15">
        <f t="shared" si="54"/>
        <v>931.6</v>
      </c>
      <c r="P35" s="15">
        <f t="shared" si="54"/>
        <v>931.6</v>
      </c>
      <c r="Q35" s="16">
        <f t="shared" si="39"/>
        <v>10517.935694444446</v>
      </c>
      <c r="R35" s="15">
        <f t="shared" ref="R35:R43" si="55">P35</f>
        <v>931.6</v>
      </c>
      <c r="S35" s="15">
        <f t="shared" ref="S35:AC43" si="56">R35</f>
        <v>931.6</v>
      </c>
      <c r="T35" s="15">
        <f t="shared" si="56"/>
        <v>931.6</v>
      </c>
      <c r="U35" s="15">
        <f t="shared" si="56"/>
        <v>931.6</v>
      </c>
      <c r="V35" s="15">
        <f t="shared" si="56"/>
        <v>931.6</v>
      </c>
      <c r="W35" s="15">
        <f t="shared" si="56"/>
        <v>931.6</v>
      </c>
      <c r="X35" s="15">
        <f t="shared" si="56"/>
        <v>931.6</v>
      </c>
      <c r="Y35" s="15">
        <f t="shared" si="56"/>
        <v>931.6</v>
      </c>
      <c r="Z35" s="15">
        <f t="shared" si="56"/>
        <v>931.6</v>
      </c>
      <c r="AA35" s="15">
        <f t="shared" si="56"/>
        <v>931.6</v>
      </c>
      <c r="AB35" s="15">
        <f t="shared" si="56"/>
        <v>931.6</v>
      </c>
      <c r="AC35" s="15">
        <f t="shared" si="56"/>
        <v>931.6</v>
      </c>
      <c r="AD35" s="16">
        <f t="shared" si="40"/>
        <v>11179.200000000003</v>
      </c>
      <c r="AE35" s="15">
        <f t="shared" ref="AE35:AE43" si="57">AC35</f>
        <v>931.6</v>
      </c>
      <c r="AF35" s="15">
        <f t="shared" ref="AF35:AP43" si="58">AE35</f>
        <v>931.6</v>
      </c>
      <c r="AG35" s="15">
        <f t="shared" si="58"/>
        <v>931.6</v>
      </c>
      <c r="AH35" s="15">
        <f t="shared" si="58"/>
        <v>931.6</v>
      </c>
      <c r="AI35" s="15">
        <f t="shared" si="58"/>
        <v>931.6</v>
      </c>
      <c r="AJ35" s="15">
        <f t="shared" si="58"/>
        <v>931.6</v>
      </c>
      <c r="AK35" s="15">
        <f t="shared" si="58"/>
        <v>931.6</v>
      </c>
      <c r="AL35" s="15">
        <f t="shared" si="58"/>
        <v>931.6</v>
      </c>
      <c r="AM35" s="15">
        <f t="shared" si="58"/>
        <v>931.6</v>
      </c>
      <c r="AN35" s="15">
        <f t="shared" si="58"/>
        <v>931.6</v>
      </c>
      <c r="AO35" s="15">
        <f t="shared" si="58"/>
        <v>931.6</v>
      </c>
      <c r="AP35" s="15">
        <f t="shared" si="58"/>
        <v>931.6</v>
      </c>
      <c r="AQ35" s="16">
        <f t="shared" si="41"/>
        <v>11179.200000000003</v>
      </c>
    </row>
    <row r="36" spans="1:43" x14ac:dyDescent="0.3">
      <c r="A36" t="s">
        <v>105</v>
      </c>
      <c r="B36" s="38" t="s">
        <v>101</v>
      </c>
      <c r="C36" s="94" t="s">
        <v>105</v>
      </c>
      <c r="D36" s="95">
        <v>0.19</v>
      </c>
      <c r="E36" s="32">
        <f t="shared" si="38"/>
        <v>1041.2</v>
      </c>
      <c r="F36" s="15">
        <v>302.38833333333332</v>
      </c>
      <c r="G36" s="15">
        <f>$E$36</f>
        <v>1041.2</v>
      </c>
      <c r="H36" s="15">
        <f>$E$36</f>
        <v>1041.2</v>
      </c>
      <c r="I36" s="15">
        <f t="shared" ref="I36:P36" si="59">$E$36</f>
        <v>1041.2</v>
      </c>
      <c r="J36" s="15">
        <f t="shared" si="59"/>
        <v>1041.2</v>
      </c>
      <c r="K36" s="15">
        <f t="shared" si="59"/>
        <v>1041.2</v>
      </c>
      <c r="L36" s="15">
        <f t="shared" si="59"/>
        <v>1041.2</v>
      </c>
      <c r="M36" s="15">
        <f t="shared" si="59"/>
        <v>1041.2</v>
      </c>
      <c r="N36" s="15">
        <f t="shared" si="59"/>
        <v>1041.2</v>
      </c>
      <c r="O36" s="15">
        <f t="shared" si="59"/>
        <v>1041.2</v>
      </c>
      <c r="P36" s="15">
        <f t="shared" si="59"/>
        <v>1041.2</v>
      </c>
      <c r="Q36" s="16">
        <f t="shared" si="39"/>
        <v>11755.588333333335</v>
      </c>
      <c r="R36" s="15">
        <f t="shared" si="55"/>
        <v>1041.2</v>
      </c>
      <c r="S36" s="15">
        <f t="shared" si="56"/>
        <v>1041.2</v>
      </c>
      <c r="T36" s="15">
        <f t="shared" si="56"/>
        <v>1041.2</v>
      </c>
      <c r="U36" s="15">
        <f t="shared" si="56"/>
        <v>1041.2</v>
      </c>
      <c r="V36" s="15">
        <f t="shared" si="56"/>
        <v>1041.2</v>
      </c>
      <c r="W36" s="15">
        <f t="shared" si="56"/>
        <v>1041.2</v>
      </c>
      <c r="X36" s="15">
        <f t="shared" si="56"/>
        <v>1041.2</v>
      </c>
      <c r="Y36" s="15">
        <f t="shared" si="56"/>
        <v>1041.2</v>
      </c>
      <c r="Z36" s="15">
        <f t="shared" si="56"/>
        <v>1041.2</v>
      </c>
      <c r="AA36" s="15">
        <f t="shared" si="56"/>
        <v>1041.2</v>
      </c>
      <c r="AB36" s="15">
        <f t="shared" si="56"/>
        <v>1041.2</v>
      </c>
      <c r="AC36" s="15">
        <f t="shared" si="56"/>
        <v>1041.2</v>
      </c>
      <c r="AD36" s="16">
        <f t="shared" si="40"/>
        <v>12494.400000000003</v>
      </c>
      <c r="AE36" s="15">
        <f t="shared" si="57"/>
        <v>1041.2</v>
      </c>
      <c r="AF36" s="15">
        <f t="shared" si="58"/>
        <v>1041.2</v>
      </c>
      <c r="AG36" s="15">
        <f t="shared" si="58"/>
        <v>1041.2</v>
      </c>
      <c r="AH36" s="15">
        <f t="shared" si="58"/>
        <v>1041.2</v>
      </c>
      <c r="AI36" s="15">
        <f t="shared" si="58"/>
        <v>1041.2</v>
      </c>
      <c r="AJ36" s="15">
        <f t="shared" si="58"/>
        <v>1041.2</v>
      </c>
      <c r="AK36" s="15">
        <f t="shared" si="58"/>
        <v>1041.2</v>
      </c>
      <c r="AL36" s="15">
        <f t="shared" si="58"/>
        <v>1041.2</v>
      </c>
      <c r="AM36" s="15">
        <f t="shared" si="58"/>
        <v>1041.2</v>
      </c>
      <c r="AN36" s="15">
        <f t="shared" si="58"/>
        <v>1041.2</v>
      </c>
      <c r="AO36" s="15">
        <f t="shared" si="58"/>
        <v>1041.2</v>
      </c>
      <c r="AP36" s="15">
        <f t="shared" si="58"/>
        <v>1041.2</v>
      </c>
      <c r="AQ36" s="16">
        <f t="shared" si="41"/>
        <v>12494.400000000003</v>
      </c>
    </row>
    <row r="37" spans="1:43" x14ac:dyDescent="0.3">
      <c r="A37" t="s">
        <v>106</v>
      </c>
      <c r="B37" s="38" t="s">
        <v>89</v>
      </c>
      <c r="C37" t="s">
        <v>106</v>
      </c>
      <c r="D37" s="95">
        <v>0.03</v>
      </c>
      <c r="E37" s="32">
        <f t="shared" si="38"/>
        <v>164.4</v>
      </c>
      <c r="F37" s="15">
        <v>46.12861111111112</v>
      </c>
      <c r="G37" s="15">
        <f>$E$37</f>
        <v>164.4</v>
      </c>
      <c r="H37" s="15">
        <f>$E$37</f>
        <v>164.4</v>
      </c>
      <c r="I37" s="15">
        <f t="shared" ref="I37:P37" si="60">$E$37</f>
        <v>164.4</v>
      </c>
      <c r="J37" s="15">
        <f t="shared" si="60"/>
        <v>164.4</v>
      </c>
      <c r="K37" s="15">
        <f t="shared" si="60"/>
        <v>164.4</v>
      </c>
      <c r="L37" s="15">
        <f t="shared" si="60"/>
        <v>164.4</v>
      </c>
      <c r="M37" s="15">
        <f t="shared" si="60"/>
        <v>164.4</v>
      </c>
      <c r="N37" s="15">
        <f t="shared" si="60"/>
        <v>164.4</v>
      </c>
      <c r="O37" s="15">
        <f t="shared" si="60"/>
        <v>164.4</v>
      </c>
      <c r="P37" s="15">
        <f t="shared" si="60"/>
        <v>164.4</v>
      </c>
      <c r="Q37" s="16">
        <f t="shared" si="39"/>
        <v>1854.5286111111116</v>
      </c>
      <c r="R37" s="15">
        <f t="shared" si="55"/>
        <v>164.4</v>
      </c>
      <c r="S37" s="15">
        <f t="shared" si="56"/>
        <v>164.4</v>
      </c>
      <c r="T37" s="15">
        <f t="shared" si="56"/>
        <v>164.4</v>
      </c>
      <c r="U37" s="15">
        <f t="shared" si="56"/>
        <v>164.4</v>
      </c>
      <c r="V37" s="15">
        <f t="shared" si="56"/>
        <v>164.4</v>
      </c>
      <c r="W37" s="15">
        <f t="shared" si="56"/>
        <v>164.4</v>
      </c>
      <c r="X37" s="15">
        <f t="shared" si="56"/>
        <v>164.4</v>
      </c>
      <c r="Y37" s="15">
        <f t="shared" si="56"/>
        <v>164.4</v>
      </c>
      <c r="Z37" s="15">
        <f t="shared" si="56"/>
        <v>164.4</v>
      </c>
      <c r="AA37" s="15">
        <f t="shared" si="56"/>
        <v>164.4</v>
      </c>
      <c r="AB37" s="15">
        <f t="shared" si="56"/>
        <v>164.4</v>
      </c>
      <c r="AC37" s="15">
        <f t="shared" si="56"/>
        <v>164.4</v>
      </c>
      <c r="AD37" s="16">
        <f t="shared" si="40"/>
        <v>1972.8000000000004</v>
      </c>
      <c r="AE37" s="15">
        <f t="shared" si="57"/>
        <v>164.4</v>
      </c>
      <c r="AF37" s="15">
        <f t="shared" si="58"/>
        <v>164.4</v>
      </c>
      <c r="AG37" s="15">
        <f t="shared" si="58"/>
        <v>164.4</v>
      </c>
      <c r="AH37" s="15">
        <f t="shared" si="58"/>
        <v>164.4</v>
      </c>
      <c r="AI37" s="15">
        <f t="shared" si="58"/>
        <v>164.4</v>
      </c>
      <c r="AJ37" s="15">
        <f t="shared" si="58"/>
        <v>164.4</v>
      </c>
      <c r="AK37" s="15">
        <f t="shared" si="58"/>
        <v>164.4</v>
      </c>
      <c r="AL37" s="15">
        <f t="shared" si="58"/>
        <v>164.4</v>
      </c>
      <c r="AM37" s="15">
        <f t="shared" si="58"/>
        <v>164.4</v>
      </c>
      <c r="AN37" s="15">
        <f t="shared" si="58"/>
        <v>164.4</v>
      </c>
      <c r="AO37" s="15">
        <f t="shared" si="58"/>
        <v>164.4</v>
      </c>
      <c r="AP37" s="15">
        <f t="shared" si="58"/>
        <v>164.4</v>
      </c>
      <c r="AQ37" s="16">
        <f t="shared" si="41"/>
        <v>1972.8000000000004</v>
      </c>
    </row>
    <row r="38" spans="1:43" x14ac:dyDescent="0.3">
      <c r="A38" t="s">
        <v>107</v>
      </c>
      <c r="B38" s="38" t="s">
        <v>89</v>
      </c>
      <c r="C38" t="s">
        <v>107</v>
      </c>
      <c r="D38" s="95">
        <v>0.01</v>
      </c>
      <c r="E38" s="32">
        <f t="shared" si="38"/>
        <v>54.800000000000004</v>
      </c>
      <c r="F38" s="15">
        <v>13.766666666666667</v>
      </c>
      <c r="G38" s="15">
        <f>$E$38</f>
        <v>54.800000000000004</v>
      </c>
      <c r="H38" s="15">
        <f>$E$38</f>
        <v>54.800000000000004</v>
      </c>
      <c r="I38" s="15">
        <f t="shared" ref="I38:P38" si="61">$E$38</f>
        <v>54.800000000000004</v>
      </c>
      <c r="J38" s="15">
        <f t="shared" si="61"/>
        <v>54.800000000000004</v>
      </c>
      <c r="K38" s="15">
        <f t="shared" si="61"/>
        <v>54.800000000000004</v>
      </c>
      <c r="L38" s="15">
        <f t="shared" si="61"/>
        <v>54.800000000000004</v>
      </c>
      <c r="M38" s="15">
        <f t="shared" si="61"/>
        <v>54.800000000000004</v>
      </c>
      <c r="N38" s="15">
        <f t="shared" si="61"/>
        <v>54.800000000000004</v>
      </c>
      <c r="O38" s="15">
        <f t="shared" si="61"/>
        <v>54.800000000000004</v>
      </c>
      <c r="P38" s="15">
        <f t="shared" si="61"/>
        <v>54.800000000000004</v>
      </c>
      <c r="Q38" s="16">
        <f t="shared" si="39"/>
        <v>616.56666666666672</v>
      </c>
      <c r="R38" s="15">
        <f t="shared" si="55"/>
        <v>54.800000000000004</v>
      </c>
      <c r="S38" s="15">
        <f t="shared" si="56"/>
        <v>54.800000000000004</v>
      </c>
      <c r="T38" s="15">
        <f t="shared" si="56"/>
        <v>54.800000000000004</v>
      </c>
      <c r="U38" s="15">
        <f t="shared" si="56"/>
        <v>54.800000000000004</v>
      </c>
      <c r="V38" s="15">
        <f t="shared" si="56"/>
        <v>54.800000000000004</v>
      </c>
      <c r="W38" s="15">
        <f t="shared" si="56"/>
        <v>54.800000000000004</v>
      </c>
      <c r="X38" s="15">
        <f t="shared" si="56"/>
        <v>54.800000000000004</v>
      </c>
      <c r="Y38" s="15">
        <f t="shared" si="56"/>
        <v>54.800000000000004</v>
      </c>
      <c r="Z38" s="15">
        <f t="shared" si="56"/>
        <v>54.800000000000004</v>
      </c>
      <c r="AA38" s="15">
        <f t="shared" si="56"/>
        <v>54.800000000000004</v>
      </c>
      <c r="AB38" s="15">
        <f t="shared" si="56"/>
        <v>54.800000000000004</v>
      </c>
      <c r="AC38" s="15">
        <f t="shared" si="56"/>
        <v>54.800000000000004</v>
      </c>
      <c r="AD38" s="16">
        <f t="shared" si="40"/>
        <v>657.59999999999991</v>
      </c>
      <c r="AE38" s="15">
        <f t="shared" si="57"/>
        <v>54.800000000000004</v>
      </c>
      <c r="AF38" s="15">
        <f t="shared" si="58"/>
        <v>54.800000000000004</v>
      </c>
      <c r="AG38" s="15">
        <f t="shared" si="58"/>
        <v>54.800000000000004</v>
      </c>
      <c r="AH38" s="15">
        <f t="shared" si="58"/>
        <v>54.800000000000004</v>
      </c>
      <c r="AI38" s="15">
        <f t="shared" si="58"/>
        <v>54.800000000000004</v>
      </c>
      <c r="AJ38" s="15">
        <f t="shared" si="58"/>
        <v>54.800000000000004</v>
      </c>
      <c r="AK38" s="15">
        <f t="shared" si="58"/>
        <v>54.800000000000004</v>
      </c>
      <c r="AL38" s="15">
        <f t="shared" si="58"/>
        <v>54.800000000000004</v>
      </c>
      <c r="AM38" s="15">
        <f t="shared" si="58"/>
        <v>54.800000000000004</v>
      </c>
      <c r="AN38" s="15">
        <f t="shared" si="58"/>
        <v>54.800000000000004</v>
      </c>
      <c r="AO38" s="15">
        <f t="shared" si="58"/>
        <v>54.800000000000004</v>
      </c>
      <c r="AP38" s="15">
        <f t="shared" si="58"/>
        <v>54.800000000000004</v>
      </c>
      <c r="AQ38" s="16">
        <f t="shared" si="41"/>
        <v>657.59999999999991</v>
      </c>
    </row>
    <row r="39" spans="1:43" x14ac:dyDescent="0.3">
      <c r="A39" t="s">
        <v>108</v>
      </c>
      <c r="B39" s="38" t="s">
        <v>101</v>
      </c>
      <c r="C39" t="s">
        <v>108</v>
      </c>
      <c r="D39" s="95">
        <v>0.4</v>
      </c>
      <c r="E39" s="32">
        <f t="shared" si="38"/>
        <v>2192</v>
      </c>
      <c r="F39" s="15">
        <v>639.95875000000001</v>
      </c>
      <c r="G39" s="15">
        <f>$E$39</f>
        <v>2192</v>
      </c>
      <c r="H39" s="15">
        <f>$E$39</f>
        <v>2192</v>
      </c>
      <c r="I39" s="15">
        <f t="shared" ref="I39:P39" si="62">$E$39</f>
        <v>2192</v>
      </c>
      <c r="J39" s="15">
        <f t="shared" si="62"/>
        <v>2192</v>
      </c>
      <c r="K39" s="15">
        <f t="shared" si="62"/>
        <v>2192</v>
      </c>
      <c r="L39" s="15">
        <f t="shared" si="62"/>
        <v>2192</v>
      </c>
      <c r="M39" s="15">
        <f t="shared" si="62"/>
        <v>2192</v>
      </c>
      <c r="N39" s="15">
        <f t="shared" si="62"/>
        <v>2192</v>
      </c>
      <c r="O39" s="15">
        <f t="shared" si="62"/>
        <v>2192</v>
      </c>
      <c r="P39" s="15">
        <f t="shared" si="62"/>
        <v>2192</v>
      </c>
      <c r="Q39" s="16">
        <f t="shared" si="39"/>
        <v>24751.958749999998</v>
      </c>
      <c r="R39" s="15">
        <f t="shared" si="55"/>
        <v>2192</v>
      </c>
      <c r="S39" s="15">
        <f t="shared" si="56"/>
        <v>2192</v>
      </c>
      <c r="T39" s="15">
        <f t="shared" si="56"/>
        <v>2192</v>
      </c>
      <c r="U39" s="15">
        <f t="shared" si="56"/>
        <v>2192</v>
      </c>
      <c r="V39" s="15">
        <f t="shared" si="56"/>
        <v>2192</v>
      </c>
      <c r="W39" s="15">
        <f t="shared" si="56"/>
        <v>2192</v>
      </c>
      <c r="X39" s="15">
        <f t="shared" si="56"/>
        <v>2192</v>
      </c>
      <c r="Y39" s="15">
        <f t="shared" si="56"/>
        <v>2192</v>
      </c>
      <c r="Z39" s="15">
        <f t="shared" si="56"/>
        <v>2192</v>
      </c>
      <c r="AA39" s="15">
        <f t="shared" si="56"/>
        <v>2192</v>
      </c>
      <c r="AB39" s="15">
        <f t="shared" si="56"/>
        <v>2192</v>
      </c>
      <c r="AC39" s="15">
        <f t="shared" si="56"/>
        <v>2192</v>
      </c>
      <c r="AD39" s="16">
        <f t="shared" si="40"/>
        <v>26304</v>
      </c>
      <c r="AE39" s="15">
        <f t="shared" si="57"/>
        <v>2192</v>
      </c>
      <c r="AF39" s="15">
        <f t="shared" si="58"/>
        <v>2192</v>
      </c>
      <c r="AG39" s="15">
        <f t="shared" si="58"/>
        <v>2192</v>
      </c>
      <c r="AH39" s="15">
        <f t="shared" si="58"/>
        <v>2192</v>
      </c>
      <c r="AI39" s="15">
        <f t="shared" si="58"/>
        <v>2192</v>
      </c>
      <c r="AJ39" s="15">
        <f t="shared" si="58"/>
        <v>2192</v>
      </c>
      <c r="AK39" s="15">
        <f t="shared" si="58"/>
        <v>2192</v>
      </c>
      <c r="AL39" s="15">
        <f t="shared" si="58"/>
        <v>2192</v>
      </c>
      <c r="AM39" s="15">
        <f t="shared" si="58"/>
        <v>2192</v>
      </c>
      <c r="AN39" s="15">
        <f t="shared" si="58"/>
        <v>2192</v>
      </c>
      <c r="AO39" s="15">
        <f t="shared" si="58"/>
        <v>2192</v>
      </c>
      <c r="AP39" s="15">
        <f t="shared" si="58"/>
        <v>2192</v>
      </c>
      <c r="AQ39" s="16">
        <f t="shared" si="41"/>
        <v>26304</v>
      </c>
    </row>
    <row r="40" spans="1:43" x14ac:dyDescent="0.3">
      <c r="A40" t="s">
        <v>109</v>
      </c>
      <c r="B40" s="38" t="s">
        <v>101</v>
      </c>
      <c r="C40" t="s">
        <v>109</v>
      </c>
      <c r="D40" s="95"/>
      <c r="E40" s="32">
        <f t="shared" si="38"/>
        <v>0</v>
      </c>
      <c r="F40" s="15">
        <v>0</v>
      </c>
      <c r="G40" s="15">
        <f>$E$40</f>
        <v>0</v>
      </c>
      <c r="H40" s="15">
        <f>$E$40</f>
        <v>0</v>
      </c>
      <c r="I40" s="15">
        <f t="shared" ref="I40:P40" si="63">$E$40</f>
        <v>0</v>
      </c>
      <c r="J40" s="15">
        <f t="shared" si="63"/>
        <v>0</v>
      </c>
      <c r="K40" s="15">
        <f t="shared" si="63"/>
        <v>0</v>
      </c>
      <c r="L40" s="15">
        <f t="shared" si="63"/>
        <v>0</v>
      </c>
      <c r="M40" s="15">
        <f t="shared" si="63"/>
        <v>0</v>
      </c>
      <c r="N40" s="15">
        <f t="shared" si="63"/>
        <v>0</v>
      </c>
      <c r="O40" s="15">
        <f t="shared" si="63"/>
        <v>0</v>
      </c>
      <c r="P40" s="15">
        <f t="shared" si="63"/>
        <v>0</v>
      </c>
      <c r="Q40" s="16">
        <f t="shared" si="39"/>
        <v>0</v>
      </c>
      <c r="R40" s="15">
        <f t="shared" si="55"/>
        <v>0</v>
      </c>
      <c r="S40" s="15">
        <f t="shared" si="56"/>
        <v>0</v>
      </c>
      <c r="T40" s="15">
        <f t="shared" si="56"/>
        <v>0</v>
      </c>
      <c r="U40" s="15">
        <f t="shared" si="56"/>
        <v>0</v>
      </c>
      <c r="V40" s="15">
        <f t="shared" si="56"/>
        <v>0</v>
      </c>
      <c r="W40" s="15">
        <f t="shared" si="56"/>
        <v>0</v>
      </c>
      <c r="X40" s="15">
        <f t="shared" si="56"/>
        <v>0</v>
      </c>
      <c r="Y40" s="15">
        <f t="shared" si="56"/>
        <v>0</v>
      </c>
      <c r="Z40" s="15">
        <f t="shared" si="56"/>
        <v>0</v>
      </c>
      <c r="AA40" s="15">
        <f t="shared" si="56"/>
        <v>0</v>
      </c>
      <c r="AB40" s="15">
        <f t="shared" si="56"/>
        <v>0</v>
      </c>
      <c r="AC40" s="15">
        <f t="shared" si="56"/>
        <v>0</v>
      </c>
      <c r="AD40" s="16">
        <f t="shared" si="40"/>
        <v>0</v>
      </c>
      <c r="AE40" s="15">
        <f t="shared" si="57"/>
        <v>0</v>
      </c>
      <c r="AF40" s="15">
        <f t="shared" si="58"/>
        <v>0</v>
      </c>
      <c r="AG40" s="15">
        <f t="shared" si="58"/>
        <v>0</v>
      </c>
      <c r="AH40" s="15">
        <f t="shared" si="58"/>
        <v>0</v>
      </c>
      <c r="AI40" s="15">
        <f t="shared" si="58"/>
        <v>0</v>
      </c>
      <c r="AJ40" s="15">
        <f t="shared" si="58"/>
        <v>0</v>
      </c>
      <c r="AK40" s="15">
        <f t="shared" si="58"/>
        <v>0</v>
      </c>
      <c r="AL40" s="15">
        <f t="shared" si="58"/>
        <v>0</v>
      </c>
      <c r="AM40" s="15">
        <f t="shared" si="58"/>
        <v>0</v>
      </c>
      <c r="AN40" s="15">
        <f t="shared" si="58"/>
        <v>0</v>
      </c>
      <c r="AO40" s="15">
        <f t="shared" si="58"/>
        <v>0</v>
      </c>
      <c r="AP40" s="15">
        <f t="shared" si="58"/>
        <v>0</v>
      </c>
      <c r="AQ40" s="16">
        <f t="shared" si="41"/>
        <v>0</v>
      </c>
    </row>
    <row r="41" spans="1:43" x14ac:dyDescent="0.3">
      <c r="A41" t="s">
        <v>110</v>
      </c>
      <c r="B41" s="38" t="s">
        <v>89</v>
      </c>
      <c r="C41" t="s">
        <v>110</v>
      </c>
      <c r="D41" s="95">
        <v>0.66</v>
      </c>
      <c r="E41" s="32">
        <f t="shared" si="38"/>
        <v>3616.8</v>
      </c>
      <c r="F41" s="15">
        <v>0.66138888888888892</v>
      </c>
      <c r="G41" s="15">
        <f>$E$41</f>
        <v>3616.8</v>
      </c>
      <c r="H41" s="15">
        <f>$E$41</f>
        <v>3616.8</v>
      </c>
      <c r="I41" s="15">
        <f t="shared" ref="I41:P41" si="64">$E$41</f>
        <v>3616.8</v>
      </c>
      <c r="J41" s="15">
        <f t="shared" si="64"/>
        <v>3616.8</v>
      </c>
      <c r="K41" s="15">
        <f t="shared" si="64"/>
        <v>3616.8</v>
      </c>
      <c r="L41" s="15">
        <f t="shared" si="64"/>
        <v>3616.8</v>
      </c>
      <c r="M41" s="15">
        <f t="shared" si="64"/>
        <v>3616.8</v>
      </c>
      <c r="N41" s="15">
        <f t="shared" si="64"/>
        <v>3616.8</v>
      </c>
      <c r="O41" s="15">
        <f t="shared" si="64"/>
        <v>3616.8</v>
      </c>
      <c r="P41" s="15">
        <f t="shared" si="64"/>
        <v>3616.8</v>
      </c>
      <c r="Q41" s="16">
        <f t="shared" si="39"/>
        <v>39785.461388888893</v>
      </c>
      <c r="R41" s="15">
        <f t="shared" si="55"/>
        <v>3616.8</v>
      </c>
      <c r="S41" s="15">
        <f t="shared" si="56"/>
        <v>3616.8</v>
      </c>
      <c r="T41" s="15">
        <f t="shared" si="56"/>
        <v>3616.8</v>
      </c>
      <c r="U41" s="15">
        <f t="shared" si="56"/>
        <v>3616.8</v>
      </c>
      <c r="V41" s="15">
        <f t="shared" si="56"/>
        <v>3616.8</v>
      </c>
      <c r="W41" s="15">
        <f t="shared" si="56"/>
        <v>3616.8</v>
      </c>
      <c r="X41" s="15">
        <f t="shared" si="56"/>
        <v>3616.8</v>
      </c>
      <c r="Y41" s="15">
        <f t="shared" si="56"/>
        <v>3616.8</v>
      </c>
      <c r="Z41" s="15">
        <f t="shared" si="56"/>
        <v>3616.8</v>
      </c>
      <c r="AA41" s="15">
        <f t="shared" si="56"/>
        <v>3616.8</v>
      </c>
      <c r="AB41" s="15">
        <f t="shared" si="56"/>
        <v>3616.8</v>
      </c>
      <c r="AC41" s="15">
        <f t="shared" si="56"/>
        <v>3616.8</v>
      </c>
      <c r="AD41" s="16">
        <f t="shared" si="40"/>
        <v>43401.600000000006</v>
      </c>
      <c r="AE41" s="15">
        <f t="shared" si="57"/>
        <v>3616.8</v>
      </c>
      <c r="AF41" s="15">
        <f t="shared" si="58"/>
        <v>3616.8</v>
      </c>
      <c r="AG41" s="15">
        <f t="shared" si="58"/>
        <v>3616.8</v>
      </c>
      <c r="AH41" s="15">
        <f t="shared" si="58"/>
        <v>3616.8</v>
      </c>
      <c r="AI41" s="15">
        <f t="shared" si="58"/>
        <v>3616.8</v>
      </c>
      <c r="AJ41" s="15">
        <f t="shared" si="58"/>
        <v>3616.8</v>
      </c>
      <c r="AK41" s="15">
        <f t="shared" si="58"/>
        <v>3616.8</v>
      </c>
      <c r="AL41" s="15">
        <f t="shared" si="58"/>
        <v>3616.8</v>
      </c>
      <c r="AM41" s="15">
        <f t="shared" si="58"/>
        <v>3616.8</v>
      </c>
      <c r="AN41" s="15">
        <f t="shared" si="58"/>
        <v>3616.8</v>
      </c>
      <c r="AO41" s="15">
        <f t="shared" si="58"/>
        <v>3616.8</v>
      </c>
      <c r="AP41" s="15">
        <f t="shared" si="58"/>
        <v>3616.8</v>
      </c>
      <c r="AQ41" s="16">
        <f t="shared" si="41"/>
        <v>43401.600000000006</v>
      </c>
    </row>
    <row r="42" spans="1:43" x14ac:dyDescent="0.3">
      <c r="A42" t="s">
        <v>111</v>
      </c>
      <c r="B42" s="38" t="s">
        <v>89</v>
      </c>
      <c r="C42" t="s">
        <v>111</v>
      </c>
      <c r="D42" s="95">
        <v>0.44</v>
      </c>
      <c r="E42" s="32">
        <f t="shared" si="38"/>
        <v>2411.1999999999998</v>
      </c>
      <c r="F42" s="15">
        <v>696.04986111111111</v>
      </c>
      <c r="G42" s="15">
        <f>$E$42</f>
        <v>2411.1999999999998</v>
      </c>
      <c r="H42" s="15">
        <f>$E$42</f>
        <v>2411.1999999999998</v>
      </c>
      <c r="I42" s="15">
        <f t="shared" ref="I42:P42" si="65">$E$42</f>
        <v>2411.1999999999998</v>
      </c>
      <c r="J42" s="15">
        <f t="shared" si="65"/>
        <v>2411.1999999999998</v>
      </c>
      <c r="K42" s="15">
        <f t="shared" si="65"/>
        <v>2411.1999999999998</v>
      </c>
      <c r="L42" s="15">
        <f t="shared" si="65"/>
        <v>2411.1999999999998</v>
      </c>
      <c r="M42" s="15">
        <f t="shared" si="65"/>
        <v>2411.1999999999998</v>
      </c>
      <c r="N42" s="15">
        <f t="shared" si="65"/>
        <v>2411.1999999999998</v>
      </c>
      <c r="O42" s="15">
        <f t="shared" si="65"/>
        <v>2411.1999999999998</v>
      </c>
      <c r="P42" s="15">
        <f t="shared" si="65"/>
        <v>2411.1999999999998</v>
      </c>
      <c r="Q42" s="16">
        <f t="shared" si="39"/>
        <v>27219.249861111115</v>
      </c>
      <c r="R42" s="15">
        <f t="shared" si="55"/>
        <v>2411.1999999999998</v>
      </c>
      <c r="S42" s="15">
        <f t="shared" si="56"/>
        <v>2411.1999999999998</v>
      </c>
      <c r="T42" s="15">
        <f t="shared" si="56"/>
        <v>2411.1999999999998</v>
      </c>
      <c r="U42" s="15">
        <f t="shared" si="56"/>
        <v>2411.1999999999998</v>
      </c>
      <c r="V42" s="15">
        <f t="shared" si="56"/>
        <v>2411.1999999999998</v>
      </c>
      <c r="W42" s="15">
        <f t="shared" si="56"/>
        <v>2411.1999999999998</v>
      </c>
      <c r="X42" s="15">
        <f t="shared" si="56"/>
        <v>2411.1999999999998</v>
      </c>
      <c r="Y42" s="15">
        <f t="shared" si="56"/>
        <v>2411.1999999999998</v>
      </c>
      <c r="Z42" s="15">
        <f t="shared" si="56"/>
        <v>2411.1999999999998</v>
      </c>
      <c r="AA42" s="15">
        <f t="shared" si="56"/>
        <v>2411.1999999999998</v>
      </c>
      <c r="AB42" s="15">
        <f t="shared" si="56"/>
        <v>2411.1999999999998</v>
      </c>
      <c r="AC42" s="15">
        <f t="shared" si="56"/>
        <v>2411.1999999999998</v>
      </c>
      <c r="AD42" s="16">
        <f t="shared" si="40"/>
        <v>28934.400000000005</v>
      </c>
      <c r="AE42" s="15">
        <f t="shared" si="57"/>
        <v>2411.1999999999998</v>
      </c>
      <c r="AF42" s="15">
        <f t="shared" si="58"/>
        <v>2411.1999999999998</v>
      </c>
      <c r="AG42" s="15">
        <f t="shared" si="58"/>
        <v>2411.1999999999998</v>
      </c>
      <c r="AH42" s="15">
        <f t="shared" si="58"/>
        <v>2411.1999999999998</v>
      </c>
      <c r="AI42" s="15">
        <f t="shared" si="58"/>
        <v>2411.1999999999998</v>
      </c>
      <c r="AJ42" s="15">
        <f t="shared" si="58"/>
        <v>2411.1999999999998</v>
      </c>
      <c r="AK42" s="15">
        <f t="shared" si="58"/>
        <v>2411.1999999999998</v>
      </c>
      <c r="AL42" s="15">
        <f t="shared" si="58"/>
        <v>2411.1999999999998</v>
      </c>
      <c r="AM42" s="15">
        <f t="shared" si="58"/>
        <v>2411.1999999999998</v>
      </c>
      <c r="AN42" s="15">
        <f t="shared" si="58"/>
        <v>2411.1999999999998</v>
      </c>
      <c r="AO42" s="15">
        <f t="shared" si="58"/>
        <v>2411.1999999999998</v>
      </c>
      <c r="AP42" s="15">
        <f t="shared" si="58"/>
        <v>2411.1999999999998</v>
      </c>
      <c r="AQ42" s="16">
        <f t="shared" si="41"/>
        <v>28934.400000000005</v>
      </c>
    </row>
    <row r="43" spans="1:43" x14ac:dyDescent="0.3">
      <c r="A43" t="s">
        <v>112</v>
      </c>
      <c r="B43" s="38" t="s">
        <v>89</v>
      </c>
      <c r="C43" t="s">
        <v>112</v>
      </c>
      <c r="D43" s="95">
        <v>0.18</v>
      </c>
      <c r="E43" s="32">
        <f t="shared" si="38"/>
        <v>986.4</v>
      </c>
      <c r="F43" s="15">
        <v>293.5531944444445</v>
      </c>
      <c r="G43" s="15">
        <f>$E$43</f>
        <v>986.4</v>
      </c>
      <c r="H43" s="15">
        <f>$E$43</f>
        <v>986.4</v>
      </c>
      <c r="I43" s="15">
        <f t="shared" ref="I43:P43" si="66">$E$43</f>
        <v>986.4</v>
      </c>
      <c r="J43" s="15">
        <f t="shared" si="66"/>
        <v>986.4</v>
      </c>
      <c r="K43" s="15">
        <f t="shared" si="66"/>
        <v>986.4</v>
      </c>
      <c r="L43" s="15">
        <f t="shared" si="66"/>
        <v>986.4</v>
      </c>
      <c r="M43" s="15">
        <f t="shared" si="66"/>
        <v>986.4</v>
      </c>
      <c r="N43" s="15">
        <f t="shared" si="66"/>
        <v>986.4</v>
      </c>
      <c r="O43" s="15">
        <f t="shared" si="66"/>
        <v>986.4</v>
      </c>
      <c r="P43" s="15">
        <f t="shared" si="66"/>
        <v>986.4</v>
      </c>
      <c r="Q43" s="16">
        <f t="shared" si="39"/>
        <v>11143.953194444442</v>
      </c>
      <c r="R43" s="15">
        <f t="shared" si="55"/>
        <v>986.4</v>
      </c>
      <c r="S43" s="15">
        <f t="shared" si="56"/>
        <v>986.4</v>
      </c>
      <c r="T43" s="15">
        <f t="shared" si="56"/>
        <v>986.4</v>
      </c>
      <c r="U43" s="15">
        <f t="shared" si="56"/>
        <v>986.4</v>
      </c>
      <c r="V43" s="15">
        <f t="shared" si="56"/>
        <v>986.4</v>
      </c>
      <c r="W43" s="15">
        <f t="shared" si="56"/>
        <v>986.4</v>
      </c>
      <c r="X43" s="15">
        <f t="shared" si="56"/>
        <v>986.4</v>
      </c>
      <c r="Y43" s="15">
        <f t="shared" si="56"/>
        <v>986.4</v>
      </c>
      <c r="Z43" s="15">
        <f t="shared" si="56"/>
        <v>986.4</v>
      </c>
      <c r="AA43" s="15">
        <f t="shared" si="56"/>
        <v>986.4</v>
      </c>
      <c r="AB43" s="15">
        <f t="shared" si="56"/>
        <v>986.4</v>
      </c>
      <c r="AC43" s="15">
        <f t="shared" si="56"/>
        <v>986.4</v>
      </c>
      <c r="AD43" s="16">
        <f t="shared" si="40"/>
        <v>11836.799999999997</v>
      </c>
      <c r="AE43" s="15">
        <f t="shared" si="57"/>
        <v>986.4</v>
      </c>
      <c r="AF43" s="15">
        <f t="shared" si="58"/>
        <v>986.4</v>
      </c>
      <c r="AG43" s="15">
        <f t="shared" si="58"/>
        <v>986.4</v>
      </c>
      <c r="AH43" s="15">
        <f t="shared" si="58"/>
        <v>986.4</v>
      </c>
      <c r="AI43" s="15">
        <f t="shared" si="58"/>
        <v>986.4</v>
      </c>
      <c r="AJ43" s="15">
        <f t="shared" si="58"/>
        <v>986.4</v>
      </c>
      <c r="AK43" s="15">
        <f t="shared" si="58"/>
        <v>986.4</v>
      </c>
      <c r="AL43" s="15">
        <f t="shared" si="58"/>
        <v>986.4</v>
      </c>
      <c r="AM43" s="15">
        <f t="shared" si="58"/>
        <v>986.4</v>
      </c>
      <c r="AN43" s="15">
        <f t="shared" si="58"/>
        <v>986.4</v>
      </c>
      <c r="AO43" s="15">
        <f t="shared" si="58"/>
        <v>986.4</v>
      </c>
      <c r="AP43" s="15">
        <f t="shared" si="58"/>
        <v>986.4</v>
      </c>
      <c r="AQ43" s="16">
        <f t="shared" si="41"/>
        <v>11836.799999999997</v>
      </c>
    </row>
    <row r="44" spans="1:43" x14ac:dyDescent="0.3">
      <c r="A44" t="s">
        <v>113</v>
      </c>
      <c r="B44" s="38" t="s">
        <v>101</v>
      </c>
      <c r="C44" t="s">
        <v>113</v>
      </c>
      <c r="D44" s="95">
        <v>1.67</v>
      </c>
      <c r="E44" s="32">
        <f t="shared" si="38"/>
        <v>9151.6</v>
      </c>
      <c r="F44" s="47"/>
      <c r="G44" s="47">
        <f>$E$44</f>
        <v>9151.6</v>
      </c>
      <c r="H44" s="47"/>
      <c r="I44" s="47">
        <f>$E$44</f>
        <v>9151.6</v>
      </c>
      <c r="J44" s="47"/>
      <c r="K44" s="47">
        <f>$E$44</f>
        <v>9151.6</v>
      </c>
      <c r="L44" s="47"/>
      <c r="M44" s="47"/>
      <c r="N44" s="47">
        <f>$E$44</f>
        <v>9151.6</v>
      </c>
      <c r="O44" s="47"/>
      <c r="P44" s="47"/>
      <c r="Q44" s="16">
        <f t="shared" si="39"/>
        <v>45758</v>
      </c>
      <c r="R44" s="47">
        <f>$E$44</f>
        <v>9151.6</v>
      </c>
      <c r="S44" s="47"/>
      <c r="T44" s="47">
        <f>$E$44</f>
        <v>9151.6</v>
      </c>
      <c r="U44" s="47"/>
      <c r="V44" s="47">
        <f>$E$44</f>
        <v>9151.6</v>
      </c>
      <c r="W44" s="47"/>
      <c r="X44" s="47">
        <f>$E$44</f>
        <v>9151.6</v>
      </c>
      <c r="Y44" s="47"/>
      <c r="Z44" s="47"/>
      <c r="AA44" s="47">
        <f>$E$44</f>
        <v>9151.6</v>
      </c>
      <c r="AB44" s="47"/>
      <c r="AC44" s="47"/>
      <c r="AD44" s="16">
        <f t="shared" si="40"/>
        <v>45758</v>
      </c>
      <c r="AE44" s="47">
        <f>$E$44</f>
        <v>9151.6</v>
      </c>
      <c r="AF44" s="47"/>
      <c r="AG44" s="47">
        <f>$E$44</f>
        <v>9151.6</v>
      </c>
      <c r="AH44" s="47"/>
      <c r="AI44" s="47">
        <f>$E$44</f>
        <v>9151.6</v>
      </c>
      <c r="AJ44" s="47"/>
      <c r="AK44" s="47">
        <f>$E$44</f>
        <v>9151.6</v>
      </c>
      <c r="AL44" s="47"/>
      <c r="AM44" s="47"/>
      <c r="AN44" s="47">
        <f>$E$44</f>
        <v>9151.6</v>
      </c>
      <c r="AO44" s="47"/>
      <c r="AP44" s="47"/>
      <c r="AQ44" s="16">
        <f t="shared" si="41"/>
        <v>45758</v>
      </c>
    </row>
    <row r="45" spans="1:43" x14ac:dyDescent="0.3">
      <c r="C45" s="24" t="s">
        <v>114</v>
      </c>
      <c r="D45" s="95"/>
      <c r="E45" s="25">
        <f t="shared" ref="E45:P45" si="67">SUM(E20,E22:E30,E32:E44)</f>
        <v>96150.255000000005</v>
      </c>
      <c r="F45" s="25">
        <f t="shared" si="67"/>
        <v>50105.494444444455</v>
      </c>
      <c r="G45" s="25">
        <f t="shared" si="67"/>
        <v>157871.2458</v>
      </c>
      <c r="H45" s="25">
        <f t="shared" si="67"/>
        <v>60172.655000000006</v>
      </c>
      <c r="I45" s="25">
        <f t="shared" si="67"/>
        <v>132718.04579999999</v>
      </c>
      <c r="J45" s="25">
        <f t="shared" si="67"/>
        <v>85325.854999999996</v>
      </c>
      <c r="K45" s="25">
        <f t="shared" si="67"/>
        <v>132718.04579999999</v>
      </c>
      <c r="L45" s="25">
        <f t="shared" si="67"/>
        <v>60172.655000000006</v>
      </c>
      <c r="M45" s="25">
        <f t="shared" si="67"/>
        <v>84777.854999999996</v>
      </c>
      <c r="N45" s="25">
        <f t="shared" si="67"/>
        <v>132718.04579999999</v>
      </c>
      <c r="O45" s="25">
        <f t="shared" si="67"/>
        <v>60172.655000000006</v>
      </c>
      <c r="P45" s="25">
        <f t="shared" si="67"/>
        <v>148719.6458</v>
      </c>
      <c r="Q45" s="25">
        <f>SUM(E45:P45)</f>
        <v>1201622.4534444443</v>
      </c>
      <c r="R45" s="25">
        <f t="shared" ref="R45:AC45" si="68">SUM(R20,R22:R30,R32:R44)</f>
        <v>70803.85500000001</v>
      </c>
      <c r="S45" s="25">
        <f t="shared" si="68"/>
        <v>59624.655000000006</v>
      </c>
      <c r="T45" s="25">
        <f t="shared" si="68"/>
        <v>157871.2458</v>
      </c>
      <c r="U45" s="25">
        <f t="shared" si="68"/>
        <v>60172.655000000006</v>
      </c>
      <c r="V45" s="25">
        <f t="shared" si="68"/>
        <v>132718.04579999999</v>
      </c>
      <c r="W45" s="25">
        <f t="shared" si="68"/>
        <v>85325.854999999996</v>
      </c>
      <c r="X45" s="25">
        <f t="shared" si="68"/>
        <v>132718.04579999999</v>
      </c>
      <c r="Y45" s="25">
        <f t="shared" si="68"/>
        <v>60172.655000000006</v>
      </c>
      <c r="Z45" s="25">
        <f t="shared" si="68"/>
        <v>84777.854999999996</v>
      </c>
      <c r="AA45" s="25">
        <f t="shared" si="68"/>
        <v>132718.04579999999</v>
      </c>
      <c r="AB45" s="25">
        <f t="shared" si="68"/>
        <v>60172.655000000006</v>
      </c>
      <c r="AC45" s="25">
        <f t="shared" si="68"/>
        <v>85161.455000000002</v>
      </c>
      <c r="AD45" s="25">
        <f>SUM(R45:AC45)</f>
        <v>1122237.0231999999</v>
      </c>
      <c r="AE45" s="25">
        <f t="shared" ref="AE45:AP45" si="69">SUM(AE20,AE22:AE30,AE32:AE44)</f>
        <v>156830.04579999999</v>
      </c>
      <c r="AF45" s="25">
        <f t="shared" si="69"/>
        <v>59624.655000000006</v>
      </c>
      <c r="AG45" s="25">
        <f t="shared" si="69"/>
        <v>157871.2458</v>
      </c>
      <c r="AH45" s="25">
        <f t="shared" si="69"/>
        <v>60172.655000000006</v>
      </c>
      <c r="AI45" s="25">
        <f t="shared" si="69"/>
        <v>132718.04579999999</v>
      </c>
      <c r="AJ45" s="25">
        <f t="shared" si="69"/>
        <v>85325.854999999996</v>
      </c>
      <c r="AK45" s="25">
        <f t="shared" si="69"/>
        <v>69159.85500000001</v>
      </c>
      <c r="AL45" s="25">
        <f t="shared" si="69"/>
        <v>123730.8458</v>
      </c>
      <c r="AM45" s="25">
        <f t="shared" si="69"/>
        <v>84777.854999999996</v>
      </c>
      <c r="AN45" s="25">
        <f t="shared" si="69"/>
        <v>132718.04579999999</v>
      </c>
      <c r="AO45" s="25">
        <f t="shared" si="69"/>
        <v>60172.655000000006</v>
      </c>
      <c r="AP45" s="25">
        <f t="shared" si="69"/>
        <v>85161.455000000002</v>
      </c>
      <c r="AQ45" s="26">
        <f>SUM(AQ20:AQ30,AQ32:AQ44)</f>
        <v>930153.46307621454</v>
      </c>
    </row>
    <row r="46" spans="1:43" hidden="1" x14ac:dyDescent="0.3">
      <c r="C46" s="27" t="s">
        <v>115</v>
      </c>
      <c r="D46" s="95">
        <f t="shared" si="12"/>
        <v>0</v>
      </c>
      <c r="E46" s="28">
        <f>IFERROR(E45/E$4,0)</f>
        <v>0</v>
      </c>
      <c r="F46" s="28">
        <f t="shared" ref="F46" si="70">IFERROR(F45/F$4,0)</f>
        <v>0</v>
      </c>
      <c r="G46" s="28">
        <f t="shared" ref="G46:N46" si="71">IFERROR(G45/I$4,0)</f>
        <v>0.57617242992700735</v>
      </c>
      <c r="H46" s="28">
        <f t="shared" si="71"/>
        <v>0</v>
      </c>
      <c r="I46" s="28">
        <f t="shared" si="71"/>
        <v>0.4843724299270073</v>
      </c>
      <c r="J46" s="28">
        <f t="shared" si="71"/>
        <v>0</v>
      </c>
      <c r="K46" s="28">
        <f t="shared" si="71"/>
        <v>0.4843724299270073</v>
      </c>
      <c r="L46" s="28">
        <f t="shared" si="71"/>
        <v>0</v>
      </c>
      <c r="M46" s="28">
        <f t="shared" si="71"/>
        <v>0</v>
      </c>
      <c r="N46" s="28">
        <f t="shared" si="71"/>
        <v>0.4843724299270073</v>
      </c>
      <c r="O46" s="28">
        <f>IFERROR(O45/#REF!,0)</f>
        <v>0</v>
      </c>
      <c r="P46" s="28">
        <f>IFERROR(P45/S$4,0)</f>
        <v>0.54277242992700725</v>
      </c>
      <c r="Q46" s="29">
        <f t="shared" ref="Q46" si="72">Q45/Q$4</f>
        <v>1.0963708516828872</v>
      </c>
      <c r="R46" s="28">
        <f>IFERROR(R45/R$4,0)</f>
        <v>0</v>
      </c>
      <c r="S46" s="28">
        <f>IFERROR(S45/#REF!,0)</f>
        <v>0</v>
      </c>
      <c r="T46" s="28">
        <f t="shared" ref="T46:AC46" si="73">IFERROR(T45/V$4,0)</f>
        <v>0.57617242992700735</v>
      </c>
      <c r="U46" s="28">
        <f t="shared" si="73"/>
        <v>0</v>
      </c>
      <c r="V46" s="28">
        <f t="shared" si="73"/>
        <v>0.4843724299270073</v>
      </c>
      <c r="W46" s="28">
        <f t="shared" si="73"/>
        <v>0</v>
      </c>
      <c r="X46" s="28">
        <f t="shared" si="73"/>
        <v>0.4843724299270073</v>
      </c>
      <c r="Y46" s="28">
        <f t="shared" si="73"/>
        <v>0</v>
      </c>
      <c r="Z46" s="28">
        <f t="shared" si="73"/>
        <v>0</v>
      </c>
      <c r="AA46" s="28">
        <f t="shared" si="73"/>
        <v>0.4843724299270073</v>
      </c>
      <c r="AB46" s="28">
        <f t="shared" si="73"/>
        <v>4.3921645985401464E-2</v>
      </c>
      <c r="AC46" s="28">
        <f t="shared" si="73"/>
        <v>0</v>
      </c>
      <c r="AD46" s="29" t="e">
        <f>AD45/#REF!</f>
        <v>#REF!</v>
      </c>
      <c r="AE46" s="28">
        <f>IFERROR(AE45/#REF!,0)</f>
        <v>0</v>
      </c>
      <c r="AF46" s="28">
        <f t="shared" ref="AF46:AP46" si="74">IFERROR(AF45/AF$4,0)</f>
        <v>0</v>
      </c>
      <c r="AG46" s="28">
        <f t="shared" si="74"/>
        <v>0.57617242992700735</v>
      </c>
      <c r="AH46" s="28">
        <f t="shared" si="74"/>
        <v>0</v>
      </c>
      <c r="AI46" s="28">
        <f t="shared" si="74"/>
        <v>0.4843724299270073</v>
      </c>
      <c r="AJ46" s="28">
        <f t="shared" si="74"/>
        <v>0</v>
      </c>
      <c r="AK46" s="28">
        <f t="shared" si="74"/>
        <v>0.25240822992700734</v>
      </c>
      <c r="AL46" s="28">
        <f t="shared" si="74"/>
        <v>0</v>
      </c>
      <c r="AM46" s="28">
        <f t="shared" si="74"/>
        <v>0</v>
      </c>
      <c r="AN46" s="28">
        <f t="shared" si="74"/>
        <v>0.4843724299270073</v>
      </c>
      <c r="AO46" s="28">
        <f t="shared" si="74"/>
        <v>0</v>
      </c>
      <c r="AP46" s="28">
        <f t="shared" si="74"/>
        <v>0.3108082299270073</v>
      </c>
      <c r="AQ46" s="29">
        <f t="shared" ref="AQ46" si="75">AQ45/AQ$4</f>
        <v>0.67894413363227335</v>
      </c>
    </row>
    <row r="47" spans="1:43" x14ac:dyDescent="0.3">
      <c r="D47" s="95">
        <f t="shared" si="12"/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6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6"/>
    </row>
    <row r="48" spans="1:43" x14ac:dyDescent="0.3">
      <c r="A48" t="s">
        <v>116</v>
      </c>
      <c r="B48" s="38" t="s">
        <v>117</v>
      </c>
      <c r="C48" s="42" t="s">
        <v>118</v>
      </c>
      <c r="D48" s="95">
        <v>0.09</v>
      </c>
      <c r="E48" s="32">
        <f t="shared" ref="E48:E60" si="76">$D48*$G$1</f>
        <v>493.2</v>
      </c>
      <c r="F48" s="15">
        <v>150</v>
      </c>
      <c r="G48" s="15">
        <v>150</v>
      </c>
      <c r="H48" s="15">
        <v>150</v>
      </c>
      <c r="I48" s="15">
        <v>150</v>
      </c>
      <c r="J48" s="15">
        <v>150</v>
      </c>
      <c r="K48" s="15">
        <v>150</v>
      </c>
      <c r="L48" s="15">
        <v>150</v>
      </c>
      <c r="M48" s="15">
        <v>150</v>
      </c>
      <c r="N48" s="15">
        <v>150</v>
      </c>
      <c r="O48" s="15">
        <v>150</v>
      </c>
      <c r="P48" s="15">
        <v>150</v>
      </c>
      <c r="Q48" s="16">
        <f t="shared" ref="Q48:Q60" si="77">SUM(E48:P48)</f>
        <v>2143.1999999999998</v>
      </c>
      <c r="R48" s="15">
        <v>150</v>
      </c>
      <c r="S48" s="15">
        <v>150</v>
      </c>
      <c r="T48" s="15">
        <v>150</v>
      </c>
      <c r="U48" s="15">
        <v>150</v>
      </c>
      <c r="V48" s="15">
        <v>150</v>
      </c>
      <c r="W48" s="15">
        <v>150</v>
      </c>
      <c r="X48" s="15">
        <v>150</v>
      </c>
      <c r="Y48" s="15">
        <v>150</v>
      </c>
      <c r="Z48" s="15">
        <v>150</v>
      </c>
      <c r="AA48" s="15">
        <v>150</v>
      </c>
      <c r="AB48" s="15">
        <v>150</v>
      </c>
      <c r="AC48" s="15">
        <v>150</v>
      </c>
      <c r="AD48" s="16">
        <f t="shared" ref="AD48:AD60" si="78">SUM(R48:AC48)</f>
        <v>1800</v>
      </c>
      <c r="AE48" s="15">
        <v>150</v>
      </c>
      <c r="AF48" s="15">
        <v>150</v>
      </c>
      <c r="AG48" s="15">
        <v>150</v>
      </c>
      <c r="AH48" s="15">
        <v>150</v>
      </c>
      <c r="AI48" s="15">
        <v>150</v>
      </c>
      <c r="AJ48" s="15">
        <v>150</v>
      </c>
      <c r="AK48" s="15">
        <v>150</v>
      </c>
      <c r="AL48" s="15">
        <v>150</v>
      </c>
      <c r="AM48" s="15">
        <v>150</v>
      </c>
      <c r="AN48" s="15">
        <v>150</v>
      </c>
      <c r="AO48" s="15">
        <v>150</v>
      </c>
      <c r="AP48" s="15">
        <v>150</v>
      </c>
      <c r="AQ48" s="16">
        <f t="shared" ref="AQ48:AQ60" si="79">SUM(AE48:AP48)</f>
        <v>1800</v>
      </c>
    </row>
    <row r="49" spans="1:43" x14ac:dyDescent="0.3">
      <c r="A49" t="s">
        <v>119</v>
      </c>
      <c r="B49" s="38" t="s">
        <v>120</v>
      </c>
      <c r="C49" s="42" t="s">
        <v>121</v>
      </c>
      <c r="D49" s="95">
        <v>0.06</v>
      </c>
      <c r="E49" s="32">
        <f t="shared" si="76"/>
        <v>328.8</v>
      </c>
      <c r="F49" s="15">
        <v>100</v>
      </c>
      <c r="G49" s="15">
        <v>100</v>
      </c>
      <c r="H49" s="15">
        <v>100</v>
      </c>
      <c r="I49" s="15">
        <v>100</v>
      </c>
      <c r="J49" s="15">
        <v>100</v>
      </c>
      <c r="K49" s="15">
        <v>100</v>
      </c>
      <c r="L49" s="15">
        <v>100</v>
      </c>
      <c r="M49" s="15">
        <v>100</v>
      </c>
      <c r="N49" s="15">
        <v>100</v>
      </c>
      <c r="O49" s="15">
        <v>100</v>
      </c>
      <c r="P49" s="15">
        <v>100</v>
      </c>
      <c r="Q49" s="16">
        <f t="shared" si="77"/>
        <v>1428.8</v>
      </c>
      <c r="R49" s="15">
        <v>100</v>
      </c>
      <c r="S49" s="15">
        <v>100</v>
      </c>
      <c r="T49" s="15">
        <v>100</v>
      </c>
      <c r="U49" s="15">
        <v>100</v>
      </c>
      <c r="V49" s="15">
        <v>100</v>
      </c>
      <c r="W49" s="15">
        <v>100</v>
      </c>
      <c r="X49" s="15">
        <v>100</v>
      </c>
      <c r="Y49" s="15">
        <v>100</v>
      </c>
      <c r="Z49" s="15">
        <v>100</v>
      </c>
      <c r="AA49" s="15">
        <v>100</v>
      </c>
      <c r="AB49" s="15">
        <v>100</v>
      </c>
      <c r="AC49" s="15">
        <v>100</v>
      </c>
      <c r="AD49" s="16">
        <f t="shared" si="78"/>
        <v>1200</v>
      </c>
      <c r="AE49" s="15">
        <v>100</v>
      </c>
      <c r="AF49" s="15">
        <v>100</v>
      </c>
      <c r="AG49" s="15">
        <v>100</v>
      </c>
      <c r="AH49" s="15">
        <v>100</v>
      </c>
      <c r="AI49" s="15">
        <v>100</v>
      </c>
      <c r="AJ49" s="15">
        <v>100</v>
      </c>
      <c r="AK49" s="15">
        <v>100</v>
      </c>
      <c r="AL49" s="15">
        <v>100</v>
      </c>
      <c r="AM49" s="15">
        <v>100</v>
      </c>
      <c r="AN49" s="15">
        <v>100</v>
      </c>
      <c r="AO49" s="15">
        <v>100</v>
      </c>
      <c r="AP49" s="15">
        <v>100</v>
      </c>
      <c r="AQ49" s="16">
        <f t="shared" si="79"/>
        <v>1200</v>
      </c>
    </row>
    <row r="50" spans="1:43" x14ac:dyDescent="0.3">
      <c r="A50" t="s">
        <v>122</v>
      </c>
      <c r="B50" s="38" t="s">
        <v>123</v>
      </c>
      <c r="C50" s="42" t="s">
        <v>124</v>
      </c>
      <c r="D50" s="95">
        <v>0.28999999999999998</v>
      </c>
      <c r="E50" s="32">
        <f t="shared" si="76"/>
        <v>1589.1999999999998</v>
      </c>
      <c r="F50" s="15">
        <v>466.1493055555556</v>
      </c>
      <c r="G50" s="15">
        <v>466.1493055555556</v>
      </c>
      <c r="H50" s="15">
        <v>466.1493055555556</v>
      </c>
      <c r="I50" s="15">
        <v>466.1493055555556</v>
      </c>
      <c r="J50" s="15">
        <v>466.1493055555556</v>
      </c>
      <c r="K50" s="15">
        <v>466.1493055555556</v>
      </c>
      <c r="L50" s="15">
        <v>466.1493055555556</v>
      </c>
      <c r="M50" s="15">
        <v>466.1493055555556</v>
      </c>
      <c r="N50" s="15">
        <v>466.1493055555556</v>
      </c>
      <c r="O50" s="15">
        <v>466.1493055555556</v>
      </c>
      <c r="P50" s="15">
        <v>466.1493055555556</v>
      </c>
      <c r="Q50" s="16">
        <f t="shared" si="77"/>
        <v>6716.842361111112</v>
      </c>
      <c r="R50" s="15">
        <v>466.1493055555556</v>
      </c>
      <c r="S50" s="15">
        <v>466.1493055555556</v>
      </c>
      <c r="T50" s="15">
        <v>466.1493055555556</v>
      </c>
      <c r="U50" s="15">
        <v>466.1493055555556</v>
      </c>
      <c r="V50" s="15">
        <v>466.1493055555556</v>
      </c>
      <c r="W50" s="15">
        <v>466.1493055555556</v>
      </c>
      <c r="X50" s="15">
        <v>466.1493055555556</v>
      </c>
      <c r="Y50" s="15">
        <v>466.1493055555556</v>
      </c>
      <c r="Z50" s="15">
        <v>466.1493055555556</v>
      </c>
      <c r="AA50" s="15">
        <v>466.1493055555556</v>
      </c>
      <c r="AB50" s="15">
        <v>466.1493055555556</v>
      </c>
      <c r="AC50" s="15">
        <v>466.1493055555556</v>
      </c>
      <c r="AD50" s="16">
        <f t="shared" si="78"/>
        <v>5593.791666666667</v>
      </c>
      <c r="AE50" s="15">
        <v>466.1493055555556</v>
      </c>
      <c r="AF50" s="15">
        <v>466.1493055555556</v>
      </c>
      <c r="AG50" s="15">
        <v>466.1493055555556</v>
      </c>
      <c r="AH50" s="15">
        <v>466.1493055555556</v>
      </c>
      <c r="AI50" s="15">
        <v>466.1493055555556</v>
      </c>
      <c r="AJ50" s="15">
        <v>466.1493055555556</v>
      </c>
      <c r="AK50" s="15">
        <v>466.1493055555556</v>
      </c>
      <c r="AL50" s="15">
        <v>466.1493055555556</v>
      </c>
      <c r="AM50" s="15">
        <v>466.1493055555556</v>
      </c>
      <c r="AN50" s="15">
        <v>466.1493055555556</v>
      </c>
      <c r="AO50" s="15">
        <v>466.1493055555556</v>
      </c>
      <c r="AP50" s="15">
        <v>466.1493055555556</v>
      </c>
      <c r="AQ50" s="16">
        <f t="shared" si="79"/>
        <v>5593.791666666667</v>
      </c>
    </row>
    <row r="51" spans="1:43" x14ac:dyDescent="0.3">
      <c r="A51" t="s">
        <v>125</v>
      </c>
      <c r="B51" s="38" t="s">
        <v>123</v>
      </c>
      <c r="C51" s="42" t="s">
        <v>126</v>
      </c>
      <c r="D51" s="95">
        <v>0.03</v>
      </c>
      <c r="E51" s="32">
        <f t="shared" si="76"/>
        <v>164.4</v>
      </c>
      <c r="F51" s="15">
        <v>50</v>
      </c>
      <c r="G51" s="15">
        <v>50</v>
      </c>
      <c r="H51" s="15">
        <v>50</v>
      </c>
      <c r="I51" s="15">
        <v>50</v>
      </c>
      <c r="J51" s="15">
        <v>50</v>
      </c>
      <c r="K51" s="15">
        <v>50</v>
      </c>
      <c r="L51" s="15">
        <v>50</v>
      </c>
      <c r="M51" s="15">
        <v>50</v>
      </c>
      <c r="N51" s="15">
        <v>50</v>
      </c>
      <c r="O51" s="15">
        <v>50</v>
      </c>
      <c r="P51" s="15">
        <v>50</v>
      </c>
      <c r="Q51" s="16">
        <f t="shared" si="77"/>
        <v>714.4</v>
      </c>
      <c r="R51" s="15">
        <v>50</v>
      </c>
      <c r="S51" s="15">
        <v>50</v>
      </c>
      <c r="T51" s="15">
        <v>50</v>
      </c>
      <c r="U51" s="15">
        <v>50</v>
      </c>
      <c r="V51" s="15">
        <v>50</v>
      </c>
      <c r="W51" s="15">
        <v>50</v>
      </c>
      <c r="X51" s="15">
        <v>50</v>
      </c>
      <c r="Y51" s="15">
        <v>50</v>
      </c>
      <c r="Z51" s="15">
        <v>50</v>
      </c>
      <c r="AA51" s="15">
        <v>50</v>
      </c>
      <c r="AB51" s="15">
        <v>50</v>
      </c>
      <c r="AC51" s="15">
        <v>50</v>
      </c>
      <c r="AD51" s="16">
        <f t="shared" si="78"/>
        <v>600</v>
      </c>
      <c r="AE51" s="15">
        <v>50</v>
      </c>
      <c r="AF51" s="15">
        <v>50</v>
      </c>
      <c r="AG51" s="15">
        <v>50</v>
      </c>
      <c r="AH51" s="15">
        <v>50</v>
      </c>
      <c r="AI51" s="15">
        <v>50</v>
      </c>
      <c r="AJ51" s="15">
        <v>50</v>
      </c>
      <c r="AK51" s="15">
        <v>50</v>
      </c>
      <c r="AL51" s="15">
        <v>50</v>
      </c>
      <c r="AM51" s="15">
        <v>50</v>
      </c>
      <c r="AN51" s="15">
        <v>50</v>
      </c>
      <c r="AO51" s="15">
        <v>50</v>
      </c>
      <c r="AP51" s="15">
        <v>50</v>
      </c>
      <c r="AQ51" s="16">
        <f t="shared" si="79"/>
        <v>600</v>
      </c>
    </row>
    <row r="52" spans="1:43" x14ac:dyDescent="0.3">
      <c r="A52" t="s">
        <v>127</v>
      </c>
      <c r="B52" s="38" t="s">
        <v>123</v>
      </c>
      <c r="C52" s="42" t="s">
        <v>128</v>
      </c>
      <c r="D52" s="95">
        <v>0.06</v>
      </c>
      <c r="E52" s="32">
        <f t="shared" si="76"/>
        <v>328.8</v>
      </c>
      <c r="F52" s="15">
        <v>100</v>
      </c>
      <c r="G52" s="15">
        <v>100</v>
      </c>
      <c r="H52" s="15">
        <v>100</v>
      </c>
      <c r="I52" s="15">
        <v>100</v>
      </c>
      <c r="J52" s="15">
        <v>100</v>
      </c>
      <c r="K52" s="15">
        <v>100</v>
      </c>
      <c r="L52" s="15">
        <v>100</v>
      </c>
      <c r="M52" s="15">
        <v>100</v>
      </c>
      <c r="N52" s="15">
        <v>100</v>
      </c>
      <c r="O52" s="15">
        <v>100</v>
      </c>
      <c r="P52" s="15">
        <v>100</v>
      </c>
      <c r="Q52" s="16">
        <f t="shared" si="77"/>
        <v>1428.8</v>
      </c>
      <c r="R52" s="15">
        <v>100</v>
      </c>
      <c r="S52" s="15">
        <v>100</v>
      </c>
      <c r="T52" s="15">
        <v>100</v>
      </c>
      <c r="U52" s="15">
        <v>100</v>
      </c>
      <c r="V52" s="15">
        <v>100</v>
      </c>
      <c r="W52" s="15">
        <v>100</v>
      </c>
      <c r="X52" s="15">
        <v>100</v>
      </c>
      <c r="Y52" s="15">
        <v>100</v>
      </c>
      <c r="Z52" s="15">
        <v>100</v>
      </c>
      <c r="AA52" s="15">
        <v>100</v>
      </c>
      <c r="AB52" s="15">
        <v>100</v>
      </c>
      <c r="AC52" s="15">
        <v>100</v>
      </c>
      <c r="AD52" s="16">
        <f t="shared" si="78"/>
        <v>1200</v>
      </c>
      <c r="AE52" s="15">
        <v>100</v>
      </c>
      <c r="AF52" s="15">
        <v>100</v>
      </c>
      <c r="AG52" s="15">
        <v>100</v>
      </c>
      <c r="AH52" s="15">
        <v>100</v>
      </c>
      <c r="AI52" s="15">
        <v>100</v>
      </c>
      <c r="AJ52" s="15">
        <v>100</v>
      </c>
      <c r="AK52" s="15">
        <v>100</v>
      </c>
      <c r="AL52" s="15">
        <v>100</v>
      </c>
      <c r="AM52" s="15">
        <v>100</v>
      </c>
      <c r="AN52" s="15">
        <v>100</v>
      </c>
      <c r="AO52" s="15">
        <v>100</v>
      </c>
      <c r="AP52" s="15">
        <v>100</v>
      </c>
      <c r="AQ52" s="16">
        <f t="shared" si="79"/>
        <v>1200</v>
      </c>
    </row>
    <row r="53" spans="1:43" x14ac:dyDescent="0.3">
      <c r="A53" t="s">
        <v>129</v>
      </c>
      <c r="B53" s="38" t="s">
        <v>123</v>
      </c>
      <c r="C53" s="42" t="s">
        <v>130</v>
      </c>
      <c r="D53" s="95">
        <v>0.01</v>
      </c>
      <c r="E53" s="32">
        <f t="shared" si="76"/>
        <v>54.800000000000004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16">
        <f t="shared" si="77"/>
        <v>54.800000000000004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16">
        <f t="shared" si="78"/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7">
        <v>0</v>
      </c>
      <c r="AO53" s="47">
        <v>0</v>
      </c>
      <c r="AP53" s="47">
        <v>0</v>
      </c>
      <c r="AQ53" s="16">
        <f t="shared" si="79"/>
        <v>0</v>
      </c>
    </row>
    <row r="54" spans="1:43" x14ac:dyDescent="0.3">
      <c r="B54" s="38"/>
      <c r="C54" s="48" t="s">
        <v>131</v>
      </c>
      <c r="D54" s="95">
        <v>0.01</v>
      </c>
      <c r="E54" s="32">
        <f t="shared" si="76"/>
        <v>54.800000000000004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16">
        <f t="shared" si="77"/>
        <v>54.800000000000004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16">
        <f t="shared" si="78"/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16">
        <f t="shared" si="79"/>
        <v>0</v>
      </c>
    </row>
    <row r="55" spans="1:43" x14ac:dyDescent="0.3">
      <c r="B55" s="38"/>
      <c r="C55" s="48" t="s">
        <v>132</v>
      </c>
      <c r="D55" s="95">
        <v>0.1</v>
      </c>
      <c r="E55" s="32">
        <f t="shared" si="76"/>
        <v>548</v>
      </c>
      <c r="F55" s="47">
        <v>165</v>
      </c>
      <c r="G55" s="47">
        <v>165</v>
      </c>
      <c r="H55" s="47">
        <v>165</v>
      </c>
      <c r="I55" s="47">
        <v>165</v>
      </c>
      <c r="J55" s="47">
        <v>165</v>
      </c>
      <c r="K55" s="47">
        <v>165</v>
      </c>
      <c r="L55" s="47">
        <v>165</v>
      </c>
      <c r="M55" s="47">
        <v>165</v>
      </c>
      <c r="N55" s="47">
        <v>165</v>
      </c>
      <c r="O55" s="47">
        <v>165</v>
      </c>
      <c r="P55" s="47">
        <v>165</v>
      </c>
      <c r="Q55" s="16">
        <f t="shared" si="77"/>
        <v>2363</v>
      </c>
      <c r="R55" s="47">
        <v>165</v>
      </c>
      <c r="S55" s="47">
        <v>165</v>
      </c>
      <c r="T55" s="47">
        <v>165</v>
      </c>
      <c r="U55" s="47">
        <v>165</v>
      </c>
      <c r="V55" s="47">
        <v>165</v>
      </c>
      <c r="W55" s="47">
        <v>165</v>
      </c>
      <c r="X55" s="47">
        <v>165</v>
      </c>
      <c r="Y55" s="47">
        <v>165</v>
      </c>
      <c r="Z55" s="47">
        <v>165</v>
      </c>
      <c r="AA55" s="47">
        <v>165</v>
      </c>
      <c r="AB55" s="47">
        <v>165</v>
      </c>
      <c r="AC55" s="47">
        <v>165</v>
      </c>
      <c r="AD55" s="16">
        <f t="shared" si="78"/>
        <v>1980</v>
      </c>
      <c r="AE55" s="47">
        <v>165</v>
      </c>
      <c r="AF55" s="47">
        <v>165</v>
      </c>
      <c r="AG55" s="47">
        <v>165</v>
      </c>
      <c r="AH55" s="47">
        <v>165</v>
      </c>
      <c r="AI55" s="47">
        <v>165</v>
      </c>
      <c r="AJ55" s="47">
        <v>165</v>
      </c>
      <c r="AK55" s="47">
        <v>165</v>
      </c>
      <c r="AL55" s="47">
        <v>165</v>
      </c>
      <c r="AM55" s="47">
        <v>165</v>
      </c>
      <c r="AN55" s="47">
        <v>165</v>
      </c>
      <c r="AO55" s="47">
        <v>165</v>
      </c>
      <c r="AP55" s="47">
        <v>165</v>
      </c>
      <c r="AQ55" s="16">
        <f t="shared" si="79"/>
        <v>1980</v>
      </c>
    </row>
    <row r="56" spans="1:43" x14ac:dyDescent="0.3">
      <c r="B56" s="38"/>
      <c r="C56" s="48" t="s">
        <v>133</v>
      </c>
      <c r="D56" s="95">
        <v>0.01</v>
      </c>
      <c r="E56" s="32">
        <f t="shared" si="76"/>
        <v>54.800000000000004</v>
      </c>
      <c r="F56" s="47">
        <v>50</v>
      </c>
      <c r="G56" s="47">
        <v>50</v>
      </c>
      <c r="H56" s="47">
        <v>50</v>
      </c>
      <c r="I56" s="47">
        <v>50</v>
      </c>
      <c r="J56" s="47">
        <v>50</v>
      </c>
      <c r="K56" s="47">
        <v>50</v>
      </c>
      <c r="L56" s="47">
        <v>50</v>
      </c>
      <c r="M56" s="47">
        <v>50</v>
      </c>
      <c r="N56" s="47">
        <v>50</v>
      </c>
      <c r="O56" s="47">
        <v>50</v>
      </c>
      <c r="P56" s="47">
        <v>50</v>
      </c>
      <c r="Q56" s="16">
        <f t="shared" si="77"/>
        <v>604.79999999999995</v>
      </c>
      <c r="R56" s="47">
        <v>50</v>
      </c>
      <c r="S56" s="47">
        <v>50</v>
      </c>
      <c r="T56" s="47">
        <v>50</v>
      </c>
      <c r="U56" s="47">
        <v>50</v>
      </c>
      <c r="V56" s="47">
        <v>50</v>
      </c>
      <c r="W56" s="47">
        <v>50</v>
      </c>
      <c r="X56" s="47">
        <v>50</v>
      </c>
      <c r="Y56" s="47">
        <v>50</v>
      </c>
      <c r="Z56" s="47">
        <v>50</v>
      </c>
      <c r="AA56" s="47">
        <v>50</v>
      </c>
      <c r="AB56" s="47">
        <v>50</v>
      </c>
      <c r="AC56" s="47">
        <v>50</v>
      </c>
      <c r="AD56" s="16">
        <f t="shared" si="78"/>
        <v>600</v>
      </c>
      <c r="AE56" s="47">
        <v>50</v>
      </c>
      <c r="AF56" s="47">
        <v>50</v>
      </c>
      <c r="AG56" s="47">
        <v>50</v>
      </c>
      <c r="AH56" s="47">
        <v>50</v>
      </c>
      <c r="AI56" s="47">
        <v>50</v>
      </c>
      <c r="AJ56" s="47">
        <v>50</v>
      </c>
      <c r="AK56" s="47">
        <v>50</v>
      </c>
      <c r="AL56" s="47">
        <v>50</v>
      </c>
      <c r="AM56" s="47">
        <v>50</v>
      </c>
      <c r="AN56" s="47">
        <v>50</v>
      </c>
      <c r="AO56" s="47">
        <v>50</v>
      </c>
      <c r="AP56" s="47">
        <v>50</v>
      </c>
      <c r="AQ56" s="16">
        <f t="shared" si="79"/>
        <v>600</v>
      </c>
    </row>
    <row r="57" spans="1:43" x14ac:dyDescent="0.3">
      <c r="B57" s="38"/>
      <c r="C57" s="48" t="s">
        <v>134</v>
      </c>
      <c r="D57" s="95">
        <v>0.06</v>
      </c>
      <c r="E57" s="32">
        <f t="shared" si="76"/>
        <v>328.8</v>
      </c>
      <c r="F57" s="47">
        <v>100</v>
      </c>
      <c r="G57" s="47">
        <v>100</v>
      </c>
      <c r="H57" s="47">
        <v>100</v>
      </c>
      <c r="I57" s="47">
        <v>100</v>
      </c>
      <c r="J57" s="47">
        <v>100</v>
      </c>
      <c r="K57" s="47">
        <v>100</v>
      </c>
      <c r="L57" s="47">
        <v>100</v>
      </c>
      <c r="M57" s="47">
        <v>100</v>
      </c>
      <c r="N57" s="47">
        <v>100</v>
      </c>
      <c r="O57" s="47">
        <v>100</v>
      </c>
      <c r="P57" s="47">
        <v>100</v>
      </c>
      <c r="Q57" s="16">
        <f t="shared" si="77"/>
        <v>1428.8</v>
      </c>
      <c r="R57" s="47">
        <v>100</v>
      </c>
      <c r="S57" s="47">
        <v>100</v>
      </c>
      <c r="T57" s="47">
        <v>100</v>
      </c>
      <c r="U57" s="47">
        <v>100</v>
      </c>
      <c r="V57" s="47">
        <v>100</v>
      </c>
      <c r="W57" s="47">
        <v>100</v>
      </c>
      <c r="X57" s="47">
        <v>100</v>
      </c>
      <c r="Y57" s="47">
        <v>100</v>
      </c>
      <c r="Z57" s="47">
        <v>100</v>
      </c>
      <c r="AA57" s="47">
        <v>100</v>
      </c>
      <c r="AB57" s="47">
        <v>100</v>
      </c>
      <c r="AC57" s="47">
        <v>100</v>
      </c>
      <c r="AD57" s="16">
        <f t="shared" si="78"/>
        <v>1200</v>
      </c>
      <c r="AE57" s="47">
        <v>100</v>
      </c>
      <c r="AF57" s="47">
        <v>100</v>
      </c>
      <c r="AG57" s="47">
        <v>100</v>
      </c>
      <c r="AH57" s="47">
        <v>100</v>
      </c>
      <c r="AI57" s="47">
        <v>100</v>
      </c>
      <c r="AJ57" s="47">
        <v>100</v>
      </c>
      <c r="AK57" s="47">
        <v>100</v>
      </c>
      <c r="AL57" s="47">
        <v>100</v>
      </c>
      <c r="AM57" s="47">
        <v>100</v>
      </c>
      <c r="AN57" s="47">
        <v>100</v>
      </c>
      <c r="AO57" s="47">
        <v>100</v>
      </c>
      <c r="AP57" s="47">
        <v>100</v>
      </c>
      <c r="AQ57" s="16">
        <f t="shared" si="79"/>
        <v>1200</v>
      </c>
    </row>
    <row r="58" spans="1:43" x14ac:dyDescent="0.3">
      <c r="B58" s="38"/>
      <c r="C58" s="94" t="s">
        <v>135</v>
      </c>
      <c r="D58" s="95">
        <f>$G$2*$G$1</f>
        <v>49320</v>
      </c>
      <c r="E58" s="32">
        <f>D58</f>
        <v>49320</v>
      </c>
      <c r="F58" s="49">
        <f t="shared" ref="F58:AP58" si="80">E58</f>
        <v>49320</v>
      </c>
      <c r="G58" s="49">
        <f t="shared" si="80"/>
        <v>49320</v>
      </c>
      <c r="H58" s="49">
        <f t="shared" si="80"/>
        <v>49320</v>
      </c>
      <c r="I58" s="49">
        <f t="shared" si="80"/>
        <v>49320</v>
      </c>
      <c r="J58" s="49">
        <f t="shared" si="80"/>
        <v>49320</v>
      </c>
      <c r="K58" s="49">
        <f t="shared" si="80"/>
        <v>49320</v>
      </c>
      <c r="L58" s="49">
        <f t="shared" si="80"/>
        <v>49320</v>
      </c>
      <c r="M58" s="49">
        <f t="shared" si="80"/>
        <v>49320</v>
      </c>
      <c r="N58" s="49">
        <f t="shared" si="80"/>
        <v>49320</v>
      </c>
      <c r="O58" s="49">
        <f t="shared" si="80"/>
        <v>49320</v>
      </c>
      <c r="P58" s="49">
        <f t="shared" si="80"/>
        <v>49320</v>
      </c>
      <c r="Q58" s="16">
        <f t="shared" si="77"/>
        <v>591840</v>
      </c>
      <c r="R58" s="49">
        <f>P58</f>
        <v>49320</v>
      </c>
      <c r="S58" s="49">
        <f t="shared" si="80"/>
        <v>49320</v>
      </c>
      <c r="T58" s="49">
        <f t="shared" si="80"/>
        <v>49320</v>
      </c>
      <c r="U58" s="49">
        <f t="shared" si="80"/>
        <v>49320</v>
      </c>
      <c r="V58" s="49">
        <f t="shared" si="80"/>
        <v>49320</v>
      </c>
      <c r="W58" s="49">
        <f t="shared" si="80"/>
        <v>49320</v>
      </c>
      <c r="X58" s="49">
        <f t="shared" si="80"/>
        <v>49320</v>
      </c>
      <c r="Y58" s="49">
        <f t="shared" si="80"/>
        <v>49320</v>
      </c>
      <c r="Z58" s="49">
        <f t="shared" si="80"/>
        <v>49320</v>
      </c>
      <c r="AA58" s="49">
        <f t="shared" si="80"/>
        <v>49320</v>
      </c>
      <c r="AB58" s="49">
        <f t="shared" si="80"/>
        <v>49320</v>
      </c>
      <c r="AC58" s="49">
        <f t="shared" si="80"/>
        <v>49320</v>
      </c>
      <c r="AD58" s="16">
        <f t="shared" si="78"/>
        <v>591840</v>
      </c>
      <c r="AE58" s="49">
        <f>AC58</f>
        <v>49320</v>
      </c>
      <c r="AF58" s="49">
        <f t="shared" si="80"/>
        <v>49320</v>
      </c>
      <c r="AG58" s="49">
        <f t="shared" si="80"/>
        <v>49320</v>
      </c>
      <c r="AH58" s="49">
        <f t="shared" si="80"/>
        <v>49320</v>
      </c>
      <c r="AI58" s="49">
        <f t="shared" si="80"/>
        <v>49320</v>
      </c>
      <c r="AJ58" s="49">
        <f t="shared" si="80"/>
        <v>49320</v>
      </c>
      <c r="AK58" s="49">
        <f t="shared" si="80"/>
        <v>49320</v>
      </c>
      <c r="AL58" s="49">
        <f t="shared" si="80"/>
        <v>49320</v>
      </c>
      <c r="AM58" s="49">
        <f t="shared" si="80"/>
        <v>49320</v>
      </c>
      <c r="AN58" s="49">
        <f t="shared" si="80"/>
        <v>49320</v>
      </c>
      <c r="AO58" s="49">
        <f t="shared" si="80"/>
        <v>49320</v>
      </c>
      <c r="AP58" s="49">
        <f t="shared" si="80"/>
        <v>49320</v>
      </c>
      <c r="AQ58" s="16">
        <f t="shared" si="79"/>
        <v>591840</v>
      </c>
    </row>
    <row r="59" spans="1:43" ht="28.8" x14ac:dyDescent="0.3">
      <c r="B59" s="38"/>
      <c r="C59" s="48" t="s">
        <v>136</v>
      </c>
      <c r="D59" s="95">
        <v>0</v>
      </c>
      <c r="E59" s="32">
        <f t="shared" si="76"/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16">
        <f t="shared" si="77"/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16">
        <f t="shared" si="78"/>
        <v>0</v>
      </c>
      <c r="AE59" s="50">
        <v>0</v>
      </c>
      <c r="AF59" s="50">
        <v>0</v>
      </c>
      <c r="AG59" s="50">
        <v>0</v>
      </c>
      <c r="AH59" s="50">
        <v>0</v>
      </c>
      <c r="AI59" s="50">
        <v>0</v>
      </c>
      <c r="AJ59" s="50">
        <v>0</v>
      </c>
      <c r="AK59" s="50">
        <v>0</v>
      </c>
      <c r="AL59" s="50">
        <v>0</v>
      </c>
      <c r="AM59" s="50">
        <v>0</v>
      </c>
      <c r="AN59" s="50">
        <v>0</v>
      </c>
      <c r="AO59" s="50">
        <v>0</v>
      </c>
      <c r="AP59" s="50">
        <v>0</v>
      </c>
      <c r="AQ59" s="16">
        <f t="shared" si="79"/>
        <v>0</v>
      </c>
    </row>
    <row r="60" spans="1:43" x14ac:dyDescent="0.3">
      <c r="B60" s="38"/>
      <c r="C60" s="94" t="s">
        <v>137</v>
      </c>
      <c r="D60" s="95">
        <v>1.88</v>
      </c>
      <c r="E60" s="32">
        <f t="shared" si="76"/>
        <v>10302.4</v>
      </c>
      <c r="F60" s="49">
        <f>E60</f>
        <v>10302.4</v>
      </c>
      <c r="G60" s="49">
        <f t="shared" ref="G60:AP60" si="81">F60</f>
        <v>10302.4</v>
      </c>
      <c r="H60" s="49">
        <f t="shared" si="81"/>
        <v>10302.4</v>
      </c>
      <c r="I60" s="49">
        <f t="shared" si="81"/>
        <v>10302.4</v>
      </c>
      <c r="J60" s="49">
        <f t="shared" si="81"/>
        <v>10302.4</v>
      </c>
      <c r="K60" s="49">
        <f t="shared" si="81"/>
        <v>10302.4</v>
      </c>
      <c r="L60" s="49">
        <f t="shared" si="81"/>
        <v>10302.4</v>
      </c>
      <c r="M60" s="49">
        <f t="shared" si="81"/>
        <v>10302.4</v>
      </c>
      <c r="N60" s="49">
        <f t="shared" si="81"/>
        <v>10302.4</v>
      </c>
      <c r="O60" s="49">
        <f t="shared" si="81"/>
        <v>10302.4</v>
      </c>
      <c r="P60" s="49">
        <f t="shared" si="81"/>
        <v>10302.4</v>
      </c>
      <c r="Q60" s="16">
        <f t="shared" si="77"/>
        <v>123628.79999999997</v>
      </c>
      <c r="R60" s="49">
        <f>P60</f>
        <v>10302.4</v>
      </c>
      <c r="S60" s="49">
        <f t="shared" si="81"/>
        <v>10302.4</v>
      </c>
      <c r="T60" s="49">
        <f t="shared" si="81"/>
        <v>10302.4</v>
      </c>
      <c r="U60" s="49">
        <f t="shared" si="81"/>
        <v>10302.4</v>
      </c>
      <c r="V60" s="49">
        <f t="shared" si="81"/>
        <v>10302.4</v>
      </c>
      <c r="W60" s="49">
        <f t="shared" si="81"/>
        <v>10302.4</v>
      </c>
      <c r="X60" s="49">
        <f t="shared" si="81"/>
        <v>10302.4</v>
      </c>
      <c r="Y60" s="49">
        <f t="shared" si="81"/>
        <v>10302.4</v>
      </c>
      <c r="Z60" s="49">
        <f t="shared" si="81"/>
        <v>10302.4</v>
      </c>
      <c r="AA60" s="49">
        <f t="shared" si="81"/>
        <v>10302.4</v>
      </c>
      <c r="AB60" s="49">
        <f t="shared" si="81"/>
        <v>10302.4</v>
      </c>
      <c r="AC60" s="49">
        <f t="shared" si="81"/>
        <v>10302.4</v>
      </c>
      <c r="AD60" s="16">
        <f t="shared" si="78"/>
        <v>123628.79999999997</v>
      </c>
      <c r="AE60" s="49">
        <f>AC60</f>
        <v>10302.4</v>
      </c>
      <c r="AF60" s="49">
        <f t="shared" si="81"/>
        <v>10302.4</v>
      </c>
      <c r="AG60" s="49">
        <f t="shared" si="81"/>
        <v>10302.4</v>
      </c>
      <c r="AH60" s="49">
        <f t="shared" si="81"/>
        <v>10302.4</v>
      </c>
      <c r="AI60" s="49">
        <f t="shared" si="81"/>
        <v>10302.4</v>
      </c>
      <c r="AJ60" s="49">
        <f t="shared" si="81"/>
        <v>10302.4</v>
      </c>
      <c r="AK60" s="49">
        <f t="shared" si="81"/>
        <v>10302.4</v>
      </c>
      <c r="AL60" s="49">
        <f t="shared" si="81"/>
        <v>10302.4</v>
      </c>
      <c r="AM60" s="49">
        <f t="shared" si="81"/>
        <v>10302.4</v>
      </c>
      <c r="AN60" s="49">
        <f t="shared" si="81"/>
        <v>10302.4</v>
      </c>
      <c r="AO60" s="49">
        <f t="shared" si="81"/>
        <v>10302.4</v>
      </c>
      <c r="AP60" s="49">
        <f t="shared" si="81"/>
        <v>10302.4</v>
      </c>
      <c r="AQ60" s="16">
        <f t="shared" si="79"/>
        <v>123628.79999999997</v>
      </c>
    </row>
    <row r="61" spans="1:43" x14ac:dyDescent="0.3">
      <c r="B61" s="38"/>
      <c r="C61" s="48"/>
      <c r="D61" s="95">
        <f t="shared" si="12"/>
        <v>0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3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3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3"/>
    </row>
    <row r="62" spans="1:43" x14ac:dyDescent="0.3">
      <c r="C62" s="24" t="s">
        <v>138</v>
      </c>
      <c r="D62" s="95">
        <f t="shared" si="12"/>
        <v>39.729999999999997</v>
      </c>
      <c r="E62" s="25">
        <f t="shared" ref="E62:AQ62" si="82">SUM(E48:E61)</f>
        <v>63568</v>
      </c>
      <c r="F62" s="25">
        <f t="shared" si="82"/>
        <v>60803.549305555556</v>
      </c>
      <c r="G62" s="25">
        <f t="shared" si="82"/>
        <v>60803.549305555556</v>
      </c>
      <c r="H62" s="25">
        <f t="shared" si="82"/>
        <v>60803.549305555556</v>
      </c>
      <c r="I62" s="25">
        <f t="shared" si="82"/>
        <v>60803.549305555556</v>
      </c>
      <c r="J62" s="25">
        <f t="shared" si="82"/>
        <v>60803.549305555556</v>
      </c>
      <c r="K62" s="25">
        <f t="shared" si="82"/>
        <v>60803.549305555556</v>
      </c>
      <c r="L62" s="25">
        <f t="shared" si="82"/>
        <v>60803.549305555556</v>
      </c>
      <c r="M62" s="25">
        <f t="shared" si="82"/>
        <v>60803.549305555556</v>
      </c>
      <c r="N62" s="25">
        <f t="shared" si="82"/>
        <v>60803.549305555556</v>
      </c>
      <c r="O62" s="25">
        <f t="shared" si="82"/>
        <v>60803.549305555556</v>
      </c>
      <c r="P62" s="25">
        <f t="shared" si="82"/>
        <v>60803.549305555556</v>
      </c>
      <c r="Q62" s="26">
        <f>SUM(Q48:Q61)</f>
        <v>732407.04236111103</v>
      </c>
      <c r="R62" s="25">
        <f t="shared" si="82"/>
        <v>60803.549305555556</v>
      </c>
      <c r="S62" s="25">
        <f t="shared" si="82"/>
        <v>60803.549305555556</v>
      </c>
      <c r="T62" s="25">
        <f t="shared" si="82"/>
        <v>60803.549305555556</v>
      </c>
      <c r="U62" s="25">
        <f t="shared" si="82"/>
        <v>60803.549305555556</v>
      </c>
      <c r="V62" s="25">
        <f t="shared" si="82"/>
        <v>60803.549305555556</v>
      </c>
      <c r="W62" s="25">
        <f t="shared" si="82"/>
        <v>60803.549305555556</v>
      </c>
      <c r="X62" s="25">
        <f t="shared" si="82"/>
        <v>60803.549305555556</v>
      </c>
      <c r="Y62" s="25">
        <f t="shared" si="82"/>
        <v>60803.549305555556</v>
      </c>
      <c r="Z62" s="25">
        <f t="shared" si="82"/>
        <v>60803.549305555556</v>
      </c>
      <c r="AA62" s="25">
        <f t="shared" si="82"/>
        <v>60803.549305555556</v>
      </c>
      <c r="AB62" s="25">
        <f t="shared" si="82"/>
        <v>60803.549305555556</v>
      </c>
      <c r="AC62" s="25">
        <f t="shared" si="82"/>
        <v>60803.549305555556</v>
      </c>
      <c r="AD62" s="26">
        <f t="shared" si="82"/>
        <v>729642.59166666656</v>
      </c>
      <c r="AE62" s="25">
        <f>SUM(AE48:AE61)</f>
        <v>60803.549305555556</v>
      </c>
      <c r="AF62" s="25">
        <f t="shared" si="82"/>
        <v>60803.549305555556</v>
      </c>
      <c r="AG62" s="25">
        <f t="shared" si="82"/>
        <v>60803.549305555556</v>
      </c>
      <c r="AH62" s="25">
        <f t="shared" si="82"/>
        <v>60803.549305555556</v>
      </c>
      <c r="AI62" s="25">
        <f t="shared" si="82"/>
        <v>60803.549305555556</v>
      </c>
      <c r="AJ62" s="25">
        <f t="shared" si="82"/>
        <v>60803.549305555556</v>
      </c>
      <c r="AK62" s="25">
        <f t="shared" si="82"/>
        <v>60803.549305555556</v>
      </c>
      <c r="AL62" s="25">
        <f t="shared" si="82"/>
        <v>60803.549305555556</v>
      </c>
      <c r="AM62" s="25">
        <f t="shared" si="82"/>
        <v>60803.549305555556</v>
      </c>
      <c r="AN62" s="25">
        <f t="shared" si="82"/>
        <v>60803.549305555556</v>
      </c>
      <c r="AO62" s="25">
        <f t="shared" si="82"/>
        <v>60803.549305555556</v>
      </c>
      <c r="AP62" s="25">
        <f t="shared" si="82"/>
        <v>60803.549305555556</v>
      </c>
      <c r="AQ62" s="26">
        <f t="shared" si="82"/>
        <v>729642.59166666656</v>
      </c>
    </row>
    <row r="63" spans="1:43" hidden="1" x14ac:dyDescent="0.3">
      <c r="C63" s="27" t="s">
        <v>139</v>
      </c>
      <c r="D63" s="95">
        <f t="shared" si="12"/>
        <v>0</v>
      </c>
      <c r="E63" s="51">
        <f t="shared" ref="E63:F63" si="83">IFERROR(E62/E4,0)</f>
        <v>0</v>
      </c>
      <c r="F63" s="51">
        <f t="shared" si="83"/>
        <v>0</v>
      </c>
      <c r="G63" s="51">
        <f t="shared" ref="G63:N63" si="84">IFERROR(G62/I4,0)</f>
        <v>0.22191076388888889</v>
      </c>
      <c r="H63" s="51">
        <f t="shared" si="84"/>
        <v>0</v>
      </c>
      <c r="I63" s="51">
        <f t="shared" si="84"/>
        <v>0.22191076388888889</v>
      </c>
      <c r="J63" s="51">
        <f t="shared" si="84"/>
        <v>0</v>
      </c>
      <c r="K63" s="51">
        <f t="shared" si="84"/>
        <v>0.22191076388888889</v>
      </c>
      <c r="L63" s="51">
        <f t="shared" si="84"/>
        <v>0</v>
      </c>
      <c r="M63" s="51">
        <f t="shared" si="84"/>
        <v>0</v>
      </c>
      <c r="N63" s="51">
        <f t="shared" si="84"/>
        <v>0.22191076388888889</v>
      </c>
      <c r="O63" s="51">
        <f>IFERROR(O62/#REF!,0)</f>
        <v>0</v>
      </c>
      <c r="P63" s="51">
        <f>IFERROR(P62/S4,0)</f>
        <v>0.22191076388888889</v>
      </c>
      <c r="Q63" s="52">
        <f>Q62/Q4</f>
        <v>0.66825460069444442</v>
      </c>
      <c r="R63" s="51">
        <f t="shared" ref="R63" si="85">IFERROR(R62/R4,0)</f>
        <v>0</v>
      </c>
      <c r="S63" s="51">
        <f>IFERROR(S62/#REF!,0)</f>
        <v>0</v>
      </c>
      <c r="T63" s="51">
        <f t="shared" ref="T63:AC63" si="86">IFERROR(T62/V4,0)</f>
        <v>0.22191076388888889</v>
      </c>
      <c r="U63" s="51">
        <f t="shared" si="86"/>
        <v>0</v>
      </c>
      <c r="V63" s="51">
        <f t="shared" si="86"/>
        <v>0.22191076388888889</v>
      </c>
      <c r="W63" s="51">
        <f t="shared" si="86"/>
        <v>0</v>
      </c>
      <c r="X63" s="51">
        <f t="shared" si="86"/>
        <v>0.22191076388888889</v>
      </c>
      <c r="Y63" s="51">
        <f t="shared" si="86"/>
        <v>0</v>
      </c>
      <c r="Z63" s="51">
        <f t="shared" si="86"/>
        <v>0</v>
      </c>
      <c r="AA63" s="51">
        <f t="shared" si="86"/>
        <v>0.22191076388888889</v>
      </c>
      <c r="AB63" s="51">
        <f t="shared" si="86"/>
        <v>4.4382152777777781E-2</v>
      </c>
      <c r="AC63" s="51">
        <f t="shared" si="86"/>
        <v>0</v>
      </c>
      <c r="AD63" s="52" t="e">
        <f>AD62/#REF!</f>
        <v>#REF!</v>
      </c>
      <c r="AE63" s="51">
        <f>IFERROR(AE62/#REF!,0)</f>
        <v>0</v>
      </c>
      <c r="AF63" s="51">
        <f t="shared" ref="AF63:AP63" si="87">IFERROR(AF62/AF4,0)</f>
        <v>0</v>
      </c>
      <c r="AG63" s="51">
        <f t="shared" si="87"/>
        <v>0.22191076388888889</v>
      </c>
      <c r="AH63" s="51">
        <f t="shared" si="87"/>
        <v>0</v>
      </c>
      <c r="AI63" s="51">
        <f t="shared" si="87"/>
        <v>0.22191076388888889</v>
      </c>
      <c r="AJ63" s="51">
        <f t="shared" si="87"/>
        <v>0</v>
      </c>
      <c r="AK63" s="51">
        <f t="shared" si="87"/>
        <v>0.22191076388888889</v>
      </c>
      <c r="AL63" s="51">
        <f t="shared" si="87"/>
        <v>0</v>
      </c>
      <c r="AM63" s="51">
        <f t="shared" si="87"/>
        <v>0</v>
      </c>
      <c r="AN63" s="51">
        <f t="shared" si="87"/>
        <v>0.22191076388888889</v>
      </c>
      <c r="AO63" s="51">
        <f t="shared" si="87"/>
        <v>0</v>
      </c>
      <c r="AP63" s="51">
        <f t="shared" si="87"/>
        <v>0.22191076388888889</v>
      </c>
      <c r="AQ63" s="52">
        <f>AQ62/AQ4</f>
        <v>0.5325858333333332</v>
      </c>
    </row>
    <row r="64" spans="1:43" ht="86.4" x14ac:dyDescent="0.3">
      <c r="C64" s="53" t="s">
        <v>140</v>
      </c>
      <c r="D64" s="95">
        <f t="shared" si="12"/>
        <v>0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5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5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5"/>
    </row>
    <row r="65" spans="1:43" x14ac:dyDescent="0.3">
      <c r="C65" s="53"/>
      <c r="D65" s="95">
        <f t="shared" si="12"/>
        <v>0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5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5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5"/>
    </row>
    <row r="66" spans="1:43" x14ac:dyDescent="0.3">
      <c r="C66" s="56" t="s">
        <v>141</v>
      </c>
      <c r="D66" s="95"/>
      <c r="E66" s="57">
        <f t="shared" ref="E66:AQ66" si="88">E62+E45</f>
        <v>159718.255</v>
      </c>
      <c r="F66" s="57">
        <f t="shared" si="88"/>
        <v>110909.04375000001</v>
      </c>
      <c r="G66" s="57">
        <f>G62+G45</f>
        <v>218674.79510555556</v>
      </c>
      <c r="H66" s="57">
        <f t="shared" si="88"/>
        <v>120976.20430555556</v>
      </c>
      <c r="I66" s="57">
        <f t="shared" si="88"/>
        <v>193521.59510555555</v>
      </c>
      <c r="J66" s="57">
        <f t="shared" si="88"/>
        <v>146129.40430555557</v>
      </c>
      <c r="K66" s="57">
        <f t="shared" si="88"/>
        <v>193521.59510555555</v>
      </c>
      <c r="L66" s="57">
        <f t="shared" si="88"/>
        <v>120976.20430555556</v>
      </c>
      <c r="M66" s="57">
        <f t="shared" si="88"/>
        <v>145581.40430555557</v>
      </c>
      <c r="N66" s="57">
        <f t="shared" si="88"/>
        <v>193521.59510555555</v>
      </c>
      <c r="O66" s="57">
        <f t="shared" si="88"/>
        <v>120976.20430555556</v>
      </c>
      <c r="P66" s="57">
        <f t="shared" si="88"/>
        <v>209523.19510555555</v>
      </c>
      <c r="Q66" s="58">
        <f>Q62+Q45</f>
        <v>1934029.4958055555</v>
      </c>
      <c r="R66" s="57">
        <f t="shared" si="88"/>
        <v>131607.40430555557</v>
      </c>
      <c r="S66" s="57">
        <f t="shared" si="88"/>
        <v>120428.20430555556</v>
      </c>
      <c r="T66" s="57">
        <f t="shared" si="88"/>
        <v>218674.79510555556</v>
      </c>
      <c r="U66" s="57">
        <f t="shared" si="88"/>
        <v>120976.20430555556</v>
      </c>
      <c r="V66" s="57">
        <f t="shared" si="88"/>
        <v>193521.59510555555</v>
      </c>
      <c r="W66" s="57">
        <f t="shared" si="88"/>
        <v>146129.40430555557</v>
      </c>
      <c r="X66" s="57">
        <f t="shared" si="88"/>
        <v>193521.59510555555</v>
      </c>
      <c r="Y66" s="57">
        <f t="shared" si="88"/>
        <v>120976.20430555556</v>
      </c>
      <c r="Z66" s="57">
        <f t="shared" si="88"/>
        <v>145581.40430555557</v>
      </c>
      <c r="AA66" s="57">
        <f t="shared" si="88"/>
        <v>193521.59510555555</v>
      </c>
      <c r="AB66" s="57">
        <f t="shared" si="88"/>
        <v>120976.20430555556</v>
      </c>
      <c r="AC66" s="57">
        <f t="shared" si="88"/>
        <v>145965.00430555554</v>
      </c>
      <c r="AD66" s="58">
        <f t="shared" si="88"/>
        <v>1851879.6148666665</v>
      </c>
      <c r="AE66" s="57">
        <f t="shared" si="88"/>
        <v>217633.59510555555</v>
      </c>
      <c r="AF66" s="57">
        <f t="shared" si="88"/>
        <v>120428.20430555556</v>
      </c>
      <c r="AG66" s="57">
        <f t="shared" si="88"/>
        <v>218674.79510555556</v>
      </c>
      <c r="AH66" s="57">
        <f t="shared" si="88"/>
        <v>120976.20430555556</v>
      </c>
      <c r="AI66" s="57">
        <f t="shared" si="88"/>
        <v>193521.59510555555</v>
      </c>
      <c r="AJ66" s="57">
        <f t="shared" si="88"/>
        <v>146129.40430555557</v>
      </c>
      <c r="AK66" s="57">
        <f t="shared" si="88"/>
        <v>129963.40430555557</v>
      </c>
      <c r="AL66" s="57">
        <f t="shared" si="88"/>
        <v>184534.39510555554</v>
      </c>
      <c r="AM66" s="57">
        <f t="shared" si="88"/>
        <v>145581.40430555557</v>
      </c>
      <c r="AN66" s="57">
        <f t="shared" si="88"/>
        <v>193521.59510555555</v>
      </c>
      <c r="AO66" s="57">
        <f t="shared" si="88"/>
        <v>120976.20430555556</v>
      </c>
      <c r="AP66" s="57">
        <f t="shared" si="88"/>
        <v>145965.00430555554</v>
      </c>
      <c r="AQ66" s="58">
        <f t="shared" si="88"/>
        <v>1659796.0547428811</v>
      </c>
    </row>
    <row r="67" spans="1:43" x14ac:dyDescent="0.3">
      <c r="C67" s="59" t="s">
        <v>142</v>
      </c>
      <c r="D67" s="95"/>
      <c r="E67" s="60">
        <f>IFERROR(E66/E$4,0)</f>
        <v>0</v>
      </c>
      <c r="F67" s="60">
        <f t="shared" ref="F67" si="89">IFERROR(F66/F$4,0)</f>
        <v>0</v>
      </c>
      <c r="G67" s="60">
        <f>IFERROR(SUM(E66:G66)/I$4,0)</f>
        <v>1.7857740651662612</v>
      </c>
      <c r="H67" s="60">
        <f>IFERROR(H66/J$4,0)</f>
        <v>0</v>
      </c>
      <c r="I67" s="60">
        <f>IFERROR(SUM(H66:I66)/K$4,0)</f>
        <v>1.1478021876317923</v>
      </c>
      <c r="J67" s="60">
        <f>IFERROR(J66/L$4,0)</f>
        <v>0</v>
      </c>
      <c r="K67" s="60">
        <f>IFERROR(SUM(J66:K66)/M$4,0)</f>
        <v>1.2396021876317924</v>
      </c>
      <c r="L67" s="60">
        <f>IFERROR(L66/N$4,0)</f>
        <v>0</v>
      </c>
      <c r="M67" s="60">
        <f>IFERROR(M66/O$4,0)</f>
        <v>0</v>
      </c>
      <c r="N67" s="60">
        <f>IFERROR(SUM(L66:N66)/P$4,0)</f>
        <v>1.6791211814476885</v>
      </c>
      <c r="O67" s="60">
        <f>IFERROR(O66/#REF!,0)</f>
        <v>0</v>
      </c>
      <c r="P67" s="60">
        <f>IFERROR(SUM(O66:P66)/S$4,0)</f>
        <v>1.2062021876317925</v>
      </c>
      <c r="Q67" s="61">
        <f t="shared" ref="Q67" si="90">Q66/Q$4</f>
        <v>1.7646254523773317</v>
      </c>
      <c r="R67" s="60">
        <f>IFERROR(R66/R$4,0)</f>
        <v>0</v>
      </c>
      <c r="S67" s="60">
        <f>IFERROR(S66/#REF!,0)</f>
        <v>0</v>
      </c>
      <c r="T67" s="60">
        <f>IFERROR(SUM(R66:T66)/V$4,0)</f>
        <v>1.7179211814476887</v>
      </c>
      <c r="U67" s="60">
        <f>IFERROR(U66/W$4,0)</f>
        <v>0</v>
      </c>
      <c r="V67" s="60">
        <f>IFERROR(SUM(U66:V66)/X$4,0)</f>
        <v>1.1478021876317923</v>
      </c>
      <c r="W67" s="60">
        <f>IFERROR(W66/Y$4,0)</f>
        <v>0</v>
      </c>
      <c r="X67" s="60">
        <f>IFERROR(SUM(W66:X66)/Z$4,0)</f>
        <v>1.2396021876317924</v>
      </c>
      <c r="Y67" s="60">
        <f>IFERROR(Y66/AA$4,0)</f>
        <v>0</v>
      </c>
      <c r="Z67" s="60">
        <f>IFERROR(Z66/AB$4,0)</f>
        <v>0</v>
      </c>
      <c r="AA67" s="60">
        <f>IFERROR(SUM(Y66:AA66)/AC$4,0)</f>
        <v>1.6791211814476885</v>
      </c>
      <c r="AB67" s="60">
        <f>IFERROR(AB66/AD$4,0)</f>
        <v>8.8303798763179231E-2</v>
      </c>
      <c r="AC67" s="60">
        <f>IFERROR(SUM(AB66:AC66)/AE$4,0)</f>
        <v>0</v>
      </c>
      <c r="AD67" s="61">
        <f>AD66/AD4</f>
        <v>1.3517369451581507</v>
      </c>
      <c r="AE67" s="60">
        <f>IFERROR(AE66/#REF!,0)</f>
        <v>0</v>
      </c>
      <c r="AF67" s="60">
        <f t="shared" ref="AF67" si="91">IFERROR(AF66/AF$4,0)</f>
        <v>0</v>
      </c>
      <c r="AG67" s="60">
        <f>IFERROR(SUM(AE66:AG66)/AG$4,0)</f>
        <v>2.0318853814476885</v>
      </c>
      <c r="AH67" s="60">
        <f t="shared" ref="AH67" si="92">IFERROR(AH66/AH$4,0)</f>
        <v>0</v>
      </c>
      <c r="AI67" s="60">
        <f>IFERROR(SUM(AH66:AI66)/AI$4,0)</f>
        <v>1.1478021876317923</v>
      </c>
      <c r="AJ67" s="60">
        <f t="shared" ref="AJ67" si="93">IFERROR(AJ66/AJ$4,0)</f>
        <v>0</v>
      </c>
      <c r="AK67" s="60">
        <f>IFERROR(SUM(AJ66:AK66)/AK$4,0)</f>
        <v>1.0076379876317925</v>
      </c>
      <c r="AL67" s="60">
        <f t="shared" ref="AL67:AM67" si="94">IFERROR(AL66/AL$4,0)</f>
        <v>0</v>
      </c>
      <c r="AM67" s="60">
        <f t="shared" si="94"/>
        <v>0</v>
      </c>
      <c r="AN67" s="60">
        <f>IFERROR(SUM(AL66:AN66)/AN$4,0)</f>
        <v>1.9110853814476885</v>
      </c>
      <c r="AO67" s="60">
        <f t="shared" ref="AO67" si="95">IFERROR(AO66/AO$4,0)</f>
        <v>0</v>
      </c>
      <c r="AP67" s="60">
        <f>IFERROR(SUM(AO66:AP66)/AP$4,0)</f>
        <v>0.97423798763179237</v>
      </c>
      <c r="AQ67" s="61">
        <f>AQ66/AQ$4</f>
        <v>1.2115299669656066</v>
      </c>
    </row>
    <row r="68" spans="1:43" x14ac:dyDescent="0.3"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6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6"/>
    </row>
    <row r="69" spans="1:43" ht="28.8" outlineLevel="1" x14ac:dyDescent="0.3">
      <c r="C69" s="1" t="s">
        <v>143</v>
      </c>
      <c r="E69" s="15">
        <f>E6-E66</f>
        <v>-159718.255</v>
      </c>
      <c r="F69" s="15">
        <f>SUM(E69,F6)-F66</f>
        <v>-270627.29875000002</v>
      </c>
      <c r="G69" s="15">
        <f t="shared" ref="G69:N69" si="96">SUM(F69,G6)-G66</f>
        <v>-489302.09385555558</v>
      </c>
      <c r="H69" s="15">
        <f t="shared" si="96"/>
        <v>-610278.29816111107</v>
      </c>
      <c r="I69" s="15">
        <f t="shared" si="96"/>
        <v>-255799.89326666662</v>
      </c>
      <c r="J69" s="15">
        <f t="shared" si="96"/>
        <v>-401929.29757222219</v>
      </c>
      <c r="K69" s="15">
        <f t="shared" si="96"/>
        <v>-47450.892677777738</v>
      </c>
      <c r="L69" s="15">
        <f t="shared" si="96"/>
        <v>-168427.09698333329</v>
      </c>
      <c r="M69" s="15">
        <f t="shared" si="96"/>
        <v>233991.49871111114</v>
      </c>
      <c r="N69" s="15">
        <f t="shared" si="96"/>
        <v>40469.903605555592</v>
      </c>
      <c r="O69" s="15">
        <f>SUM(N69,O6)-O66</f>
        <v>-80506.300699999963</v>
      </c>
      <c r="P69" s="15">
        <f>SUM(O69,P6)-P66</f>
        <v>257970.50419444448</v>
      </c>
      <c r="Q69" s="16">
        <f>P69</f>
        <v>257970.50419444448</v>
      </c>
      <c r="R69" s="15">
        <f>SUM(Q69,R6)-R66</f>
        <v>126363.09988888892</v>
      </c>
      <c r="S69" s="15">
        <f t="shared" ref="S69:AO69" si="97">SUM(R69,S6)-S66</f>
        <v>553934.89558333333</v>
      </c>
      <c r="T69" s="15">
        <f t="shared" si="97"/>
        <v>335260.10047777777</v>
      </c>
      <c r="U69" s="15">
        <f t="shared" si="97"/>
        <v>214283.89617222222</v>
      </c>
      <c r="V69" s="15">
        <f t="shared" si="97"/>
        <v>568762.30106666661</v>
      </c>
      <c r="W69" s="15">
        <f t="shared" si="97"/>
        <v>422632.89676111104</v>
      </c>
      <c r="X69" s="15">
        <f t="shared" si="97"/>
        <v>777111.30165555538</v>
      </c>
      <c r="Y69" s="15">
        <f t="shared" si="97"/>
        <v>656135.09734999982</v>
      </c>
      <c r="Z69" s="15">
        <f t="shared" si="97"/>
        <v>1058553.6930444443</v>
      </c>
      <c r="AA69" s="15">
        <f t="shared" si="97"/>
        <v>865032.09793888871</v>
      </c>
      <c r="AB69" s="15">
        <f t="shared" si="97"/>
        <v>744055.89363333315</v>
      </c>
      <c r="AC69" s="15">
        <f t="shared" si="97"/>
        <v>1146090.8893277775</v>
      </c>
      <c r="AD69" s="16">
        <f>AC69</f>
        <v>1146090.8893277775</v>
      </c>
      <c r="AE69" s="15">
        <f t="shared" si="97"/>
        <v>928457.29422222194</v>
      </c>
      <c r="AF69" s="15">
        <f t="shared" si="97"/>
        <v>808029.08991666639</v>
      </c>
      <c r="AG69" s="15">
        <f t="shared" si="97"/>
        <v>1137354.2948111109</v>
      </c>
      <c r="AH69" s="15">
        <f t="shared" si="97"/>
        <v>1016378.0905055554</v>
      </c>
      <c r="AI69" s="15">
        <f t="shared" si="97"/>
        <v>1370856.4953999997</v>
      </c>
      <c r="AJ69" s="15">
        <f t="shared" si="97"/>
        <v>1224727.091094444</v>
      </c>
      <c r="AK69" s="15">
        <f t="shared" si="97"/>
        <v>1642763.6867888884</v>
      </c>
      <c r="AL69" s="15">
        <f t="shared" si="97"/>
        <v>1458229.291683333</v>
      </c>
      <c r="AM69" s="15">
        <f t="shared" si="97"/>
        <v>1312647.8873777774</v>
      </c>
      <c r="AN69" s="15">
        <f t="shared" si="97"/>
        <v>1667126.2922722218</v>
      </c>
      <c r="AO69" s="15">
        <f t="shared" si="97"/>
        <v>1546150.0879666661</v>
      </c>
      <c r="AP69" s="15">
        <f>SUM(AO69,AP6)-AP66</f>
        <v>1948185.0836611106</v>
      </c>
      <c r="AQ69" s="16">
        <f>AP69</f>
        <v>1948185.0836611106</v>
      </c>
    </row>
    <row r="70" spans="1:43" x14ac:dyDescent="0.3">
      <c r="G70" s="106"/>
      <c r="R70" s="62"/>
      <c r="S70" s="62"/>
      <c r="T70" s="62"/>
      <c r="U70" s="62"/>
      <c r="V70" s="62"/>
      <c r="W70" s="62"/>
      <c r="X70" s="62"/>
      <c r="Y70" s="62"/>
      <c r="Z70" s="62"/>
      <c r="AA70" s="63"/>
      <c r="AG70" s="62"/>
      <c r="AH70" s="62"/>
      <c r="AI70" s="62"/>
    </row>
    <row r="71" spans="1:43" x14ac:dyDescent="0.3">
      <c r="R71" s="62"/>
      <c r="S71" s="62"/>
      <c r="T71" s="62"/>
      <c r="U71" s="62"/>
      <c r="V71" s="62"/>
      <c r="W71" s="62"/>
      <c r="X71" s="62"/>
      <c r="Y71" s="62"/>
      <c r="Z71" s="62"/>
      <c r="AA71" s="63"/>
      <c r="AG71" s="62"/>
      <c r="AH71" s="62"/>
      <c r="AI71" s="62"/>
    </row>
    <row r="72" spans="1:43" x14ac:dyDescent="0.3">
      <c r="R72" s="62"/>
      <c r="S72" s="62"/>
      <c r="T72" s="62"/>
      <c r="U72" s="62"/>
      <c r="V72" s="62"/>
      <c r="W72" s="62"/>
      <c r="X72" s="62"/>
      <c r="Y72" s="62"/>
      <c r="Z72" s="62"/>
      <c r="AA72" s="63"/>
      <c r="AG72" s="62"/>
      <c r="AH72" s="62"/>
      <c r="AI72" s="62"/>
    </row>
    <row r="73" spans="1:43" x14ac:dyDescent="0.3">
      <c r="L73" s="64" t="s">
        <v>144</v>
      </c>
      <c r="M73" s="65" t="s">
        <v>145</v>
      </c>
      <c r="N73" s="65" t="s">
        <v>146</v>
      </c>
      <c r="O73" s="65" t="s">
        <v>147</v>
      </c>
      <c r="P73" s="65" t="s">
        <v>148</v>
      </c>
      <c r="Q73" s="66" t="s">
        <v>149</v>
      </c>
      <c r="R73" s="67" t="s">
        <v>150</v>
      </c>
      <c r="S73" s="64"/>
      <c r="T73" s="65"/>
      <c r="U73" s="65"/>
      <c r="V73" s="65"/>
      <c r="W73" s="67"/>
      <c r="AA73" s="63"/>
    </row>
    <row r="74" spans="1:43" x14ac:dyDescent="0.3">
      <c r="L74" t="s">
        <v>151</v>
      </c>
      <c r="M74" s="68">
        <f>SUM(E4:I4)</f>
        <v>274000</v>
      </c>
      <c r="N74" s="68">
        <f>SUM(J4:L4)</f>
        <v>274000</v>
      </c>
      <c r="O74" s="68">
        <f>SUM(M4:O4)</f>
        <v>274000</v>
      </c>
      <c r="P74" s="68">
        <f>SUM(P4:S4)-Q4</f>
        <v>548000</v>
      </c>
      <c r="Q74" s="69">
        <f>SUM(M74:P74)</f>
        <v>1370000</v>
      </c>
      <c r="R74" s="68">
        <f>SUM(M74:P74)/12</f>
        <v>114166.66666666667</v>
      </c>
      <c r="T74" s="68"/>
      <c r="U74" s="68"/>
      <c r="V74" s="68"/>
      <c r="W74" s="68"/>
      <c r="AA74" s="63"/>
      <c r="AG74" s="68"/>
      <c r="AH74" s="68"/>
      <c r="AI74" s="68"/>
    </row>
    <row r="75" spans="1:43" x14ac:dyDescent="0.3">
      <c r="L75" t="s">
        <v>152</v>
      </c>
      <c r="M75" s="70">
        <f>SUM(E66:G66)</f>
        <v>489302.09385555558</v>
      </c>
      <c r="N75" s="70">
        <f>SUM(H66:J66)</f>
        <v>460627.20371666667</v>
      </c>
      <c r="O75" s="70">
        <f>SUM(K66:M66)</f>
        <v>460079.20371666667</v>
      </c>
      <c r="P75" s="70">
        <f>SUM(N66:P66)</f>
        <v>524020.99451666663</v>
      </c>
      <c r="Q75" s="16">
        <f>SUM(M75:P75)</f>
        <v>1934029.4958055555</v>
      </c>
      <c r="R75" s="15">
        <f>SUM(M75:P75)/12</f>
        <v>161169.12465046297</v>
      </c>
      <c r="T75" s="70"/>
      <c r="U75" s="70"/>
      <c r="V75" s="70"/>
      <c r="W75" s="70"/>
      <c r="AA75" s="63"/>
      <c r="AG75" s="70"/>
      <c r="AH75" s="70"/>
      <c r="AI75" s="70"/>
    </row>
    <row r="76" spans="1:43" x14ac:dyDescent="0.3">
      <c r="A76" s="17"/>
      <c r="L76" s="71" t="s">
        <v>153</v>
      </c>
      <c r="M76" s="72">
        <f t="shared" ref="M76:R76" si="98">M75/M74</f>
        <v>1.7857740651662612</v>
      </c>
      <c r="N76" s="72">
        <f t="shared" si="98"/>
        <v>1.6811211814476885</v>
      </c>
      <c r="O76" s="72">
        <f t="shared" si="98"/>
        <v>1.6791211814476885</v>
      </c>
      <c r="P76" s="72">
        <f t="shared" si="98"/>
        <v>0.95624269072384427</v>
      </c>
      <c r="Q76" s="73">
        <f t="shared" si="98"/>
        <v>1.4117003619018653</v>
      </c>
      <c r="R76" s="72">
        <f t="shared" si="98"/>
        <v>1.4117003619018653</v>
      </c>
      <c r="S76" s="71"/>
      <c r="T76" s="72"/>
      <c r="U76" s="72"/>
      <c r="V76" s="72"/>
      <c r="W76" s="72"/>
      <c r="AA76" s="63"/>
      <c r="AG76" s="74"/>
      <c r="AH76" s="74"/>
      <c r="AI76" s="74"/>
    </row>
    <row r="77" spans="1:43" x14ac:dyDescent="0.3">
      <c r="A77" s="17"/>
      <c r="L77" t="s">
        <v>154</v>
      </c>
      <c r="M77" s="75">
        <f>SUM(E5:G5)/3</f>
        <v>2</v>
      </c>
      <c r="N77" s="75">
        <f>SUM(H5:J5)/3</f>
        <v>2</v>
      </c>
      <c r="O77" s="75">
        <f>SUM(K5:M5)/3</f>
        <v>2</v>
      </c>
      <c r="P77" s="75">
        <f>SUM(N5:P5)/3</f>
        <v>2</v>
      </c>
      <c r="Q77" s="76">
        <f>AVERAGE(M77:P77)</f>
        <v>2</v>
      </c>
      <c r="R77" s="75">
        <f>SUM(E5:P5)/12</f>
        <v>2</v>
      </c>
      <c r="T77" s="75"/>
      <c r="U77" s="75"/>
      <c r="V77" s="75"/>
      <c r="W77" s="75"/>
      <c r="AA77" s="63"/>
      <c r="AG77" s="75"/>
      <c r="AH77" s="75"/>
      <c r="AI77" s="75"/>
    </row>
    <row r="78" spans="1:43" ht="43.8" thickBot="1" x14ac:dyDescent="0.35">
      <c r="A78" s="17"/>
      <c r="L78" s="1" t="s">
        <v>155</v>
      </c>
      <c r="M78" s="77">
        <v>0.51</v>
      </c>
      <c r="N78" s="75">
        <f>Q69*0.51</f>
        <v>131564.95713916668</v>
      </c>
      <c r="O78" s="77">
        <v>0.49</v>
      </c>
      <c r="P78" s="75">
        <f>P69*0.49</f>
        <v>126405.5470552778</v>
      </c>
      <c r="Q78" s="78" t="s">
        <v>156</v>
      </c>
      <c r="R78" s="75">
        <f>SUM(E66:J66)</f>
        <v>949929.29757222231</v>
      </c>
      <c r="T78" s="79"/>
      <c r="U78" s="79"/>
      <c r="V78" s="79"/>
      <c r="W78" s="79"/>
      <c r="AA78" s="63"/>
      <c r="AG78" s="75"/>
      <c r="AH78" s="75"/>
      <c r="AI78" s="75"/>
    </row>
    <row r="79" spans="1:43" x14ac:dyDescent="0.3">
      <c r="O79" s="80" t="s">
        <v>157</v>
      </c>
      <c r="P79" s="81">
        <f>P78/R78</f>
        <v>0.13306837401303259</v>
      </c>
      <c r="Q79" s="82">
        <f>P78</f>
        <v>126405.5470552778</v>
      </c>
      <c r="T79" s="68"/>
      <c r="U79" s="68"/>
      <c r="V79" s="68"/>
      <c r="W79" s="68"/>
      <c r="AA79" s="63"/>
    </row>
    <row r="80" spans="1:43" x14ac:dyDescent="0.3">
      <c r="O80" s="83" t="s">
        <v>158</v>
      </c>
      <c r="P80" s="84">
        <f>(P78*2)/R78</f>
        <v>0.26613674802606518</v>
      </c>
      <c r="Q80" s="85">
        <f>P78</f>
        <v>126405.5470552778</v>
      </c>
      <c r="T80" s="70"/>
      <c r="U80" s="70"/>
      <c r="V80" s="70"/>
      <c r="W80" s="68"/>
    </row>
    <row r="81" spans="15:23" ht="15" thickBot="1" x14ac:dyDescent="0.35">
      <c r="O81" s="86" t="s">
        <v>159</v>
      </c>
      <c r="P81" s="87">
        <f>(P78*3)/R78</f>
        <v>0.39920512203909775</v>
      </c>
      <c r="Q81" s="88">
        <f>P78</f>
        <v>126405.5470552778</v>
      </c>
      <c r="T81" s="89"/>
      <c r="U81" s="89"/>
      <c r="V81" s="89"/>
      <c r="W81" s="89"/>
    </row>
    <row r="83" spans="15:23" x14ac:dyDescent="0.3">
      <c r="S83" s="90"/>
      <c r="T83" s="91"/>
      <c r="U83" s="91"/>
      <c r="V83" s="91"/>
      <c r="W83" s="92"/>
    </row>
    <row r="84" spans="15:23" x14ac:dyDescent="0.3">
      <c r="T84" s="68"/>
      <c r="U84" s="68"/>
      <c r="V84" s="68"/>
      <c r="W84" s="68"/>
    </row>
    <row r="85" spans="15:23" x14ac:dyDescent="0.3">
      <c r="T85" s="70"/>
      <c r="U85" s="70"/>
      <c r="V85" s="70"/>
      <c r="W85" s="70"/>
    </row>
    <row r="86" spans="15:23" x14ac:dyDescent="0.3">
      <c r="S86" s="92"/>
      <c r="T86" s="93"/>
      <c r="U86" s="93"/>
      <c r="V86" s="93"/>
      <c r="W86" s="93"/>
    </row>
  </sheetData>
  <pageMargins left="0.7" right="0.7" top="0.75" bottom="0.75" header="0.3" footer="0.3"/>
  <ignoredErrors>
    <ignoredError sqref="AD69 Q5 AD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F987-8507-42A9-AAEC-A2FC387416C2}">
  <dimension ref="A1:BC86"/>
  <sheetViews>
    <sheetView tabSelected="1" topLeftCell="C56" workbookViewId="0">
      <selection activeCell="G69" sqref="G69"/>
    </sheetView>
  </sheetViews>
  <sheetFormatPr defaultRowHeight="14.4" outlineLevelRow="1" outlineLevelCol="1" x14ac:dyDescent="0.3"/>
  <cols>
    <col min="1" max="1" width="1" customWidth="1" outlineLevel="1"/>
    <col min="2" max="2" width="0.88671875" customWidth="1" outlineLevel="1"/>
    <col min="3" max="3" width="33.88671875" style="1" customWidth="1"/>
    <col min="4" max="4" width="13.109375" style="1" customWidth="1"/>
    <col min="5" max="5" width="15.88671875" bestFit="1" customWidth="1"/>
    <col min="6" max="6" width="31.109375" bestFit="1" customWidth="1"/>
    <col min="7" max="11" width="15.88671875" bestFit="1" customWidth="1"/>
    <col min="12" max="12" width="16.44140625" bestFit="1" customWidth="1"/>
    <col min="13" max="14" width="15.88671875" bestFit="1" customWidth="1"/>
    <col min="15" max="15" width="22.109375" bestFit="1" customWidth="1"/>
    <col min="16" max="16" width="15.88671875" bestFit="1" customWidth="1"/>
    <col min="17" max="17" width="17.44140625" style="3" bestFit="1" customWidth="1"/>
    <col min="18" max="29" width="17.44140625" bestFit="1" customWidth="1"/>
    <col min="30" max="30" width="18.44140625" style="3" bestFit="1" customWidth="1"/>
    <col min="31" max="32" width="18.44140625" bestFit="1" customWidth="1"/>
    <col min="33" max="36" width="18.44140625" bestFit="1" customWidth="1" outlineLevel="1"/>
    <col min="37" max="42" width="18.44140625" bestFit="1" customWidth="1"/>
    <col min="43" max="43" width="19.44140625" style="3" bestFit="1" customWidth="1"/>
  </cols>
  <sheetData>
    <row r="1" spans="1:55" x14ac:dyDescent="0.3">
      <c r="C1" s="1" t="s">
        <v>42</v>
      </c>
      <c r="E1" s="2">
        <v>2</v>
      </c>
      <c r="F1" t="s">
        <v>43</v>
      </c>
      <c r="G1" s="4">
        <v>1509</v>
      </c>
      <c r="H1" t="s">
        <v>160</v>
      </c>
      <c r="I1" s="94" t="s">
        <v>45</v>
      </c>
    </row>
    <row r="2" spans="1:55" x14ac:dyDescent="0.3">
      <c r="C2" s="1" t="s">
        <v>46</v>
      </c>
      <c r="E2" s="4">
        <v>50</v>
      </c>
      <c r="F2" t="s">
        <v>47</v>
      </c>
      <c r="G2" s="2">
        <v>9</v>
      </c>
      <c r="H2" s="5" t="s">
        <v>48</v>
      </c>
      <c r="M2" s="5" t="s">
        <v>48</v>
      </c>
      <c r="U2" s="5" t="s">
        <v>48</v>
      </c>
      <c r="Z2" s="5" t="s">
        <v>48</v>
      </c>
      <c r="AH2" s="5" t="s">
        <v>48</v>
      </c>
      <c r="AM2" s="5" t="s">
        <v>48</v>
      </c>
    </row>
    <row r="3" spans="1:55" s="6" customFormat="1" x14ac:dyDescent="0.3">
      <c r="C3" s="7"/>
      <c r="D3" s="7"/>
      <c r="E3" s="8" t="s">
        <v>49</v>
      </c>
      <c r="F3" s="8" t="s">
        <v>50</v>
      </c>
      <c r="G3" s="8" t="s">
        <v>51</v>
      </c>
      <c r="H3" s="8" t="s">
        <v>52</v>
      </c>
      <c r="I3" s="8" t="s">
        <v>53</v>
      </c>
      <c r="J3" s="8" t="s">
        <v>54</v>
      </c>
      <c r="K3" s="8" t="s">
        <v>55</v>
      </c>
      <c r="L3" s="8" t="s">
        <v>56</v>
      </c>
      <c r="M3" s="8" t="s">
        <v>57</v>
      </c>
      <c r="N3" s="8" t="s">
        <v>58</v>
      </c>
      <c r="O3" s="8" t="s">
        <v>59</v>
      </c>
      <c r="P3" s="8" t="s">
        <v>60</v>
      </c>
      <c r="Q3" s="9" t="s">
        <v>61</v>
      </c>
      <c r="R3" s="8" t="s">
        <v>49</v>
      </c>
      <c r="S3" s="8" t="s">
        <v>50</v>
      </c>
      <c r="T3" s="8" t="s">
        <v>51</v>
      </c>
      <c r="U3" s="8" t="s">
        <v>52</v>
      </c>
      <c r="V3" s="8" t="s">
        <v>53</v>
      </c>
      <c r="W3" s="8" t="s">
        <v>54</v>
      </c>
      <c r="X3" s="8" t="s">
        <v>55</v>
      </c>
      <c r="Y3" s="8" t="s">
        <v>56</v>
      </c>
      <c r="Z3" s="8" t="s">
        <v>57</v>
      </c>
      <c r="AA3" s="8" t="s">
        <v>58</v>
      </c>
      <c r="AB3" s="8" t="s">
        <v>59</v>
      </c>
      <c r="AC3" s="8" t="s">
        <v>60</v>
      </c>
      <c r="AD3" s="9" t="s">
        <v>62</v>
      </c>
      <c r="AE3" s="8" t="s">
        <v>49</v>
      </c>
      <c r="AF3" s="8" t="s">
        <v>50</v>
      </c>
      <c r="AG3" s="8" t="s">
        <v>51</v>
      </c>
      <c r="AH3" s="8" t="s">
        <v>52</v>
      </c>
      <c r="AI3" s="8" t="s">
        <v>53</v>
      </c>
      <c r="AJ3" s="8" t="s">
        <v>54</v>
      </c>
      <c r="AK3" s="8" t="s">
        <v>55</v>
      </c>
      <c r="AL3" s="8" t="s">
        <v>56</v>
      </c>
      <c r="AM3" s="8" t="s">
        <v>57</v>
      </c>
      <c r="AN3" s="8" t="s">
        <v>58</v>
      </c>
      <c r="AO3" s="8" t="s">
        <v>59</v>
      </c>
      <c r="AP3" s="8" t="s">
        <v>60</v>
      </c>
      <c r="AQ3" s="9" t="s">
        <v>63</v>
      </c>
    </row>
    <row r="4" spans="1:55" x14ac:dyDescent="0.3">
      <c r="C4" s="1" t="s">
        <v>64</v>
      </c>
      <c r="E4" s="10">
        <v>0</v>
      </c>
      <c r="F4" s="10">
        <v>0</v>
      </c>
      <c r="G4" s="10">
        <v>0</v>
      </c>
      <c r="H4" s="10">
        <v>0</v>
      </c>
      <c r="I4" s="10">
        <f>$G$1*$E$2</f>
        <v>75450</v>
      </c>
      <c r="J4" s="10">
        <v>0</v>
      </c>
      <c r="K4" s="10">
        <f>$G$1*$E$2</f>
        <v>75450</v>
      </c>
      <c r="L4" s="10">
        <v>0</v>
      </c>
      <c r="M4" s="10">
        <f>$G$1*$E$2</f>
        <v>75450</v>
      </c>
      <c r="N4" s="10">
        <v>0</v>
      </c>
      <c r="O4" s="10">
        <v>0</v>
      </c>
      <c r="P4" s="10">
        <f>$G$1*$E$2</f>
        <v>75450</v>
      </c>
      <c r="Q4" s="11">
        <f>SUM(E4:P4)</f>
        <v>301800</v>
      </c>
      <c r="R4" s="10">
        <v>0</v>
      </c>
      <c r="S4" s="10">
        <f>$G$1*$E$2</f>
        <v>75450</v>
      </c>
      <c r="V4" s="10">
        <f>$G$1*$E$2</f>
        <v>75450</v>
      </c>
      <c r="W4" s="10">
        <v>0</v>
      </c>
      <c r="X4" s="10">
        <f>$G$1*$E$2</f>
        <v>75450</v>
      </c>
      <c r="Y4" s="10">
        <v>0</v>
      </c>
      <c r="Z4" s="10">
        <f>$G$1*$E$2</f>
        <v>75450</v>
      </c>
      <c r="AA4" s="10">
        <v>0</v>
      </c>
      <c r="AB4" s="10">
        <v>0</v>
      </c>
      <c r="AC4" s="10">
        <f>$G$1*$E$2</f>
        <v>75450</v>
      </c>
      <c r="AD4" s="21">
        <f>SUM(R4:AC4)</f>
        <v>377250</v>
      </c>
      <c r="AE4" s="10"/>
      <c r="AF4" s="10">
        <v>0</v>
      </c>
      <c r="AG4" s="10">
        <f>$G$1*$E$2</f>
        <v>75450</v>
      </c>
      <c r="AH4" s="10">
        <v>0</v>
      </c>
      <c r="AI4" s="10">
        <f>$G$1*$E$2</f>
        <v>75450</v>
      </c>
      <c r="AJ4" s="10">
        <v>0</v>
      </c>
      <c r="AK4" s="10">
        <f>$G$1*$E$2</f>
        <v>75450</v>
      </c>
      <c r="AL4" s="10">
        <v>0</v>
      </c>
      <c r="AM4" s="10">
        <v>0</v>
      </c>
      <c r="AN4" s="10">
        <f>$G$1*$E$2</f>
        <v>75450</v>
      </c>
      <c r="AO4" s="10">
        <v>0</v>
      </c>
      <c r="AP4" s="10">
        <f>$G$1*$E$2</f>
        <v>75450</v>
      </c>
      <c r="AQ4" s="11">
        <f>SUM(AE4:AP4)</f>
        <v>377250</v>
      </c>
    </row>
    <row r="5" spans="1:55" outlineLevel="1" x14ac:dyDescent="0.3">
      <c r="C5" s="1" t="s">
        <v>65</v>
      </c>
      <c r="E5" s="12">
        <f>E1</f>
        <v>2</v>
      </c>
      <c r="F5" s="12">
        <f>$E$5</f>
        <v>2</v>
      </c>
      <c r="G5" s="12">
        <f t="shared" ref="G5:AP5" si="0">$E$5</f>
        <v>2</v>
      </c>
      <c r="H5" s="12">
        <f t="shared" si="0"/>
        <v>2</v>
      </c>
      <c r="I5" s="12">
        <f t="shared" si="0"/>
        <v>2</v>
      </c>
      <c r="J5" s="12">
        <f t="shared" si="0"/>
        <v>2</v>
      </c>
      <c r="K5" s="12">
        <f t="shared" si="0"/>
        <v>2</v>
      </c>
      <c r="L5" s="12">
        <f t="shared" si="0"/>
        <v>2</v>
      </c>
      <c r="M5" s="12">
        <f t="shared" si="0"/>
        <v>2</v>
      </c>
      <c r="N5" s="12">
        <f t="shared" si="0"/>
        <v>2</v>
      </c>
      <c r="O5" s="12">
        <f t="shared" si="0"/>
        <v>2</v>
      </c>
      <c r="P5" s="12">
        <f t="shared" si="0"/>
        <v>2</v>
      </c>
      <c r="Q5" s="13">
        <f>AVERAGE(E5:P5)</f>
        <v>2</v>
      </c>
      <c r="R5" s="12">
        <f t="shared" si="0"/>
        <v>2</v>
      </c>
      <c r="S5" s="12">
        <f t="shared" si="0"/>
        <v>2</v>
      </c>
      <c r="T5" s="12">
        <f t="shared" si="0"/>
        <v>2</v>
      </c>
      <c r="U5" s="12">
        <f t="shared" si="0"/>
        <v>2</v>
      </c>
      <c r="V5" s="12">
        <f t="shared" si="0"/>
        <v>2</v>
      </c>
      <c r="W5" s="12">
        <f t="shared" si="0"/>
        <v>2</v>
      </c>
      <c r="X5" s="12">
        <f t="shared" si="0"/>
        <v>2</v>
      </c>
      <c r="Y5" s="12">
        <f t="shared" si="0"/>
        <v>2</v>
      </c>
      <c r="Z5" s="12">
        <f t="shared" si="0"/>
        <v>2</v>
      </c>
      <c r="AA5" s="12">
        <f t="shared" si="0"/>
        <v>2</v>
      </c>
      <c r="AB5" s="12">
        <f t="shared" si="0"/>
        <v>2</v>
      </c>
      <c r="AC5" s="12">
        <f t="shared" si="0"/>
        <v>2</v>
      </c>
      <c r="AD5" s="13">
        <f>AVERAGE(R5:AC5)</f>
        <v>2</v>
      </c>
      <c r="AE5" s="12">
        <f t="shared" si="0"/>
        <v>2</v>
      </c>
      <c r="AF5" s="12">
        <f t="shared" si="0"/>
        <v>2</v>
      </c>
      <c r="AG5" s="12">
        <f t="shared" si="0"/>
        <v>2</v>
      </c>
      <c r="AH5" s="12">
        <f t="shared" si="0"/>
        <v>2</v>
      </c>
      <c r="AI5" s="12">
        <f t="shared" si="0"/>
        <v>2</v>
      </c>
      <c r="AJ5" s="12">
        <f t="shared" si="0"/>
        <v>2</v>
      </c>
      <c r="AK5" s="12">
        <f t="shared" si="0"/>
        <v>2</v>
      </c>
      <c r="AL5" s="12">
        <f t="shared" si="0"/>
        <v>2</v>
      </c>
      <c r="AM5" s="12">
        <f t="shared" si="0"/>
        <v>2</v>
      </c>
      <c r="AN5" s="12">
        <f t="shared" si="0"/>
        <v>2</v>
      </c>
      <c r="AO5" s="12">
        <f t="shared" si="0"/>
        <v>2</v>
      </c>
      <c r="AP5" s="12">
        <f t="shared" si="0"/>
        <v>2</v>
      </c>
      <c r="AQ5" s="13">
        <f>AVERAGE(AE5:AP5)</f>
        <v>2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</row>
    <row r="6" spans="1:55" outlineLevel="1" x14ac:dyDescent="0.3">
      <c r="C6" s="1" t="s">
        <v>66</v>
      </c>
      <c r="E6" s="15">
        <f>E4*E5</f>
        <v>0</v>
      </c>
      <c r="F6" s="15">
        <f t="shared" ref="F6:Q6" si="1">F4*F5</f>
        <v>0</v>
      </c>
      <c r="G6" s="15">
        <f>G4*G5</f>
        <v>0</v>
      </c>
      <c r="H6" s="15">
        <f t="shared" ref="H6:P6" si="2">H4*H5</f>
        <v>0</v>
      </c>
      <c r="I6" s="15">
        <f>I4*I5</f>
        <v>150900</v>
      </c>
      <c r="J6" s="15">
        <f t="shared" si="2"/>
        <v>0</v>
      </c>
      <c r="K6" s="15">
        <f t="shared" si="2"/>
        <v>150900</v>
      </c>
      <c r="L6" s="15">
        <f t="shared" si="2"/>
        <v>0</v>
      </c>
      <c r="M6" s="15">
        <f t="shared" si="2"/>
        <v>150900</v>
      </c>
      <c r="N6" s="15">
        <f t="shared" si="2"/>
        <v>0</v>
      </c>
      <c r="O6" s="15">
        <f t="shared" si="2"/>
        <v>0</v>
      </c>
      <c r="P6" s="15">
        <f t="shared" si="2"/>
        <v>150900</v>
      </c>
      <c r="Q6" s="16">
        <f t="shared" si="1"/>
        <v>603600</v>
      </c>
      <c r="R6" s="15">
        <f>R4*R5</f>
        <v>0</v>
      </c>
      <c r="S6" s="15">
        <f t="shared" ref="S6:AC6" si="3">S4*S5</f>
        <v>150900</v>
      </c>
      <c r="T6" s="15">
        <f t="shared" si="3"/>
        <v>0</v>
      </c>
      <c r="U6" s="15">
        <f t="shared" si="3"/>
        <v>0</v>
      </c>
      <c r="V6" s="15">
        <f t="shared" si="3"/>
        <v>150900</v>
      </c>
      <c r="W6" s="15">
        <f t="shared" si="3"/>
        <v>0</v>
      </c>
      <c r="X6" s="15">
        <f t="shared" si="3"/>
        <v>150900</v>
      </c>
      <c r="Y6" s="15">
        <f t="shared" si="3"/>
        <v>0</v>
      </c>
      <c r="Z6" s="15">
        <f t="shared" si="3"/>
        <v>150900</v>
      </c>
      <c r="AA6" s="15">
        <f t="shared" si="3"/>
        <v>0</v>
      </c>
      <c r="AB6" s="15">
        <f t="shared" si="3"/>
        <v>0</v>
      </c>
      <c r="AC6" s="15">
        <f t="shared" si="3"/>
        <v>150900</v>
      </c>
      <c r="AD6" s="15">
        <f>AD4*AD5</f>
        <v>754500</v>
      </c>
      <c r="AE6" s="15">
        <f t="shared" ref="AE6:AQ6" si="4">AE4*AE5</f>
        <v>0</v>
      </c>
      <c r="AF6" s="15">
        <f t="shared" si="4"/>
        <v>0</v>
      </c>
      <c r="AG6" s="15">
        <f t="shared" si="4"/>
        <v>150900</v>
      </c>
      <c r="AH6" s="15">
        <f t="shared" si="4"/>
        <v>0</v>
      </c>
      <c r="AI6" s="15">
        <f t="shared" si="4"/>
        <v>150900</v>
      </c>
      <c r="AJ6" s="15">
        <f t="shared" si="4"/>
        <v>0</v>
      </c>
      <c r="AK6" s="15">
        <f t="shared" si="4"/>
        <v>150900</v>
      </c>
      <c r="AL6" s="15">
        <f t="shared" si="4"/>
        <v>0</v>
      </c>
      <c r="AM6" s="15">
        <f t="shared" si="4"/>
        <v>0</v>
      </c>
      <c r="AN6" s="15">
        <f t="shared" si="4"/>
        <v>150900</v>
      </c>
      <c r="AO6" s="15">
        <f t="shared" si="4"/>
        <v>0</v>
      </c>
      <c r="AP6" s="15">
        <f t="shared" si="4"/>
        <v>150900</v>
      </c>
      <c r="AQ6" s="16">
        <f t="shared" si="4"/>
        <v>754500</v>
      </c>
    </row>
    <row r="7" spans="1:55" x14ac:dyDescent="0.3"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6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6"/>
    </row>
    <row r="8" spans="1:55" ht="28.8" x14ac:dyDescent="0.3">
      <c r="A8" s="17" t="s">
        <v>67</v>
      </c>
      <c r="B8" s="17" t="s">
        <v>68</v>
      </c>
      <c r="C8" s="18" t="s">
        <v>69</v>
      </c>
      <c r="D8" s="1" t="s">
        <v>70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</row>
    <row r="9" spans="1:55" ht="28.8" x14ac:dyDescent="0.3">
      <c r="C9" s="1" t="s">
        <v>71</v>
      </c>
      <c r="D9" s="95">
        <v>2.5</v>
      </c>
      <c r="E9" s="15">
        <f>$D$9*$G$1</f>
        <v>3772.5</v>
      </c>
      <c r="F9" s="15">
        <f t="shared" ref="F9:AP9" si="5">$D$9*$G$1</f>
        <v>3772.5</v>
      </c>
      <c r="G9" s="15">
        <f t="shared" si="5"/>
        <v>3772.5</v>
      </c>
      <c r="H9" s="15">
        <f t="shared" si="5"/>
        <v>3772.5</v>
      </c>
      <c r="I9" s="15">
        <f t="shared" si="5"/>
        <v>3772.5</v>
      </c>
      <c r="J9" s="15">
        <f t="shared" si="5"/>
        <v>3772.5</v>
      </c>
      <c r="K9" s="15">
        <f t="shared" si="5"/>
        <v>3772.5</v>
      </c>
      <c r="L9" s="15">
        <f t="shared" si="5"/>
        <v>3772.5</v>
      </c>
      <c r="M9" s="15">
        <f t="shared" si="5"/>
        <v>3772.5</v>
      </c>
      <c r="N9" s="15">
        <f t="shared" si="5"/>
        <v>3772.5</v>
      </c>
      <c r="O9" s="15">
        <f t="shared" si="5"/>
        <v>3772.5</v>
      </c>
      <c r="P9" s="15">
        <f t="shared" si="5"/>
        <v>3772.5</v>
      </c>
      <c r="Q9" s="21">
        <f>SUM(E9:P9)</f>
        <v>45270</v>
      </c>
      <c r="R9" s="15">
        <f t="shared" si="5"/>
        <v>3772.5</v>
      </c>
      <c r="S9" s="15">
        <f t="shared" si="5"/>
        <v>3772.5</v>
      </c>
      <c r="T9" s="15">
        <f t="shared" si="5"/>
        <v>3772.5</v>
      </c>
      <c r="U9" s="15">
        <f t="shared" si="5"/>
        <v>3772.5</v>
      </c>
      <c r="V9" s="15">
        <f t="shared" si="5"/>
        <v>3772.5</v>
      </c>
      <c r="W9" s="15">
        <f t="shared" si="5"/>
        <v>3772.5</v>
      </c>
      <c r="X9" s="15">
        <f t="shared" si="5"/>
        <v>3772.5</v>
      </c>
      <c r="Y9" s="15">
        <f t="shared" si="5"/>
        <v>3772.5</v>
      </c>
      <c r="Z9" s="15">
        <f t="shared" si="5"/>
        <v>3772.5</v>
      </c>
      <c r="AA9" s="15">
        <f t="shared" si="5"/>
        <v>3772.5</v>
      </c>
      <c r="AB9" s="15">
        <f t="shared" si="5"/>
        <v>3772.5</v>
      </c>
      <c r="AC9" s="15">
        <f t="shared" si="5"/>
        <v>3772.5</v>
      </c>
      <c r="AD9" s="15">
        <f t="shared" ref="AD9:AD19" si="6">SUM(R9:AC9)</f>
        <v>45270</v>
      </c>
      <c r="AE9" s="15">
        <f t="shared" si="5"/>
        <v>3772.5</v>
      </c>
      <c r="AF9" s="15">
        <f t="shared" si="5"/>
        <v>3772.5</v>
      </c>
      <c r="AG9" s="15">
        <f t="shared" si="5"/>
        <v>3772.5</v>
      </c>
      <c r="AH9" s="15">
        <f t="shared" si="5"/>
        <v>3772.5</v>
      </c>
      <c r="AI9" s="15">
        <f t="shared" si="5"/>
        <v>3772.5</v>
      </c>
      <c r="AJ9" s="15">
        <f t="shared" si="5"/>
        <v>3772.5</v>
      </c>
      <c r="AK9" s="15">
        <f t="shared" si="5"/>
        <v>3772.5</v>
      </c>
      <c r="AL9" s="15">
        <f t="shared" si="5"/>
        <v>3772.5</v>
      </c>
      <c r="AM9" s="15">
        <f t="shared" si="5"/>
        <v>3772.5</v>
      </c>
      <c r="AN9" s="15">
        <f t="shared" si="5"/>
        <v>3772.5</v>
      </c>
      <c r="AO9" s="15">
        <f t="shared" si="5"/>
        <v>3772.5</v>
      </c>
      <c r="AP9" s="15">
        <f t="shared" si="5"/>
        <v>3772.5</v>
      </c>
      <c r="AQ9" s="21">
        <f>SUM(AE9:AP9)</f>
        <v>45270</v>
      </c>
    </row>
    <row r="10" spans="1:55" x14ac:dyDescent="0.3">
      <c r="C10" s="1" t="s">
        <v>72</v>
      </c>
      <c r="D10" s="95">
        <f>400/1600</f>
        <v>0.25</v>
      </c>
      <c r="E10" s="15"/>
      <c r="F10" s="15"/>
      <c r="G10" s="15">
        <f t="shared" ref="G10:AN10" si="7">$D$10*$G$1</f>
        <v>377.25</v>
      </c>
      <c r="H10" s="15"/>
      <c r="I10" s="15">
        <f t="shared" si="7"/>
        <v>377.25</v>
      </c>
      <c r="J10" s="15"/>
      <c r="K10" s="15">
        <f t="shared" si="7"/>
        <v>377.25</v>
      </c>
      <c r="L10" s="15"/>
      <c r="M10" s="15"/>
      <c r="N10" s="15">
        <f t="shared" si="7"/>
        <v>377.25</v>
      </c>
      <c r="O10" s="15"/>
      <c r="P10" s="15">
        <f t="shared" si="7"/>
        <v>377.25</v>
      </c>
      <c r="Q10" s="21">
        <f>SUM(F10:P10)</f>
        <v>1886.25</v>
      </c>
      <c r="R10" s="15"/>
      <c r="S10" s="15"/>
      <c r="T10" s="15">
        <f t="shared" si="7"/>
        <v>377.25</v>
      </c>
      <c r="U10" s="15"/>
      <c r="V10" s="15">
        <f t="shared" si="7"/>
        <v>377.25</v>
      </c>
      <c r="W10" s="15"/>
      <c r="X10" s="15">
        <f t="shared" si="7"/>
        <v>377.25</v>
      </c>
      <c r="Y10" s="15"/>
      <c r="Z10" s="15"/>
      <c r="AA10" s="15">
        <f t="shared" si="7"/>
        <v>377.25</v>
      </c>
      <c r="AB10" s="15"/>
      <c r="AD10" s="15">
        <f t="shared" si="6"/>
        <v>1509</v>
      </c>
      <c r="AE10" s="15">
        <f t="shared" si="7"/>
        <v>377.25</v>
      </c>
      <c r="AF10" s="15"/>
      <c r="AG10" s="15">
        <f t="shared" si="7"/>
        <v>377.25</v>
      </c>
      <c r="AH10" s="15"/>
      <c r="AI10" s="15">
        <f t="shared" si="7"/>
        <v>377.25</v>
      </c>
      <c r="AJ10" s="15"/>
      <c r="AK10" s="15"/>
      <c r="AL10" s="15">
        <f t="shared" si="7"/>
        <v>377.25</v>
      </c>
      <c r="AM10" s="15"/>
      <c r="AN10" s="15">
        <f t="shared" si="7"/>
        <v>377.25</v>
      </c>
      <c r="AO10" s="15"/>
      <c r="AP10" s="15"/>
      <c r="AQ10" s="21">
        <f>SUM(AF10:AP10)</f>
        <v>1509</v>
      </c>
    </row>
    <row r="11" spans="1:55" x14ac:dyDescent="0.3">
      <c r="C11" s="1" t="s">
        <v>73</v>
      </c>
      <c r="D11" s="95">
        <f>2080/1600</f>
        <v>1.3</v>
      </c>
      <c r="E11" s="15"/>
      <c r="F11" s="15"/>
      <c r="G11" s="15">
        <f t="shared" ref="G11:AN11" si="8">$D$11*$G$1</f>
        <v>1961.7</v>
      </c>
      <c r="H11" s="15"/>
      <c r="I11" s="15">
        <f t="shared" si="8"/>
        <v>1961.7</v>
      </c>
      <c r="J11" s="15"/>
      <c r="K11" s="15">
        <f t="shared" si="8"/>
        <v>1961.7</v>
      </c>
      <c r="L11" s="15"/>
      <c r="M11" s="15"/>
      <c r="N11" s="15">
        <f t="shared" si="8"/>
        <v>1961.7</v>
      </c>
      <c r="O11" s="15"/>
      <c r="P11" s="15">
        <f t="shared" si="8"/>
        <v>1961.7</v>
      </c>
      <c r="Q11" s="21"/>
      <c r="R11" s="15"/>
      <c r="S11" s="15"/>
      <c r="T11" s="15">
        <f t="shared" si="8"/>
        <v>1961.7</v>
      </c>
      <c r="U11" s="15"/>
      <c r="V11" s="15">
        <f t="shared" si="8"/>
        <v>1961.7</v>
      </c>
      <c r="W11" s="15"/>
      <c r="X11" s="15">
        <f t="shared" si="8"/>
        <v>1961.7</v>
      </c>
      <c r="Y11" s="15"/>
      <c r="Z11" s="15"/>
      <c r="AA11" s="15">
        <f t="shared" si="8"/>
        <v>1961.7</v>
      </c>
      <c r="AB11" s="15"/>
      <c r="AD11" s="15">
        <f t="shared" si="6"/>
        <v>7846.8</v>
      </c>
      <c r="AE11" s="15">
        <f t="shared" si="8"/>
        <v>1961.7</v>
      </c>
      <c r="AF11" s="15"/>
      <c r="AG11" s="15">
        <f t="shared" si="8"/>
        <v>1961.7</v>
      </c>
      <c r="AH11" s="15"/>
      <c r="AI11" s="15">
        <f t="shared" si="8"/>
        <v>1961.7</v>
      </c>
      <c r="AJ11" s="15"/>
      <c r="AK11" s="15"/>
      <c r="AL11" s="15">
        <f t="shared" si="8"/>
        <v>1961.7</v>
      </c>
      <c r="AM11" s="15"/>
      <c r="AN11" s="15">
        <f t="shared" si="8"/>
        <v>1961.7</v>
      </c>
      <c r="AO11" s="15"/>
      <c r="AP11" s="15"/>
      <c r="AQ11" s="21"/>
    </row>
    <row r="12" spans="1:55" x14ac:dyDescent="0.3">
      <c r="C12" s="1" t="s">
        <v>74</v>
      </c>
      <c r="D12" s="95">
        <f>1280/1600</f>
        <v>0.8</v>
      </c>
      <c r="E12" s="15"/>
      <c r="F12" s="15"/>
      <c r="G12" s="15">
        <f t="shared" ref="G12:AN12" si="9">$D$12*$G$1</f>
        <v>1207.2</v>
      </c>
      <c r="H12" s="15"/>
      <c r="I12" s="15">
        <f t="shared" si="9"/>
        <v>1207.2</v>
      </c>
      <c r="J12" s="15"/>
      <c r="K12" s="15">
        <f t="shared" si="9"/>
        <v>1207.2</v>
      </c>
      <c r="L12" s="15"/>
      <c r="M12" s="15"/>
      <c r="N12" s="15">
        <f t="shared" si="9"/>
        <v>1207.2</v>
      </c>
      <c r="O12" s="15"/>
      <c r="P12" s="15">
        <f t="shared" si="9"/>
        <v>1207.2</v>
      </c>
      <c r="Q12" s="21"/>
      <c r="R12" s="15"/>
      <c r="S12" s="15"/>
      <c r="T12" s="15">
        <f t="shared" si="9"/>
        <v>1207.2</v>
      </c>
      <c r="U12" s="15"/>
      <c r="V12" s="15">
        <f t="shared" si="9"/>
        <v>1207.2</v>
      </c>
      <c r="W12" s="15"/>
      <c r="X12" s="15">
        <f t="shared" si="9"/>
        <v>1207.2</v>
      </c>
      <c r="Y12" s="15"/>
      <c r="Z12" s="15"/>
      <c r="AA12" s="15">
        <f t="shared" si="9"/>
        <v>1207.2</v>
      </c>
      <c r="AB12" s="15"/>
      <c r="AD12" s="15">
        <f t="shared" si="6"/>
        <v>4828.8</v>
      </c>
      <c r="AE12" s="15">
        <f t="shared" si="9"/>
        <v>1207.2</v>
      </c>
      <c r="AF12" s="15"/>
      <c r="AG12" s="15">
        <f t="shared" si="9"/>
        <v>1207.2</v>
      </c>
      <c r="AH12" s="15"/>
      <c r="AI12" s="15">
        <f t="shared" si="9"/>
        <v>1207.2</v>
      </c>
      <c r="AJ12" s="15"/>
      <c r="AK12" s="15"/>
      <c r="AL12" s="15">
        <f t="shared" si="9"/>
        <v>1207.2</v>
      </c>
      <c r="AM12" s="15"/>
      <c r="AN12" s="15">
        <f t="shared" si="9"/>
        <v>1207.2</v>
      </c>
      <c r="AO12" s="15"/>
      <c r="AP12" s="15"/>
      <c r="AQ12" s="21"/>
    </row>
    <row r="13" spans="1:55" ht="28.8" x14ac:dyDescent="0.3">
      <c r="C13" s="1" t="s">
        <v>75</v>
      </c>
      <c r="D13" s="95">
        <v>8</v>
      </c>
      <c r="E13" s="15"/>
      <c r="F13" s="15"/>
      <c r="G13" s="15">
        <f t="shared" ref="G13:AN13" si="10">$D$13*$G$1</f>
        <v>12072</v>
      </c>
      <c r="H13" s="15"/>
      <c r="I13" s="15">
        <f t="shared" si="10"/>
        <v>12072</v>
      </c>
      <c r="J13" s="15"/>
      <c r="K13" s="15">
        <f t="shared" si="10"/>
        <v>12072</v>
      </c>
      <c r="L13" s="15"/>
      <c r="M13" s="15"/>
      <c r="N13" s="15">
        <f t="shared" si="10"/>
        <v>12072</v>
      </c>
      <c r="O13" s="15"/>
      <c r="P13" s="15">
        <f t="shared" si="10"/>
        <v>12072</v>
      </c>
      <c r="Q13" s="21"/>
      <c r="R13" s="15"/>
      <c r="S13" s="15"/>
      <c r="T13" s="15">
        <f t="shared" si="10"/>
        <v>12072</v>
      </c>
      <c r="U13" s="15"/>
      <c r="V13" s="15">
        <f t="shared" si="10"/>
        <v>12072</v>
      </c>
      <c r="W13" s="15"/>
      <c r="X13" s="15">
        <f t="shared" si="10"/>
        <v>12072</v>
      </c>
      <c r="Y13" s="15"/>
      <c r="Z13" s="15"/>
      <c r="AA13" s="15">
        <f t="shared" si="10"/>
        <v>12072</v>
      </c>
      <c r="AB13" s="15"/>
      <c r="AC13" s="15"/>
      <c r="AD13" s="15">
        <f t="shared" si="6"/>
        <v>48288</v>
      </c>
      <c r="AE13" s="15">
        <f t="shared" si="10"/>
        <v>12072</v>
      </c>
      <c r="AF13" s="15"/>
      <c r="AG13" s="15">
        <f t="shared" si="10"/>
        <v>12072</v>
      </c>
      <c r="AH13" s="15"/>
      <c r="AI13" s="15">
        <f t="shared" si="10"/>
        <v>12072</v>
      </c>
      <c r="AJ13" s="15"/>
      <c r="AK13" s="15"/>
      <c r="AL13" s="15">
        <f t="shared" si="10"/>
        <v>12072</v>
      </c>
      <c r="AM13" s="15"/>
      <c r="AN13" s="15">
        <f t="shared" si="10"/>
        <v>12072</v>
      </c>
      <c r="AO13" s="15"/>
      <c r="AP13" s="15"/>
      <c r="AQ13" s="21"/>
    </row>
    <row r="14" spans="1:55" x14ac:dyDescent="0.3">
      <c r="C14" s="1" t="s">
        <v>76</v>
      </c>
      <c r="D14" s="95">
        <f t="shared" ref="D14:D65" si="11">E14/1600</f>
        <v>4.6875</v>
      </c>
      <c r="E14" s="15">
        <f>90000/12</f>
        <v>7500</v>
      </c>
      <c r="F14" s="15">
        <f>E14</f>
        <v>7500</v>
      </c>
      <c r="G14" s="15">
        <f t="shared" ref="G14:P14" si="12">F14</f>
        <v>7500</v>
      </c>
      <c r="H14" s="15">
        <f t="shared" si="12"/>
        <v>7500</v>
      </c>
      <c r="I14" s="15">
        <f t="shared" si="12"/>
        <v>7500</v>
      </c>
      <c r="J14" s="15">
        <f t="shared" si="12"/>
        <v>7500</v>
      </c>
      <c r="K14" s="15">
        <f t="shared" si="12"/>
        <v>7500</v>
      </c>
      <c r="L14" s="15">
        <f t="shared" si="12"/>
        <v>7500</v>
      </c>
      <c r="M14" s="15">
        <f t="shared" si="12"/>
        <v>7500</v>
      </c>
      <c r="N14" s="15">
        <f t="shared" si="12"/>
        <v>7500</v>
      </c>
      <c r="O14" s="15">
        <f t="shared" si="12"/>
        <v>7500</v>
      </c>
      <c r="P14" s="15">
        <f t="shared" si="12"/>
        <v>7500</v>
      </c>
      <c r="Q14" s="21">
        <f t="shared" ref="Q14:Q19" si="13">SUM(E14:P14)</f>
        <v>90000</v>
      </c>
      <c r="R14" s="15">
        <f>P14</f>
        <v>7500</v>
      </c>
      <c r="S14" s="15">
        <f>R14</f>
        <v>7500</v>
      </c>
      <c r="T14" s="15">
        <f t="shared" ref="T14:AB14" si="14">S14</f>
        <v>7500</v>
      </c>
      <c r="U14" s="15">
        <f t="shared" si="14"/>
        <v>7500</v>
      </c>
      <c r="V14" s="15">
        <f t="shared" si="14"/>
        <v>7500</v>
      </c>
      <c r="W14" s="15">
        <f t="shared" si="14"/>
        <v>7500</v>
      </c>
      <c r="X14" s="15">
        <f t="shared" si="14"/>
        <v>7500</v>
      </c>
      <c r="Y14" s="15">
        <f t="shared" si="14"/>
        <v>7500</v>
      </c>
      <c r="Z14" s="15">
        <f t="shared" si="14"/>
        <v>7500</v>
      </c>
      <c r="AA14" s="15">
        <f t="shared" si="14"/>
        <v>7500</v>
      </c>
      <c r="AB14" s="15">
        <f t="shared" si="14"/>
        <v>7500</v>
      </c>
      <c r="AC14" s="15">
        <f>AB14</f>
        <v>7500</v>
      </c>
      <c r="AD14" s="15">
        <f t="shared" si="6"/>
        <v>90000</v>
      </c>
      <c r="AE14" s="15">
        <f>AC14</f>
        <v>7500</v>
      </c>
      <c r="AF14" s="15">
        <f>AE14</f>
        <v>7500</v>
      </c>
      <c r="AG14" s="15">
        <f t="shared" ref="AG14:AP14" si="15">AE14</f>
        <v>7500</v>
      </c>
      <c r="AH14" s="15">
        <f t="shared" si="15"/>
        <v>7500</v>
      </c>
      <c r="AI14" s="15">
        <f t="shared" si="15"/>
        <v>7500</v>
      </c>
      <c r="AJ14" s="15">
        <f t="shared" si="15"/>
        <v>7500</v>
      </c>
      <c r="AK14" s="15">
        <f t="shared" si="15"/>
        <v>7500</v>
      </c>
      <c r="AL14" s="15">
        <f t="shared" si="15"/>
        <v>7500</v>
      </c>
      <c r="AM14" s="15">
        <f t="shared" si="15"/>
        <v>7500</v>
      </c>
      <c r="AN14" s="15">
        <f t="shared" si="15"/>
        <v>7500</v>
      </c>
      <c r="AO14" s="15">
        <f t="shared" si="15"/>
        <v>7500</v>
      </c>
      <c r="AP14" s="15">
        <f t="shared" si="15"/>
        <v>7500</v>
      </c>
      <c r="AQ14" s="21">
        <f t="shared" ref="AQ14:AQ19" si="16">SUM(AE14:AP14)</f>
        <v>90000</v>
      </c>
    </row>
    <row r="15" spans="1:55" x14ac:dyDescent="0.3">
      <c r="D15" s="9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21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f t="shared" si="6"/>
        <v>0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21"/>
    </row>
    <row r="16" spans="1:55" ht="28.8" x14ac:dyDescent="0.3">
      <c r="C16" s="1" t="s">
        <v>77</v>
      </c>
      <c r="D16" s="95">
        <f t="shared" si="11"/>
        <v>0.390625</v>
      </c>
      <c r="E16" s="15">
        <f>25*25</f>
        <v>625</v>
      </c>
      <c r="F16" s="15">
        <f t="shared" ref="F16:P16" si="17">25*25</f>
        <v>625</v>
      </c>
      <c r="G16" s="15">
        <f t="shared" si="17"/>
        <v>625</v>
      </c>
      <c r="H16" s="15">
        <f t="shared" si="17"/>
        <v>625</v>
      </c>
      <c r="I16" s="15">
        <f t="shared" si="17"/>
        <v>625</v>
      </c>
      <c r="J16" s="15">
        <f t="shared" si="17"/>
        <v>625</v>
      </c>
      <c r="K16" s="15">
        <f t="shared" si="17"/>
        <v>625</v>
      </c>
      <c r="L16" s="15">
        <f t="shared" si="17"/>
        <v>625</v>
      </c>
      <c r="M16" s="15">
        <f t="shared" si="17"/>
        <v>625</v>
      </c>
      <c r="N16" s="15">
        <f t="shared" si="17"/>
        <v>625</v>
      </c>
      <c r="O16" s="15">
        <f t="shared" si="17"/>
        <v>625</v>
      </c>
      <c r="P16" s="15">
        <f t="shared" si="17"/>
        <v>625</v>
      </c>
      <c r="Q16" s="16">
        <f t="shared" si="13"/>
        <v>7500</v>
      </c>
      <c r="R16" s="15">
        <f>25*25</f>
        <v>625</v>
      </c>
      <c r="S16" s="15">
        <f t="shared" ref="S16:AC16" si="18">25*25</f>
        <v>625</v>
      </c>
      <c r="T16" s="15">
        <f t="shared" si="18"/>
        <v>625</v>
      </c>
      <c r="U16" s="15">
        <f t="shared" si="18"/>
        <v>625</v>
      </c>
      <c r="V16" s="15">
        <f t="shared" si="18"/>
        <v>625</v>
      </c>
      <c r="W16" s="15">
        <f t="shared" si="18"/>
        <v>625</v>
      </c>
      <c r="X16" s="15">
        <f t="shared" si="18"/>
        <v>625</v>
      </c>
      <c r="Y16" s="15">
        <f t="shared" si="18"/>
        <v>625</v>
      </c>
      <c r="Z16" s="15">
        <f t="shared" si="18"/>
        <v>625</v>
      </c>
      <c r="AA16" s="15">
        <f t="shared" si="18"/>
        <v>625</v>
      </c>
      <c r="AB16" s="15">
        <f t="shared" si="18"/>
        <v>625</v>
      </c>
      <c r="AC16" s="15">
        <f t="shared" si="18"/>
        <v>625</v>
      </c>
      <c r="AD16" s="15">
        <f t="shared" si="6"/>
        <v>7500</v>
      </c>
      <c r="AE16" s="15">
        <f>25*25</f>
        <v>625</v>
      </c>
      <c r="AF16" s="15">
        <f t="shared" ref="AF16:AP16" si="19">25*25</f>
        <v>625</v>
      </c>
      <c r="AG16" s="15">
        <f t="shared" si="19"/>
        <v>625</v>
      </c>
      <c r="AH16" s="15">
        <f t="shared" si="19"/>
        <v>625</v>
      </c>
      <c r="AI16" s="15">
        <f t="shared" si="19"/>
        <v>625</v>
      </c>
      <c r="AJ16" s="15">
        <f t="shared" si="19"/>
        <v>625</v>
      </c>
      <c r="AK16" s="15">
        <f t="shared" si="19"/>
        <v>625</v>
      </c>
      <c r="AL16" s="15">
        <f t="shared" si="19"/>
        <v>625</v>
      </c>
      <c r="AM16" s="15">
        <f t="shared" si="19"/>
        <v>625</v>
      </c>
      <c r="AN16" s="15">
        <f t="shared" si="19"/>
        <v>625</v>
      </c>
      <c r="AO16" s="15">
        <f t="shared" si="19"/>
        <v>625</v>
      </c>
      <c r="AP16" s="15">
        <f t="shared" si="19"/>
        <v>625</v>
      </c>
      <c r="AQ16" s="16">
        <f t="shared" si="16"/>
        <v>7500</v>
      </c>
    </row>
    <row r="17" spans="1:43" ht="28.8" x14ac:dyDescent="0.3">
      <c r="C17" s="1" t="s">
        <v>78</v>
      </c>
      <c r="D17" s="95">
        <f t="shared" si="11"/>
        <v>0.375</v>
      </c>
      <c r="E17" s="15">
        <f>30*20</f>
        <v>600</v>
      </c>
      <c r="F17" s="15">
        <f t="shared" ref="F17:P17" si="20">30*20</f>
        <v>600</v>
      </c>
      <c r="G17" s="15">
        <f t="shared" si="20"/>
        <v>600</v>
      </c>
      <c r="H17" s="15">
        <f t="shared" si="20"/>
        <v>600</v>
      </c>
      <c r="I17" s="15">
        <f t="shared" si="20"/>
        <v>600</v>
      </c>
      <c r="J17" s="15">
        <f t="shared" si="20"/>
        <v>600</v>
      </c>
      <c r="K17" s="15">
        <f t="shared" si="20"/>
        <v>600</v>
      </c>
      <c r="L17" s="15">
        <f t="shared" si="20"/>
        <v>600</v>
      </c>
      <c r="M17" s="15">
        <f t="shared" si="20"/>
        <v>600</v>
      </c>
      <c r="N17" s="15">
        <f t="shared" si="20"/>
        <v>600</v>
      </c>
      <c r="O17" s="15">
        <f t="shared" si="20"/>
        <v>600</v>
      </c>
      <c r="P17" s="15">
        <f t="shared" si="20"/>
        <v>600</v>
      </c>
      <c r="Q17" s="16">
        <f t="shared" si="13"/>
        <v>7200</v>
      </c>
      <c r="R17" s="15">
        <f>30*20</f>
        <v>600</v>
      </c>
      <c r="S17" s="15">
        <f t="shared" ref="S17:AC17" si="21">30*20</f>
        <v>600</v>
      </c>
      <c r="T17" s="15">
        <f t="shared" si="21"/>
        <v>600</v>
      </c>
      <c r="U17" s="15">
        <f t="shared" si="21"/>
        <v>600</v>
      </c>
      <c r="V17" s="15">
        <f t="shared" si="21"/>
        <v>600</v>
      </c>
      <c r="W17" s="15">
        <f t="shared" si="21"/>
        <v>600</v>
      </c>
      <c r="X17" s="15">
        <f t="shared" si="21"/>
        <v>600</v>
      </c>
      <c r="Y17" s="15">
        <f t="shared" si="21"/>
        <v>600</v>
      </c>
      <c r="Z17" s="15">
        <f t="shared" si="21"/>
        <v>600</v>
      </c>
      <c r="AA17" s="15">
        <f t="shared" si="21"/>
        <v>600</v>
      </c>
      <c r="AB17" s="15">
        <f t="shared" si="21"/>
        <v>600</v>
      </c>
      <c r="AC17" s="15">
        <f t="shared" si="21"/>
        <v>600</v>
      </c>
      <c r="AD17" s="15">
        <f t="shared" si="6"/>
        <v>7200</v>
      </c>
      <c r="AE17" s="15">
        <f>30*20</f>
        <v>600</v>
      </c>
      <c r="AF17" s="15">
        <f t="shared" ref="AF17:AP17" si="22">30*20</f>
        <v>600</v>
      </c>
      <c r="AG17" s="15">
        <f t="shared" si="22"/>
        <v>600</v>
      </c>
      <c r="AH17" s="15">
        <f t="shared" si="22"/>
        <v>600</v>
      </c>
      <c r="AI17" s="15">
        <f t="shared" si="22"/>
        <v>600</v>
      </c>
      <c r="AJ17" s="15">
        <f t="shared" si="22"/>
        <v>600</v>
      </c>
      <c r="AK17" s="15">
        <f t="shared" si="22"/>
        <v>600</v>
      </c>
      <c r="AL17" s="15">
        <f t="shared" si="22"/>
        <v>600</v>
      </c>
      <c r="AM17" s="15">
        <f t="shared" si="22"/>
        <v>600</v>
      </c>
      <c r="AN17" s="15">
        <f t="shared" si="22"/>
        <v>600</v>
      </c>
      <c r="AO17" s="15">
        <f t="shared" si="22"/>
        <v>600</v>
      </c>
      <c r="AP17" s="15">
        <f t="shared" si="22"/>
        <v>600</v>
      </c>
      <c r="AQ17" s="16">
        <f t="shared" si="16"/>
        <v>7200</v>
      </c>
    </row>
    <row r="18" spans="1:43" x14ac:dyDescent="0.3">
      <c r="C18" s="1" t="s">
        <v>79</v>
      </c>
      <c r="D18" s="95">
        <f t="shared" si="11"/>
        <v>0.16090531250000001</v>
      </c>
      <c r="E18" s="15">
        <f t="shared" ref="E18:P18" si="23">2.06*(SUM(E9:E17))/100</f>
        <v>257.44850000000002</v>
      </c>
      <c r="F18" s="15">
        <f t="shared" si="23"/>
        <v>257.44850000000002</v>
      </c>
      <c r="G18" s="15">
        <f t="shared" si="23"/>
        <v>579.18239000000005</v>
      </c>
      <c r="H18" s="15">
        <f t="shared" si="23"/>
        <v>257.44850000000002</v>
      </c>
      <c r="I18" s="15">
        <f t="shared" si="23"/>
        <v>579.18239000000005</v>
      </c>
      <c r="J18" s="15">
        <f t="shared" si="23"/>
        <v>257.44850000000002</v>
      </c>
      <c r="K18" s="15">
        <f t="shared" si="23"/>
        <v>579.18239000000005</v>
      </c>
      <c r="L18" s="15">
        <f t="shared" si="23"/>
        <v>257.44850000000002</v>
      </c>
      <c r="M18" s="15">
        <f t="shared" si="23"/>
        <v>257.44850000000002</v>
      </c>
      <c r="N18" s="15">
        <f t="shared" si="23"/>
        <v>579.18239000000005</v>
      </c>
      <c r="O18" s="15">
        <f t="shared" si="23"/>
        <v>257.44850000000002</v>
      </c>
      <c r="P18" s="15">
        <f t="shared" si="23"/>
        <v>579.18239000000005</v>
      </c>
      <c r="Q18" s="16">
        <f t="shared" si="13"/>
        <v>4698.0514499999999</v>
      </c>
      <c r="R18" s="15">
        <f t="shared" ref="R18:AC18" si="24">2.06*(SUM(R9:R17))/100</f>
        <v>257.44850000000002</v>
      </c>
      <c r="S18" s="15">
        <f t="shared" si="24"/>
        <v>257.44850000000002</v>
      </c>
      <c r="T18" s="15">
        <f t="shared" si="24"/>
        <v>579.18239000000005</v>
      </c>
      <c r="U18" s="15">
        <f t="shared" si="24"/>
        <v>257.44850000000002</v>
      </c>
      <c r="V18" s="15">
        <f t="shared" si="24"/>
        <v>579.18239000000005</v>
      </c>
      <c r="W18" s="15">
        <f t="shared" si="24"/>
        <v>257.44850000000002</v>
      </c>
      <c r="X18" s="15">
        <f t="shared" si="24"/>
        <v>579.18239000000005</v>
      </c>
      <c r="Y18" s="15">
        <f t="shared" si="24"/>
        <v>257.44850000000002</v>
      </c>
      <c r="Z18" s="15">
        <f t="shared" si="24"/>
        <v>257.44850000000002</v>
      </c>
      <c r="AA18" s="15">
        <f t="shared" si="24"/>
        <v>579.18239000000005</v>
      </c>
      <c r="AB18" s="15">
        <f t="shared" si="24"/>
        <v>257.44850000000002</v>
      </c>
      <c r="AC18" s="15">
        <f t="shared" si="24"/>
        <v>257.44850000000002</v>
      </c>
      <c r="AD18" s="15">
        <f t="shared" si="6"/>
        <v>4376.3175600000004</v>
      </c>
      <c r="AE18" s="15">
        <f t="shared" ref="AE18:AP18" si="25">2.06*(SUM(AE9:AE17))/100</f>
        <v>579.18239000000005</v>
      </c>
      <c r="AF18" s="15">
        <f t="shared" si="25"/>
        <v>257.44850000000002</v>
      </c>
      <c r="AG18" s="15">
        <f t="shared" si="25"/>
        <v>579.18239000000005</v>
      </c>
      <c r="AH18" s="15">
        <f t="shared" si="25"/>
        <v>257.44850000000002</v>
      </c>
      <c r="AI18" s="15">
        <f t="shared" si="25"/>
        <v>579.18239000000005</v>
      </c>
      <c r="AJ18" s="15">
        <f t="shared" si="25"/>
        <v>257.44850000000002</v>
      </c>
      <c r="AK18" s="15">
        <f t="shared" si="25"/>
        <v>257.44850000000002</v>
      </c>
      <c r="AL18" s="15">
        <f t="shared" si="25"/>
        <v>579.18239000000005</v>
      </c>
      <c r="AM18" s="15">
        <f t="shared" si="25"/>
        <v>257.44850000000002</v>
      </c>
      <c r="AN18" s="15">
        <f t="shared" si="25"/>
        <v>579.18239000000005</v>
      </c>
      <c r="AO18" s="15">
        <f t="shared" si="25"/>
        <v>257.44850000000002</v>
      </c>
      <c r="AP18" s="15">
        <f t="shared" si="25"/>
        <v>257.44850000000002</v>
      </c>
      <c r="AQ18" s="16">
        <f t="shared" si="16"/>
        <v>4698.0514500000008</v>
      </c>
    </row>
    <row r="19" spans="1:43" x14ac:dyDescent="0.3">
      <c r="C19" s="1" t="s">
        <v>80</v>
      </c>
      <c r="D19" s="95">
        <f t="shared" si="11"/>
        <v>0.78109375000000003</v>
      </c>
      <c r="E19" s="22">
        <f t="shared" ref="E19:P19" si="26">(SUM(E9:E17)*0.1)</f>
        <v>1249.75</v>
      </c>
      <c r="F19" s="22">
        <f t="shared" si="26"/>
        <v>1249.75</v>
      </c>
      <c r="G19" s="22">
        <f t="shared" si="26"/>
        <v>2811.5650000000005</v>
      </c>
      <c r="H19" s="22">
        <f t="shared" si="26"/>
        <v>1249.75</v>
      </c>
      <c r="I19" s="22">
        <f t="shared" si="26"/>
        <v>2811.5650000000005</v>
      </c>
      <c r="J19" s="22">
        <f t="shared" si="26"/>
        <v>1249.75</v>
      </c>
      <c r="K19" s="22">
        <f t="shared" si="26"/>
        <v>2811.5650000000005</v>
      </c>
      <c r="L19" s="22">
        <f t="shared" si="26"/>
        <v>1249.75</v>
      </c>
      <c r="M19" s="22">
        <f t="shared" si="26"/>
        <v>1249.75</v>
      </c>
      <c r="N19" s="22">
        <f t="shared" si="26"/>
        <v>2811.5650000000005</v>
      </c>
      <c r="O19" s="22">
        <f t="shared" si="26"/>
        <v>1249.75</v>
      </c>
      <c r="P19" s="22">
        <f t="shared" si="26"/>
        <v>2811.5650000000005</v>
      </c>
      <c r="Q19" s="23">
        <f t="shared" si="13"/>
        <v>22806.075000000004</v>
      </c>
      <c r="R19" s="22">
        <f t="shared" ref="R19:AC19" si="27">(SUM(R9:R17)*0.1)</f>
        <v>1249.75</v>
      </c>
      <c r="S19" s="22">
        <f t="shared" si="27"/>
        <v>1249.75</v>
      </c>
      <c r="T19" s="22">
        <f t="shared" si="27"/>
        <v>2811.5650000000005</v>
      </c>
      <c r="U19" s="22">
        <f t="shared" si="27"/>
        <v>1249.75</v>
      </c>
      <c r="V19" s="22">
        <f t="shared" si="27"/>
        <v>2811.5650000000005</v>
      </c>
      <c r="W19" s="22">
        <f t="shared" si="27"/>
        <v>1249.75</v>
      </c>
      <c r="X19" s="22">
        <f t="shared" si="27"/>
        <v>2811.5650000000005</v>
      </c>
      <c r="Y19" s="22">
        <f t="shared" si="27"/>
        <v>1249.75</v>
      </c>
      <c r="Z19" s="22">
        <f t="shared" si="27"/>
        <v>1249.75</v>
      </c>
      <c r="AA19" s="22">
        <f t="shared" si="27"/>
        <v>2811.5650000000005</v>
      </c>
      <c r="AB19" s="22">
        <f t="shared" si="27"/>
        <v>1249.75</v>
      </c>
      <c r="AC19" s="22">
        <f t="shared" si="27"/>
        <v>1249.75</v>
      </c>
      <c r="AD19" s="22">
        <f t="shared" si="6"/>
        <v>21244.260000000002</v>
      </c>
      <c r="AE19" s="22">
        <f t="shared" ref="AE19:AP19" si="28">(SUM(AE9:AE17)*0.1)</f>
        <v>2811.5650000000005</v>
      </c>
      <c r="AF19" s="22">
        <f t="shared" si="28"/>
        <v>1249.75</v>
      </c>
      <c r="AG19" s="22">
        <f t="shared" si="28"/>
        <v>2811.5650000000005</v>
      </c>
      <c r="AH19" s="22">
        <f t="shared" si="28"/>
        <v>1249.75</v>
      </c>
      <c r="AI19" s="22">
        <f t="shared" si="28"/>
        <v>2811.5650000000005</v>
      </c>
      <c r="AJ19" s="22">
        <f t="shared" si="28"/>
        <v>1249.75</v>
      </c>
      <c r="AK19" s="22">
        <f t="shared" si="28"/>
        <v>1249.75</v>
      </c>
      <c r="AL19" s="22">
        <f t="shared" si="28"/>
        <v>2811.5650000000005</v>
      </c>
      <c r="AM19" s="22">
        <f t="shared" si="28"/>
        <v>1249.75</v>
      </c>
      <c r="AN19" s="22">
        <f t="shared" si="28"/>
        <v>2811.5650000000005</v>
      </c>
      <c r="AO19" s="22">
        <f t="shared" si="28"/>
        <v>1249.75</v>
      </c>
      <c r="AP19" s="22">
        <f t="shared" si="28"/>
        <v>1249.75</v>
      </c>
      <c r="AQ19" s="23">
        <f t="shared" si="16"/>
        <v>22806.075000000004</v>
      </c>
    </row>
    <row r="20" spans="1:43" x14ac:dyDescent="0.3">
      <c r="C20" s="24" t="s">
        <v>81</v>
      </c>
      <c r="D20" s="95">
        <f t="shared" si="11"/>
        <v>8.7529365625000004</v>
      </c>
      <c r="E20" s="25">
        <f t="shared" ref="E20:AQ20" si="29">SUM(E9:E19)</f>
        <v>14004.6985</v>
      </c>
      <c r="F20" s="25">
        <f t="shared" si="29"/>
        <v>14004.6985</v>
      </c>
      <c r="G20" s="25">
        <f>SUM(G9:G19)</f>
        <v>31506.397390000006</v>
      </c>
      <c r="H20" s="25">
        <f t="shared" si="29"/>
        <v>14004.6985</v>
      </c>
      <c r="I20" s="25">
        <f t="shared" si="29"/>
        <v>31506.397390000006</v>
      </c>
      <c r="J20" s="25">
        <f t="shared" si="29"/>
        <v>14004.6985</v>
      </c>
      <c r="K20" s="25">
        <f t="shared" si="29"/>
        <v>31506.397390000006</v>
      </c>
      <c r="L20" s="25">
        <f t="shared" si="29"/>
        <v>14004.6985</v>
      </c>
      <c r="M20" s="25">
        <f t="shared" si="29"/>
        <v>14004.6985</v>
      </c>
      <c r="N20" s="25">
        <f t="shared" si="29"/>
        <v>31506.397390000006</v>
      </c>
      <c r="O20" s="25">
        <f t="shared" si="29"/>
        <v>14004.6985</v>
      </c>
      <c r="P20" s="25">
        <f t="shared" si="29"/>
        <v>31506.397390000006</v>
      </c>
      <c r="Q20" s="26">
        <f t="shared" si="29"/>
        <v>179360.37645000001</v>
      </c>
      <c r="R20" s="25">
        <f t="shared" si="29"/>
        <v>14004.6985</v>
      </c>
      <c r="S20" s="25">
        <f t="shared" si="29"/>
        <v>14004.6985</v>
      </c>
      <c r="T20" s="25">
        <f t="shared" si="29"/>
        <v>31506.397390000006</v>
      </c>
      <c r="U20" s="25">
        <f t="shared" si="29"/>
        <v>14004.6985</v>
      </c>
      <c r="V20" s="25">
        <f t="shared" si="29"/>
        <v>31506.397390000006</v>
      </c>
      <c r="W20" s="25">
        <f t="shared" si="29"/>
        <v>14004.6985</v>
      </c>
      <c r="X20" s="25">
        <f t="shared" si="29"/>
        <v>31506.397390000006</v>
      </c>
      <c r="Y20" s="25">
        <f t="shared" si="29"/>
        <v>14004.6985</v>
      </c>
      <c r="Z20" s="25">
        <f t="shared" si="29"/>
        <v>14004.6985</v>
      </c>
      <c r="AA20" s="25">
        <f t="shared" si="29"/>
        <v>31506.397390000006</v>
      </c>
      <c r="AB20" s="25">
        <f t="shared" si="29"/>
        <v>14004.6985</v>
      </c>
      <c r="AC20" s="25">
        <f t="shared" si="29"/>
        <v>14004.6985</v>
      </c>
      <c r="AD20" s="26">
        <f>SUM(R20:AC20)</f>
        <v>238063.17756000001</v>
      </c>
      <c r="AE20" s="25">
        <f t="shared" si="29"/>
        <v>31506.397390000006</v>
      </c>
      <c r="AF20" s="25">
        <f t="shared" si="29"/>
        <v>14004.6985</v>
      </c>
      <c r="AG20" s="25">
        <f t="shared" si="29"/>
        <v>31506.397390000006</v>
      </c>
      <c r="AH20" s="25">
        <f t="shared" si="29"/>
        <v>14004.6985</v>
      </c>
      <c r="AI20" s="25">
        <f t="shared" si="29"/>
        <v>31506.397390000006</v>
      </c>
      <c r="AJ20" s="25">
        <f t="shared" si="29"/>
        <v>14004.6985</v>
      </c>
      <c r="AK20" s="25">
        <f t="shared" si="29"/>
        <v>14004.6985</v>
      </c>
      <c r="AL20" s="25">
        <f t="shared" si="29"/>
        <v>31506.397390000006</v>
      </c>
      <c r="AM20" s="25">
        <f t="shared" si="29"/>
        <v>14004.6985</v>
      </c>
      <c r="AN20" s="25">
        <f t="shared" si="29"/>
        <v>31506.397390000006</v>
      </c>
      <c r="AO20" s="25">
        <f t="shared" si="29"/>
        <v>14004.6985</v>
      </c>
      <c r="AP20" s="25">
        <f t="shared" si="29"/>
        <v>14004.6985</v>
      </c>
      <c r="AQ20" s="26">
        <f t="shared" si="29"/>
        <v>178983.12645000001</v>
      </c>
    </row>
    <row r="21" spans="1:43" hidden="1" x14ac:dyDescent="0.3">
      <c r="C21" s="27" t="s">
        <v>82</v>
      </c>
      <c r="D21" s="95">
        <f t="shared" si="11"/>
        <v>0</v>
      </c>
      <c r="E21" s="28">
        <f>IFERROR(E20/E$4,0)</f>
        <v>0</v>
      </c>
      <c r="F21" s="28">
        <f t="shared" ref="F21" si="30">IFERROR(F20/F$4,0)</f>
        <v>0</v>
      </c>
      <c r="G21" s="28">
        <f t="shared" ref="G21:N21" si="31">IFERROR(G20/I$4,0)</f>
        <v>0.41757981961563956</v>
      </c>
      <c r="H21" s="28">
        <f t="shared" si="31"/>
        <v>0</v>
      </c>
      <c r="I21" s="28">
        <f t="shared" si="31"/>
        <v>0.41757981961563956</v>
      </c>
      <c r="J21" s="28">
        <f t="shared" si="31"/>
        <v>0</v>
      </c>
      <c r="K21" s="28">
        <f t="shared" si="31"/>
        <v>0.41757981961563956</v>
      </c>
      <c r="L21" s="28">
        <f t="shared" si="31"/>
        <v>0</v>
      </c>
      <c r="M21" s="28">
        <f t="shared" si="31"/>
        <v>0</v>
      </c>
      <c r="N21" s="28">
        <f t="shared" si="31"/>
        <v>0.41757981961563956</v>
      </c>
      <c r="O21" s="28">
        <f>IFERROR(O20/#REF!,0)</f>
        <v>0</v>
      </c>
      <c r="P21" s="28">
        <f>IFERROR(P20/S$4,0)</f>
        <v>0.41757981961563956</v>
      </c>
      <c r="Q21" s="29">
        <f t="shared" ref="Q21" si="32">Q20/Q$4</f>
        <v>0.59430210884691848</v>
      </c>
      <c r="R21" s="28">
        <f>IFERROR(R20/R$4,0)</f>
        <v>0</v>
      </c>
      <c r="S21" s="28">
        <f>IFERROR(S20/#REF!,0)</f>
        <v>0</v>
      </c>
      <c r="T21" s="28">
        <f t="shared" ref="T21:AC21" si="33">IFERROR(T20/V$4,0)</f>
        <v>0.41757981961563956</v>
      </c>
      <c r="U21" s="28">
        <f t="shared" si="33"/>
        <v>0</v>
      </c>
      <c r="V21" s="28">
        <f t="shared" si="33"/>
        <v>0.41757981961563956</v>
      </c>
      <c r="W21" s="28">
        <f t="shared" si="33"/>
        <v>0</v>
      </c>
      <c r="X21" s="28">
        <f t="shared" si="33"/>
        <v>0.41757981961563956</v>
      </c>
      <c r="Y21" s="28">
        <f t="shared" si="33"/>
        <v>0</v>
      </c>
      <c r="Z21" s="28">
        <f t="shared" si="33"/>
        <v>0</v>
      </c>
      <c r="AA21" s="28">
        <f t="shared" si="33"/>
        <v>0.41757981961563956</v>
      </c>
      <c r="AB21" s="28">
        <f t="shared" si="33"/>
        <v>3.7123123923127901E-2</v>
      </c>
      <c r="AC21" s="28">
        <f t="shared" si="33"/>
        <v>0</v>
      </c>
      <c r="AD21" s="29" t="e">
        <f>AD20/#REF!</f>
        <v>#REF!</v>
      </c>
      <c r="AE21" s="28">
        <f>IFERROR(AE20/#REF!,0)</f>
        <v>0</v>
      </c>
      <c r="AF21" s="28">
        <f t="shared" ref="AF21" si="34">IFERROR(AF20/AF$4,0)</f>
        <v>0</v>
      </c>
      <c r="AG21" s="28">
        <f>IFERROR(AG20/AG$4,0)</f>
        <v>0.41757981961563956</v>
      </c>
      <c r="AH21" s="28">
        <f t="shared" ref="AH21:AP21" si="35">IFERROR(AH20/AH$4,0)</f>
        <v>0</v>
      </c>
      <c r="AI21" s="28">
        <f t="shared" si="35"/>
        <v>0.41757981961563956</v>
      </c>
      <c r="AJ21" s="28">
        <f t="shared" si="35"/>
        <v>0</v>
      </c>
      <c r="AK21" s="28">
        <f t="shared" si="35"/>
        <v>0.18561561961563949</v>
      </c>
      <c r="AL21" s="28">
        <f t="shared" si="35"/>
        <v>0</v>
      </c>
      <c r="AM21" s="28">
        <f t="shared" si="35"/>
        <v>0</v>
      </c>
      <c r="AN21" s="28">
        <f t="shared" si="35"/>
        <v>0.41757981961563956</v>
      </c>
      <c r="AO21" s="28">
        <f t="shared" si="35"/>
        <v>0</v>
      </c>
      <c r="AP21" s="28">
        <f t="shared" si="35"/>
        <v>0.18561561961563949</v>
      </c>
      <c r="AQ21" s="29">
        <f t="shared" ref="AQ21" si="36">AQ20/AQ$4</f>
        <v>0.47444168707753481</v>
      </c>
    </row>
    <row r="22" spans="1:43" x14ac:dyDescent="0.3">
      <c r="C22" s="18"/>
      <c r="D22" s="95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20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20"/>
    </row>
    <row r="23" spans="1:43" s="30" customFormat="1" x14ac:dyDescent="0.3">
      <c r="C23" s="31" t="s">
        <v>83</v>
      </c>
      <c r="D23" s="95">
        <v>0.1</v>
      </c>
      <c r="E23" s="32">
        <f>$D23*$G$1</f>
        <v>150.9</v>
      </c>
      <c r="F23" s="32"/>
      <c r="G23" s="33"/>
      <c r="H23" s="32">
        <f>$E$23</f>
        <v>150.9</v>
      </c>
      <c r="I23" s="32"/>
      <c r="J23" s="32">
        <f>$E$23</f>
        <v>150.9</v>
      </c>
      <c r="K23" s="32"/>
      <c r="L23" s="32">
        <f>$E$23</f>
        <v>150.9</v>
      </c>
      <c r="M23" s="32">
        <f>($AG$23*2)*O4</f>
        <v>0</v>
      </c>
      <c r="N23" s="32"/>
      <c r="O23" s="32">
        <f>$E$23</f>
        <v>150.9</v>
      </c>
      <c r="P23" s="32">
        <v>0</v>
      </c>
      <c r="Q23" s="34">
        <f>SUM(E23:P23)</f>
        <v>754.5</v>
      </c>
      <c r="R23" s="32">
        <f>($AG$23*2)*R4</f>
        <v>0</v>
      </c>
      <c r="S23" s="32"/>
      <c r="T23" s="33"/>
      <c r="U23" s="32">
        <f>$E$23</f>
        <v>150.9</v>
      </c>
      <c r="V23" s="32"/>
      <c r="W23" s="32">
        <f>$E$23</f>
        <v>150.9</v>
      </c>
      <c r="X23" s="32"/>
      <c r="Y23" s="32">
        <f>$E$23</f>
        <v>150.9</v>
      </c>
      <c r="Z23" s="32">
        <f>($AG$23*2)*AB4</f>
        <v>0</v>
      </c>
      <c r="AA23" s="32"/>
      <c r="AB23" s="32">
        <f>$E$23</f>
        <v>150.9</v>
      </c>
      <c r="AC23" s="32">
        <v>0</v>
      </c>
      <c r="AD23" s="34">
        <f>SUM(R23:AC23)</f>
        <v>603.6</v>
      </c>
      <c r="AE23" s="32">
        <f>$E$23</f>
        <v>150.9</v>
      </c>
      <c r="AF23" s="32"/>
      <c r="AG23" s="33"/>
      <c r="AH23" s="32">
        <f>$E$23</f>
        <v>150.9</v>
      </c>
      <c r="AI23" s="32"/>
      <c r="AJ23" s="32">
        <f>$E$23</f>
        <v>150.9</v>
      </c>
      <c r="AK23" s="32"/>
      <c r="AL23" s="32">
        <f>$E$23</f>
        <v>150.9</v>
      </c>
      <c r="AM23" s="32">
        <f>($AG$23*2)*AM4</f>
        <v>0</v>
      </c>
      <c r="AN23" s="32"/>
      <c r="AO23" s="32">
        <f>$E$23</f>
        <v>150.9</v>
      </c>
      <c r="AP23" s="32">
        <v>0</v>
      </c>
      <c r="AQ23" s="34">
        <f>SUM(AE23:AP23)</f>
        <v>754.5</v>
      </c>
    </row>
    <row r="24" spans="1:43" x14ac:dyDescent="0.3">
      <c r="C24" s="1" t="s">
        <v>84</v>
      </c>
      <c r="D24" s="95">
        <v>0.1</v>
      </c>
      <c r="E24" s="32">
        <f t="shared" ref="E24:E44" si="37">$D24*$G$1</f>
        <v>150.9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16">
        <f t="shared" ref="Q24:Q44" si="38">SUM(E24:P24)</f>
        <v>150.9</v>
      </c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16">
        <f t="shared" ref="AD24:AD44" si="39">SUM(R24:AC24)</f>
        <v>0</v>
      </c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16">
        <f t="shared" ref="AQ24:AQ44" si="40">SUM(AE24:AP24)</f>
        <v>0</v>
      </c>
    </row>
    <row r="25" spans="1:43" x14ac:dyDescent="0.3">
      <c r="A25" s="36" t="s">
        <v>85</v>
      </c>
      <c r="B25" s="37" t="s">
        <v>86</v>
      </c>
      <c r="C25" s="94" t="s">
        <v>87</v>
      </c>
      <c r="D25" s="95">
        <v>0.19</v>
      </c>
      <c r="E25" s="32">
        <f t="shared" si="37"/>
        <v>286.70999999999998</v>
      </c>
      <c r="F25" s="15">
        <f t="shared" ref="F25:P25" si="41">30*5*2</f>
        <v>300</v>
      </c>
      <c r="G25" s="15">
        <f t="shared" si="41"/>
        <v>300</v>
      </c>
      <c r="H25" s="15">
        <f t="shared" si="41"/>
        <v>300</v>
      </c>
      <c r="I25" s="15">
        <f t="shared" si="41"/>
        <v>300</v>
      </c>
      <c r="J25" s="15">
        <f t="shared" si="41"/>
        <v>300</v>
      </c>
      <c r="K25" s="15">
        <f t="shared" si="41"/>
        <v>300</v>
      </c>
      <c r="L25" s="15">
        <f t="shared" si="41"/>
        <v>300</v>
      </c>
      <c r="M25" s="15">
        <f t="shared" si="41"/>
        <v>300</v>
      </c>
      <c r="N25" s="15">
        <f t="shared" si="41"/>
        <v>300</v>
      </c>
      <c r="O25" s="15">
        <f t="shared" si="41"/>
        <v>300</v>
      </c>
      <c r="P25" s="15">
        <f t="shared" si="41"/>
        <v>300</v>
      </c>
      <c r="Q25" s="16">
        <f t="shared" si="38"/>
        <v>3586.71</v>
      </c>
      <c r="R25" s="15">
        <f>30*5*2</f>
        <v>300</v>
      </c>
      <c r="S25" s="15">
        <f t="shared" ref="S25:AC25" si="42">30*5*2</f>
        <v>300</v>
      </c>
      <c r="T25" s="15">
        <f t="shared" si="42"/>
        <v>300</v>
      </c>
      <c r="U25" s="15">
        <f t="shared" si="42"/>
        <v>300</v>
      </c>
      <c r="V25" s="15">
        <f t="shared" si="42"/>
        <v>300</v>
      </c>
      <c r="W25" s="15">
        <f t="shared" si="42"/>
        <v>300</v>
      </c>
      <c r="X25" s="15">
        <f t="shared" si="42"/>
        <v>300</v>
      </c>
      <c r="Y25" s="15">
        <f t="shared" si="42"/>
        <v>300</v>
      </c>
      <c r="Z25" s="15">
        <f t="shared" si="42"/>
        <v>300</v>
      </c>
      <c r="AA25" s="15">
        <f t="shared" si="42"/>
        <v>300</v>
      </c>
      <c r="AB25" s="15">
        <f t="shared" si="42"/>
        <v>300</v>
      </c>
      <c r="AC25" s="15">
        <f t="shared" si="42"/>
        <v>300</v>
      </c>
      <c r="AD25" s="16">
        <f t="shared" si="39"/>
        <v>3600</v>
      </c>
      <c r="AE25" s="15">
        <f>30*5*2</f>
        <v>300</v>
      </c>
      <c r="AF25" s="15">
        <f t="shared" ref="AF25:AP25" si="43">30*5*2</f>
        <v>300</v>
      </c>
      <c r="AG25" s="15">
        <f t="shared" si="43"/>
        <v>300</v>
      </c>
      <c r="AH25" s="15">
        <f t="shared" si="43"/>
        <v>300</v>
      </c>
      <c r="AI25" s="15">
        <f t="shared" si="43"/>
        <v>300</v>
      </c>
      <c r="AJ25" s="15">
        <f t="shared" si="43"/>
        <v>300</v>
      </c>
      <c r="AK25" s="15">
        <f t="shared" si="43"/>
        <v>300</v>
      </c>
      <c r="AL25" s="15">
        <f t="shared" si="43"/>
        <v>300</v>
      </c>
      <c r="AM25" s="15">
        <f t="shared" si="43"/>
        <v>300</v>
      </c>
      <c r="AN25" s="15">
        <f t="shared" si="43"/>
        <v>300</v>
      </c>
      <c r="AO25" s="15">
        <f t="shared" si="43"/>
        <v>300</v>
      </c>
      <c r="AP25" s="15">
        <f t="shared" si="43"/>
        <v>300</v>
      </c>
      <c r="AQ25" s="16">
        <f t="shared" si="40"/>
        <v>3600</v>
      </c>
    </row>
    <row r="26" spans="1:43" x14ac:dyDescent="0.3">
      <c r="A26" t="s">
        <v>88</v>
      </c>
      <c r="B26" s="38" t="s">
        <v>89</v>
      </c>
      <c r="C26" s="39" t="s">
        <v>90</v>
      </c>
      <c r="D26" s="95">
        <v>0.3</v>
      </c>
      <c r="E26" s="32">
        <f t="shared" si="37"/>
        <v>452.7</v>
      </c>
      <c r="F26" s="15"/>
      <c r="G26" s="15">
        <f>$E$26</f>
        <v>452.7</v>
      </c>
      <c r="H26" s="15"/>
      <c r="I26" s="15"/>
      <c r="J26" s="15">
        <f>$E$26</f>
        <v>452.7</v>
      </c>
      <c r="K26" s="15"/>
      <c r="L26" s="15"/>
      <c r="M26" s="15">
        <f>$E$26</f>
        <v>452.7</v>
      </c>
      <c r="N26" s="15"/>
      <c r="O26" s="15"/>
      <c r="P26" s="15">
        <f>$E$26</f>
        <v>452.7</v>
      </c>
      <c r="Q26" s="16">
        <f t="shared" si="38"/>
        <v>2263.5</v>
      </c>
      <c r="R26" s="15">
        <f>$E$26</f>
        <v>452.7</v>
      </c>
      <c r="S26" s="15"/>
      <c r="T26" s="15">
        <f>$E$26</f>
        <v>452.7</v>
      </c>
      <c r="U26" s="15"/>
      <c r="V26" s="15"/>
      <c r="W26" s="15">
        <f>$E$26</f>
        <v>452.7</v>
      </c>
      <c r="X26" s="15"/>
      <c r="Y26" s="15"/>
      <c r="Z26" s="15">
        <f>$E$26</f>
        <v>452.7</v>
      </c>
      <c r="AA26" s="15"/>
      <c r="AB26" s="15"/>
      <c r="AC26" s="15">
        <f>$E$26</f>
        <v>452.7</v>
      </c>
      <c r="AD26" s="16">
        <f t="shared" si="39"/>
        <v>2263.5</v>
      </c>
      <c r="AE26" s="15">
        <f>$E$26</f>
        <v>452.7</v>
      </c>
      <c r="AF26" s="15"/>
      <c r="AG26" s="15">
        <f>$E$26</f>
        <v>452.7</v>
      </c>
      <c r="AH26" s="15"/>
      <c r="AI26" s="15"/>
      <c r="AJ26" s="15">
        <f>$E$26</f>
        <v>452.7</v>
      </c>
      <c r="AK26" s="15"/>
      <c r="AL26" s="15"/>
      <c r="AM26" s="15">
        <f>$E$26</f>
        <v>452.7</v>
      </c>
      <c r="AN26" s="15"/>
      <c r="AO26" s="15"/>
      <c r="AP26" s="15">
        <f>$E$26</f>
        <v>452.7</v>
      </c>
      <c r="AQ26" s="16">
        <f t="shared" si="40"/>
        <v>2263.5</v>
      </c>
    </row>
    <row r="27" spans="1:43" x14ac:dyDescent="0.3">
      <c r="A27" t="s">
        <v>91</v>
      </c>
      <c r="B27" s="38" t="s">
        <v>92</v>
      </c>
      <c r="C27" s="39" t="s">
        <v>93</v>
      </c>
      <c r="D27" s="95">
        <v>4</v>
      </c>
      <c r="E27" s="32">
        <f>$D27*$G$1</f>
        <v>6036</v>
      </c>
      <c r="F27" s="40"/>
      <c r="G27" s="40">
        <f>$E$27</f>
        <v>6036</v>
      </c>
      <c r="H27" s="40"/>
      <c r="I27" s="40"/>
      <c r="J27" s="40">
        <f>$E$27</f>
        <v>6036</v>
      </c>
      <c r="K27" s="40"/>
      <c r="L27" s="40"/>
      <c r="M27" s="40">
        <f>$E$27</f>
        <v>6036</v>
      </c>
      <c r="N27" s="40"/>
      <c r="O27" s="40"/>
      <c r="P27" s="40">
        <f>$E$27</f>
        <v>6036</v>
      </c>
      <c r="Q27" s="16">
        <f t="shared" si="38"/>
        <v>30180</v>
      </c>
      <c r="R27" s="40"/>
      <c r="S27" s="40"/>
      <c r="T27" s="40">
        <f>$E$27</f>
        <v>6036</v>
      </c>
      <c r="U27" s="40"/>
      <c r="V27" s="40"/>
      <c r="W27" s="40">
        <f>$E$27</f>
        <v>6036</v>
      </c>
      <c r="X27" s="40"/>
      <c r="Y27" s="40"/>
      <c r="Z27" s="40">
        <f>$E$27</f>
        <v>6036</v>
      </c>
      <c r="AA27" s="40"/>
      <c r="AB27" s="40"/>
      <c r="AC27" s="40">
        <f>$E$27</f>
        <v>6036</v>
      </c>
      <c r="AD27" s="16">
        <f t="shared" si="39"/>
        <v>24144</v>
      </c>
      <c r="AE27" s="40">
        <f>$E$27</f>
        <v>6036</v>
      </c>
      <c r="AF27" s="40"/>
      <c r="AG27" s="40">
        <f>$E$27</f>
        <v>6036</v>
      </c>
      <c r="AH27" s="40"/>
      <c r="AI27" s="40"/>
      <c r="AJ27" s="40">
        <f>$E$27</f>
        <v>6036</v>
      </c>
      <c r="AK27" s="40"/>
      <c r="AL27" s="40"/>
      <c r="AM27" s="40">
        <f>$E$27</f>
        <v>6036</v>
      </c>
      <c r="AN27" s="40"/>
      <c r="AO27" s="40"/>
      <c r="AP27" s="40">
        <f>$E$27</f>
        <v>6036</v>
      </c>
      <c r="AQ27" s="16">
        <f t="shared" si="40"/>
        <v>30180</v>
      </c>
    </row>
    <row r="28" spans="1:43" s="30" customFormat="1" ht="72.900000000000006" customHeight="1" x14ac:dyDescent="0.3">
      <c r="A28" s="30" t="s">
        <v>94</v>
      </c>
      <c r="B28" s="41" t="s">
        <v>95</v>
      </c>
      <c r="C28" s="42" t="s">
        <v>96</v>
      </c>
      <c r="D28" s="95">
        <v>0.28999999999999998</v>
      </c>
      <c r="E28" s="32">
        <f t="shared" si="37"/>
        <v>437.60999999999996</v>
      </c>
      <c r="F28" s="33"/>
      <c r="G28" s="33">
        <f>$E$28</f>
        <v>437.60999999999996</v>
      </c>
      <c r="H28" s="33"/>
      <c r="I28" s="33"/>
      <c r="J28" s="33">
        <f>$E$28</f>
        <v>437.60999999999996</v>
      </c>
      <c r="K28" s="33"/>
      <c r="L28" s="33"/>
      <c r="M28" s="33">
        <f>$E$28</f>
        <v>437.60999999999996</v>
      </c>
      <c r="N28" s="33"/>
      <c r="O28" s="33"/>
      <c r="P28" s="33">
        <f>$E$28</f>
        <v>437.60999999999996</v>
      </c>
      <c r="Q28" s="34">
        <f t="shared" si="38"/>
        <v>2188.0499999999997</v>
      </c>
      <c r="R28" s="33"/>
      <c r="S28" s="33"/>
      <c r="T28" s="33">
        <f>$E$28</f>
        <v>437.60999999999996</v>
      </c>
      <c r="U28" s="33"/>
      <c r="V28" s="33"/>
      <c r="W28" s="33">
        <f>$E$28</f>
        <v>437.60999999999996</v>
      </c>
      <c r="X28" s="33"/>
      <c r="Y28" s="33"/>
      <c r="Z28" s="33">
        <f>$E$28</f>
        <v>437.60999999999996</v>
      </c>
      <c r="AA28" s="33"/>
      <c r="AB28" s="33"/>
      <c r="AC28" s="33">
        <f>$E$28</f>
        <v>437.60999999999996</v>
      </c>
      <c r="AD28" s="34">
        <f t="shared" si="39"/>
        <v>1750.4399999999998</v>
      </c>
      <c r="AE28" s="33"/>
      <c r="AF28" s="33"/>
      <c r="AG28" s="33">
        <f>$E$28</f>
        <v>437.60999999999996</v>
      </c>
      <c r="AH28" s="33"/>
      <c r="AI28" s="33"/>
      <c r="AJ28" s="33">
        <f>$E$28</f>
        <v>437.60999999999996</v>
      </c>
      <c r="AK28" s="33"/>
      <c r="AL28" s="33"/>
      <c r="AM28" s="33">
        <f>$E$28</f>
        <v>437.60999999999996</v>
      </c>
      <c r="AN28" s="33"/>
      <c r="AO28" s="33"/>
      <c r="AP28" s="33">
        <f>$E$28</f>
        <v>437.60999999999996</v>
      </c>
      <c r="AQ28" s="34">
        <f t="shared" si="40"/>
        <v>1750.4399999999998</v>
      </c>
    </row>
    <row r="29" spans="1:43" hidden="1" x14ac:dyDescent="0.3">
      <c r="B29" s="38"/>
      <c r="C29" s="39"/>
      <c r="D29" s="95"/>
      <c r="E29" s="3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16">
        <f t="shared" si="38"/>
        <v>0</v>
      </c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16">
        <f t="shared" si="39"/>
        <v>0</v>
      </c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16">
        <f t="shared" si="40"/>
        <v>0</v>
      </c>
    </row>
    <row r="30" spans="1:43" s="43" customFormat="1" x14ac:dyDescent="0.3">
      <c r="A30" s="43" t="s">
        <v>97</v>
      </c>
      <c r="B30" s="44" t="s">
        <v>98</v>
      </c>
      <c r="C30" s="94" t="s">
        <v>99</v>
      </c>
      <c r="D30" s="95">
        <v>4.0599999999999996</v>
      </c>
      <c r="E30" s="32">
        <f t="shared" si="37"/>
        <v>6126.5399999999991</v>
      </c>
      <c r="F30" s="45">
        <f>$E$30</f>
        <v>6126.5399999999991</v>
      </c>
      <c r="G30" s="45">
        <f t="shared" ref="G30:P30" si="44">$E$30</f>
        <v>6126.5399999999991</v>
      </c>
      <c r="H30" s="45">
        <f t="shared" si="44"/>
        <v>6126.5399999999991</v>
      </c>
      <c r="I30" s="45">
        <f t="shared" si="44"/>
        <v>6126.5399999999991</v>
      </c>
      <c r="J30" s="45">
        <f t="shared" si="44"/>
        <v>6126.5399999999991</v>
      </c>
      <c r="K30" s="45">
        <f t="shared" si="44"/>
        <v>6126.5399999999991</v>
      </c>
      <c r="L30" s="45">
        <f t="shared" si="44"/>
        <v>6126.5399999999991</v>
      </c>
      <c r="M30" s="45">
        <f t="shared" si="44"/>
        <v>6126.5399999999991</v>
      </c>
      <c r="N30" s="45">
        <f t="shared" si="44"/>
        <v>6126.5399999999991</v>
      </c>
      <c r="O30" s="45">
        <f t="shared" si="44"/>
        <v>6126.5399999999991</v>
      </c>
      <c r="P30" s="45">
        <f t="shared" si="44"/>
        <v>6126.5399999999991</v>
      </c>
      <c r="Q30" s="46">
        <f>SUM(E30:P30)</f>
        <v>73518.48</v>
      </c>
      <c r="R30" s="45">
        <f>P30</f>
        <v>6126.5399999999991</v>
      </c>
      <c r="S30" s="45">
        <f>R30</f>
        <v>6126.5399999999991</v>
      </c>
      <c r="T30" s="45">
        <f t="shared" ref="T30:AC30" si="45">S30</f>
        <v>6126.5399999999991</v>
      </c>
      <c r="U30" s="45">
        <f t="shared" si="45"/>
        <v>6126.5399999999991</v>
      </c>
      <c r="V30" s="45">
        <f t="shared" si="45"/>
        <v>6126.5399999999991</v>
      </c>
      <c r="W30" s="45">
        <f t="shared" si="45"/>
        <v>6126.5399999999991</v>
      </c>
      <c r="X30" s="45">
        <f t="shared" si="45"/>
        <v>6126.5399999999991</v>
      </c>
      <c r="Y30" s="45">
        <f t="shared" si="45"/>
        <v>6126.5399999999991</v>
      </c>
      <c r="Z30" s="45">
        <f t="shared" si="45"/>
        <v>6126.5399999999991</v>
      </c>
      <c r="AA30" s="45">
        <f t="shared" si="45"/>
        <v>6126.5399999999991</v>
      </c>
      <c r="AB30" s="45">
        <f t="shared" si="45"/>
        <v>6126.5399999999991</v>
      </c>
      <c r="AC30" s="45">
        <f t="shared" si="45"/>
        <v>6126.5399999999991</v>
      </c>
      <c r="AD30" s="46">
        <f>SUM(R30:AC30)</f>
        <v>73518.48</v>
      </c>
      <c r="AE30" s="45">
        <f>AC30</f>
        <v>6126.5399999999991</v>
      </c>
      <c r="AF30" s="45">
        <f>AE30</f>
        <v>6126.5399999999991</v>
      </c>
      <c r="AG30" s="45">
        <f t="shared" ref="AG30:AP30" si="46">AF30</f>
        <v>6126.5399999999991</v>
      </c>
      <c r="AH30" s="45">
        <f t="shared" si="46"/>
        <v>6126.5399999999991</v>
      </c>
      <c r="AI30" s="45">
        <f t="shared" si="46"/>
        <v>6126.5399999999991</v>
      </c>
      <c r="AJ30" s="45">
        <f t="shared" si="46"/>
        <v>6126.5399999999991</v>
      </c>
      <c r="AK30" s="45">
        <f t="shared" si="46"/>
        <v>6126.5399999999991</v>
      </c>
      <c r="AL30" s="45">
        <f t="shared" si="46"/>
        <v>6126.5399999999991</v>
      </c>
      <c r="AM30" s="45">
        <f t="shared" si="46"/>
        <v>6126.5399999999991</v>
      </c>
      <c r="AN30" s="45">
        <f t="shared" si="46"/>
        <v>6126.5399999999991</v>
      </c>
      <c r="AO30" s="45">
        <f t="shared" si="46"/>
        <v>6126.5399999999991</v>
      </c>
      <c r="AP30" s="45">
        <f t="shared" si="46"/>
        <v>6126.5399999999991</v>
      </c>
      <c r="AQ30" s="46">
        <f t="shared" si="40"/>
        <v>73518.48</v>
      </c>
    </row>
    <row r="31" spans="1:43" x14ac:dyDescent="0.3">
      <c r="B31" s="38"/>
      <c r="C31" s="39"/>
      <c r="D31" s="95"/>
      <c r="E31" s="32">
        <f t="shared" si="37"/>
        <v>0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16">
        <f t="shared" si="38"/>
        <v>0</v>
      </c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16">
        <f t="shared" si="39"/>
        <v>0</v>
      </c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16">
        <f t="shared" si="40"/>
        <v>0</v>
      </c>
    </row>
    <row r="32" spans="1:43" x14ac:dyDescent="0.3">
      <c r="A32" t="s">
        <v>100</v>
      </c>
      <c r="B32" s="38" t="s">
        <v>101</v>
      </c>
      <c r="C32" t="s">
        <v>100</v>
      </c>
      <c r="D32" s="95">
        <v>7.0000000000000007E-2</v>
      </c>
      <c r="E32" s="32">
        <f t="shared" si="37"/>
        <v>105.63000000000001</v>
      </c>
      <c r="F32" s="15"/>
      <c r="G32" s="15">
        <f>$E$32</f>
        <v>105.63000000000001</v>
      </c>
      <c r="H32" s="15"/>
      <c r="I32" s="15">
        <f>$E$32</f>
        <v>105.63000000000001</v>
      </c>
      <c r="J32" s="15"/>
      <c r="K32" s="15">
        <f>$E$32</f>
        <v>105.63000000000001</v>
      </c>
      <c r="L32" s="15"/>
      <c r="M32" s="15"/>
      <c r="N32" s="15">
        <f>$E$32</f>
        <v>105.63000000000001</v>
      </c>
      <c r="O32" s="15"/>
      <c r="P32" s="15">
        <f>$E$32</f>
        <v>105.63000000000001</v>
      </c>
      <c r="Q32" s="16">
        <f t="shared" si="38"/>
        <v>633.78000000000009</v>
      </c>
      <c r="R32" s="15">
        <f>$E$32</f>
        <v>105.63000000000001</v>
      </c>
      <c r="S32" s="15"/>
      <c r="T32" s="15">
        <f>$E$32</f>
        <v>105.63000000000001</v>
      </c>
      <c r="U32" s="15"/>
      <c r="V32" s="15">
        <f>$E$32</f>
        <v>105.63000000000001</v>
      </c>
      <c r="W32" s="15"/>
      <c r="X32" s="15">
        <f>$E$32</f>
        <v>105.63000000000001</v>
      </c>
      <c r="Y32" s="15"/>
      <c r="Z32" s="15"/>
      <c r="AA32" s="15">
        <f>$E$32</f>
        <v>105.63000000000001</v>
      </c>
      <c r="AB32" s="15"/>
      <c r="AC32" s="15">
        <f>$E$32</f>
        <v>105.63000000000001</v>
      </c>
      <c r="AD32" s="16">
        <f t="shared" si="39"/>
        <v>633.78000000000009</v>
      </c>
      <c r="AE32" s="15">
        <f>$E$32</f>
        <v>105.63000000000001</v>
      </c>
      <c r="AF32" s="15"/>
      <c r="AG32" s="15">
        <f>$E$32</f>
        <v>105.63000000000001</v>
      </c>
      <c r="AH32" s="15"/>
      <c r="AI32" s="15">
        <f>$E$32</f>
        <v>105.63000000000001</v>
      </c>
      <c r="AJ32" s="15"/>
      <c r="AK32" s="15">
        <f>$E$32</f>
        <v>105.63000000000001</v>
      </c>
      <c r="AL32" s="15"/>
      <c r="AM32" s="15"/>
      <c r="AN32" s="15">
        <f>$E$32</f>
        <v>105.63000000000001</v>
      </c>
      <c r="AO32" s="15"/>
      <c r="AP32" s="15">
        <f>$E$32</f>
        <v>105.63000000000001</v>
      </c>
      <c r="AQ32" s="16">
        <f t="shared" si="40"/>
        <v>633.78000000000009</v>
      </c>
    </row>
    <row r="33" spans="1:43" x14ac:dyDescent="0.3">
      <c r="A33" t="s">
        <v>102</v>
      </c>
      <c r="B33" s="38" t="s">
        <v>89</v>
      </c>
      <c r="C33" t="s">
        <v>102</v>
      </c>
      <c r="D33" s="95">
        <v>0.02</v>
      </c>
      <c r="E33" s="32">
        <f t="shared" si="37"/>
        <v>30.18</v>
      </c>
      <c r="F33" s="15">
        <v>30.657500000000002</v>
      </c>
      <c r="G33" s="15">
        <f>$E$33</f>
        <v>30.18</v>
      </c>
      <c r="H33" s="15">
        <f>$E$33</f>
        <v>30.18</v>
      </c>
      <c r="I33" s="15">
        <f t="shared" ref="I33:P33" si="47">$E$33</f>
        <v>30.18</v>
      </c>
      <c r="J33" s="15">
        <f t="shared" si="47"/>
        <v>30.18</v>
      </c>
      <c r="K33" s="15">
        <f t="shared" si="47"/>
        <v>30.18</v>
      </c>
      <c r="L33" s="15">
        <f t="shared" si="47"/>
        <v>30.18</v>
      </c>
      <c r="M33" s="15">
        <f t="shared" si="47"/>
        <v>30.18</v>
      </c>
      <c r="N33" s="15">
        <f t="shared" si="47"/>
        <v>30.18</v>
      </c>
      <c r="O33" s="15">
        <f t="shared" si="47"/>
        <v>30.18</v>
      </c>
      <c r="P33" s="15">
        <f t="shared" si="47"/>
        <v>30.18</v>
      </c>
      <c r="Q33" s="16">
        <f t="shared" si="38"/>
        <v>362.63750000000005</v>
      </c>
      <c r="R33" s="15">
        <f>P33</f>
        <v>30.18</v>
      </c>
      <c r="S33" s="15">
        <f>R33</f>
        <v>30.18</v>
      </c>
      <c r="T33" s="15">
        <f t="shared" ref="T33:AC34" si="48">S33</f>
        <v>30.18</v>
      </c>
      <c r="U33" s="15">
        <f t="shared" si="48"/>
        <v>30.18</v>
      </c>
      <c r="V33" s="15">
        <f t="shared" si="48"/>
        <v>30.18</v>
      </c>
      <c r="W33" s="15">
        <f t="shared" si="48"/>
        <v>30.18</v>
      </c>
      <c r="X33" s="15">
        <f t="shared" si="48"/>
        <v>30.18</v>
      </c>
      <c r="Y33" s="15">
        <f t="shared" si="48"/>
        <v>30.18</v>
      </c>
      <c r="Z33" s="15">
        <f t="shared" si="48"/>
        <v>30.18</v>
      </c>
      <c r="AA33" s="15">
        <f t="shared" si="48"/>
        <v>30.18</v>
      </c>
      <c r="AB33" s="15">
        <f t="shared" si="48"/>
        <v>30.18</v>
      </c>
      <c r="AC33" s="15">
        <f t="shared" si="48"/>
        <v>30.18</v>
      </c>
      <c r="AD33" s="16">
        <f t="shared" si="39"/>
        <v>362.16</v>
      </c>
      <c r="AE33" s="15">
        <f>AC33</f>
        <v>30.18</v>
      </c>
      <c r="AF33" s="15">
        <f>AE33</f>
        <v>30.18</v>
      </c>
      <c r="AG33" s="15">
        <f t="shared" ref="AG33:AP34" si="49">AF33</f>
        <v>30.18</v>
      </c>
      <c r="AH33" s="15">
        <f t="shared" si="49"/>
        <v>30.18</v>
      </c>
      <c r="AI33" s="15">
        <f t="shared" si="49"/>
        <v>30.18</v>
      </c>
      <c r="AJ33" s="15">
        <f t="shared" si="49"/>
        <v>30.18</v>
      </c>
      <c r="AK33" s="15">
        <f t="shared" si="49"/>
        <v>30.18</v>
      </c>
      <c r="AL33" s="15">
        <f t="shared" si="49"/>
        <v>30.18</v>
      </c>
      <c r="AM33" s="15">
        <f t="shared" si="49"/>
        <v>30.18</v>
      </c>
      <c r="AN33" s="15">
        <f t="shared" si="49"/>
        <v>30.18</v>
      </c>
      <c r="AO33" s="15">
        <f t="shared" si="49"/>
        <v>30.18</v>
      </c>
      <c r="AP33" s="15">
        <f t="shared" si="49"/>
        <v>30.18</v>
      </c>
      <c r="AQ33" s="16">
        <f t="shared" si="40"/>
        <v>362.16</v>
      </c>
    </row>
    <row r="34" spans="1:43" x14ac:dyDescent="0.3">
      <c r="A34" t="s">
        <v>103</v>
      </c>
      <c r="B34" s="38" t="s">
        <v>89</v>
      </c>
      <c r="C34" t="s">
        <v>103</v>
      </c>
      <c r="D34" s="95">
        <v>0.08</v>
      </c>
      <c r="E34" s="32">
        <f t="shared" si="37"/>
        <v>120.72</v>
      </c>
      <c r="F34" s="15">
        <v>133.73944444444444</v>
      </c>
      <c r="G34" s="15">
        <f>$E$34</f>
        <v>120.72</v>
      </c>
      <c r="H34" s="15">
        <f>$E$34</f>
        <v>120.72</v>
      </c>
      <c r="I34" s="15">
        <f t="shared" ref="I34:P34" si="50">$E$34</f>
        <v>120.72</v>
      </c>
      <c r="J34" s="15">
        <f t="shared" si="50"/>
        <v>120.72</v>
      </c>
      <c r="K34" s="15">
        <f t="shared" si="50"/>
        <v>120.72</v>
      </c>
      <c r="L34" s="15">
        <f t="shared" si="50"/>
        <v>120.72</v>
      </c>
      <c r="M34" s="15">
        <f t="shared" si="50"/>
        <v>120.72</v>
      </c>
      <c r="N34" s="15">
        <f t="shared" si="50"/>
        <v>120.72</v>
      </c>
      <c r="O34" s="15">
        <f t="shared" si="50"/>
        <v>120.72</v>
      </c>
      <c r="P34" s="15">
        <f t="shared" si="50"/>
        <v>120.72</v>
      </c>
      <c r="Q34" s="16">
        <f t="shared" si="38"/>
        <v>1461.6594444444447</v>
      </c>
      <c r="R34" s="15">
        <f>P34</f>
        <v>120.72</v>
      </c>
      <c r="S34" s="15">
        <f>R34</f>
        <v>120.72</v>
      </c>
      <c r="T34" s="15">
        <f t="shared" si="48"/>
        <v>120.72</v>
      </c>
      <c r="U34" s="15">
        <f t="shared" si="48"/>
        <v>120.72</v>
      </c>
      <c r="V34" s="15">
        <f t="shared" si="48"/>
        <v>120.72</v>
      </c>
      <c r="W34" s="15">
        <f t="shared" si="48"/>
        <v>120.72</v>
      </c>
      <c r="X34" s="15">
        <f t="shared" si="48"/>
        <v>120.72</v>
      </c>
      <c r="Y34" s="15">
        <f t="shared" si="48"/>
        <v>120.72</v>
      </c>
      <c r="Z34" s="15">
        <f t="shared" si="48"/>
        <v>120.72</v>
      </c>
      <c r="AA34" s="15">
        <f t="shared" si="48"/>
        <v>120.72</v>
      </c>
      <c r="AB34" s="15">
        <f t="shared" si="48"/>
        <v>120.72</v>
      </c>
      <c r="AC34" s="15">
        <f t="shared" si="48"/>
        <v>120.72</v>
      </c>
      <c r="AD34" s="16">
        <f t="shared" si="39"/>
        <v>1448.64</v>
      </c>
      <c r="AE34" s="15">
        <f>AC34</f>
        <v>120.72</v>
      </c>
      <c r="AF34" s="15">
        <f>AE34</f>
        <v>120.72</v>
      </c>
      <c r="AG34" s="15">
        <f t="shared" si="49"/>
        <v>120.72</v>
      </c>
      <c r="AH34" s="15">
        <f t="shared" si="49"/>
        <v>120.72</v>
      </c>
      <c r="AI34" s="15">
        <f t="shared" si="49"/>
        <v>120.72</v>
      </c>
      <c r="AJ34" s="15">
        <f t="shared" si="49"/>
        <v>120.72</v>
      </c>
      <c r="AK34" s="15">
        <f t="shared" si="49"/>
        <v>120.72</v>
      </c>
      <c r="AL34" s="15">
        <f t="shared" si="49"/>
        <v>120.72</v>
      </c>
      <c r="AM34" s="15">
        <f t="shared" si="49"/>
        <v>120.72</v>
      </c>
      <c r="AN34" s="15">
        <f t="shared" si="49"/>
        <v>120.72</v>
      </c>
      <c r="AO34" s="15">
        <f t="shared" si="49"/>
        <v>120.72</v>
      </c>
      <c r="AP34" s="15">
        <f t="shared" si="49"/>
        <v>120.72</v>
      </c>
      <c r="AQ34" s="16">
        <f t="shared" si="40"/>
        <v>1448.64</v>
      </c>
    </row>
    <row r="35" spans="1:43" x14ac:dyDescent="0.3">
      <c r="A35" t="s">
        <v>104</v>
      </c>
      <c r="B35" s="38" t="s">
        <v>89</v>
      </c>
      <c r="C35" t="s">
        <v>104</v>
      </c>
      <c r="D35" s="95">
        <v>0.17</v>
      </c>
      <c r="E35" s="32">
        <f t="shared" si="37"/>
        <v>256.53000000000003</v>
      </c>
      <c r="F35" s="15">
        <v>270.33569444444441</v>
      </c>
      <c r="G35" s="15">
        <f>$E$35</f>
        <v>256.53000000000003</v>
      </c>
      <c r="H35" s="15">
        <f>$E$35</f>
        <v>256.53000000000003</v>
      </c>
      <c r="I35" s="15">
        <f t="shared" ref="I35:P35" si="51">$E$35</f>
        <v>256.53000000000003</v>
      </c>
      <c r="J35" s="15">
        <f t="shared" si="51"/>
        <v>256.53000000000003</v>
      </c>
      <c r="K35" s="15">
        <f t="shared" si="51"/>
        <v>256.53000000000003</v>
      </c>
      <c r="L35" s="15">
        <f t="shared" si="51"/>
        <v>256.53000000000003</v>
      </c>
      <c r="M35" s="15">
        <f t="shared" si="51"/>
        <v>256.53000000000003</v>
      </c>
      <c r="N35" s="15">
        <f t="shared" si="51"/>
        <v>256.53000000000003</v>
      </c>
      <c r="O35" s="15">
        <f t="shared" si="51"/>
        <v>256.53000000000003</v>
      </c>
      <c r="P35" s="15">
        <f t="shared" si="51"/>
        <v>256.53000000000003</v>
      </c>
      <c r="Q35" s="16">
        <f t="shared" si="38"/>
        <v>3092.1656944444453</v>
      </c>
      <c r="R35" s="15">
        <f t="shared" ref="R35:R43" si="52">P35</f>
        <v>256.53000000000003</v>
      </c>
      <c r="S35" s="15">
        <f t="shared" ref="S35:AC43" si="53">R35</f>
        <v>256.53000000000003</v>
      </c>
      <c r="T35" s="15">
        <f t="shared" si="53"/>
        <v>256.53000000000003</v>
      </c>
      <c r="U35" s="15">
        <f t="shared" si="53"/>
        <v>256.53000000000003</v>
      </c>
      <c r="V35" s="15">
        <f t="shared" si="53"/>
        <v>256.53000000000003</v>
      </c>
      <c r="W35" s="15">
        <f t="shared" si="53"/>
        <v>256.53000000000003</v>
      </c>
      <c r="X35" s="15">
        <f t="shared" si="53"/>
        <v>256.53000000000003</v>
      </c>
      <c r="Y35" s="15">
        <f t="shared" si="53"/>
        <v>256.53000000000003</v>
      </c>
      <c r="Z35" s="15">
        <f t="shared" si="53"/>
        <v>256.53000000000003</v>
      </c>
      <c r="AA35" s="15">
        <f t="shared" si="53"/>
        <v>256.53000000000003</v>
      </c>
      <c r="AB35" s="15">
        <f t="shared" si="53"/>
        <v>256.53000000000003</v>
      </c>
      <c r="AC35" s="15">
        <f t="shared" si="53"/>
        <v>256.53000000000003</v>
      </c>
      <c r="AD35" s="16">
        <f t="shared" si="39"/>
        <v>3078.360000000001</v>
      </c>
      <c r="AE35" s="15">
        <f t="shared" ref="AE35:AE43" si="54">AC35</f>
        <v>256.53000000000003</v>
      </c>
      <c r="AF35" s="15">
        <f t="shared" ref="AF35:AP43" si="55">AE35</f>
        <v>256.53000000000003</v>
      </c>
      <c r="AG35" s="15">
        <f t="shared" si="55"/>
        <v>256.53000000000003</v>
      </c>
      <c r="AH35" s="15">
        <f t="shared" si="55"/>
        <v>256.53000000000003</v>
      </c>
      <c r="AI35" s="15">
        <f t="shared" si="55"/>
        <v>256.53000000000003</v>
      </c>
      <c r="AJ35" s="15">
        <f t="shared" si="55"/>
        <v>256.53000000000003</v>
      </c>
      <c r="AK35" s="15">
        <f t="shared" si="55"/>
        <v>256.53000000000003</v>
      </c>
      <c r="AL35" s="15">
        <f t="shared" si="55"/>
        <v>256.53000000000003</v>
      </c>
      <c r="AM35" s="15">
        <f t="shared" si="55"/>
        <v>256.53000000000003</v>
      </c>
      <c r="AN35" s="15">
        <f t="shared" si="55"/>
        <v>256.53000000000003</v>
      </c>
      <c r="AO35" s="15">
        <f t="shared" si="55"/>
        <v>256.53000000000003</v>
      </c>
      <c r="AP35" s="15">
        <f t="shared" si="55"/>
        <v>256.53000000000003</v>
      </c>
      <c r="AQ35" s="16">
        <f t="shared" si="40"/>
        <v>3078.360000000001</v>
      </c>
    </row>
    <row r="36" spans="1:43" x14ac:dyDescent="0.3">
      <c r="A36" t="s">
        <v>105</v>
      </c>
      <c r="B36" s="38" t="s">
        <v>101</v>
      </c>
      <c r="C36" s="94" t="s">
        <v>105</v>
      </c>
      <c r="D36" s="95">
        <v>0.19</v>
      </c>
      <c r="E36" s="32">
        <f t="shared" si="37"/>
        <v>286.70999999999998</v>
      </c>
      <c r="F36" s="15">
        <v>302.38833333333332</v>
      </c>
      <c r="G36" s="15">
        <f>$E$36</f>
        <v>286.70999999999998</v>
      </c>
      <c r="H36" s="15">
        <f>$E$36</f>
        <v>286.70999999999998</v>
      </c>
      <c r="I36" s="15">
        <f t="shared" ref="I36:P36" si="56">$E$36</f>
        <v>286.70999999999998</v>
      </c>
      <c r="J36" s="15">
        <f t="shared" si="56"/>
        <v>286.70999999999998</v>
      </c>
      <c r="K36" s="15">
        <f t="shared" si="56"/>
        <v>286.70999999999998</v>
      </c>
      <c r="L36" s="15">
        <f t="shared" si="56"/>
        <v>286.70999999999998</v>
      </c>
      <c r="M36" s="15">
        <f t="shared" si="56"/>
        <v>286.70999999999998</v>
      </c>
      <c r="N36" s="15">
        <f t="shared" si="56"/>
        <v>286.70999999999998</v>
      </c>
      <c r="O36" s="15">
        <f t="shared" si="56"/>
        <v>286.70999999999998</v>
      </c>
      <c r="P36" s="15">
        <f t="shared" si="56"/>
        <v>286.70999999999998</v>
      </c>
      <c r="Q36" s="16">
        <f t="shared" si="38"/>
        <v>3456.1983333333337</v>
      </c>
      <c r="R36" s="15">
        <f t="shared" si="52"/>
        <v>286.70999999999998</v>
      </c>
      <c r="S36" s="15">
        <f t="shared" si="53"/>
        <v>286.70999999999998</v>
      </c>
      <c r="T36" s="15">
        <f t="shared" si="53"/>
        <v>286.70999999999998</v>
      </c>
      <c r="U36" s="15">
        <f t="shared" si="53"/>
        <v>286.70999999999998</v>
      </c>
      <c r="V36" s="15">
        <f t="shared" si="53"/>
        <v>286.70999999999998</v>
      </c>
      <c r="W36" s="15">
        <f t="shared" si="53"/>
        <v>286.70999999999998</v>
      </c>
      <c r="X36" s="15">
        <f t="shared" si="53"/>
        <v>286.70999999999998</v>
      </c>
      <c r="Y36" s="15">
        <f t="shared" si="53"/>
        <v>286.70999999999998</v>
      </c>
      <c r="Z36" s="15">
        <f t="shared" si="53"/>
        <v>286.70999999999998</v>
      </c>
      <c r="AA36" s="15">
        <f t="shared" si="53"/>
        <v>286.70999999999998</v>
      </c>
      <c r="AB36" s="15">
        <f t="shared" si="53"/>
        <v>286.70999999999998</v>
      </c>
      <c r="AC36" s="15">
        <f t="shared" si="53"/>
        <v>286.70999999999998</v>
      </c>
      <c r="AD36" s="16">
        <f t="shared" si="39"/>
        <v>3440.52</v>
      </c>
      <c r="AE36" s="15">
        <f t="shared" si="54"/>
        <v>286.70999999999998</v>
      </c>
      <c r="AF36" s="15">
        <f t="shared" si="55"/>
        <v>286.70999999999998</v>
      </c>
      <c r="AG36" s="15">
        <f t="shared" si="55"/>
        <v>286.70999999999998</v>
      </c>
      <c r="AH36" s="15">
        <f t="shared" si="55"/>
        <v>286.70999999999998</v>
      </c>
      <c r="AI36" s="15">
        <f t="shared" si="55"/>
        <v>286.70999999999998</v>
      </c>
      <c r="AJ36" s="15">
        <f t="shared" si="55"/>
        <v>286.70999999999998</v>
      </c>
      <c r="AK36" s="15">
        <f t="shared" si="55"/>
        <v>286.70999999999998</v>
      </c>
      <c r="AL36" s="15">
        <f t="shared" si="55"/>
        <v>286.70999999999998</v>
      </c>
      <c r="AM36" s="15">
        <f t="shared" si="55"/>
        <v>286.70999999999998</v>
      </c>
      <c r="AN36" s="15">
        <f t="shared" si="55"/>
        <v>286.70999999999998</v>
      </c>
      <c r="AO36" s="15">
        <f t="shared" si="55"/>
        <v>286.70999999999998</v>
      </c>
      <c r="AP36" s="15">
        <f t="shared" si="55"/>
        <v>286.70999999999998</v>
      </c>
      <c r="AQ36" s="16">
        <f t="shared" si="40"/>
        <v>3440.52</v>
      </c>
    </row>
    <row r="37" spans="1:43" x14ac:dyDescent="0.3">
      <c r="A37" t="s">
        <v>106</v>
      </c>
      <c r="B37" s="38" t="s">
        <v>89</v>
      </c>
      <c r="C37" t="s">
        <v>106</v>
      </c>
      <c r="D37" s="95">
        <v>0.03</v>
      </c>
      <c r="E37" s="32">
        <f t="shared" si="37"/>
        <v>45.269999999999996</v>
      </c>
      <c r="F37" s="15">
        <v>46.12861111111112</v>
      </c>
      <c r="G37" s="15">
        <f>$E$37</f>
        <v>45.269999999999996</v>
      </c>
      <c r="H37" s="15">
        <f>$E$37</f>
        <v>45.269999999999996</v>
      </c>
      <c r="I37" s="15">
        <f t="shared" ref="I37:P37" si="57">$E$37</f>
        <v>45.269999999999996</v>
      </c>
      <c r="J37" s="15">
        <f t="shared" si="57"/>
        <v>45.269999999999996</v>
      </c>
      <c r="K37" s="15">
        <f t="shared" si="57"/>
        <v>45.269999999999996</v>
      </c>
      <c r="L37" s="15">
        <f t="shared" si="57"/>
        <v>45.269999999999996</v>
      </c>
      <c r="M37" s="15">
        <f t="shared" si="57"/>
        <v>45.269999999999996</v>
      </c>
      <c r="N37" s="15">
        <f t="shared" si="57"/>
        <v>45.269999999999996</v>
      </c>
      <c r="O37" s="15">
        <f t="shared" si="57"/>
        <v>45.269999999999996</v>
      </c>
      <c r="P37" s="15">
        <f t="shared" si="57"/>
        <v>45.269999999999996</v>
      </c>
      <c r="Q37" s="16">
        <f t="shared" si="38"/>
        <v>544.09861111111093</v>
      </c>
      <c r="R37" s="15">
        <f t="shared" si="52"/>
        <v>45.269999999999996</v>
      </c>
      <c r="S37" s="15">
        <f t="shared" si="53"/>
        <v>45.269999999999996</v>
      </c>
      <c r="T37" s="15">
        <f t="shared" si="53"/>
        <v>45.269999999999996</v>
      </c>
      <c r="U37" s="15">
        <f t="shared" si="53"/>
        <v>45.269999999999996</v>
      </c>
      <c r="V37" s="15">
        <f t="shared" si="53"/>
        <v>45.269999999999996</v>
      </c>
      <c r="W37" s="15">
        <f t="shared" si="53"/>
        <v>45.269999999999996</v>
      </c>
      <c r="X37" s="15">
        <f t="shared" si="53"/>
        <v>45.269999999999996</v>
      </c>
      <c r="Y37" s="15">
        <f t="shared" si="53"/>
        <v>45.269999999999996</v>
      </c>
      <c r="Z37" s="15">
        <f t="shared" si="53"/>
        <v>45.269999999999996</v>
      </c>
      <c r="AA37" s="15">
        <f t="shared" si="53"/>
        <v>45.269999999999996</v>
      </c>
      <c r="AB37" s="15">
        <f t="shared" si="53"/>
        <v>45.269999999999996</v>
      </c>
      <c r="AC37" s="15">
        <f t="shared" si="53"/>
        <v>45.269999999999996</v>
      </c>
      <c r="AD37" s="16">
        <f t="shared" si="39"/>
        <v>543.2399999999999</v>
      </c>
      <c r="AE37" s="15">
        <f t="shared" si="54"/>
        <v>45.269999999999996</v>
      </c>
      <c r="AF37" s="15">
        <f t="shared" si="55"/>
        <v>45.269999999999996</v>
      </c>
      <c r="AG37" s="15">
        <f t="shared" si="55"/>
        <v>45.269999999999996</v>
      </c>
      <c r="AH37" s="15">
        <f t="shared" si="55"/>
        <v>45.269999999999996</v>
      </c>
      <c r="AI37" s="15">
        <f t="shared" si="55"/>
        <v>45.269999999999996</v>
      </c>
      <c r="AJ37" s="15">
        <f t="shared" si="55"/>
        <v>45.269999999999996</v>
      </c>
      <c r="AK37" s="15">
        <f t="shared" si="55"/>
        <v>45.269999999999996</v>
      </c>
      <c r="AL37" s="15">
        <f t="shared" si="55"/>
        <v>45.269999999999996</v>
      </c>
      <c r="AM37" s="15">
        <f t="shared" si="55"/>
        <v>45.269999999999996</v>
      </c>
      <c r="AN37" s="15">
        <f t="shared" si="55"/>
        <v>45.269999999999996</v>
      </c>
      <c r="AO37" s="15">
        <f t="shared" si="55"/>
        <v>45.269999999999996</v>
      </c>
      <c r="AP37" s="15">
        <f t="shared" si="55"/>
        <v>45.269999999999996</v>
      </c>
      <c r="AQ37" s="16">
        <f t="shared" si="40"/>
        <v>543.2399999999999</v>
      </c>
    </row>
    <row r="38" spans="1:43" x14ac:dyDescent="0.3">
      <c r="A38" t="s">
        <v>107</v>
      </c>
      <c r="B38" s="38" t="s">
        <v>89</v>
      </c>
      <c r="C38" t="s">
        <v>107</v>
      </c>
      <c r="D38" s="95">
        <v>0.01</v>
      </c>
      <c r="E38" s="32">
        <f t="shared" si="37"/>
        <v>15.09</v>
      </c>
      <c r="F38" s="15">
        <v>13.766666666666667</v>
      </c>
      <c r="G38" s="15">
        <f>$E$38</f>
        <v>15.09</v>
      </c>
      <c r="H38" s="15">
        <f>$E$38</f>
        <v>15.09</v>
      </c>
      <c r="I38" s="15">
        <f t="shared" ref="I38:P38" si="58">$E$38</f>
        <v>15.09</v>
      </c>
      <c r="J38" s="15">
        <f t="shared" si="58"/>
        <v>15.09</v>
      </c>
      <c r="K38" s="15">
        <f t="shared" si="58"/>
        <v>15.09</v>
      </c>
      <c r="L38" s="15">
        <f t="shared" si="58"/>
        <v>15.09</v>
      </c>
      <c r="M38" s="15">
        <f t="shared" si="58"/>
        <v>15.09</v>
      </c>
      <c r="N38" s="15">
        <f t="shared" si="58"/>
        <v>15.09</v>
      </c>
      <c r="O38" s="15">
        <f t="shared" si="58"/>
        <v>15.09</v>
      </c>
      <c r="P38" s="15">
        <f t="shared" si="58"/>
        <v>15.09</v>
      </c>
      <c r="Q38" s="16">
        <f t="shared" si="38"/>
        <v>179.75666666666669</v>
      </c>
      <c r="R38" s="15">
        <f t="shared" si="52"/>
        <v>15.09</v>
      </c>
      <c r="S38" s="15">
        <f t="shared" si="53"/>
        <v>15.09</v>
      </c>
      <c r="T38" s="15">
        <f t="shared" si="53"/>
        <v>15.09</v>
      </c>
      <c r="U38" s="15">
        <f t="shared" si="53"/>
        <v>15.09</v>
      </c>
      <c r="V38" s="15">
        <f t="shared" si="53"/>
        <v>15.09</v>
      </c>
      <c r="W38" s="15">
        <f t="shared" si="53"/>
        <v>15.09</v>
      </c>
      <c r="X38" s="15">
        <f t="shared" si="53"/>
        <v>15.09</v>
      </c>
      <c r="Y38" s="15">
        <f t="shared" si="53"/>
        <v>15.09</v>
      </c>
      <c r="Z38" s="15">
        <f t="shared" si="53"/>
        <v>15.09</v>
      </c>
      <c r="AA38" s="15">
        <f t="shared" si="53"/>
        <v>15.09</v>
      </c>
      <c r="AB38" s="15">
        <f t="shared" si="53"/>
        <v>15.09</v>
      </c>
      <c r="AC38" s="15">
        <f t="shared" si="53"/>
        <v>15.09</v>
      </c>
      <c r="AD38" s="16">
        <f t="shared" si="39"/>
        <v>181.08</v>
      </c>
      <c r="AE38" s="15">
        <f t="shared" si="54"/>
        <v>15.09</v>
      </c>
      <c r="AF38" s="15">
        <f t="shared" si="55"/>
        <v>15.09</v>
      </c>
      <c r="AG38" s="15">
        <f t="shared" si="55"/>
        <v>15.09</v>
      </c>
      <c r="AH38" s="15">
        <f t="shared" si="55"/>
        <v>15.09</v>
      </c>
      <c r="AI38" s="15">
        <f t="shared" si="55"/>
        <v>15.09</v>
      </c>
      <c r="AJ38" s="15">
        <f t="shared" si="55"/>
        <v>15.09</v>
      </c>
      <c r="AK38" s="15">
        <f t="shared" si="55"/>
        <v>15.09</v>
      </c>
      <c r="AL38" s="15">
        <f t="shared" si="55"/>
        <v>15.09</v>
      </c>
      <c r="AM38" s="15">
        <f t="shared" si="55"/>
        <v>15.09</v>
      </c>
      <c r="AN38" s="15">
        <f t="shared" si="55"/>
        <v>15.09</v>
      </c>
      <c r="AO38" s="15">
        <f t="shared" si="55"/>
        <v>15.09</v>
      </c>
      <c r="AP38" s="15">
        <f t="shared" si="55"/>
        <v>15.09</v>
      </c>
      <c r="AQ38" s="16">
        <f t="shared" si="40"/>
        <v>181.08</v>
      </c>
    </row>
    <row r="39" spans="1:43" x14ac:dyDescent="0.3">
      <c r="A39" t="s">
        <v>108</v>
      </c>
      <c r="B39" s="38" t="s">
        <v>101</v>
      </c>
      <c r="C39" t="s">
        <v>108</v>
      </c>
      <c r="D39" s="95">
        <v>0.4</v>
      </c>
      <c r="E39" s="32">
        <f t="shared" si="37"/>
        <v>603.6</v>
      </c>
      <c r="F39" s="15">
        <v>639.95875000000001</v>
      </c>
      <c r="G39" s="15">
        <f>$E$39</f>
        <v>603.6</v>
      </c>
      <c r="H39" s="15">
        <f>$E$39</f>
        <v>603.6</v>
      </c>
      <c r="I39" s="15">
        <f t="shared" ref="I39:P39" si="59">$E$39</f>
        <v>603.6</v>
      </c>
      <c r="J39" s="15">
        <f t="shared" si="59"/>
        <v>603.6</v>
      </c>
      <c r="K39" s="15">
        <f t="shared" si="59"/>
        <v>603.6</v>
      </c>
      <c r="L39" s="15">
        <f t="shared" si="59"/>
        <v>603.6</v>
      </c>
      <c r="M39" s="15">
        <f t="shared" si="59"/>
        <v>603.6</v>
      </c>
      <c r="N39" s="15">
        <f t="shared" si="59"/>
        <v>603.6</v>
      </c>
      <c r="O39" s="15">
        <f t="shared" si="59"/>
        <v>603.6</v>
      </c>
      <c r="P39" s="15">
        <f t="shared" si="59"/>
        <v>603.6</v>
      </c>
      <c r="Q39" s="16">
        <f t="shared" si="38"/>
        <v>7279.558750000002</v>
      </c>
      <c r="R39" s="15">
        <f t="shared" si="52"/>
        <v>603.6</v>
      </c>
      <c r="S39" s="15">
        <f t="shared" si="53"/>
        <v>603.6</v>
      </c>
      <c r="T39" s="15">
        <f t="shared" si="53"/>
        <v>603.6</v>
      </c>
      <c r="U39" s="15">
        <f t="shared" si="53"/>
        <v>603.6</v>
      </c>
      <c r="V39" s="15">
        <f t="shared" si="53"/>
        <v>603.6</v>
      </c>
      <c r="W39" s="15">
        <f t="shared" si="53"/>
        <v>603.6</v>
      </c>
      <c r="X39" s="15">
        <f t="shared" si="53"/>
        <v>603.6</v>
      </c>
      <c r="Y39" s="15">
        <f t="shared" si="53"/>
        <v>603.6</v>
      </c>
      <c r="Z39" s="15">
        <f t="shared" si="53"/>
        <v>603.6</v>
      </c>
      <c r="AA39" s="15">
        <f t="shared" si="53"/>
        <v>603.6</v>
      </c>
      <c r="AB39" s="15">
        <f t="shared" si="53"/>
        <v>603.6</v>
      </c>
      <c r="AC39" s="15">
        <f t="shared" si="53"/>
        <v>603.6</v>
      </c>
      <c r="AD39" s="16">
        <f t="shared" si="39"/>
        <v>7243.2000000000016</v>
      </c>
      <c r="AE39" s="15">
        <f t="shared" si="54"/>
        <v>603.6</v>
      </c>
      <c r="AF39" s="15">
        <f t="shared" si="55"/>
        <v>603.6</v>
      </c>
      <c r="AG39" s="15">
        <f t="shared" si="55"/>
        <v>603.6</v>
      </c>
      <c r="AH39" s="15">
        <f t="shared" si="55"/>
        <v>603.6</v>
      </c>
      <c r="AI39" s="15">
        <f t="shared" si="55"/>
        <v>603.6</v>
      </c>
      <c r="AJ39" s="15">
        <f t="shared" si="55"/>
        <v>603.6</v>
      </c>
      <c r="AK39" s="15">
        <f t="shared" si="55"/>
        <v>603.6</v>
      </c>
      <c r="AL39" s="15">
        <f t="shared" si="55"/>
        <v>603.6</v>
      </c>
      <c r="AM39" s="15">
        <f t="shared" si="55"/>
        <v>603.6</v>
      </c>
      <c r="AN39" s="15">
        <f t="shared" si="55"/>
        <v>603.6</v>
      </c>
      <c r="AO39" s="15">
        <f t="shared" si="55"/>
        <v>603.6</v>
      </c>
      <c r="AP39" s="15">
        <f t="shared" si="55"/>
        <v>603.6</v>
      </c>
      <c r="AQ39" s="16">
        <f t="shared" si="40"/>
        <v>7243.2000000000016</v>
      </c>
    </row>
    <row r="40" spans="1:43" x14ac:dyDescent="0.3">
      <c r="A40" t="s">
        <v>109</v>
      </c>
      <c r="B40" s="38" t="s">
        <v>101</v>
      </c>
      <c r="C40" t="s">
        <v>109</v>
      </c>
      <c r="D40" s="95"/>
      <c r="E40" s="32">
        <f t="shared" si="37"/>
        <v>0</v>
      </c>
      <c r="F40" s="15">
        <v>0</v>
      </c>
      <c r="G40" s="15">
        <f>$E$40</f>
        <v>0</v>
      </c>
      <c r="H40" s="15">
        <f>$E$40</f>
        <v>0</v>
      </c>
      <c r="I40" s="15">
        <f t="shared" ref="I40:P40" si="60">$E$40</f>
        <v>0</v>
      </c>
      <c r="J40" s="15">
        <f t="shared" si="60"/>
        <v>0</v>
      </c>
      <c r="K40" s="15">
        <f t="shared" si="60"/>
        <v>0</v>
      </c>
      <c r="L40" s="15">
        <f t="shared" si="60"/>
        <v>0</v>
      </c>
      <c r="M40" s="15">
        <f t="shared" si="60"/>
        <v>0</v>
      </c>
      <c r="N40" s="15">
        <f t="shared" si="60"/>
        <v>0</v>
      </c>
      <c r="O40" s="15">
        <f t="shared" si="60"/>
        <v>0</v>
      </c>
      <c r="P40" s="15">
        <f t="shared" si="60"/>
        <v>0</v>
      </c>
      <c r="Q40" s="16">
        <f t="shared" si="38"/>
        <v>0</v>
      </c>
      <c r="R40" s="15">
        <f t="shared" si="52"/>
        <v>0</v>
      </c>
      <c r="S40" s="15">
        <f t="shared" si="53"/>
        <v>0</v>
      </c>
      <c r="T40" s="15">
        <f t="shared" si="53"/>
        <v>0</v>
      </c>
      <c r="U40" s="15">
        <f t="shared" si="53"/>
        <v>0</v>
      </c>
      <c r="V40" s="15">
        <f t="shared" si="53"/>
        <v>0</v>
      </c>
      <c r="W40" s="15">
        <f t="shared" si="53"/>
        <v>0</v>
      </c>
      <c r="X40" s="15">
        <f t="shared" si="53"/>
        <v>0</v>
      </c>
      <c r="Y40" s="15">
        <f t="shared" si="53"/>
        <v>0</v>
      </c>
      <c r="Z40" s="15">
        <f t="shared" si="53"/>
        <v>0</v>
      </c>
      <c r="AA40" s="15">
        <f t="shared" si="53"/>
        <v>0</v>
      </c>
      <c r="AB40" s="15">
        <f t="shared" si="53"/>
        <v>0</v>
      </c>
      <c r="AC40" s="15">
        <f t="shared" si="53"/>
        <v>0</v>
      </c>
      <c r="AD40" s="16">
        <f t="shared" si="39"/>
        <v>0</v>
      </c>
      <c r="AE40" s="15">
        <f t="shared" si="54"/>
        <v>0</v>
      </c>
      <c r="AF40" s="15">
        <f t="shared" si="55"/>
        <v>0</v>
      </c>
      <c r="AG40" s="15">
        <f t="shared" si="55"/>
        <v>0</v>
      </c>
      <c r="AH40" s="15">
        <f t="shared" si="55"/>
        <v>0</v>
      </c>
      <c r="AI40" s="15">
        <f t="shared" si="55"/>
        <v>0</v>
      </c>
      <c r="AJ40" s="15">
        <f t="shared" si="55"/>
        <v>0</v>
      </c>
      <c r="AK40" s="15">
        <f t="shared" si="55"/>
        <v>0</v>
      </c>
      <c r="AL40" s="15">
        <f t="shared" si="55"/>
        <v>0</v>
      </c>
      <c r="AM40" s="15">
        <f t="shared" si="55"/>
        <v>0</v>
      </c>
      <c r="AN40" s="15">
        <f t="shared" si="55"/>
        <v>0</v>
      </c>
      <c r="AO40" s="15">
        <f t="shared" si="55"/>
        <v>0</v>
      </c>
      <c r="AP40" s="15">
        <f t="shared" si="55"/>
        <v>0</v>
      </c>
      <c r="AQ40" s="16">
        <f t="shared" si="40"/>
        <v>0</v>
      </c>
    </row>
    <row r="41" spans="1:43" x14ac:dyDescent="0.3">
      <c r="A41" t="s">
        <v>110</v>
      </c>
      <c r="B41" s="38" t="s">
        <v>89</v>
      </c>
      <c r="C41" t="s">
        <v>110</v>
      </c>
      <c r="D41" s="95">
        <v>0.66</v>
      </c>
      <c r="E41" s="32">
        <f t="shared" si="37"/>
        <v>995.94</v>
      </c>
      <c r="F41" s="15">
        <v>0.66138888888888892</v>
      </c>
      <c r="G41" s="15">
        <f>$E$41</f>
        <v>995.94</v>
      </c>
      <c r="H41" s="15">
        <f>$E$41</f>
        <v>995.94</v>
      </c>
      <c r="I41" s="15">
        <f t="shared" ref="I41:P41" si="61">$E$41</f>
        <v>995.94</v>
      </c>
      <c r="J41" s="15">
        <f t="shared" si="61"/>
        <v>995.94</v>
      </c>
      <c r="K41" s="15">
        <f t="shared" si="61"/>
        <v>995.94</v>
      </c>
      <c r="L41" s="15">
        <f t="shared" si="61"/>
        <v>995.94</v>
      </c>
      <c r="M41" s="15">
        <f t="shared" si="61"/>
        <v>995.94</v>
      </c>
      <c r="N41" s="15">
        <f t="shared" si="61"/>
        <v>995.94</v>
      </c>
      <c r="O41" s="15">
        <f t="shared" si="61"/>
        <v>995.94</v>
      </c>
      <c r="P41" s="15">
        <f t="shared" si="61"/>
        <v>995.94</v>
      </c>
      <c r="Q41" s="16">
        <f t="shared" si="38"/>
        <v>10956.001388888892</v>
      </c>
      <c r="R41" s="15">
        <f t="shared" si="52"/>
        <v>995.94</v>
      </c>
      <c r="S41" s="15">
        <f t="shared" si="53"/>
        <v>995.94</v>
      </c>
      <c r="T41" s="15">
        <f t="shared" si="53"/>
        <v>995.94</v>
      </c>
      <c r="U41" s="15">
        <f t="shared" si="53"/>
        <v>995.94</v>
      </c>
      <c r="V41" s="15">
        <f t="shared" si="53"/>
        <v>995.94</v>
      </c>
      <c r="W41" s="15">
        <f t="shared" si="53"/>
        <v>995.94</v>
      </c>
      <c r="X41" s="15">
        <f t="shared" si="53"/>
        <v>995.94</v>
      </c>
      <c r="Y41" s="15">
        <f t="shared" si="53"/>
        <v>995.94</v>
      </c>
      <c r="Z41" s="15">
        <f t="shared" si="53"/>
        <v>995.94</v>
      </c>
      <c r="AA41" s="15">
        <f t="shared" si="53"/>
        <v>995.94</v>
      </c>
      <c r="AB41" s="15">
        <f t="shared" si="53"/>
        <v>995.94</v>
      </c>
      <c r="AC41" s="15">
        <f t="shared" si="53"/>
        <v>995.94</v>
      </c>
      <c r="AD41" s="16">
        <f t="shared" si="39"/>
        <v>11951.280000000004</v>
      </c>
      <c r="AE41" s="15">
        <f t="shared" si="54"/>
        <v>995.94</v>
      </c>
      <c r="AF41" s="15">
        <f t="shared" si="55"/>
        <v>995.94</v>
      </c>
      <c r="AG41" s="15">
        <f t="shared" si="55"/>
        <v>995.94</v>
      </c>
      <c r="AH41" s="15">
        <f t="shared" si="55"/>
        <v>995.94</v>
      </c>
      <c r="AI41" s="15">
        <f t="shared" si="55"/>
        <v>995.94</v>
      </c>
      <c r="AJ41" s="15">
        <f t="shared" si="55"/>
        <v>995.94</v>
      </c>
      <c r="AK41" s="15">
        <f t="shared" si="55"/>
        <v>995.94</v>
      </c>
      <c r="AL41" s="15">
        <f t="shared" si="55"/>
        <v>995.94</v>
      </c>
      <c r="AM41" s="15">
        <f t="shared" si="55"/>
        <v>995.94</v>
      </c>
      <c r="AN41" s="15">
        <f t="shared" si="55"/>
        <v>995.94</v>
      </c>
      <c r="AO41" s="15">
        <f t="shared" si="55"/>
        <v>995.94</v>
      </c>
      <c r="AP41" s="15">
        <f t="shared" si="55"/>
        <v>995.94</v>
      </c>
      <c r="AQ41" s="16">
        <f t="shared" si="40"/>
        <v>11951.280000000004</v>
      </c>
    </row>
    <row r="42" spans="1:43" x14ac:dyDescent="0.3">
      <c r="A42" t="s">
        <v>111</v>
      </c>
      <c r="B42" s="38" t="s">
        <v>89</v>
      </c>
      <c r="C42" t="s">
        <v>111</v>
      </c>
      <c r="D42" s="95">
        <v>0.44</v>
      </c>
      <c r="E42" s="32">
        <f t="shared" si="37"/>
        <v>663.96</v>
      </c>
      <c r="F42" s="15">
        <v>696.04986111111111</v>
      </c>
      <c r="G42" s="15">
        <f>$E$42</f>
        <v>663.96</v>
      </c>
      <c r="H42" s="15">
        <f>$E$42</f>
        <v>663.96</v>
      </c>
      <c r="I42" s="15">
        <f t="shared" ref="I42:P42" si="62">$E$42</f>
        <v>663.96</v>
      </c>
      <c r="J42" s="15">
        <f t="shared" si="62"/>
        <v>663.96</v>
      </c>
      <c r="K42" s="15">
        <f t="shared" si="62"/>
        <v>663.96</v>
      </c>
      <c r="L42" s="15">
        <f t="shared" si="62"/>
        <v>663.96</v>
      </c>
      <c r="M42" s="15">
        <f t="shared" si="62"/>
        <v>663.96</v>
      </c>
      <c r="N42" s="15">
        <f t="shared" si="62"/>
        <v>663.96</v>
      </c>
      <c r="O42" s="15">
        <f t="shared" si="62"/>
        <v>663.96</v>
      </c>
      <c r="P42" s="15">
        <f t="shared" si="62"/>
        <v>663.96</v>
      </c>
      <c r="Q42" s="16">
        <f t="shared" si="38"/>
        <v>7999.6098611111111</v>
      </c>
      <c r="R42" s="15">
        <f t="shared" si="52"/>
        <v>663.96</v>
      </c>
      <c r="S42" s="15">
        <f t="shared" si="53"/>
        <v>663.96</v>
      </c>
      <c r="T42" s="15">
        <f t="shared" si="53"/>
        <v>663.96</v>
      </c>
      <c r="U42" s="15">
        <f t="shared" si="53"/>
        <v>663.96</v>
      </c>
      <c r="V42" s="15">
        <f t="shared" si="53"/>
        <v>663.96</v>
      </c>
      <c r="W42" s="15">
        <f t="shared" si="53"/>
        <v>663.96</v>
      </c>
      <c r="X42" s="15">
        <f t="shared" si="53"/>
        <v>663.96</v>
      </c>
      <c r="Y42" s="15">
        <f t="shared" si="53"/>
        <v>663.96</v>
      </c>
      <c r="Z42" s="15">
        <f t="shared" si="53"/>
        <v>663.96</v>
      </c>
      <c r="AA42" s="15">
        <f t="shared" si="53"/>
        <v>663.96</v>
      </c>
      <c r="AB42" s="15">
        <f t="shared" si="53"/>
        <v>663.96</v>
      </c>
      <c r="AC42" s="15">
        <f t="shared" si="53"/>
        <v>663.96</v>
      </c>
      <c r="AD42" s="16">
        <f t="shared" si="39"/>
        <v>7967.52</v>
      </c>
      <c r="AE42" s="15">
        <f t="shared" si="54"/>
        <v>663.96</v>
      </c>
      <c r="AF42" s="15">
        <f t="shared" si="55"/>
        <v>663.96</v>
      </c>
      <c r="AG42" s="15">
        <f t="shared" si="55"/>
        <v>663.96</v>
      </c>
      <c r="AH42" s="15">
        <f t="shared" si="55"/>
        <v>663.96</v>
      </c>
      <c r="AI42" s="15">
        <f t="shared" si="55"/>
        <v>663.96</v>
      </c>
      <c r="AJ42" s="15">
        <f t="shared" si="55"/>
        <v>663.96</v>
      </c>
      <c r="AK42" s="15">
        <f t="shared" si="55"/>
        <v>663.96</v>
      </c>
      <c r="AL42" s="15">
        <f t="shared" si="55"/>
        <v>663.96</v>
      </c>
      <c r="AM42" s="15">
        <f t="shared" si="55"/>
        <v>663.96</v>
      </c>
      <c r="AN42" s="15">
        <f t="shared" si="55"/>
        <v>663.96</v>
      </c>
      <c r="AO42" s="15">
        <f t="shared" si="55"/>
        <v>663.96</v>
      </c>
      <c r="AP42" s="15">
        <f t="shared" si="55"/>
        <v>663.96</v>
      </c>
      <c r="AQ42" s="16">
        <f t="shared" si="40"/>
        <v>7967.52</v>
      </c>
    </row>
    <row r="43" spans="1:43" x14ac:dyDescent="0.3">
      <c r="A43" t="s">
        <v>112</v>
      </c>
      <c r="B43" s="38" t="s">
        <v>89</v>
      </c>
      <c r="C43" t="s">
        <v>112</v>
      </c>
      <c r="D43" s="95">
        <v>0.18</v>
      </c>
      <c r="E43" s="32">
        <f t="shared" si="37"/>
        <v>271.62</v>
      </c>
      <c r="F43" s="15">
        <v>293.5531944444445</v>
      </c>
      <c r="G43" s="15">
        <f>$E$43</f>
        <v>271.62</v>
      </c>
      <c r="H43" s="15">
        <f>$E$43</f>
        <v>271.62</v>
      </c>
      <c r="I43" s="15">
        <f t="shared" ref="I43:P43" si="63">$E$43</f>
        <v>271.62</v>
      </c>
      <c r="J43" s="15">
        <f t="shared" si="63"/>
        <v>271.62</v>
      </c>
      <c r="K43" s="15">
        <f t="shared" si="63"/>
        <v>271.62</v>
      </c>
      <c r="L43" s="15">
        <f t="shared" si="63"/>
        <v>271.62</v>
      </c>
      <c r="M43" s="15">
        <f t="shared" si="63"/>
        <v>271.62</v>
      </c>
      <c r="N43" s="15">
        <f t="shared" si="63"/>
        <v>271.62</v>
      </c>
      <c r="O43" s="15">
        <f t="shared" si="63"/>
        <v>271.62</v>
      </c>
      <c r="P43" s="15">
        <f t="shared" si="63"/>
        <v>271.62</v>
      </c>
      <c r="Q43" s="16">
        <f t="shared" si="38"/>
        <v>3281.3731944444439</v>
      </c>
      <c r="R43" s="15">
        <f t="shared" si="52"/>
        <v>271.62</v>
      </c>
      <c r="S43" s="15">
        <f t="shared" si="53"/>
        <v>271.62</v>
      </c>
      <c r="T43" s="15">
        <f t="shared" si="53"/>
        <v>271.62</v>
      </c>
      <c r="U43" s="15">
        <f t="shared" si="53"/>
        <v>271.62</v>
      </c>
      <c r="V43" s="15">
        <f t="shared" si="53"/>
        <v>271.62</v>
      </c>
      <c r="W43" s="15">
        <f t="shared" si="53"/>
        <v>271.62</v>
      </c>
      <c r="X43" s="15">
        <f t="shared" si="53"/>
        <v>271.62</v>
      </c>
      <c r="Y43" s="15">
        <f t="shared" si="53"/>
        <v>271.62</v>
      </c>
      <c r="Z43" s="15">
        <f t="shared" si="53"/>
        <v>271.62</v>
      </c>
      <c r="AA43" s="15">
        <f t="shared" si="53"/>
        <v>271.62</v>
      </c>
      <c r="AB43" s="15">
        <f t="shared" si="53"/>
        <v>271.62</v>
      </c>
      <c r="AC43" s="15">
        <f t="shared" si="53"/>
        <v>271.62</v>
      </c>
      <c r="AD43" s="16">
        <f t="shared" si="39"/>
        <v>3259.4399999999991</v>
      </c>
      <c r="AE43" s="15">
        <f t="shared" si="54"/>
        <v>271.62</v>
      </c>
      <c r="AF43" s="15">
        <f t="shared" si="55"/>
        <v>271.62</v>
      </c>
      <c r="AG43" s="15">
        <f t="shared" si="55"/>
        <v>271.62</v>
      </c>
      <c r="AH43" s="15">
        <f t="shared" si="55"/>
        <v>271.62</v>
      </c>
      <c r="AI43" s="15">
        <f t="shared" si="55"/>
        <v>271.62</v>
      </c>
      <c r="AJ43" s="15">
        <f t="shared" si="55"/>
        <v>271.62</v>
      </c>
      <c r="AK43" s="15">
        <f t="shared" si="55"/>
        <v>271.62</v>
      </c>
      <c r="AL43" s="15">
        <f t="shared" si="55"/>
        <v>271.62</v>
      </c>
      <c r="AM43" s="15">
        <f t="shared" si="55"/>
        <v>271.62</v>
      </c>
      <c r="AN43" s="15">
        <f t="shared" si="55"/>
        <v>271.62</v>
      </c>
      <c r="AO43" s="15">
        <f t="shared" si="55"/>
        <v>271.62</v>
      </c>
      <c r="AP43" s="15">
        <f t="shared" si="55"/>
        <v>271.62</v>
      </c>
      <c r="AQ43" s="16">
        <f t="shared" si="40"/>
        <v>3259.4399999999991</v>
      </c>
    </row>
    <row r="44" spans="1:43" x14ac:dyDescent="0.3">
      <c r="A44" t="s">
        <v>113</v>
      </c>
      <c r="B44" s="38" t="s">
        <v>101</v>
      </c>
      <c r="C44" t="s">
        <v>113</v>
      </c>
      <c r="D44" s="95">
        <v>1.67</v>
      </c>
      <c r="E44" s="32">
        <f t="shared" si="37"/>
        <v>2520.0299999999997</v>
      </c>
      <c r="F44" s="47"/>
      <c r="G44" s="47">
        <f>$E$44</f>
        <v>2520.0299999999997</v>
      </c>
      <c r="H44" s="47"/>
      <c r="I44" s="47">
        <f>$E$44</f>
        <v>2520.0299999999997</v>
      </c>
      <c r="J44" s="47"/>
      <c r="K44" s="47">
        <f>$E$44</f>
        <v>2520.0299999999997</v>
      </c>
      <c r="L44" s="47"/>
      <c r="M44" s="47"/>
      <c r="N44" s="47">
        <f>$E$44</f>
        <v>2520.0299999999997</v>
      </c>
      <c r="O44" s="47"/>
      <c r="P44" s="47"/>
      <c r="Q44" s="16">
        <f t="shared" si="38"/>
        <v>12600.149999999998</v>
      </c>
      <c r="R44" s="47">
        <f>$E$44</f>
        <v>2520.0299999999997</v>
      </c>
      <c r="S44" s="47"/>
      <c r="T44" s="47">
        <f>$E$44</f>
        <v>2520.0299999999997</v>
      </c>
      <c r="U44" s="47"/>
      <c r="V44" s="47">
        <f>$E$44</f>
        <v>2520.0299999999997</v>
      </c>
      <c r="W44" s="47"/>
      <c r="X44" s="47">
        <f>$E$44</f>
        <v>2520.0299999999997</v>
      </c>
      <c r="Y44" s="47"/>
      <c r="Z44" s="47"/>
      <c r="AA44" s="47">
        <f>$E$44</f>
        <v>2520.0299999999997</v>
      </c>
      <c r="AB44" s="47"/>
      <c r="AC44" s="47"/>
      <c r="AD44" s="16">
        <f t="shared" si="39"/>
        <v>12600.149999999998</v>
      </c>
      <c r="AE44" s="47">
        <f>$E$44</f>
        <v>2520.0299999999997</v>
      </c>
      <c r="AF44" s="47"/>
      <c r="AG44" s="47">
        <f>$E$44</f>
        <v>2520.0299999999997</v>
      </c>
      <c r="AH44" s="47"/>
      <c r="AI44" s="47">
        <f>$E$44</f>
        <v>2520.0299999999997</v>
      </c>
      <c r="AJ44" s="47"/>
      <c r="AK44" s="47">
        <f>$E$44</f>
        <v>2520.0299999999997</v>
      </c>
      <c r="AL44" s="47"/>
      <c r="AM44" s="47"/>
      <c r="AN44" s="47">
        <f>$E$44</f>
        <v>2520.0299999999997</v>
      </c>
      <c r="AO44" s="47"/>
      <c r="AP44" s="47"/>
      <c r="AQ44" s="16">
        <f t="shared" si="40"/>
        <v>12600.149999999998</v>
      </c>
    </row>
    <row r="45" spans="1:43" x14ac:dyDescent="0.3">
      <c r="C45" s="24" t="s">
        <v>114</v>
      </c>
      <c r="D45" s="95"/>
      <c r="E45" s="25">
        <f t="shared" ref="E45:P45" si="64">SUM(E20,E22:E30,E32:E44)</f>
        <v>33561.338499999998</v>
      </c>
      <c r="F45" s="25">
        <f t="shared" si="64"/>
        <v>22858.477944444447</v>
      </c>
      <c r="G45" s="25">
        <f t="shared" si="64"/>
        <v>50774.527390000003</v>
      </c>
      <c r="H45" s="25">
        <f t="shared" si="64"/>
        <v>23871.758499999996</v>
      </c>
      <c r="I45" s="25">
        <f t="shared" si="64"/>
        <v>43848.217389999998</v>
      </c>
      <c r="J45" s="25">
        <f t="shared" si="64"/>
        <v>30798.068499999994</v>
      </c>
      <c r="K45" s="25">
        <f t="shared" si="64"/>
        <v>43848.217389999998</v>
      </c>
      <c r="L45" s="25">
        <f t="shared" si="64"/>
        <v>23871.758499999996</v>
      </c>
      <c r="M45" s="25">
        <f t="shared" si="64"/>
        <v>30647.1685</v>
      </c>
      <c r="N45" s="25">
        <f t="shared" si="64"/>
        <v>43848.217389999998</v>
      </c>
      <c r="O45" s="25">
        <f t="shared" si="64"/>
        <v>23871.758499999996</v>
      </c>
      <c r="P45" s="25">
        <f t="shared" si="64"/>
        <v>48254.497390000004</v>
      </c>
      <c r="Q45" s="25">
        <f>SUM(E45:P45)</f>
        <v>420054.00589444453</v>
      </c>
      <c r="R45" s="25">
        <f t="shared" ref="R45:AC45" si="65">SUM(R20,R22:R30,R32:R44)</f>
        <v>26799.218499999995</v>
      </c>
      <c r="S45" s="25">
        <f t="shared" si="65"/>
        <v>23720.858499999995</v>
      </c>
      <c r="T45" s="25">
        <f t="shared" si="65"/>
        <v>50774.527390000003</v>
      </c>
      <c r="U45" s="25">
        <f t="shared" si="65"/>
        <v>23871.758499999996</v>
      </c>
      <c r="V45" s="25">
        <f t="shared" si="65"/>
        <v>43848.217389999998</v>
      </c>
      <c r="W45" s="25">
        <f t="shared" si="65"/>
        <v>30798.068499999994</v>
      </c>
      <c r="X45" s="25">
        <f t="shared" si="65"/>
        <v>43848.217389999998</v>
      </c>
      <c r="Y45" s="25">
        <f t="shared" si="65"/>
        <v>23871.758499999996</v>
      </c>
      <c r="Z45" s="25">
        <f t="shared" si="65"/>
        <v>30647.1685</v>
      </c>
      <c r="AA45" s="25">
        <f t="shared" si="65"/>
        <v>43848.217389999998</v>
      </c>
      <c r="AB45" s="25">
        <f t="shared" si="65"/>
        <v>23871.758499999996</v>
      </c>
      <c r="AC45" s="25">
        <f t="shared" si="65"/>
        <v>30752.798500000001</v>
      </c>
      <c r="AD45" s="25">
        <f>SUM(R45:AC45)</f>
        <v>396652.56755999994</v>
      </c>
      <c r="AE45" s="25">
        <f t="shared" ref="AE45:AP45" si="66">SUM(AE20,AE22:AE30,AE32:AE44)</f>
        <v>50487.817389999997</v>
      </c>
      <c r="AF45" s="25">
        <f t="shared" si="66"/>
        <v>23720.858499999995</v>
      </c>
      <c r="AG45" s="25">
        <f t="shared" si="66"/>
        <v>50774.527390000003</v>
      </c>
      <c r="AH45" s="25">
        <f t="shared" si="66"/>
        <v>23871.758499999996</v>
      </c>
      <c r="AI45" s="25">
        <f t="shared" si="66"/>
        <v>43848.217389999998</v>
      </c>
      <c r="AJ45" s="25">
        <f t="shared" si="66"/>
        <v>30798.068499999994</v>
      </c>
      <c r="AK45" s="25">
        <f t="shared" si="66"/>
        <v>26346.518499999995</v>
      </c>
      <c r="AL45" s="25">
        <f t="shared" si="66"/>
        <v>41373.457390000003</v>
      </c>
      <c r="AM45" s="25">
        <f t="shared" si="66"/>
        <v>30647.1685</v>
      </c>
      <c r="AN45" s="25">
        <f t="shared" si="66"/>
        <v>43848.217389999998</v>
      </c>
      <c r="AO45" s="25">
        <f t="shared" si="66"/>
        <v>23871.758499999996</v>
      </c>
      <c r="AP45" s="25">
        <f t="shared" si="66"/>
        <v>30752.798500000001</v>
      </c>
      <c r="AQ45" s="26">
        <f>SUM(AQ20:AQ30,AQ32:AQ44)</f>
        <v>343759.89089168719</v>
      </c>
    </row>
    <row r="46" spans="1:43" hidden="1" x14ac:dyDescent="0.3">
      <c r="C46" s="27" t="s">
        <v>115</v>
      </c>
      <c r="D46" s="95">
        <f t="shared" si="11"/>
        <v>0</v>
      </c>
      <c r="E46" s="28">
        <f>IFERROR(E45/E$4,0)</f>
        <v>0</v>
      </c>
      <c r="F46" s="28">
        <f t="shared" ref="F46" si="67">IFERROR(F45/F$4,0)</f>
        <v>0</v>
      </c>
      <c r="G46" s="28">
        <f t="shared" ref="G46:N46" si="68">IFERROR(G45/I$4,0)</f>
        <v>0.67295596275679259</v>
      </c>
      <c r="H46" s="28">
        <f t="shared" si="68"/>
        <v>0</v>
      </c>
      <c r="I46" s="28">
        <f t="shared" si="68"/>
        <v>0.5811559627567926</v>
      </c>
      <c r="J46" s="28">
        <f t="shared" si="68"/>
        <v>0</v>
      </c>
      <c r="K46" s="28">
        <f t="shared" si="68"/>
        <v>0.5811559627567926</v>
      </c>
      <c r="L46" s="28">
        <f t="shared" si="68"/>
        <v>0</v>
      </c>
      <c r="M46" s="28">
        <f t="shared" si="68"/>
        <v>0</v>
      </c>
      <c r="N46" s="28">
        <f t="shared" si="68"/>
        <v>0.5811559627567926</v>
      </c>
      <c r="O46" s="28">
        <f>IFERROR(O45/#REF!,0)</f>
        <v>0</v>
      </c>
      <c r="P46" s="28">
        <f>IFERROR(P45/S$4,0)</f>
        <v>0.63955596275679261</v>
      </c>
      <c r="Q46" s="29">
        <f t="shared" ref="Q46" si="69">Q45/Q$4</f>
        <v>1.391829045375893</v>
      </c>
      <c r="R46" s="28">
        <f>IFERROR(R45/R$4,0)</f>
        <v>0</v>
      </c>
      <c r="S46" s="28">
        <f>IFERROR(S45/#REF!,0)</f>
        <v>0</v>
      </c>
      <c r="T46" s="28">
        <f t="shared" ref="T46:AC46" si="70">IFERROR(T45/V$4,0)</f>
        <v>0.67295596275679259</v>
      </c>
      <c r="U46" s="28">
        <f t="shared" si="70"/>
        <v>0</v>
      </c>
      <c r="V46" s="28">
        <f t="shared" si="70"/>
        <v>0.5811559627567926</v>
      </c>
      <c r="W46" s="28">
        <f t="shared" si="70"/>
        <v>0</v>
      </c>
      <c r="X46" s="28">
        <f t="shared" si="70"/>
        <v>0.5811559627567926</v>
      </c>
      <c r="Y46" s="28">
        <f t="shared" si="70"/>
        <v>0</v>
      </c>
      <c r="Z46" s="28">
        <f t="shared" si="70"/>
        <v>0</v>
      </c>
      <c r="AA46" s="28">
        <f t="shared" si="70"/>
        <v>0.5811559627567926</v>
      </c>
      <c r="AB46" s="28">
        <f t="shared" si="70"/>
        <v>6.327835255135851E-2</v>
      </c>
      <c r="AC46" s="28">
        <f t="shared" si="70"/>
        <v>0</v>
      </c>
      <c r="AD46" s="29" t="e">
        <f>AD45/#REF!</f>
        <v>#REF!</v>
      </c>
      <c r="AE46" s="28">
        <f>IFERROR(AE45/#REF!,0)</f>
        <v>0</v>
      </c>
      <c r="AF46" s="28">
        <f t="shared" ref="AF46:AP46" si="71">IFERROR(AF45/AF$4,0)</f>
        <v>0</v>
      </c>
      <c r="AG46" s="28">
        <f t="shared" si="71"/>
        <v>0.67295596275679259</v>
      </c>
      <c r="AH46" s="28">
        <f t="shared" si="71"/>
        <v>0</v>
      </c>
      <c r="AI46" s="28">
        <f t="shared" si="71"/>
        <v>0.5811559627567926</v>
      </c>
      <c r="AJ46" s="28">
        <f t="shared" si="71"/>
        <v>0</v>
      </c>
      <c r="AK46" s="28">
        <f t="shared" si="71"/>
        <v>0.34919176275679253</v>
      </c>
      <c r="AL46" s="28">
        <f t="shared" si="71"/>
        <v>0</v>
      </c>
      <c r="AM46" s="28">
        <f t="shared" si="71"/>
        <v>0</v>
      </c>
      <c r="AN46" s="28">
        <f t="shared" si="71"/>
        <v>0.5811559627567926</v>
      </c>
      <c r="AO46" s="28">
        <f t="shared" si="71"/>
        <v>0</v>
      </c>
      <c r="AP46" s="28">
        <f t="shared" si="71"/>
        <v>0.4075917627567926</v>
      </c>
      <c r="AQ46" s="29">
        <f t="shared" ref="AQ46" si="72">AQ45/AQ$4</f>
        <v>0.91122568824834249</v>
      </c>
    </row>
    <row r="47" spans="1:43" x14ac:dyDescent="0.3">
      <c r="D47" s="95">
        <f t="shared" si="11"/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6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6"/>
    </row>
    <row r="48" spans="1:43" x14ac:dyDescent="0.3">
      <c r="A48" t="s">
        <v>116</v>
      </c>
      <c r="B48" s="38" t="s">
        <v>117</v>
      </c>
      <c r="C48" s="42" t="s">
        <v>118</v>
      </c>
      <c r="D48" s="95">
        <v>0.09</v>
      </c>
      <c r="E48" s="32">
        <f t="shared" ref="E48:E60" si="73">$D48*$G$1</f>
        <v>135.81</v>
      </c>
      <c r="F48" s="15">
        <v>150</v>
      </c>
      <c r="G48" s="15">
        <v>150</v>
      </c>
      <c r="H48" s="15">
        <v>150</v>
      </c>
      <c r="I48" s="15">
        <v>150</v>
      </c>
      <c r="J48" s="15">
        <v>150</v>
      </c>
      <c r="K48" s="15">
        <v>150</v>
      </c>
      <c r="L48" s="15">
        <v>150</v>
      </c>
      <c r="M48" s="15">
        <v>150</v>
      </c>
      <c r="N48" s="15">
        <v>150</v>
      </c>
      <c r="O48" s="15">
        <v>150</v>
      </c>
      <c r="P48" s="15">
        <v>150</v>
      </c>
      <c r="Q48" s="16">
        <f t="shared" ref="Q48:Q60" si="74">SUM(E48:P48)</f>
        <v>1785.81</v>
      </c>
      <c r="R48" s="15">
        <v>150</v>
      </c>
      <c r="S48" s="15">
        <v>150</v>
      </c>
      <c r="T48" s="15">
        <v>150</v>
      </c>
      <c r="U48" s="15">
        <v>150</v>
      </c>
      <c r="V48" s="15">
        <v>150</v>
      </c>
      <c r="W48" s="15">
        <v>150</v>
      </c>
      <c r="X48" s="15">
        <v>150</v>
      </c>
      <c r="Y48" s="15">
        <v>150</v>
      </c>
      <c r="Z48" s="15">
        <v>150</v>
      </c>
      <c r="AA48" s="15">
        <v>150</v>
      </c>
      <c r="AB48" s="15">
        <v>150</v>
      </c>
      <c r="AC48" s="15">
        <v>150</v>
      </c>
      <c r="AD48" s="16">
        <f t="shared" ref="AD48:AD60" si="75">SUM(R48:AC48)</f>
        <v>1800</v>
      </c>
      <c r="AE48" s="15">
        <v>150</v>
      </c>
      <c r="AF48" s="15">
        <v>150</v>
      </c>
      <c r="AG48" s="15">
        <v>150</v>
      </c>
      <c r="AH48" s="15">
        <v>150</v>
      </c>
      <c r="AI48" s="15">
        <v>150</v>
      </c>
      <c r="AJ48" s="15">
        <v>150</v>
      </c>
      <c r="AK48" s="15">
        <v>150</v>
      </c>
      <c r="AL48" s="15">
        <v>150</v>
      </c>
      <c r="AM48" s="15">
        <v>150</v>
      </c>
      <c r="AN48" s="15">
        <v>150</v>
      </c>
      <c r="AO48" s="15">
        <v>150</v>
      </c>
      <c r="AP48" s="15">
        <v>150</v>
      </c>
      <c r="AQ48" s="16">
        <f t="shared" ref="AQ48:AQ60" si="76">SUM(AE48:AP48)</f>
        <v>1800</v>
      </c>
    </row>
    <row r="49" spans="1:43" x14ac:dyDescent="0.3">
      <c r="A49" t="s">
        <v>119</v>
      </c>
      <c r="B49" s="38" t="s">
        <v>120</v>
      </c>
      <c r="C49" s="42" t="s">
        <v>121</v>
      </c>
      <c r="D49" s="95">
        <v>0.06</v>
      </c>
      <c r="E49" s="32">
        <f t="shared" si="73"/>
        <v>90.539999999999992</v>
      </c>
      <c r="F49" s="15">
        <v>100</v>
      </c>
      <c r="G49" s="15">
        <v>100</v>
      </c>
      <c r="H49" s="15">
        <v>100</v>
      </c>
      <c r="I49" s="15">
        <v>100</v>
      </c>
      <c r="J49" s="15">
        <v>100</v>
      </c>
      <c r="K49" s="15">
        <v>100</v>
      </c>
      <c r="L49" s="15">
        <v>100</v>
      </c>
      <c r="M49" s="15">
        <v>100</v>
      </c>
      <c r="N49" s="15">
        <v>100</v>
      </c>
      <c r="O49" s="15">
        <v>100</v>
      </c>
      <c r="P49" s="15">
        <v>100</v>
      </c>
      <c r="Q49" s="16">
        <f t="shared" si="74"/>
        <v>1190.54</v>
      </c>
      <c r="R49" s="15">
        <v>100</v>
      </c>
      <c r="S49" s="15">
        <v>100</v>
      </c>
      <c r="T49" s="15">
        <v>100</v>
      </c>
      <c r="U49" s="15">
        <v>100</v>
      </c>
      <c r="V49" s="15">
        <v>100</v>
      </c>
      <c r="W49" s="15">
        <v>100</v>
      </c>
      <c r="X49" s="15">
        <v>100</v>
      </c>
      <c r="Y49" s="15">
        <v>100</v>
      </c>
      <c r="Z49" s="15">
        <v>100</v>
      </c>
      <c r="AA49" s="15">
        <v>100</v>
      </c>
      <c r="AB49" s="15">
        <v>100</v>
      </c>
      <c r="AC49" s="15">
        <v>100</v>
      </c>
      <c r="AD49" s="16">
        <f t="shared" si="75"/>
        <v>1200</v>
      </c>
      <c r="AE49" s="15">
        <v>100</v>
      </c>
      <c r="AF49" s="15">
        <v>100</v>
      </c>
      <c r="AG49" s="15">
        <v>100</v>
      </c>
      <c r="AH49" s="15">
        <v>100</v>
      </c>
      <c r="AI49" s="15">
        <v>100</v>
      </c>
      <c r="AJ49" s="15">
        <v>100</v>
      </c>
      <c r="AK49" s="15">
        <v>100</v>
      </c>
      <c r="AL49" s="15">
        <v>100</v>
      </c>
      <c r="AM49" s="15">
        <v>100</v>
      </c>
      <c r="AN49" s="15">
        <v>100</v>
      </c>
      <c r="AO49" s="15">
        <v>100</v>
      </c>
      <c r="AP49" s="15">
        <v>100</v>
      </c>
      <c r="AQ49" s="16">
        <f t="shared" si="76"/>
        <v>1200</v>
      </c>
    </row>
    <row r="50" spans="1:43" x14ac:dyDescent="0.3">
      <c r="A50" t="s">
        <v>122</v>
      </c>
      <c r="B50" s="38" t="s">
        <v>123</v>
      </c>
      <c r="C50" s="42" t="s">
        <v>124</v>
      </c>
      <c r="D50" s="95">
        <v>0.28999999999999998</v>
      </c>
      <c r="E50" s="32">
        <f t="shared" si="73"/>
        <v>437.60999999999996</v>
      </c>
      <c r="F50" s="15">
        <v>466.1493055555556</v>
      </c>
      <c r="G50" s="15">
        <v>466.1493055555556</v>
      </c>
      <c r="H50" s="15">
        <v>466.1493055555556</v>
      </c>
      <c r="I50" s="15">
        <v>466.1493055555556</v>
      </c>
      <c r="J50" s="15">
        <v>466.1493055555556</v>
      </c>
      <c r="K50" s="15">
        <v>466.1493055555556</v>
      </c>
      <c r="L50" s="15">
        <v>466.1493055555556</v>
      </c>
      <c r="M50" s="15">
        <v>466.1493055555556</v>
      </c>
      <c r="N50" s="15">
        <v>466.1493055555556</v>
      </c>
      <c r="O50" s="15">
        <v>466.1493055555556</v>
      </c>
      <c r="P50" s="15">
        <v>466.1493055555556</v>
      </c>
      <c r="Q50" s="16">
        <f t="shared" si="74"/>
        <v>5565.2523611111119</v>
      </c>
      <c r="R50" s="15">
        <v>466.1493055555556</v>
      </c>
      <c r="S50" s="15">
        <v>466.1493055555556</v>
      </c>
      <c r="T50" s="15">
        <v>466.1493055555556</v>
      </c>
      <c r="U50" s="15">
        <v>466.1493055555556</v>
      </c>
      <c r="V50" s="15">
        <v>466.1493055555556</v>
      </c>
      <c r="W50" s="15">
        <v>466.1493055555556</v>
      </c>
      <c r="X50" s="15">
        <v>466.1493055555556</v>
      </c>
      <c r="Y50" s="15">
        <v>466.1493055555556</v>
      </c>
      <c r="Z50" s="15">
        <v>466.1493055555556</v>
      </c>
      <c r="AA50" s="15">
        <v>466.1493055555556</v>
      </c>
      <c r="AB50" s="15">
        <v>466.1493055555556</v>
      </c>
      <c r="AC50" s="15">
        <v>466.1493055555556</v>
      </c>
      <c r="AD50" s="16">
        <f t="shared" si="75"/>
        <v>5593.791666666667</v>
      </c>
      <c r="AE50" s="15">
        <v>466.1493055555556</v>
      </c>
      <c r="AF50" s="15">
        <v>466.1493055555556</v>
      </c>
      <c r="AG50" s="15">
        <v>466.1493055555556</v>
      </c>
      <c r="AH50" s="15">
        <v>466.1493055555556</v>
      </c>
      <c r="AI50" s="15">
        <v>466.1493055555556</v>
      </c>
      <c r="AJ50" s="15">
        <v>466.1493055555556</v>
      </c>
      <c r="AK50" s="15">
        <v>466.1493055555556</v>
      </c>
      <c r="AL50" s="15">
        <v>466.1493055555556</v>
      </c>
      <c r="AM50" s="15">
        <v>466.1493055555556</v>
      </c>
      <c r="AN50" s="15">
        <v>466.1493055555556</v>
      </c>
      <c r="AO50" s="15">
        <v>466.1493055555556</v>
      </c>
      <c r="AP50" s="15">
        <v>466.1493055555556</v>
      </c>
      <c r="AQ50" s="16">
        <f t="shared" si="76"/>
        <v>5593.791666666667</v>
      </c>
    </row>
    <row r="51" spans="1:43" x14ac:dyDescent="0.3">
      <c r="A51" t="s">
        <v>125</v>
      </c>
      <c r="B51" s="38" t="s">
        <v>123</v>
      </c>
      <c r="C51" s="42" t="s">
        <v>126</v>
      </c>
      <c r="D51" s="95">
        <v>0.03</v>
      </c>
      <c r="E51" s="32">
        <f t="shared" si="73"/>
        <v>45.269999999999996</v>
      </c>
      <c r="F51" s="15">
        <v>50</v>
      </c>
      <c r="G51" s="15">
        <v>50</v>
      </c>
      <c r="H51" s="15">
        <v>50</v>
      </c>
      <c r="I51" s="15">
        <v>50</v>
      </c>
      <c r="J51" s="15">
        <v>50</v>
      </c>
      <c r="K51" s="15">
        <v>50</v>
      </c>
      <c r="L51" s="15">
        <v>50</v>
      </c>
      <c r="M51" s="15">
        <v>50</v>
      </c>
      <c r="N51" s="15">
        <v>50</v>
      </c>
      <c r="O51" s="15">
        <v>50</v>
      </c>
      <c r="P51" s="15">
        <v>50</v>
      </c>
      <c r="Q51" s="16">
        <f t="shared" si="74"/>
        <v>595.27</v>
      </c>
      <c r="R51" s="15">
        <v>50</v>
      </c>
      <c r="S51" s="15">
        <v>50</v>
      </c>
      <c r="T51" s="15">
        <v>50</v>
      </c>
      <c r="U51" s="15">
        <v>50</v>
      </c>
      <c r="V51" s="15">
        <v>50</v>
      </c>
      <c r="W51" s="15">
        <v>50</v>
      </c>
      <c r="X51" s="15">
        <v>50</v>
      </c>
      <c r="Y51" s="15">
        <v>50</v>
      </c>
      <c r="Z51" s="15">
        <v>50</v>
      </c>
      <c r="AA51" s="15">
        <v>50</v>
      </c>
      <c r="AB51" s="15">
        <v>50</v>
      </c>
      <c r="AC51" s="15">
        <v>50</v>
      </c>
      <c r="AD51" s="16">
        <f t="shared" si="75"/>
        <v>600</v>
      </c>
      <c r="AE51" s="15">
        <v>50</v>
      </c>
      <c r="AF51" s="15">
        <v>50</v>
      </c>
      <c r="AG51" s="15">
        <v>50</v>
      </c>
      <c r="AH51" s="15">
        <v>50</v>
      </c>
      <c r="AI51" s="15">
        <v>50</v>
      </c>
      <c r="AJ51" s="15">
        <v>50</v>
      </c>
      <c r="AK51" s="15">
        <v>50</v>
      </c>
      <c r="AL51" s="15">
        <v>50</v>
      </c>
      <c r="AM51" s="15">
        <v>50</v>
      </c>
      <c r="AN51" s="15">
        <v>50</v>
      </c>
      <c r="AO51" s="15">
        <v>50</v>
      </c>
      <c r="AP51" s="15">
        <v>50</v>
      </c>
      <c r="AQ51" s="16">
        <f t="shared" si="76"/>
        <v>600</v>
      </c>
    </row>
    <row r="52" spans="1:43" x14ac:dyDescent="0.3">
      <c r="A52" t="s">
        <v>127</v>
      </c>
      <c r="B52" s="38" t="s">
        <v>123</v>
      </c>
      <c r="C52" s="42" t="s">
        <v>128</v>
      </c>
      <c r="D52" s="95">
        <v>0.06</v>
      </c>
      <c r="E52" s="32">
        <f t="shared" si="73"/>
        <v>90.539999999999992</v>
      </c>
      <c r="F52" s="15">
        <v>100</v>
      </c>
      <c r="G52" s="15">
        <v>100</v>
      </c>
      <c r="H52" s="15">
        <v>100</v>
      </c>
      <c r="I52" s="15">
        <v>100</v>
      </c>
      <c r="J52" s="15">
        <v>100</v>
      </c>
      <c r="K52" s="15">
        <v>100</v>
      </c>
      <c r="L52" s="15">
        <v>100</v>
      </c>
      <c r="M52" s="15">
        <v>100</v>
      </c>
      <c r="N52" s="15">
        <v>100</v>
      </c>
      <c r="O52" s="15">
        <v>100</v>
      </c>
      <c r="P52" s="15">
        <v>100</v>
      </c>
      <c r="Q52" s="16">
        <f t="shared" si="74"/>
        <v>1190.54</v>
      </c>
      <c r="R52" s="15">
        <v>100</v>
      </c>
      <c r="S52" s="15">
        <v>100</v>
      </c>
      <c r="T52" s="15">
        <v>100</v>
      </c>
      <c r="U52" s="15">
        <v>100</v>
      </c>
      <c r="V52" s="15">
        <v>100</v>
      </c>
      <c r="W52" s="15">
        <v>100</v>
      </c>
      <c r="X52" s="15">
        <v>100</v>
      </c>
      <c r="Y52" s="15">
        <v>100</v>
      </c>
      <c r="Z52" s="15">
        <v>100</v>
      </c>
      <c r="AA52" s="15">
        <v>100</v>
      </c>
      <c r="AB52" s="15">
        <v>100</v>
      </c>
      <c r="AC52" s="15">
        <v>100</v>
      </c>
      <c r="AD52" s="16">
        <f t="shared" si="75"/>
        <v>1200</v>
      </c>
      <c r="AE52" s="15">
        <v>100</v>
      </c>
      <c r="AF52" s="15">
        <v>100</v>
      </c>
      <c r="AG52" s="15">
        <v>100</v>
      </c>
      <c r="AH52" s="15">
        <v>100</v>
      </c>
      <c r="AI52" s="15">
        <v>100</v>
      </c>
      <c r="AJ52" s="15">
        <v>100</v>
      </c>
      <c r="AK52" s="15">
        <v>100</v>
      </c>
      <c r="AL52" s="15">
        <v>100</v>
      </c>
      <c r="AM52" s="15">
        <v>100</v>
      </c>
      <c r="AN52" s="15">
        <v>100</v>
      </c>
      <c r="AO52" s="15">
        <v>100</v>
      </c>
      <c r="AP52" s="15">
        <v>100</v>
      </c>
      <c r="AQ52" s="16">
        <f t="shared" si="76"/>
        <v>1200</v>
      </c>
    </row>
    <row r="53" spans="1:43" x14ac:dyDescent="0.3">
      <c r="A53" t="s">
        <v>129</v>
      </c>
      <c r="B53" s="38" t="s">
        <v>123</v>
      </c>
      <c r="C53" s="42" t="s">
        <v>130</v>
      </c>
      <c r="D53" s="95">
        <v>0.01</v>
      </c>
      <c r="E53" s="32">
        <f t="shared" si="73"/>
        <v>15.09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16">
        <f t="shared" si="74"/>
        <v>15.09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16">
        <f t="shared" si="75"/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7">
        <v>0</v>
      </c>
      <c r="AO53" s="47">
        <v>0</v>
      </c>
      <c r="AP53" s="47">
        <v>0</v>
      </c>
      <c r="AQ53" s="16">
        <f t="shared" si="76"/>
        <v>0</v>
      </c>
    </row>
    <row r="54" spans="1:43" x14ac:dyDescent="0.3">
      <c r="B54" s="38"/>
      <c r="C54" s="48" t="s">
        <v>131</v>
      </c>
      <c r="D54" s="95">
        <v>0.01</v>
      </c>
      <c r="E54" s="32">
        <f t="shared" si="73"/>
        <v>15.09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16">
        <f t="shared" si="74"/>
        <v>15.09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16">
        <f t="shared" si="75"/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16">
        <f t="shared" si="76"/>
        <v>0</v>
      </c>
    </row>
    <row r="55" spans="1:43" x14ac:dyDescent="0.3">
      <c r="B55" s="38"/>
      <c r="C55" s="48" t="s">
        <v>132</v>
      </c>
      <c r="D55" s="95">
        <v>0.1</v>
      </c>
      <c r="E55" s="32">
        <f t="shared" si="73"/>
        <v>150.9</v>
      </c>
      <c r="F55" s="47">
        <v>165</v>
      </c>
      <c r="G55" s="47">
        <v>165</v>
      </c>
      <c r="H55" s="47">
        <v>165</v>
      </c>
      <c r="I55" s="47">
        <v>165</v>
      </c>
      <c r="J55" s="47">
        <v>165</v>
      </c>
      <c r="K55" s="47">
        <v>165</v>
      </c>
      <c r="L55" s="47">
        <v>165</v>
      </c>
      <c r="M55" s="47">
        <v>165</v>
      </c>
      <c r="N55" s="47">
        <v>165</v>
      </c>
      <c r="O55" s="47">
        <v>165</v>
      </c>
      <c r="P55" s="47">
        <v>165</v>
      </c>
      <c r="Q55" s="16">
        <f t="shared" si="74"/>
        <v>1965.9</v>
      </c>
      <c r="R55" s="47">
        <v>165</v>
      </c>
      <c r="S55" s="47">
        <v>165</v>
      </c>
      <c r="T55" s="47">
        <v>165</v>
      </c>
      <c r="U55" s="47">
        <v>165</v>
      </c>
      <c r="V55" s="47">
        <v>165</v>
      </c>
      <c r="W55" s="47">
        <v>165</v>
      </c>
      <c r="X55" s="47">
        <v>165</v>
      </c>
      <c r="Y55" s="47">
        <v>165</v>
      </c>
      <c r="Z55" s="47">
        <v>165</v>
      </c>
      <c r="AA55" s="47">
        <v>165</v>
      </c>
      <c r="AB55" s="47">
        <v>165</v>
      </c>
      <c r="AC55" s="47">
        <v>165</v>
      </c>
      <c r="AD55" s="16">
        <f t="shared" si="75"/>
        <v>1980</v>
      </c>
      <c r="AE55" s="47">
        <v>165</v>
      </c>
      <c r="AF55" s="47">
        <v>165</v>
      </c>
      <c r="AG55" s="47">
        <v>165</v>
      </c>
      <c r="AH55" s="47">
        <v>165</v>
      </c>
      <c r="AI55" s="47">
        <v>165</v>
      </c>
      <c r="AJ55" s="47">
        <v>165</v>
      </c>
      <c r="AK55" s="47">
        <v>165</v>
      </c>
      <c r="AL55" s="47">
        <v>165</v>
      </c>
      <c r="AM55" s="47">
        <v>165</v>
      </c>
      <c r="AN55" s="47">
        <v>165</v>
      </c>
      <c r="AO55" s="47">
        <v>165</v>
      </c>
      <c r="AP55" s="47">
        <v>165</v>
      </c>
      <c r="AQ55" s="16">
        <f t="shared" si="76"/>
        <v>1980</v>
      </c>
    </row>
    <row r="56" spans="1:43" x14ac:dyDescent="0.3">
      <c r="B56" s="38"/>
      <c r="C56" s="48" t="s">
        <v>133</v>
      </c>
      <c r="D56" s="95">
        <v>0.01</v>
      </c>
      <c r="E56" s="32">
        <f t="shared" si="73"/>
        <v>15.09</v>
      </c>
      <c r="F56" s="47">
        <v>50</v>
      </c>
      <c r="G56" s="47">
        <v>50</v>
      </c>
      <c r="H56" s="47">
        <v>50</v>
      </c>
      <c r="I56" s="47">
        <v>50</v>
      </c>
      <c r="J56" s="47">
        <v>50</v>
      </c>
      <c r="K56" s="47">
        <v>50</v>
      </c>
      <c r="L56" s="47">
        <v>50</v>
      </c>
      <c r="M56" s="47">
        <v>50</v>
      </c>
      <c r="N56" s="47">
        <v>50</v>
      </c>
      <c r="O56" s="47">
        <v>50</v>
      </c>
      <c r="P56" s="47">
        <v>50</v>
      </c>
      <c r="Q56" s="16">
        <f t="shared" si="74"/>
        <v>565.09</v>
      </c>
      <c r="R56" s="47">
        <v>50</v>
      </c>
      <c r="S56" s="47">
        <v>50</v>
      </c>
      <c r="T56" s="47">
        <v>50</v>
      </c>
      <c r="U56" s="47">
        <v>50</v>
      </c>
      <c r="V56" s="47">
        <v>50</v>
      </c>
      <c r="W56" s="47">
        <v>50</v>
      </c>
      <c r="X56" s="47">
        <v>50</v>
      </c>
      <c r="Y56" s="47">
        <v>50</v>
      </c>
      <c r="Z56" s="47">
        <v>50</v>
      </c>
      <c r="AA56" s="47">
        <v>50</v>
      </c>
      <c r="AB56" s="47">
        <v>50</v>
      </c>
      <c r="AC56" s="47">
        <v>50</v>
      </c>
      <c r="AD56" s="16">
        <f t="shared" si="75"/>
        <v>600</v>
      </c>
      <c r="AE56" s="47">
        <v>50</v>
      </c>
      <c r="AF56" s="47">
        <v>50</v>
      </c>
      <c r="AG56" s="47">
        <v>50</v>
      </c>
      <c r="AH56" s="47">
        <v>50</v>
      </c>
      <c r="AI56" s="47">
        <v>50</v>
      </c>
      <c r="AJ56" s="47">
        <v>50</v>
      </c>
      <c r="AK56" s="47">
        <v>50</v>
      </c>
      <c r="AL56" s="47">
        <v>50</v>
      </c>
      <c r="AM56" s="47">
        <v>50</v>
      </c>
      <c r="AN56" s="47">
        <v>50</v>
      </c>
      <c r="AO56" s="47">
        <v>50</v>
      </c>
      <c r="AP56" s="47">
        <v>50</v>
      </c>
      <c r="AQ56" s="16">
        <f t="shared" si="76"/>
        <v>600</v>
      </c>
    </row>
    <row r="57" spans="1:43" x14ac:dyDescent="0.3">
      <c r="B57" s="38"/>
      <c r="C57" s="48" t="s">
        <v>134</v>
      </c>
      <c r="D57" s="95">
        <v>0.06</v>
      </c>
      <c r="E57" s="32">
        <f t="shared" si="73"/>
        <v>90.539999999999992</v>
      </c>
      <c r="F57" s="47">
        <v>100</v>
      </c>
      <c r="G57" s="47">
        <v>100</v>
      </c>
      <c r="H57" s="47">
        <v>100</v>
      </c>
      <c r="I57" s="47">
        <v>100</v>
      </c>
      <c r="J57" s="47">
        <v>100</v>
      </c>
      <c r="K57" s="47">
        <v>100</v>
      </c>
      <c r="L57" s="47">
        <v>100</v>
      </c>
      <c r="M57" s="47">
        <v>100</v>
      </c>
      <c r="N57" s="47">
        <v>100</v>
      </c>
      <c r="O57" s="47">
        <v>100</v>
      </c>
      <c r="P57" s="47">
        <v>100</v>
      </c>
      <c r="Q57" s="16">
        <f t="shared" si="74"/>
        <v>1190.54</v>
      </c>
      <c r="R57" s="47">
        <v>100</v>
      </c>
      <c r="S57" s="47">
        <v>100</v>
      </c>
      <c r="T57" s="47">
        <v>100</v>
      </c>
      <c r="U57" s="47">
        <v>100</v>
      </c>
      <c r="V57" s="47">
        <v>100</v>
      </c>
      <c r="W57" s="47">
        <v>100</v>
      </c>
      <c r="X57" s="47">
        <v>100</v>
      </c>
      <c r="Y57" s="47">
        <v>100</v>
      </c>
      <c r="Z57" s="47">
        <v>100</v>
      </c>
      <c r="AA57" s="47">
        <v>100</v>
      </c>
      <c r="AB57" s="47">
        <v>100</v>
      </c>
      <c r="AC57" s="47">
        <v>100</v>
      </c>
      <c r="AD57" s="16">
        <f t="shared" si="75"/>
        <v>1200</v>
      </c>
      <c r="AE57" s="47">
        <v>100</v>
      </c>
      <c r="AF57" s="47">
        <v>100</v>
      </c>
      <c r="AG57" s="47">
        <v>100</v>
      </c>
      <c r="AH57" s="47">
        <v>100</v>
      </c>
      <c r="AI57" s="47">
        <v>100</v>
      </c>
      <c r="AJ57" s="47">
        <v>100</v>
      </c>
      <c r="AK57" s="47">
        <v>100</v>
      </c>
      <c r="AL57" s="47">
        <v>100</v>
      </c>
      <c r="AM57" s="47">
        <v>100</v>
      </c>
      <c r="AN57" s="47">
        <v>100</v>
      </c>
      <c r="AO57" s="47">
        <v>100</v>
      </c>
      <c r="AP57" s="47">
        <v>100</v>
      </c>
      <c r="AQ57" s="16">
        <f t="shared" si="76"/>
        <v>1200</v>
      </c>
    </row>
    <row r="58" spans="1:43" x14ac:dyDescent="0.3">
      <c r="B58" s="38"/>
      <c r="C58" s="94" t="s">
        <v>135</v>
      </c>
      <c r="D58" s="95">
        <f>$G$2*$G$1</f>
        <v>13581</v>
      </c>
      <c r="E58" s="32">
        <f>D58</f>
        <v>13581</v>
      </c>
      <c r="F58" s="49">
        <f t="shared" ref="F58:AP58" si="77">E58</f>
        <v>13581</v>
      </c>
      <c r="G58" s="49">
        <f t="shared" si="77"/>
        <v>13581</v>
      </c>
      <c r="H58" s="49">
        <f t="shared" si="77"/>
        <v>13581</v>
      </c>
      <c r="I58" s="49">
        <f t="shared" si="77"/>
        <v>13581</v>
      </c>
      <c r="J58" s="49">
        <f t="shared" si="77"/>
        <v>13581</v>
      </c>
      <c r="K58" s="49">
        <f t="shared" si="77"/>
        <v>13581</v>
      </c>
      <c r="L58" s="49">
        <f t="shared" si="77"/>
        <v>13581</v>
      </c>
      <c r="M58" s="49">
        <f t="shared" si="77"/>
        <v>13581</v>
      </c>
      <c r="N58" s="49">
        <f t="shared" si="77"/>
        <v>13581</v>
      </c>
      <c r="O58" s="49">
        <f t="shared" si="77"/>
        <v>13581</v>
      </c>
      <c r="P58" s="49">
        <f t="shared" si="77"/>
        <v>13581</v>
      </c>
      <c r="Q58" s="16">
        <f t="shared" si="74"/>
        <v>162972</v>
      </c>
      <c r="R58" s="49">
        <f>P58</f>
        <v>13581</v>
      </c>
      <c r="S58" s="49">
        <f t="shared" si="77"/>
        <v>13581</v>
      </c>
      <c r="T58" s="49">
        <f t="shared" si="77"/>
        <v>13581</v>
      </c>
      <c r="U58" s="49">
        <f t="shared" si="77"/>
        <v>13581</v>
      </c>
      <c r="V58" s="49">
        <f t="shared" si="77"/>
        <v>13581</v>
      </c>
      <c r="W58" s="49">
        <f t="shared" si="77"/>
        <v>13581</v>
      </c>
      <c r="X58" s="49">
        <f t="shared" si="77"/>
        <v>13581</v>
      </c>
      <c r="Y58" s="49">
        <f t="shared" si="77"/>
        <v>13581</v>
      </c>
      <c r="Z58" s="49">
        <f t="shared" si="77"/>
        <v>13581</v>
      </c>
      <c r="AA58" s="49">
        <f t="shared" si="77"/>
        <v>13581</v>
      </c>
      <c r="AB58" s="49">
        <f t="shared" si="77"/>
        <v>13581</v>
      </c>
      <c r="AC58" s="49">
        <f t="shared" si="77"/>
        <v>13581</v>
      </c>
      <c r="AD58" s="16">
        <f t="shared" si="75"/>
        <v>162972</v>
      </c>
      <c r="AE58" s="49">
        <f>AC58</f>
        <v>13581</v>
      </c>
      <c r="AF58" s="49">
        <f t="shared" si="77"/>
        <v>13581</v>
      </c>
      <c r="AG58" s="49">
        <f t="shared" si="77"/>
        <v>13581</v>
      </c>
      <c r="AH58" s="49">
        <f t="shared" si="77"/>
        <v>13581</v>
      </c>
      <c r="AI58" s="49">
        <f t="shared" si="77"/>
        <v>13581</v>
      </c>
      <c r="AJ58" s="49">
        <f t="shared" si="77"/>
        <v>13581</v>
      </c>
      <c r="AK58" s="49">
        <f t="shared" si="77"/>
        <v>13581</v>
      </c>
      <c r="AL58" s="49">
        <f t="shared" si="77"/>
        <v>13581</v>
      </c>
      <c r="AM58" s="49">
        <f t="shared" si="77"/>
        <v>13581</v>
      </c>
      <c r="AN58" s="49">
        <f t="shared" si="77"/>
        <v>13581</v>
      </c>
      <c r="AO58" s="49">
        <f t="shared" si="77"/>
        <v>13581</v>
      </c>
      <c r="AP58" s="49">
        <f t="shared" si="77"/>
        <v>13581</v>
      </c>
      <c r="AQ58" s="16">
        <f t="shared" si="76"/>
        <v>162972</v>
      </c>
    </row>
    <row r="59" spans="1:43" ht="28.8" x14ac:dyDescent="0.3">
      <c r="B59" s="38"/>
      <c r="C59" s="48" t="s">
        <v>136</v>
      </c>
      <c r="D59" s="95">
        <v>0</v>
      </c>
      <c r="E59" s="32">
        <f t="shared" si="73"/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16">
        <f t="shared" si="74"/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16">
        <f t="shared" si="75"/>
        <v>0</v>
      </c>
      <c r="AE59" s="50">
        <v>0</v>
      </c>
      <c r="AF59" s="50">
        <v>0</v>
      </c>
      <c r="AG59" s="50">
        <v>0</v>
      </c>
      <c r="AH59" s="50">
        <v>0</v>
      </c>
      <c r="AI59" s="50">
        <v>0</v>
      </c>
      <c r="AJ59" s="50">
        <v>0</v>
      </c>
      <c r="AK59" s="50">
        <v>0</v>
      </c>
      <c r="AL59" s="50">
        <v>0</v>
      </c>
      <c r="AM59" s="50">
        <v>0</v>
      </c>
      <c r="AN59" s="50">
        <v>0</v>
      </c>
      <c r="AO59" s="50">
        <v>0</v>
      </c>
      <c r="AP59" s="50">
        <v>0</v>
      </c>
      <c r="AQ59" s="16">
        <f t="shared" si="76"/>
        <v>0</v>
      </c>
    </row>
    <row r="60" spans="1:43" x14ac:dyDescent="0.3">
      <c r="B60" s="38"/>
      <c r="C60" s="94" t="s">
        <v>137</v>
      </c>
      <c r="D60" s="95">
        <v>1.88</v>
      </c>
      <c r="E60" s="32">
        <f t="shared" si="73"/>
        <v>2836.9199999999996</v>
      </c>
      <c r="F60" s="49">
        <f>E60</f>
        <v>2836.9199999999996</v>
      </c>
      <c r="G60" s="49">
        <f t="shared" ref="G60:AP60" si="78">F60</f>
        <v>2836.9199999999996</v>
      </c>
      <c r="H60" s="49">
        <f t="shared" si="78"/>
        <v>2836.9199999999996</v>
      </c>
      <c r="I60" s="49">
        <f t="shared" si="78"/>
        <v>2836.9199999999996</v>
      </c>
      <c r="J60" s="49">
        <f t="shared" si="78"/>
        <v>2836.9199999999996</v>
      </c>
      <c r="K60" s="49">
        <f t="shared" si="78"/>
        <v>2836.9199999999996</v>
      </c>
      <c r="L60" s="49">
        <f t="shared" si="78"/>
        <v>2836.9199999999996</v>
      </c>
      <c r="M60" s="49">
        <f t="shared" si="78"/>
        <v>2836.9199999999996</v>
      </c>
      <c r="N60" s="49">
        <f t="shared" si="78"/>
        <v>2836.9199999999996</v>
      </c>
      <c r="O60" s="49">
        <f t="shared" si="78"/>
        <v>2836.9199999999996</v>
      </c>
      <c r="P60" s="49">
        <f t="shared" si="78"/>
        <v>2836.9199999999996</v>
      </c>
      <c r="Q60" s="16">
        <f t="shared" si="74"/>
        <v>34043.039999999986</v>
      </c>
      <c r="R60" s="49">
        <f>P60</f>
        <v>2836.9199999999996</v>
      </c>
      <c r="S60" s="49">
        <f t="shared" si="78"/>
        <v>2836.9199999999996</v>
      </c>
      <c r="T60" s="49">
        <f t="shared" si="78"/>
        <v>2836.9199999999996</v>
      </c>
      <c r="U60" s="49">
        <f t="shared" si="78"/>
        <v>2836.9199999999996</v>
      </c>
      <c r="V60" s="49">
        <f t="shared" si="78"/>
        <v>2836.9199999999996</v>
      </c>
      <c r="W60" s="49">
        <f t="shared" si="78"/>
        <v>2836.9199999999996</v>
      </c>
      <c r="X60" s="49">
        <f t="shared" si="78"/>
        <v>2836.9199999999996</v>
      </c>
      <c r="Y60" s="49">
        <f t="shared" si="78"/>
        <v>2836.9199999999996</v>
      </c>
      <c r="Z60" s="49">
        <f t="shared" si="78"/>
        <v>2836.9199999999996</v>
      </c>
      <c r="AA60" s="49">
        <f t="shared" si="78"/>
        <v>2836.9199999999996</v>
      </c>
      <c r="AB60" s="49">
        <f t="shared" si="78"/>
        <v>2836.9199999999996</v>
      </c>
      <c r="AC60" s="49">
        <f t="shared" si="78"/>
        <v>2836.9199999999996</v>
      </c>
      <c r="AD60" s="16">
        <f t="shared" si="75"/>
        <v>34043.039999999986</v>
      </c>
      <c r="AE60" s="49">
        <f>AC60</f>
        <v>2836.9199999999996</v>
      </c>
      <c r="AF60" s="49">
        <f t="shared" si="78"/>
        <v>2836.9199999999996</v>
      </c>
      <c r="AG60" s="49">
        <f t="shared" si="78"/>
        <v>2836.9199999999996</v>
      </c>
      <c r="AH60" s="49">
        <f t="shared" si="78"/>
        <v>2836.9199999999996</v>
      </c>
      <c r="AI60" s="49">
        <f t="shared" si="78"/>
        <v>2836.9199999999996</v>
      </c>
      <c r="AJ60" s="49">
        <f t="shared" si="78"/>
        <v>2836.9199999999996</v>
      </c>
      <c r="AK60" s="49">
        <f t="shared" si="78"/>
        <v>2836.9199999999996</v>
      </c>
      <c r="AL60" s="49">
        <f t="shared" si="78"/>
        <v>2836.9199999999996</v>
      </c>
      <c r="AM60" s="49">
        <f t="shared" si="78"/>
        <v>2836.9199999999996</v>
      </c>
      <c r="AN60" s="49">
        <f t="shared" si="78"/>
        <v>2836.9199999999996</v>
      </c>
      <c r="AO60" s="49">
        <f t="shared" si="78"/>
        <v>2836.9199999999996</v>
      </c>
      <c r="AP60" s="49">
        <f t="shared" si="78"/>
        <v>2836.9199999999996</v>
      </c>
      <c r="AQ60" s="16">
        <f t="shared" si="76"/>
        <v>34043.039999999986</v>
      </c>
    </row>
    <row r="61" spans="1:43" x14ac:dyDescent="0.3">
      <c r="B61" s="38"/>
      <c r="C61" s="48"/>
      <c r="D61" s="95">
        <f t="shared" si="11"/>
        <v>0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3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3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3"/>
    </row>
    <row r="62" spans="1:43" x14ac:dyDescent="0.3">
      <c r="C62" s="24" t="s">
        <v>138</v>
      </c>
      <c r="D62" s="95">
        <f t="shared" si="11"/>
        <v>10.940249999999999</v>
      </c>
      <c r="E62" s="25">
        <f t="shared" ref="E62:AQ62" si="79">SUM(E48:E61)</f>
        <v>17504.399999999998</v>
      </c>
      <c r="F62" s="25">
        <f t="shared" si="79"/>
        <v>17599.069305555553</v>
      </c>
      <c r="G62" s="25">
        <f t="shared" si="79"/>
        <v>17599.069305555553</v>
      </c>
      <c r="H62" s="25">
        <f t="shared" si="79"/>
        <v>17599.069305555553</v>
      </c>
      <c r="I62" s="25">
        <f t="shared" si="79"/>
        <v>17599.069305555553</v>
      </c>
      <c r="J62" s="25">
        <f t="shared" si="79"/>
        <v>17599.069305555553</v>
      </c>
      <c r="K62" s="25">
        <f t="shared" si="79"/>
        <v>17599.069305555553</v>
      </c>
      <c r="L62" s="25">
        <f t="shared" si="79"/>
        <v>17599.069305555553</v>
      </c>
      <c r="M62" s="25">
        <f t="shared" si="79"/>
        <v>17599.069305555553</v>
      </c>
      <c r="N62" s="25">
        <f t="shared" si="79"/>
        <v>17599.069305555553</v>
      </c>
      <c r="O62" s="25">
        <f t="shared" si="79"/>
        <v>17599.069305555553</v>
      </c>
      <c r="P62" s="25">
        <f t="shared" si="79"/>
        <v>17599.069305555553</v>
      </c>
      <c r="Q62" s="26">
        <f>SUM(Q48:Q61)</f>
        <v>211094.16236111108</v>
      </c>
      <c r="R62" s="25">
        <f t="shared" si="79"/>
        <v>17599.069305555553</v>
      </c>
      <c r="S62" s="25">
        <f t="shared" si="79"/>
        <v>17599.069305555553</v>
      </c>
      <c r="T62" s="25">
        <f t="shared" si="79"/>
        <v>17599.069305555553</v>
      </c>
      <c r="U62" s="25">
        <f t="shared" si="79"/>
        <v>17599.069305555553</v>
      </c>
      <c r="V62" s="25">
        <f t="shared" si="79"/>
        <v>17599.069305555553</v>
      </c>
      <c r="W62" s="25">
        <f t="shared" si="79"/>
        <v>17599.069305555553</v>
      </c>
      <c r="X62" s="25">
        <f t="shared" si="79"/>
        <v>17599.069305555553</v>
      </c>
      <c r="Y62" s="25">
        <f t="shared" si="79"/>
        <v>17599.069305555553</v>
      </c>
      <c r="Z62" s="25">
        <f t="shared" si="79"/>
        <v>17599.069305555553</v>
      </c>
      <c r="AA62" s="25">
        <f t="shared" si="79"/>
        <v>17599.069305555553</v>
      </c>
      <c r="AB62" s="25">
        <f t="shared" si="79"/>
        <v>17599.069305555553</v>
      </c>
      <c r="AC62" s="25">
        <f t="shared" si="79"/>
        <v>17599.069305555553</v>
      </c>
      <c r="AD62" s="26">
        <f t="shared" si="79"/>
        <v>211188.83166666664</v>
      </c>
      <c r="AE62" s="25">
        <f>SUM(AE48:AE61)</f>
        <v>17599.069305555553</v>
      </c>
      <c r="AF62" s="25">
        <f t="shared" si="79"/>
        <v>17599.069305555553</v>
      </c>
      <c r="AG62" s="25">
        <f t="shared" si="79"/>
        <v>17599.069305555553</v>
      </c>
      <c r="AH62" s="25">
        <f t="shared" si="79"/>
        <v>17599.069305555553</v>
      </c>
      <c r="AI62" s="25">
        <f t="shared" si="79"/>
        <v>17599.069305555553</v>
      </c>
      <c r="AJ62" s="25">
        <f t="shared" si="79"/>
        <v>17599.069305555553</v>
      </c>
      <c r="AK62" s="25">
        <f t="shared" si="79"/>
        <v>17599.069305555553</v>
      </c>
      <c r="AL62" s="25">
        <f t="shared" si="79"/>
        <v>17599.069305555553</v>
      </c>
      <c r="AM62" s="25">
        <f t="shared" si="79"/>
        <v>17599.069305555553</v>
      </c>
      <c r="AN62" s="25">
        <f t="shared" si="79"/>
        <v>17599.069305555553</v>
      </c>
      <c r="AO62" s="25">
        <f t="shared" si="79"/>
        <v>17599.069305555553</v>
      </c>
      <c r="AP62" s="25">
        <f t="shared" si="79"/>
        <v>17599.069305555553</v>
      </c>
      <c r="AQ62" s="26">
        <f t="shared" si="79"/>
        <v>211188.83166666664</v>
      </c>
    </row>
    <row r="63" spans="1:43" hidden="1" x14ac:dyDescent="0.3">
      <c r="C63" s="27" t="s">
        <v>139</v>
      </c>
      <c r="D63" s="95">
        <f t="shared" si="11"/>
        <v>0</v>
      </c>
      <c r="E63" s="51">
        <f t="shared" ref="E63:F63" si="80">IFERROR(E62/E4,0)</f>
        <v>0</v>
      </c>
      <c r="F63" s="51">
        <f t="shared" si="80"/>
        <v>0</v>
      </c>
      <c r="G63" s="51">
        <f t="shared" ref="G63:N63" si="81">IFERROR(G62/I4,0)</f>
        <v>0.23325472903320812</v>
      </c>
      <c r="H63" s="51">
        <f t="shared" si="81"/>
        <v>0</v>
      </c>
      <c r="I63" s="51">
        <f t="shared" si="81"/>
        <v>0.23325472903320812</v>
      </c>
      <c r="J63" s="51">
        <f t="shared" si="81"/>
        <v>0</v>
      </c>
      <c r="K63" s="51">
        <f t="shared" si="81"/>
        <v>0.23325472903320812</v>
      </c>
      <c r="L63" s="51">
        <f t="shared" si="81"/>
        <v>0</v>
      </c>
      <c r="M63" s="51">
        <f t="shared" si="81"/>
        <v>0</v>
      </c>
      <c r="N63" s="51">
        <f t="shared" si="81"/>
        <v>0.23325472903320812</v>
      </c>
      <c r="O63" s="51">
        <f>IFERROR(O62/#REF!,0)</f>
        <v>0</v>
      </c>
      <c r="P63" s="51">
        <f>IFERROR(P62/S4,0)</f>
        <v>0.23325472903320812</v>
      </c>
      <c r="Q63" s="52">
        <f>Q62/Q4</f>
        <v>0.69945050484132232</v>
      </c>
      <c r="R63" s="51">
        <f t="shared" ref="R63" si="82">IFERROR(R62/R4,0)</f>
        <v>0</v>
      </c>
      <c r="S63" s="51">
        <f>IFERROR(S62/#REF!,0)</f>
        <v>0</v>
      </c>
      <c r="T63" s="51">
        <f t="shared" ref="T63:AC63" si="83">IFERROR(T62/V4,0)</f>
        <v>0.23325472903320812</v>
      </c>
      <c r="U63" s="51">
        <f t="shared" si="83"/>
        <v>0</v>
      </c>
      <c r="V63" s="51">
        <f t="shared" si="83"/>
        <v>0.23325472903320812</v>
      </c>
      <c r="W63" s="51">
        <f t="shared" si="83"/>
        <v>0</v>
      </c>
      <c r="X63" s="51">
        <f t="shared" si="83"/>
        <v>0.23325472903320812</v>
      </c>
      <c r="Y63" s="51">
        <f t="shared" si="83"/>
        <v>0</v>
      </c>
      <c r="Z63" s="51">
        <f t="shared" si="83"/>
        <v>0</v>
      </c>
      <c r="AA63" s="51">
        <f t="shared" si="83"/>
        <v>0.23325472903320812</v>
      </c>
      <c r="AB63" s="51">
        <f t="shared" si="83"/>
        <v>4.6650945806641628E-2</v>
      </c>
      <c r="AC63" s="51">
        <f t="shared" si="83"/>
        <v>0</v>
      </c>
      <c r="AD63" s="52" t="e">
        <f>AD62/#REF!</f>
        <v>#REF!</v>
      </c>
      <c r="AE63" s="51">
        <f>IFERROR(AE62/#REF!,0)</f>
        <v>0</v>
      </c>
      <c r="AF63" s="51">
        <f t="shared" ref="AF63:AP63" si="84">IFERROR(AF62/AF4,0)</f>
        <v>0</v>
      </c>
      <c r="AG63" s="51">
        <f t="shared" si="84"/>
        <v>0.23325472903320812</v>
      </c>
      <c r="AH63" s="51">
        <f t="shared" si="84"/>
        <v>0</v>
      </c>
      <c r="AI63" s="51">
        <f t="shared" si="84"/>
        <v>0.23325472903320812</v>
      </c>
      <c r="AJ63" s="51">
        <f t="shared" si="84"/>
        <v>0</v>
      </c>
      <c r="AK63" s="51">
        <f t="shared" si="84"/>
        <v>0.23325472903320812</v>
      </c>
      <c r="AL63" s="51">
        <f t="shared" si="84"/>
        <v>0</v>
      </c>
      <c r="AM63" s="51">
        <f t="shared" si="84"/>
        <v>0</v>
      </c>
      <c r="AN63" s="51">
        <f t="shared" si="84"/>
        <v>0.23325472903320812</v>
      </c>
      <c r="AO63" s="51">
        <f t="shared" si="84"/>
        <v>0</v>
      </c>
      <c r="AP63" s="51">
        <f t="shared" si="84"/>
        <v>0.23325472903320812</v>
      </c>
      <c r="AQ63" s="52">
        <f>AQ62/AQ4</f>
        <v>0.55981134967969948</v>
      </c>
    </row>
    <row r="64" spans="1:43" ht="86.4" x14ac:dyDescent="0.3">
      <c r="C64" s="53" t="s">
        <v>140</v>
      </c>
      <c r="D64" s="95">
        <f t="shared" si="11"/>
        <v>0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5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5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5"/>
    </row>
    <row r="65" spans="1:43" x14ac:dyDescent="0.3">
      <c r="C65" s="53"/>
      <c r="D65" s="95">
        <f t="shared" si="11"/>
        <v>0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5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5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5"/>
    </row>
    <row r="66" spans="1:43" x14ac:dyDescent="0.3">
      <c r="C66" s="56" t="s">
        <v>141</v>
      </c>
      <c r="D66" s="95"/>
      <c r="E66" s="57">
        <f t="shared" ref="E66:AQ66" si="85">E62+E45</f>
        <v>51065.738499999992</v>
      </c>
      <c r="F66" s="57">
        <f t="shared" si="85"/>
        <v>40457.547250000003</v>
      </c>
      <c r="G66" s="57">
        <f>G62+G45</f>
        <v>68373.596695555549</v>
      </c>
      <c r="H66" s="57">
        <f t="shared" si="85"/>
        <v>41470.827805555549</v>
      </c>
      <c r="I66" s="57">
        <f t="shared" si="85"/>
        <v>61447.286695555551</v>
      </c>
      <c r="J66" s="57">
        <f t="shared" si="85"/>
        <v>48397.137805555547</v>
      </c>
      <c r="K66" s="57">
        <f t="shared" si="85"/>
        <v>61447.286695555551</v>
      </c>
      <c r="L66" s="57">
        <f t="shared" si="85"/>
        <v>41470.827805555549</v>
      </c>
      <c r="M66" s="57">
        <f t="shared" si="85"/>
        <v>48246.237805555553</v>
      </c>
      <c r="N66" s="57">
        <f t="shared" si="85"/>
        <v>61447.286695555551</v>
      </c>
      <c r="O66" s="57">
        <f t="shared" si="85"/>
        <v>41470.827805555549</v>
      </c>
      <c r="P66" s="57">
        <f t="shared" si="85"/>
        <v>65853.56669555555</v>
      </c>
      <c r="Q66" s="58">
        <f>Q62+Q45</f>
        <v>631148.16825555568</v>
      </c>
      <c r="R66" s="57">
        <f t="shared" si="85"/>
        <v>44398.287805555548</v>
      </c>
      <c r="S66" s="57">
        <f t="shared" si="85"/>
        <v>41319.927805555548</v>
      </c>
      <c r="T66" s="57">
        <f t="shared" si="85"/>
        <v>68373.596695555549</v>
      </c>
      <c r="U66" s="57">
        <f t="shared" si="85"/>
        <v>41470.827805555549</v>
      </c>
      <c r="V66" s="57">
        <f t="shared" si="85"/>
        <v>61447.286695555551</v>
      </c>
      <c r="W66" s="57">
        <f t="shared" si="85"/>
        <v>48397.137805555547</v>
      </c>
      <c r="X66" s="57">
        <f t="shared" si="85"/>
        <v>61447.286695555551</v>
      </c>
      <c r="Y66" s="57">
        <f t="shared" si="85"/>
        <v>41470.827805555549</v>
      </c>
      <c r="Z66" s="57">
        <f t="shared" si="85"/>
        <v>48246.237805555553</v>
      </c>
      <c r="AA66" s="57">
        <f t="shared" si="85"/>
        <v>61447.286695555551</v>
      </c>
      <c r="AB66" s="57">
        <f t="shared" si="85"/>
        <v>41470.827805555549</v>
      </c>
      <c r="AC66" s="57">
        <f t="shared" si="85"/>
        <v>48351.86780555555</v>
      </c>
      <c r="AD66" s="58">
        <f t="shared" si="85"/>
        <v>607841.39922666654</v>
      </c>
      <c r="AE66" s="57">
        <f t="shared" si="85"/>
        <v>68086.886695555557</v>
      </c>
      <c r="AF66" s="57">
        <f t="shared" si="85"/>
        <v>41319.927805555548</v>
      </c>
      <c r="AG66" s="57">
        <f t="shared" si="85"/>
        <v>68373.596695555549</v>
      </c>
      <c r="AH66" s="57">
        <f t="shared" si="85"/>
        <v>41470.827805555549</v>
      </c>
      <c r="AI66" s="57">
        <f t="shared" si="85"/>
        <v>61447.286695555551</v>
      </c>
      <c r="AJ66" s="57">
        <f t="shared" si="85"/>
        <v>48397.137805555547</v>
      </c>
      <c r="AK66" s="57">
        <f t="shared" si="85"/>
        <v>43945.587805555551</v>
      </c>
      <c r="AL66" s="57">
        <f t="shared" si="85"/>
        <v>58972.526695555556</v>
      </c>
      <c r="AM66" s="57">
        <f t="shared" si="85"/>
        <v>48246.237805555553</v>
      </c>
      <c r="AN66" s="57">
        <f t="shared" si="85"/>
        <v>61447.286695555551</v>
      </c>
      <c r="AO66" s="57">
        <f t="shared" si="85"/>
        <v>41470.827805555549</v>
      </c>
      <c r="AP66" s="57">
        <f t="shared" si="85"/>
        <v>48351.86780555555</v>
      </c>
      <c r="AQ66" s="58">
        <f t="shared" si="85"/>
        <v>554948.72255835379</v>
      </c>
    </row>
    <row r="67" spans="1:43" x14ac:dyDescent="0.3">
      <c r="C67" s="59" t="s">
        <v>142</v>
      </c>
      <c r="D67" s="95"/>
      <c r="E67" s="60">
        <f>IFERROR(E66/E$4,0)</f>
        <v>0</v>
      </c>
      <c r="F67" s="60">
        <f t="shared" ref="F67" si="86">IFERROR(F66/F$4,0)</f>
        <v>0</v>
      </c>
      <c r="G67" s="60">
        <f>IFERROR(SUM(E66:G66)/I$4,0)</f>
        <v>2.1192429747588539</v>
      </c>
      <c r="H67" s="60">
        <f>IFERROR(H66/J$4,0)</f>
        <v>0</v>
      </c>
      <c r="I67" s="60">
        <f>IFERROR(SUM(H66:I66)/K$4,0)</f>
        <v>1.3640571835800013</v>
      </c>
      <c r="J67" s="60">
        <f>IFERROR(J66/L$4,0)</f>
        <v>0</v>
      </c>
      <c r="K67" s="60">
        <f>IFERROR(SUM(J66:K66)/M$4,0)</f>
        <v>1.4558571835800012</v>
      </c>
      <c r="L67" s="60">
        <f>IFERROR(L66/N$4,0)</f>
        <v>0</v>
      </c>
      <c r="M67" s="60">
        <f>IFERROR(M66/O$4,0)</f>
        <v>0</v>
      </c>
      <c r="N67" s="60">
        <f>IFERROR(SUM(L66:N66)/P$4,0)</f>
        <v>2.0035036753700024</v>
      </c>
      <c r="O67" s="60">
        <f>IFERROR(O66/#REF!,0)</f>
        <v>0</v>
      </c>
      <c r="P67" s="60">
        <f>IFERROR(SUM(O66:P66)/S$4,0)</f>
        <v>1.4224571835800013</v>
      </c>
      <c r="Q67" s="61">
        <f t="shared" ref="Q67" si="87">Q66/Q$4</f>
        <v>2.0912795502172155</v>
      </c>
      <c r="R67" s="60">
        <f>IFERROR(R66/R$4,0)</f>
        <v>0</v>
      </c>
      <c r="S67" s="60">
        <f>IFERROR(S66/#REF!,0)</f>
        <v>0</v>
      </c>
      <c r="T67" s="60">
        <f>IFERROR(SUM(R66:T66)/V$4,0)</f>
        <v>2.0423036753700017</v>
      </c>
      <c r="U67" s="60">
        <f>IFERROR(U66/W$4,0)</f>
        <v>0</v>
      </c>
      <c r="V67" s="60">
        <f>IFERROR(SUM(U66:V66)/X$4,0)</f>
        <v>1.3640571835800013</v>
      </c>
      <c r="W67" s="60">
        <f>IFERROR(W66/Y$4,0)</f>
        <v>0</v>
      </c>
      <c r="X67" s="60">
        <f>IFERROR(SUM(W66:X66)/Z$4,0)</f>
        <v>1.4558571835800012</v>
      </c>
      <c r="Y67" s="60">
        <f>IFERROR(Y66/AA$4,0)</f>
        <v>0</v>
      </c>
      <c r="Z67" s="60">
        <f>IFERROR(Z66/AB$4,0)</f>
        <v>0</v>
      </c>
      <c r="AA67" s="60">
        <f>IFERROR(SUM(Y66:AA66)/AC$4,0)</f>
        <v>2.0035036753700024</v>
      </c>
      <c r="AB67" s="60">
        <f>IFERROR(AB66/AD$4,0)</f>
        <v>0.10992929835800012</v>
      </c>
      <c r="AC67" s="60">
        <f>IFERROR(SUM(AB66:AC66)/AE$4,0)</f>
        <v>0</v>
      </c>
      <c r="AD67" s="61">
        <f>AD66/AD4</f>
        <v>1.6112429402960013</v>
      </c>
      <c r="AE67" s="60">
        <f>IFERROR(AE66/#REF!,0)</f>
        <v>0</v>
      </c>
      <c r="AF67" s="60">
        <f t="shared" ref="AF67" si="88">IFERROR(AF66/AF$4,0)</f>
        <v>0</v>
      </c>
      <c r="AG67" s="60">
        <f>IFERROR(SUM(AE66:AG66)/AG$4,0)</f>
        <v>2.3562678753700022</v>
      </c>
      <c r="AH67" s="60">
        <f t="shared" ref="AH67" si="89">IFERROR(AH66/AH$4,0)</f>
        <v>0</v>
      </c>
      <c r="AI67" s="60">
        <f>IFERROR(SUM(AH66:AI66)/AI$4,0)</f>
        <v>1.3640571835800013</v>
      </c>
      <c r="AJ67" s="60">
        <f t="shared" ref="AJ67" si="90">IFERROR(AJ66/AJ$4,0)</f>
        <v>0</v>
      </c>
      <c r="AK67" s="60">
        <f>IFERROR(SUM(AJ66:AK66)/AK$4,0)</f>
        <v>1.2238929835800012</v>
      </c>
      <c r="AL67" s="60">
        <f t="shared" ref="AL67:AM67" si="91">IFERROR(AL66/AL$4,0)</f>
        <v>0</v>
      </c>
      <c r="AM67" s="60">
        <f t="shared" si="91"/>
        <v>0</v>
      </c>
      <c r="AN67" s="60">
        <f>IFERROR(SUM(AL66:AN66)/AN$4,0)</f>
        <v>2.2354678753700021</v>
      </c>
      <c r="AO67" s="60">
        <f t="shared" ref="AO67" si="92">IFERROR(AO66/AO$4,0)</f>
        <v>0</v>
      </c>
      <c r="AP67" s="60">
        <f>IFERROR(SUM(AO66:AP66)/AP$4,0)</f>
        <v>1.1904929835800013</v>
      </c>
      <c r="AQ67" s="61">
        <f>AQ66/AQ$4</f>
        <v>1.471037037928042</v>
      </c>
    </row>
    <row r="68" spans="1:43" x14ac:dyDescent="0.3"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6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6"/>
    </row>
    <row r="69" spans="1:43" ht="28.8" outlineLevel="1" x14ac:dyDescent="0.3">
      <c r="C69" s="1" t="s">
        <v>143</v>
      </c>
      <c r="E69" s="15">
        <f>E6-E66</f>
        <v>-51065.738499999992</v>
      </c>
      <c r="F69" s="15">
        <f>SUM(E69,F6)-F66</f>
        <v>-91523.285749999995</v>
      </c>
      <c r="G69" s="15">
        <f t="shared" ref="G69:N69" si="93">SUM(F69,G6)-G66</f>
        <v>-159896.88244555553</v>
      </c>
      <c r="H69" s="15">
        <f t="shared" si="93"/>
        <v>-201367.71025111107</v>
      </c>
      <c r="I69" s="15">
        <f t="shared" si="93"/>
        <v>-111914.99694666662</v>
      </c>
      <c r="J69" s="15">
        <f t="shared" si="93"/>
        <v>-160312.13475222216</v>
      </c>
      <c r="K69" s="15">
        <f t="shared" si="93"/>
        <v>-70859.421447777713</v>
      </c>
      <c r="L69" s="15">
        <f t="shared" si="93"/>
        <v>-112330.24925333326</v>
      </c>
      <c r="M69" s="15">
        <f t="shared" si="93"/>
        <v>-9676.487058888808</v>
      </c>
      <c r="N69" s="15">
        <f t="shared" si="93"/>
        <v>-71123.773754444352</v>
      </c>
      <c r="O69" s="15">
        <f>SUM(N69,O6)-O66</f>
        <v>-112594.60155999989</v>
      </c>
      <c r="P69" s="15">
        <f>SUM(O69,P6)-P66</f>
        <v>-27548.168255555443</v>
      </c>
      <c r="Q69" s="16">
        <f>P69</f>
        <v>-27548.168255555443</v>
      </c>
      <c r="R69" s="15">
        <f>SUM(Q69,R6)-R66</f>
        <v>-71946.456061110992</v>
      </c>
      <c r="S69" s="15">
        <f t="shared" ref="S69:AO69" si="94">SUM(R69,S6)-S66</f>
        <v>37633.61613333346</v>
      </c>
      <c r="T69" s="15">
        <f t="shared" si="94"/>
        <v>-30739.980562222088</v>
      </c>
      <c r="U69" s="15">
        <f t="shared" si="94"/>
        <v>-72210.808367777645</v>
      </c>
      <c r="V69" s="15">
        <f t="shared" si="94"/>
        <v>17241.904936666804</v>
      </c>
      <c r="W69" s="15">
        <f t="shared" si="94"/>
        <v>-31155.232868888743</v>
      </c>
      <c r="X69" s="15">
        <f t="shared" si="94"/>
        <v>58297.480435555713</v>
      </c>
      <c r="Y69" s="15">
        <f t="shared" si="94"/>
        <v>16826.652630000164</v>
      </c>
      <c r="Z69" s="15">
        <f t="shared" si="94"/>
        <v>119480.41482444463</v>
      </c>
      <c r="AA69" s="15">
        <f t="shared" si="94"/>
        <v>58033.128128889075</v>
      </c>
      <c r="AB69" s="15">
        <f t="shared" si="94"/>
        <v>16562.300323333526</v>
      </c>
      <c r="AC69" s="15">
        <f t="shared" si="94"/>
        <v>119110.43251777798</v>
      </c>
      <c r="AD69" s="16">
        <f>AC69</f>
        <v>119110.43251777798</v>
      </c>
      <c r="AE69" s="15">
        <f t="shared" si="94"/>
        <v>51023.545822222426</v>
      </c>
      <c r="AF69" s="15">
        <f t="shared" si="94"/>
        <v>9703.6180166668782</v>
      </c>
      <c r="AG69" s="15">
        <f t="shared" si="94"/>
        <v>92230.02132111133</v>
      </c>
      <c r="AH69" s="15">
        <f t="shared" si="94"/>
        <v>50759.19351555578</v>
      </c>
      <c r="AI69" s="15">
        <f t="shared" si="94"/>
        <v>140211.90682000024</v>
      </c>
      <c r="AJ69" s="15">
        <f t="shared" si="94"/>
        <v>91814.769014444697</v>
      </c>
      <c r="AK69" s="15">
        <f t="shared" si="94"/>
        <v>198769.18120888915</v>
      </c>
      <c r="AL69" s="15">
        <f t="shared" si="94"/>
        <v>139796.65451333357</v>
      </c>
      <c r="AM69" s="15">
        <f t="shared" si="94"/>
        <v>91550.416707778029</v>
      </c>
      <c r="AN69" s="15">
        <f t="shared" si="94"/>
        <v>181003.13001222248</v>
      </c>
      <c r="AO69" s="15">
        <f t="shared" si="94"/>
        <v>139532.30220666694</v>
      </c>
      <c r="AP69" s="15">
        <f>SUM(AO69,AP6)-AP66</f>
        <v>242080.43440111136</v>
      </c>
      <c r="AQ69" s="16">
        <f>AP69</f>
        <v>242080.43440111136</v>
      </c>
    </row>
    <row r="70" spans="1:43" x14ac:dyDescent="0.3">
      <c r="G70" s="106"/>
      <c r="R70" s="62"/>
      <c r="S70" s="62"/>
      <c r="T70" s="62"/>
      <c r="U70" s="62"/>
      <c r="V70" s="62"/>
      <c r="W70" s="62"/>
      <c r="X70" s="62"/>
      <c r="Y70" s="62"/>
      <c r="Z70" s="62"/>
      <c r="AA70" s="63"/>
      <c r="AG70" s="62"/>
      <c r="AH70" s="62"/>
      <c r="AI70" s="62"/>
    </row>
    <row r="71" spans="1:43" x14ac:dyDescent="0.3">
      <c r="R71" s="62"/>
      <c r="S71" s="62"/>
      <c r="T71" s="62"/>
      <c r="U71" s="62"/>
      <c r="V71" s="62"/>
      <c r="W71" s="62"/>
      <c r="X71" s="62"/>
      <c r="Y71" s="62"/>
      <c r="Z71" s="62"/>
      <c r="AA71" s="63"/>
      <c r="AG71" s="62"/>
      <c r="AH71" s="62"/>
      <c r="AI71" s="62"/>
    </row>
    <row r="72" spans="1:43" x14ac:dyDescent="0.3">
      <c r="R72" s="62"/>
      <c r="S72" s="62"/>
      <c r="T72" s="62"/>
      <c r="U72" s="62"/>
      <c r="V72" s="62"/>
      <c r="W72" s="62"/>
      <c r="X72" s="62"/>
      <c r="Y72" s="62"/>
      <c r="Z72" s="62"/>
      <c r="AA72" s="63"/>
      <c r="AG72" s="62"/>
      <c r="AH72" s="62"/>
      <c r="AI72" s="62"/>
    </row>
    <row r="73" spans="1:43" x14ac:dyDescent="0.3">
      <c r="L73" s="64" t="s">
        <v>144</v>
      </c>
      <c r="M73" s="65" t="s">
        <v>145</v>
      </c>
      <c r="N73" s="65" t="s">
        <v>146</v>
      </c>
      <c r="O73" s="65" t="s">
        <v>147</v>
      </c>
      <c r="P73" s="65" t="s">
        <v>148</v>
      </c>
      <c r="Q73" s="66" t="s">
        <v>149</v>
      </c>
      <c r="R73" s="67" t="s">
        <v>150</v>
      </c>
      <c r="S73" s="64"/>
      <c r="T73" s="65"/>
      <c r="U73" s="65"/>
      <c r="V73" s="65"/>
      <c r="W73" s="67"/>
      <c r="AA73" s="63"/>
    </row>
    <row r="74" spans="1:43" x14ac:dyDescent="0.3">
      <c r="L74" t="s">
        <v>151</v>
      </c>
      <c r="M74" s="68">
        <f>SUM(E4:I4)</f>
        <v>75450</v>
      </c>
      <c r="N74" s="68">
        <f>SUM(J4:L4)</f>
        <v>75450</v>
      </c>
      <c r="O74" s="68">
        <f>SUM(M4:O4)</f>
        <v>75450</v>
      </c>
      <c r="P74" s="68">
        <f>SUM(P4:S4)-Q4</f>
        <v>150900</v>
      </c>
      <c r="Q74" s="69">
        <f>SUM(M74:P74)</f>
        <v>377250</v>
      </c>
      <c r="R74" s="68">
        <f>SUM(M74:P74)/12</f>
        <v>31437.5</v>
      </c>
      <c r="T74" s="68"/>
      <c r="U74" s="68"/>
      <c r="V74" s="68"/>
      <c r="W74" s="68"/>
      <c r="AA74" s="63"/>
      <c r="AG74" s="68"/>
      <c r="AH74" s="68"/>
      <c r="AI74" s="68"/>
    </row>
    <row r="75" spans="1:43" x14ac:dyDescent="0.3">
      <c r="L75" t="s">
        <v>152</v>
      </c>
      <c r="M75" s="70">
        <f>SUM(E66:G66)</f>
        <v>159896.88244555553</v>
      </c>
      <c r="N75" s="70">
        <f>SUM(H66:J66)</f>
        <v>151315.25230666663</v>
      </c>
      <c r="O75" s="70">
        <f>SUM(K66:M66)</f>
        <v>151164.35230666664</v>
      </c>
      <c r="P75" s="70">
        <f>SUM(N66:P66)</f>
        <v>168771.68119666664</v>
      </c>
      <c r="Q75" s="16">
        <f>SUM(M75:P75)</f>
        <v>631148.16825555544</v>
      </c>
      <c r="R75" s="15">
        <f>SUM(M75:P75)/12</f>
        <v>52595.680687962951</v>
      </c>
      <c r="T75" s="70"/>
      <c r="U75" s="70"/>
      <c r="V75" s="70"/>
      <c r="W75" s="70"/>
      <c r="AA75" s="63"/>
      <c r="AG75" s="70"/>
      <c r="AH75" s="70"/>
      <c r="AI75" s="70"/>
    </row>
    <row r="76" spans="1:43" x14ac:dyDescent="0.3">
      <c r="A76" s="17"/>
      <c r="L76" s="71" t="s">
        <v>153</v>
      </c>
      <c r="M76" s="72">
        <f t="shared" ref="M76:R76" si="95">M75/M74</f>
        <v>2.1192429747588539</v>
      </c>
      <c r="N76" s="72">
        <f t="shared" si="95"/>
        <v>2.0055036753700017</v>
      </c>
      <c r="O76" s="72">
        <f t="shared" si="95"/>
        <v>2.003503675370002</v>
      </c>
      <c r="P76" s="72">
        <f t="shared" si="95"/>
        <v>1.118433937685001</v>
      </c>
      <c r="Q76" s="73">
        <f t="shared" si="95"/>
        <v>1.6730236401737719</v>
      </c>
      <c r="R76" s="72">
        <f t="shared" si="95"/>
        <v>1.6730236401737717</v>
      </c>
      <c r="S76" s="71"/>
      <c r="T76" s="72"/>
      <c r="U76" s="72"/>
      <c r="V76" s="72"/>
      <c r="W76" s="72"/>
      <c r="AA76" s="63"/>
      <c r="AG76" s="74"/>
      <c r="AH76" s="74"/>
      <c r="AI76" s="74"/>
    </row>
    <row r="77" spans="1:43" x14ac:dyDescent="0.3">
      <c r="A77" s="17"/>
      <c r="L77" t="s">
        <v>154</v>
      </c>
      <c r="M77" s="75">
        <f>SUM(E5:G5)/3</f>
        <v>2</v>
      </c>
      <c r="N77" s="75">
        <f>SUM(H5:J5)/3</f>
        <v>2</v>
      </c>
      <c r="O77" s="75">
        <f>SUM(K5:M5)/3</f>
        <v>2</v>
      </c>
      <c r="P77" s="75">
        <f>SUM(N5:P5)/3</f>
        <v>2</v>
      </c>
      <c r="Q77" s="76">
        <f>AVERAGE(M77:P77)</f>
        <v>2</v>
      </c>
      <c r="R77" s="75">
        <f>SUM(E5:P5)/12</f>
        <v>2</v>
      </c>
      <c r="T77" s="75"/>
      <c r="U77" s="75"/>
      <c r="V77" s="75"/>
      <c r="W77" s="75"/>
      <c r="AA77" s="63"/>
      <c r="AG77" s="75"/>
      <c r="AH77" s="75"/>
      <c r="AI77" s="75"/>
    </row>
    <row r="78" spans="1:43" ht="43.8" thickBot="1" x14ac:dyDescent="0.35">
      <c r="A78" s="17"/>
      <c r="L78" s="1" t="s">
        <v>155</v>
      </c>
      <c r="M78" s="77">
        <v>0.51</v>
      </c>
      <c r="N78" s="75">
        <f>Q69*0.51</f>
        <v>-14049.565810333277</v>
      </c>
      <c r="O78" s="77">
        <v>0.49</v>
      </c>
      <c r="P78" s="75">
        <f>P69*0.49</f>
        <v>-13498.602445222166</v>
      </c>
      <c r="Q78" s="78" t="s">
        <v>156</v>
      </c>
      <c r="R78" s="75">
        <f>SUM(E66:J66)</f>
        <v>311212.13475222216</v>
      </c>
      <c r="T78" s="79"/>
      <c r="U78" s="79"/>
      <c r="V78" s="79"/>
      <c r="W78" s="79"/>
      <c r="AA78" s="63"/>
      <c r="AG78" s="75"/>
      <c r="AH78" s="75"/>
      <c r="AI78" s="75"/>
    </row>
    <row r="79" spans="1:43" x14ac:dyDescent="0.3">
      <c r="O79" s="80" t="s">
        <v>157</v>
      </c>
      <c r="P79" s="81">
        <f>P78/R78</f>
        <v>-4.3374280556152965E-2</v>
      </c>
      <c r="Q79" s="82">
        <f>P78</f>
        <v>-13498.602445222166</v>
      </c>
      <c r="T79" s="68"/>
      <c r="U79" s="68"/>
      <c r="V79" s="68"/>
      <c r="W79" s="68"/>
      <c r="AA79" s="63"/>
    </row>
    <row r="80" spans="1:43" x14ac:dyDescent="0.3">
      <c r="O80" s="83" t="s">
        <v>158</v>
      </c>
      <c r="P80" s="84">
        <f>(P78*2)/R78</f>
        <v>-8.674856111230593E-2</v>
      </c>
      <c r="Q80" s="85">
        <f>P78</f>
        <v>-13498.602445222166</v>
      </c>
      <c r="T80" s="70"/>
      <c r="U80" s="70"/>
      <c r="V80" s="70"/>
      <c r="W80" s="68"/>
    </row>
    <row r="81" spans="15:23" ht="15" thickBot="1" x14ac:dyDescent="0.35">
      <c r="O81" s="86" t="s">
        <v>159</v>
      </c>
      <c r="P81" s="87">
        <f>(P78*3)/R78</f>
        <v>-0.13012284166845889</v>
      </c>
      <c r="Q81" s="88">
        <f>P78</f>
        <v>-13498.602445222166</v>
      </c>
      <c r="T81" s="89"/>
      <c r="U81" s="89"/>
      <c r="V81" s="89"/>
      <c r="W81" s="89"/>
    </row>
    <row r="83" spans="15:23" x14ac:dyDescent="0.3">
      <c r="S83" s="90"/>
      <c r="T83" s="91"/>
      <c r="U83" s="91"/>
      <c r="V83" s="91"/>
      <c r="W83" s="92"/>
    </row>
    <row r="84" spans="15:23" x14ac:dyDescent="0.3">
      <c r="T84" s="68"/>
      <c r="U84" s="68"/>
      <c r="V84" s="68"/>
      <c r="W84" s="68"/>
    </row>
    <row r="85" spans="15:23" x14ac:dyDescent="0.3">
      <c r="T85" s="70"/>
      <c r="U85" s="70"/>
      <c r="V85" s="70"/>
      <c r="W85" s="70"/>
    </row>
    <row r="86" spans="15:23" x14ac:dyDescent="0.3">
      <c r="S86" s="92"/>
      <c r="T86" s="93"/>
      <c r="U86" s="93"/>
      <c r="V86" s="93"/>
      <c r="W86" s="9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Rooms</vt:lpstr>
      <vt:lpstr>Grow Fractional per sqft (2Rms)</vt:lpstr>
      <vt:lpstr>Grow Fractional per sqft (4Rms)</vt:lpstr>
      <vt:lpstr>Grow Fractional per sqft (8Rms)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Nathaniel Garneau</dc:creator>
  <cp:keywords/>
  <dc:description/>
  <cp:lastModifiedBy>Nathaniel Garneau</cp:lastModifiedBy>
  <cp:revision/>
  <dcterms:created xsi:type="dcterms:W3CDTF">2025-04-11T03:35:52Z</dcterms:created>
  <dcterms:modified xsi:type="dcterms:W3CDTF">2025-08-07T16:58:33Z</dcterms:modified>
  <cp:category/>
  <cp:contentStatus/>
</cp:coreProperties>
</file>