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hcoloans-my.sharepoint.com/personal/tim_businessasaforceforgood_ca/Documents/Desktop/"/>
    </mc:Choice>
  </mc:AlternateContent>
  <xr:revisionPtr revIDLastSave="0" documentId="14_{86BF7AB1-949C-46A4-9CC9-4B3EFFE72612}" xr6:coauthVersionLast="47" xr6:coauthVersionMax="47" xr10:uidLastSave="{00000000-0000-0000-0000-000000000000}"/>
  <bookViews>
    <workbookView xWindow="-110" yWindow="-110" windowWidth="25180" windowHeight="16260" activeTab="1" xr2:uid="{B9E6B968-5426-48BB-8D28-4D91B2952FC0}"/>
  </bookViews>
  <sheets>
    <sheet name="Ongoing" sheetId="4" r:id="rId1"/>
    <sheet name="Issue" sheetId="5" r:id="rId2"/>
    <sheet name="Collection" sheetId="2" r:id="rId3"/>
    <sheet name="Leg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3" l="1"/>
  <c r="H12" i="3"/>
  <c r="I12" i="3"/>
  <c r="J12" i="3"/>
  <c r="G52" i="5"/>
  <c r="H52" i="5"/>
  <c r="I52" i="5"/>
  <c r="J52" i="5"/>
  <c r="G80" i="4"/>
  <c r="H80" i="4"/>
  <c r="I80" i="4"/>
  <c r="J80" i="4"/>
  <c r="G165" i="2"/>
  <c r="H165" i="2"/>
  <c r="I165" i="2"/>
  <c r="J165" i="2"/>
</calcChain>
</file>

<file path=xl/sharedStrings.xml><?xml version="1.0" encoding="utf-8"?>
<sst xmlns="http://schemas.openxmlformats.org/spreadsheetml/2006/main" count="1528" uniqueCount="858">
  <si>
    <t>Sum</t>
  </si>
  <si>
    <t>August 27, 2020</t>
  </si>
  <si>
    <t>MICHAEL MANTYKA</t>
  </si>
  <si>
    <t/>
  </si>
  <si>
    <t>LOAN</t>
  </si>
  <si>
    <t>CHARLES JORDAN T.</t>
  </si>
  <si>
    <t>January 6, 2020</t>
  </si>
  <si>
    <t>PATRICIA WEBER</t>
  </si>
  <si>
    <t>BARNETT EPHRAIM</t>
  </si>
  <si>
    <t>December 31, 2019</t>
  </si>
  <si>
    <t>November 12, 2019</t>
  </si>
  <si>
    <t>WILLIAM HORWITZ</t>
  </si>
  <si>
    <t>SAULTEAUX ANNIE</t>
  </si>
  <si>
    <t>August 28, 2019</t>
  </si>
  <si>
    <t>July 22, 2019</t>
  </si>
  <si>
    <t>ALASTAIR SIMESON</t>
  </si>
  <si>
    <t>12838</t>
  </si>
  <si>
    <t>PULL</t>
  </si>
  <si>
    <t>MARTIN JOHN</t>
  </si>
  <si>
    <t>June 14, 2019</t>
  </si>
  <si>
    <t>OLGA KANEVSKY</t>
  </si>
  <si>
    <t>12806</t>
  </si>
  <si>
    <t>SAYID ABDULQANI</t>
  </si>
  <si>
    <t>March 15, 2019</t>
  </si>
  <si>
    <t>SHIRA BERNHOLTZ</t>
  </si>
  <si>
    <t>12751</t>
  </si>
  <si>
    <t>DESPRES MATHIEU</t>
  </si>
  <si>
    <t>December 10, 2018</t>
  </si>
  <si>
    <t>JASMINE DAYA</t>
  </si>
  <si>
    <t>12655</t>
  </si>
  <si>
    <t>DAULTREY PRESTON</t>
  </si>
  <si>
    <t>December 7, 2018</t>
  </si>
  <si>
    <t>JOSH LANG</t>
  </si>
  <si>
    <t>12649</t>
  </si>
  <si>
    <t>BOSSE KARISA</t>
  </si>
  <si>
    <t>WILLIEM MANCHUK</t>
  </si>
  <si>
    <t>12621</t>
  </si>
  <si>
    <t>GRAHAM BRANDIS</t>
  </si>
  <si>
    <t>November 9, 2018</t>
  </si>
  <si>
    <t>12609</t>
  </si>
  <si>
    <t>ALI TARRABAIN</t>
  </si>
  <si>
    <t>12603</t>
  </si>
  <si>
    <t>MOHAMMED RANA</t>
  </si>
  <si>
    <t>October 31, 2018</t>
  </si>
  <si>
    <t>12595</t>
  </si>
  <si>
    <t>October 23, 2018</t>
  </si>
  <si>
    <t>MARK NIKEL</t>
  </si>
  <si>
    <t>12584</t>
  </si>
  <si>
    <t>MARSHALL CRYSTAL</t>
  </si>
  <si>
    <t>October 19, 2018</t>
  </si>
  <si>
    <t>THOMAS BRAIDWOOD</t>
  </si>
  <si>
    <t>12578</t>
  </si>
  <si>
    <t>GOLDUP GARRETT</t>
  </si>
  <si>
    <t>October 2, 2018</t>
  </si>
  <si>
    <t>USMAN GHANI</t>
  </si>
  <si>
    <t>12558</t>
  </si>
  <si>
    <t>CHRISTENSEN DARREN</t>
  </si>
  <si>
    <t>September 26, 2018</t>
  </si>
  <si>
    <t>BRENDA HOLLINGSWORTH</t>
  </si>
  <si>
    <t>12553</t>
  </si>
  <si>
    <t>NICE CODY</t>
  </si>
  <si>
    <t>September 6, 2018</t>
  </si>
  <si>
    <t>CHANTAL GALLANT</t>
  </si>
  <si>
    <t>12536</t>
  </si>
  <si>
    <t>July 26, 2018</t>
  </si>
  <si>
    <t>ALAMGIR HUSSAIN</t>
  </si>
  <si>
    <t>12493</t>
  </si>
  <si>
    <t>OBERMULLER CHERYL</t>
  </si>
  <si>
    <t>June 22, 2018</t>
  </si>
  <si>
    <t>12468</t>
  </si>
  <si>
    <t>April 9, 2018</t>
  </si>
  <si>
    <t>LIAM O'REILLY</t>
  </si>
  <si>
    <t>12409</t>
  </si>
  <si>
    <t>CONDO WAYNE</t>
  </si>
  <si>
    <t>12408</t>
  </si>
  <si>
    <t>PAUL CASSANDRA</t>
  </si>
  <si>
    <t>March 21, 2018</t>
  </si>
  <si>
    <t>NAPHTALI SILVERMAN</t>
  </si>
  <si>
    <t>12392</t>
  </si>
  <si>
    <t>RIBBLE ROY</t>
  </si>
  <si>
    <t>February 20, 2018</t>
  </si>
  <si>
    <t>MIKHAEL MAGARIL</t>
  </si>
  <si>
    <t>12359</t>
  </si>
  <si>
    <t>BELANGER MAGEN</t>
  </si>
  <si>
    <t>February 9, 2018</t>
  </si>
  <si>
    <t>12351</t>
  </si>
  <si>
    <t>January 18, 2018</t>
  </si>
  <si>
    <t>GEORGE AKERS</t>
  </si>
  <si>
    <t>12324</t>
  </si>
  <si>
    <t>December 22, 2017</t>
  </si>
  <si>
    <t>12313</t>
  </si>
  <si>
    <t>JOHNSON PAMELA</t>
  </si>
  <si>
    <t>November 30, 2017</t>
  </si>
  <si>
    <t>LEIGHTON GREY</t>
  </si>
  <si>
    <t>12282</t>
  </si>
  <si>
    <t>MARTIAL LEON</t>
  </si>
  <si>
    <t>November 29, 2017</t>
  </si>
  <si>
    <t>SAJJAD JAFFER</t>
  </si>
  <si>
    <t>12273</t>
  </si>
  <si>
    <t>SINGH BALJEET</t>
  </si>
  <si>
    <t>October 18, 2017</t>
  </si>
  <si>
    <t>12237</t>
  </si>
  <si>
    <t>September 11, 2017</t>
  </si>
  <si>
    <t>PRIASHNA SINGH</t>
  </si>
  <si>
    <t>12207</t>
  </si>
  <si>
    <t>JOSEPH MARTIN</t>
  </si>
  <si>
    <t>August 16, 2017</t>
  </si>
  <si>
    <t>NAVANEETHAN KANTHASA</t>
  </si>
  <si>
    <t>12190</t>
  </si>
  <si>
    <t>MATIN MAIHANDOST ABDUL</t>
  </si>
  <si>
    <t>August 3, 2017</t>
  </si>
  <si>
    <t>ETHAN ROGERS</t>
  </si>
  <si>
    <t>12178</t>
  </si>
  <si>
    <t>CATON ALFRED</t>
  </si>
  <si>
    <t>July 14, 2017</t>
  </si>
  <si>
    <t>MIRANDA MOORE</t>
  </si>
  <si>
    <t>12167</t>
  </si>
  <si>
    <t>YOUNGCHIEF FLORENCE</t>
  </si>
  <si>
    <t>May 16, 2017</t>
  </si>
  <si>
    <t>SHARON RAMSDEN</t>
  </si>
  <si>
    <t>12126</t>
  </si>
  <si>
    <t>ABDUL-HAQQ KHALID</t>
  </si>
  <si>
    <t>April 19, 2017</t>
  </si>
  <si>
    <t>12102</t>
  </si>
  <si>
    <t>February 17, 2017</t>
  </si>
  <si>
    <t>JAIME SAROPHIM</t>
  </si>
  <si>
    <t>12044</t>
  </si>
  <si>
    <t>MUSTAFA GURKAL</t>
  </si>
  <si>
    <t>February 9, 2017</t>
  </si>
  <si>
    <t>ANDREW KEMP</t>
  </si>
  <si>
    <t>12032</t>
  </si>
  <si>
    <t>JOSEPH LAURGAN</t>
  </si>
  <si>
    <t>February 8, 2017</t>
  </si>
  <si>
    <t>12029</t>
  </si>
  <si>
    <t>February 2, 2017</t>
  </si>
  <si>
    <t>STEVE GROVER</t>
  </si>
  <si>
    <t>12024</t>
  </si>
  <si>
    <t>RING BIONG</t>
  </si>
  <si>
    <t>January 24, 2017</t>
  </si>
  <si>
    <t>12014</t>
  </si>
  <si>
    <t>January 11, 2017</t>
  </si>
  <si>
    <t>MARIA MIKHAILITCHENK</t>
  </si>
  <si>
    <t>12002</t>
  </si>
  <si>
    <t>BERTUCCI TATIANA</t>
  </si>
  <si>
    <t>January 10, 2017</t>
  </si>
  <si>
    <t>12000</t>
  </si>
  <si>
    <t>December 20, 2016</t>
  </si>
  <si>
    <t>11981</t>
  </si>
  <si>
    <t>December 12, 2016</t>
  </si>
  <si>
    <t>11965</t>
  </si>
  <si>
    <t>MARTIN VONETTA</t>
  </si>
  <si>
    <t>December 2, 2016</t>
  </si>
  <si>
    <t>SUNISH UPPAL</t>
  </si>
  <si>
    <t>11948</t>
  </si>
  <si>
    <t>RODRIQUES SHARON</t>
  </si>
  <si>
    <t>November 10, 2016</t>
  </si>
  <si>
    <t>11927</t>
  </si>
  <si>
    <t>October 27, 2016</t>
  </si>
  <si>
    <t>ANDREA MANTELLA</t>
  </si>
  <si>
    <t>11916</t>
  </si>
  <si>
    <t>MCKENZIE ODETTA</t>
  </si>
  <si>
    <t>October 25, 2016</t>
  </si>
  <si>
    <t>MICHAEL SLONIOWSKI</t>
  </si>
  <si>
    <t>11913</t>
  </si>
  <si>
    <t>KNAPP SUSAN</t>
  </si>
  <si>
    <t>September 23, 2016</t>
  </si>
  <si>
    <t>SEVDA GULIYEVA</t>
  </si>
  <si>
    <t>11886</t>
  </si>
  <si>
    <t>GILCHRIST DANIEL</t>
  </si>
  <si>
    <t>September 16, 2016</t>
  </si>
  <si>
    <t>SHADRIN BROOKS</t>
  </si>
  <si>
    <t>11879</t>
  </si>
  <si>
    <t>KWONG SIENNY</t>
  </si>
  <si>
    <t>September 8, 2016</t>
  </si>
  <si>
    <t>DEVINN CONNOLLY</t>
  </si>
  <si>
    <t>11871</t>
  </si>
  <si>
    <t>BEARHEAD HUGHIE</t>
  </si>
  <si>
    <t>September 2, 2016</t>
  </si>
  <si>
    <t>ALLAN DAMER</t>
  </si>
  <si>
    <t>11868</t>
  </si>
  <si>
    <t>VERRIER MIKE</t>
  </si>
  <si>
    <t>August 26, 2016</t>
  </si>
  <si>
    <t>EINAV SHLOMOVITZ</t>
  </si>
  <si>
    <t>11860</t>
  </si>
  <si>
    <t>ADEYOKUNNU ADEBUNMI</t>
  </si>
  <si>
    <t>August 4, 2016</t>
  </si>
  <si>
    <t>BRIAN DELANEY</t>
  </si>
  <si>
    <t>11827</t>
  </si>
  <si>
    <t>LAKE JEREMY</t>
  </si>
  <si>
    <t>July 12, 2016</t>
  </si>
  <si>
    <t>11805</t>
  </si>
  <si>
    <t>June 23, 2016</t>
  </si>
  <si>
    <t>PAUL FOISY</t>
  </si>
  <si>
    <t>11780</t>
  </si>
  <si>
    <t>FIELDING JOHN</t>
  </si>
  <si>
    <t>June 15, 2016</t>
  </si>
  <si>
    <t>11761</t>
  </si>
  <si>
    <t>June 10, 2016</t>
  </si>
  <si>
    <t>BRENDAN VEALE</t>
  </si>
  <si>
    <t>11757</t>
  </si>
  <si>
    <t>MOHAMED ALI</t>
  </si>
  <si>
    <t>June 7, 2016</t>
  </si>
  <si>
    <t>11754</t>
  </si>
  <si>
    <t>May 9, 2016</t>
  </si>
  <si>
    <t>ANDREW MANTELLA</t>
  </si>
  <si>
    <t>11723</t>
  </si>
  <si>
    <t>May 3, 2016</t>
  </si>
  <si>
    <t>11718</t>
  </si>
  <si>
    <t>April 27, 2016</t>
  </si>
  <si>
    <t>11714</t>
  </si>
  <si>
    <t>April 22, 2016</t>
  </si>
  <si>
    <t>RICHARD CHO</t>
  </si>
  <si>
    <t>11706</t>
  </si>
  <si>
    <t>HUEZO ENRIQUES</t>
  </si>
  <si>
    <t>April 5, 2016</t>
  </si>
  <si>
    <t>ANTHONY BENJAMIN</t>
  </si>
  <si>
    <t>11692</t>
  </si>
  <si>
    <t>NORMAN ORAL (CHRISTOPHER)</t>
  </si>
  <si>
    <t>March 9, 2016</t>
  </si>
  <si>
    <t>KRIS MACKIE</t>
  </si>
  <si>
    <t>11674</t>
  </si>
  <si>
    <t>SCRIVER JOLENE</t>
  </si>
  <si>
    <t>February 17, 2016</t>
  </si>
  <si>
    <t>11663</t>
  </si>
  <si>
    <t>February 4, 2016</t>
  </si>
  <si>
    <t>DAVID MCDOUGALL</t>
  </si>
  <si>
    <t>11632</t>
  </si>
  <si>
    <t>RICHARD DEBBY</t>
  </si>
  <si>
    <t>January 29, 2016</t>
  </si>
  <si>
    <t>11626</t>
  </si>
  <si>
    <t>STERLING PAUL</t>
  </si>
  <si>
    <t>January 28, 2016</t>
  </si>
  <si>
    <t>HARVEY CONSKY</t>
  </si>
  <si>
    <t>11622</t>
  </si>
  <si>
    <t>SHIPLEY TERESA</t>
  </si>
  <si>
    <t>January 22, 2016</t>
  </si>
  <si>
    <t>11616</t>
  </si>
  <si>
    <t>January 18, 2016</t>
  </si>
  <si>
    <t>11607</t>
  </si>
  <si>
    <t>January 7, 2016</t>
  </si>
  <si>
    <t>11594</t>
  </si>
  <si>
    <t>December 29, 2015</t>
  </si>
  <si>
    <t>JAMES RICHARDS</t>
  </si>
  <si>
    <t>11588</t>
  </si>
  <si>
    <t>December 11, 2015</t>
  </si>
  <si>
    <t>SARAH MARSHALL</t>
  </si>
  <si>
    <t>11563</t>
  </si>
  <si>
    <t>RANDELL DAVID</t>
  </si>
  <si>
    <t>December 8, 2015</t>
  </si>
  <si>
    <t>ANUSHIKA ANTHONY</t>
  </si>
  <si>
    <t>11553</t>
  </si>
  <si>
    <t>WELLS DEREK</t>
  </si>
  <si>
    <t>November 4, 2015</t>
  </si>
  <si>
    <t>ANTHONY S BENJAMIN</t>
  </si>
  <si>
    <t>11514</t>
  </si>
  <si>
    <t>BARRETT IONIE</t>
  </si>
  <si>
    <t>October 27, 2015</t>
  </si>
  <si>
    <t>11505</t>
  </si>
  <si>
    <t>October 15, 2015</t>
  </si>
  <si>
    <t>11494</t>
  </si>
  <si>
    <t>October 8, 2015</t>
  </si>
  <si>
    <t>MARTIN G SCHULZ</t>
  </si>
  <si>
    <t>11487</t>
  </si>
  <si>
    <t>September 16, 2015</t>
  </si>
  <si>
    <t>GLEN</t>
  </si>
  <si>
    <t>11468</t>
  </si>
  <si>
    <t>OZON DANIEL</t>
  </si>
  <si>
    <t>September 15, 2015</t>
  </si>
  <si>
    <t>GLEN ROEBOTHAN</t>
  </si>
  <si>
    <t>11466</t>
  </si>
  <si>
    <t>September 10, 2015</t>
  </si>
  <si>
    <t>11459</t>
  </si>
  <si>
    <t>August 19, 2015</t>
  </si>
  <si>
    <t>11440</t>
  </si>
  <si>
    <t>BRUCE MINTZ</t>
  </si>
  <si>
    <t>11439</t>
  </si>
  <si>
    <t>TANASIUK STEVE</t>
  </si>
  <si>
    <t>June 16, 2015</t>
  </si>
  <si>
    <t>11367</t>
  </si>
  <si>
    <t>DAVID SONG</t>
  </si>
  <si>
    <t>11300</t>
  </si>
  <si>
    <t>HARRIETHA MONICA</t>
  </si>
  <si>
    <t>April 21, 2015</t>
  </si>
  <si>
    <t>JANUS SIEBRITS</t>
  </si>
  <si>
    <t>11288</t>
  </si>
  <si>
    <t>HEALD PAMELA</t>
  </si>
  <si>
    <t>April 16, 2015</t>
  </si>
  <si>
    <t>CHRISTOPHER CAIRNS</t>
  </si>
  <si>
    <t>11283</t>
  </si>
  <si>
    <t>April 15, 2015</t>
  </si>
  <si>
    <t>11281</t>
  </si>
  <si>
    <t>March 31, 2015</t>
  </si>
  <si>
    <t>THOMAS LONG</t>
  </si>
  <si>
    <t>11260</t>
  </si>
  <si>
    <t>HILLE MONTY</t>
  </si>
  <si>
    <t>March 18, 2015</t>
  </si>
  <si>
    <t>11242</t>
  </si>
  <si>
    <t>11241</t>
  </si>
  <si>
    <t>FORRY TERRANCE</t>
  </si>
  <si>
    <t>February 27, 2015</t>
  </si>
  <si>
    <t>JIM HANSEN</t>
  </si>
  <si>
    <t>11214</t>
  </si>
  <si>
    <t>ROSTAS ZOLTAN</t>
  </si>
  <si>
    <t>February 4, 2015</t>
  </si>
  <si>
    <t>11187</t>
  </si>
  <si>
    <t>December 18, 2014</t>
  </si>
  <si>
    <t>DONNA OLIVER</t>
  </si>
  <si>
    <t>11127</t>
  </si>
  <si>
    <t>MCNEELY BILLY</t>
  </si>
  <si>
    <t>November 10, 2014</t>
  </si>
  <si>
    <t>11061</t>
  </si>
  <si>
    <t>November 4, 2014</t>
  </si>
  <si>
    <t>JEAN-MARC HEBERT</t>
  </si>
  <si>
    <t>11050</t>
  </si>
  <si>
    <t>SANUIK BRADLEY</t>
  </si>
  <si>
    <t>October 20, 2014</t>
  </si>
  <si>
    <t>LEANNE GOLDSTEIN</t>
  </si>
  <si>
    <t>11020</t>
  </si>
  <si>
    <t>MCLACHLAN GARY</t>
  </si>
  <si>
    <t>October 9, 2014</t>
  </si>
  <si>
    <t>SEAN CARTER</t>
  </si>
  <si>
    <t>11008</t>
  </si>
  <si>
    <t>RESTELL ROBERT</t>
  </si>
  <si>
    <t>September 9, 2014</t>
  </si>
  <si>
    <t>JEAN MARC-HERBERT</t>
  </si>
  <si>
    <t>10985</t>
  </si>
  <si>
    <t>August 15, 2014</t>
  </si>
  <si>
    <t>ELIZA MAYNE</t>
  </si>
  <si>
    <t>10960</t>
  </si>
  <si>
    <t>August 8, 2014</t>
  </si>
  <si>
    <t>MICHAEL SLONIIOSKI</t>
  </si>
  <si>
    <t>10952</t>
  </si>
  <si>
    <t>July 14, 2014</t>
  </si>
  <si>
    <t>10926</t>
  </si>
  <si>
    <t>July 2, 2014</t>
  </si>
  <si>
    <t>JOEL ROCHON</t>
  </si>
  <si>
    <t>10905</t>
  </si>
  <si>
    <t>ALDRED STEVEN</t>
  </si>
  <si>
    <t>June 4, 2014</t>
  </si>
  <si>
    <t>ELIZA</t>
  </si>
  <si>
    <t>10886</t>
  </si>
  <si>
    <t>May 29, 2014</t>
  </si>
  <si>
    <t>ELIZA MAYNES</t>
  </si>
  <si>
    <t>10876</t>
  </si>
  <si>
    <t>March 28, 2014</t>
  </si>
  <si>
    <t>10805</t>
  </si>
  <si>
    <t>March 26, 2014</t>
  </si>
  <si>
    <t>SIMON HOLMAN</t>
  </si>
  <si>
    <t>10802</t>
  </si>
  <si>
    <t>DYKENS AMELIA</t>
  </si>
  <si>
    <t>March 4, 2014</t>
  </si>
  <si>
    <t>10772</t>
  </si>
  <si>
    <t>February 4, 2014</t>
  </si>
  <si>
    <t>10745</t>
  </si>
  <si>
    <t>January 24, 2014</t>
  </si>
  <si>
    <t>10739</t>
  </si>
  <si>
    <t>January 13, 2014</t>
  </si>
  <si>
    <t>SIMON LI</t>
  </si>
  <si>
    <t>10724</t>
  </si>
  <si>
    <t>ANANG JOSHUA</t>
  </si>
  <si>
    <t>January 3, 2014</t>
  </si>
  <si>
    <t>10713</t>
  </si>
  <si>
    <t>December 27, 2013</t>
  </si>
  <si>
    <t>10694</t>
  </si>
  <si>
    <t>December 3, 2013</t>
  </si>
  <si>
    <t>10663</t>
  </si>
  <si>
    <t>November 8, 2013</t>
  </si>
  <si>
    <t>MICHEL YERMUS</t>
  </si>
  <si>
    <t>10609</t>
  </si>
  <si>
    <t>AERY AJAY</t>
  </si>
  <si>
    <t>October 31, 2013</t>
  </si>
  <si>
    <t>10598</t>
  </si>
  <si>
    <t>October 28, 2013</t>
  </si>
  <si>
    <t>SETH KADISH</t>
  </si>
  <si>
    <t>10594</t>
  </si>
  <si>
    <t>HARPER MICHELLE</t>
  </si>
  <si>
    <t>October 9, 2013</t>
  </si>
  <si>
    <t>ADAM MOFTAH</t>
  </si>
  <si>
    <t>10561</t>
  </si>
  <si>
    <t>WOODS GEORGE</t>
  </si>
  <si>
    <t>October 1, 2013</t>
  </si>
  <si>
    <t>10549</t>
  </si>
  <si>
    <t>August 29, 2013</t>
  </si>
  <si>
    <t>10470</t>
  </si>
  <si>
    <t>MICHAEL YERMUS</t>
  </si>
  <si>
    <t>10498</t>
  </si>
  <si>
    <t>July 31, 2013</t>
  </si>
  <si>
    <t>10445</t>
  </si>
  <si>
    <t>July 25, 2013</t>
  </si>
  <si>
    <t>10392</t>
  </si>
  <si>
    <t>July 8, 2013</t>
  </si>
  <si>
    <t>RUSSELL HOWE</t>
  </si>
  <si>
    <t>10388</t>
  </si>
  <si>
    <t>FENTON WILLIAM (BILL)</t>
  </si>
  <si>
    <t>June 28, 2013</t>
  </si>
  <si>
    <t>PATRICK MAZUREK</t>
  </si>
  <si>
    <t>10380</t>
  </si>
  <si>
    <t>GHASEMI LEOLITA</t>
  </si>
  <si>
    <t>10379</t>
  </si>
  <si>
    <t>June 12, 2013</t>
  </si>
  <si>
    <t>10349</t>
  </si>
  <si>
    <t>June 6, 2013</t>
  </si>
  <si>
    <t>MARIA GALEA</t>
  </si>
  <si>
    <t>10331</t>
  </si>
  <si>
    <t>APPAIH ANNETTE</t>
  </si>
  <si>
    <t>May 30, 2013</t>
  </si>
  <si>
    <t>SARAH MARSCHAL</t>
  </si>
  <si>
    <t>10325</t>
  </si>
  <si>
    <t>May 14, 2013</t>
  </si>
  <si>
    <t>10299</t>
  </si>
  <si>
    <t>May 9, 2013</t>
  </si>
  <si>
    <t>10274</t>
  </si>
  <si>
    <t>April 30, 2013</t>
  </si>
  <si>
    <t>SARAH MARSHAL</t>
  </si>
  <si>
    <t>10264</t>
  </si>
  <si>
    <t>April 12, 2013</t>
  </si>
  <si>
    <t>RUSSELL J. HOWE</t>
  </si>
  <si>
    <t>10233</t>
  </si>
  <si>
    <t>April 8, 2013</t>
  </si>
  <si>
    <t>ALMEIDA RAFAEL</t>
  </si>
  <si>
    <t>10205</t>
  </si>
  <si>
    <t>April 3, 2013</t>
  </si>
  <si>
    <t>BARRY EDSON</t>
  </si>
  <si>
    <t>10229</t>
  </si>
  <si>
    <t>GALTON ANDREW</t>
  </si>
  <si>
    <t>April 2, 2013</t>
  </si>
  <si>
    <t>10249</t>
  </si>
  <si>
    <t>April 1, 2013</t>
  </si>
  <si>
    <t>10202</t>
  </si>
  <si>
    <t>FERDINAND SEETAL</t>
  </si>
  <si>
    <t>March 28, 2013</t>
  </si>
  <si>
    <t>ANDREW SUBOCH</t>
  </si>
  <si>
    <t>10199</t>
  </si>
  <si>
    <t>February 26, 2013</t>
  </si>
  <si>
    <t>10129</t>
  </si>
  <si>
    <t>February 13, 2013</t>
  </si>
  <si>
    <t>MICHAEL YURMUS</t>
  </si>
  <si>
    <t>10120</t>
  </si>
  <si>
    <t>February 11, 2013</t>
  </si>
  <si>
    <t>LEE RUSINKO</t>
  </si>
  <si>
    <t>10117</t>
  </si>
  <si>
    <t>SANDERSON MITCHELL</t>
  </si>
  <si>
    <t>January 29, 2013</t>
  </si>
  <si>
    <t>10099</t>
  </si>
  <si>
    <t>January 21, 2013</t>
  </si>
  <si>
    <t>DICK BYL</t>
  </si>
  <si>
    <t>January 14, 2013</t>
  </si>
  <si>
    <t>10089</t>
  </si>
  <si>
    <t>January 11, 2013</t>
  </si>
  <si>
    <t>10086</t>
  </si>
  <si>
    <t>December 20, 2012</t>
  </si>
  <si>
    <t>10044</t>
  </si>
  <si>
    <t>November 22, 2012</t>
  </si>
  <si>
    <t>ROBERT LAMOT</t>
  </si>
  <si>
    <t>10004</t>
  </si>
  <si>
    <t>JAMBOR KRZYSZTOF</t>
  </si>
  <si>
    <t>9867</t>
  </si>
  <si>
    <t>April 26, 2012</t>
  </si>
  <si>
    <t>LEE J. RUSINKO</t>
  </si>
  <si>
    <t>9757</t>
  </si>
  <si>
    <t>April 24, 2012</t>
  </si>
  <si>
    <t>RICHARD GLENN</t>
  </si>
  <si>
    <t>9754</t>
  </si>
  <si>
    <t>Hamilton Shane</t>
  </si>
  <si>
    <t>January 19, 2012</t>
  </si>
  <si>
    <t>DAVID DERFEL</t>
  </si>
  <si>
    <t>9656</t>
  </si>
  <si>
    <t>NADARAJAH SRIVATHSAN</t>
  </si>
  <si>
    <t>October 21, 2011</t>
  </si>
  <si>
    <t>MICHAEL DOLAN</t>
  </si>
  <si>
    <t>9543</t>
  </si>
  <si>
    <t>ORENCHUK SEAN</t>
  </si>
  <si>
    <t>September 2, 2011</t>
  </si>
  <si>
    <t>August 9, 2011</t>
  </si>
  <si>
    <t>MARC SPIVAK</t>
  </si>
  <si>
    <t>May 25, 2011</t>
  </si>
  <si>
    <t>9341</t>
  </si>
  <si>
    <t>May 6, 2011</t>
  </si>
  <si>
    <t>March 31, 2011</t>
  </si>
  <si>
    <t>9279</t>
  </si>
  <si>
    <t>March 24, 2011</t>
  </si>
  <si>
    <t>9275</t>
  </si>
  <si>
    <t>OB</t>
  </si>
  <si>
    <t>Payment Total</t>
  </si>
  <si>
    <t>Finance Charge</t>
  </si>
  <si>
    <t>Amt Financed</t>
  </si>
  <si>
    <t>Column2</t>
  </si>
  <si>
    <t>Location</t>
  </si>
  <si>
    <t>Inv Number</t>
  </si>
  <si>
    <t>Status</t>
  </si>
  <si>
    <t>Client name</t>
  </si>
  <si>
    <t>Loan Num</t>
  </si>
  <si>
    <t>Collection</t>
  </si>
  <si>
    <t>January 19, 2011</t>
  </si>
  <si>
    <t>ANASTASE MARAAOS</t>
  </si>
  <si>
    <t>9191</t>
  </si>
  <si>
    <t>JONES JORDAN</t>
  </si>
  <si>
    <t>May 10, 2011</t>
  </si>
  <si>
    <t>9334</t>
  </si>
  <si>
    <t>June 30, 2011</t>
  </si>
  <si>
    <t>ANASTASE MARAGOS</t>
  </si>
  <si>
    <t>September 9, 2011</t>
  </si>
  <si>
    <t>9506</t>
  </si>
  <si>
    <t>August 6, 2013</t>
  </si>
  <si>
    <t>ANATASE MARAGOS</t>
  </si>
  <si>
    <t>10476</t>
  </si>
  <si>
    <t>May 20, 2016</t>
  </si>
  <si>
    <t>JERRY KIRIAK</t>
  </si>
  <si>
    <t>11738</t>
  </si>
  <si>
    <t>SANTORO PASQUALINO</t>
  </si>
  <si>
    <t>December 13, 2018</t>
  </si>
  <si>
    <t>SEAN LAYDEN</t>
  </si>
  <si>
    <t>12662</t>
  </si>
  <si>
    <t>SIMMONDS AARON</t>
  </si>
  <si>
    <t>November 27, 2019</t>
  </si>
  <si>
    <t>STRAWBERRY SALLY</t>
  </si>
  <si>
    <t>January 31, 2020</t>
  </si>
  <si>
    <t xml:space="preserve">Legal </t>
  </si>
  <si>
    <t>March 8, 2013</t>
  </si>
  <si>
    <t>10183</t>
  </si>
  <si>
    <t>BEARDSELL THOMAS</t>
  </si>
  <si>
    <t>June 13, 2018</t>
  </si>
  <si>
    <t>12464</t>
  </si>
  <si>
    <t>BEDELL STEPHEN</t>
  </si>
  <si>
    <t>November 1, 2018</t>
  </si>
  <si>
    <t>12599</t>
  </si>
  <si>
    <t>12653</t>
  </si>
  <si>
    <t>July 7, 2020</t>
  </si>
  <si>
    <t>BETTS LISA</t>
  </si>
  <si>
    <t>July 15, 2020</t>
  </si>
  <si>
    <t>September 20, 2013</t>
  </si>
  <si>
    <t>MURRAY MACKAY</t>
  </si>
  <si>
    <t>10527</t>
  </si>
  <si>
    <t>BOEHM RAYMOND</t>
  </si>
  <si>
    <t>December 14, 2017</t>
  </si>
  <si>
    <t>JEFF BROADBENT</t>
  </si>
  <si>
    <t>12301</t>
  </si>
  <si>
    <t>BROOKE STEPHANE</t>
  </si>
  <si>
    <t>12302</t>
  </si>
  <si>
    <t>February 12, 2015</t>
  </si>
  <si>
    <t>MICHAEL JORDAN</t>
  </si>
  <si>
    <t>11197</t>
  </si>
  <si>
    <t>ANTOINE LORNETTE</t>
  </si>
  <si>
    <t>December 4, 2014</t>
  </si>
  <si>
    <t>11108</t>
  </si>
  <si>
    <t>April 21, 2014</t>
  </si>
  <si>
    <t>10826</t>
  </si>
  <si>
    <t>March 18, 2014</t>
  </si>
  <si>
    <t>10794</t>
  </si>
  <si>
    <t>February 10, 2014</t>
  </si>
  <si>
    <t>10750</t>
  </si>
  <si>
    <t>September 24, 2020</t>
  </si>
  <si>
    <t>PETER V. ABRAMETZ</t>
  </si>
  <si>
    <t>CHAMAKESE LANCE ERWIN</t>
  </si>
  <si>
    <t>December 23, 2016</t>
  </si>
  <si>
    <t>SEAN MACKINTOSH</t>
  </si>
  <si>
    <t>11990</t>
  </si>
  <si>
    <t>COLE SCOTT</t>
  </si>
  <si>
    <t>M. ALIZA KAROLY</t>
  </si>
  <si>
    <t>11019</t>
  </si>
  <si>
    <t>COSENTINO ZEFRU</t>
  </si>
  <si>
    <t>October 21, 2014</t>
  </si>
  <si>
    <t>11021</t>
  </si>
  <si>
    <t>November 3, 2015</t>
  </si>
  <si>
    <t>ALIZA KAROLY</t>
  </si>
  <si>
    <t>11510</t>
  </si>
  <si>
    <t>February 10, 2016</t>
  </si>
  <si>
    <t>11641</t>
  </si>
  <si>
    <t>September 29, 2014</t>
  </si>
  <si>
    <t>SHAWN PATEY</t>
  </si>
  <si>
    <t>10997</t>
  </si>
  <si>
    <t>COSGROVE DIANE</t>
  </si>
  <si>
    <t>July 22, 2015</t>
  </si>
  <si>
    <t>11412</t>
  </si>
  <si>
    <t>August 20, 2019</t>
  </si>
  <si>
    <t>CROSSON TRACEY</t>
  </si>
  <si>
    <t>April 25, 2014</t>
  </si>
  <si>
    <t>PIRASHNA SINGH</t>
  </si>
  <si>
    <t>10830</t>
  </si>
  <si>
    <t>DIXON DONNA</t>
  </si>
  <si>
    <t>PRIASHNA SING</t>
  </si>
  <si>
    <t>11161</t>
  </si>
  <si>
    <t>November 9, 2017</t>
  </si>
  <si>
    <t>12256</t>
  </si>
  <si>
    <t>AL-SALKHADI SUAAD</t>
  </si>
  <si>
    <t>January 24, 2020</t>
  </si>
  <si>
    <t>TIMOTHY PETTIT</t>
  </si>
  <si>
    <t>ESTON BRUCE</t>
  </si>
  <si>
    <t>December 21, 2018</t>
  </si>
  <si>
    <t>12678</t>
  </si>
  <si>
    <t>MARTIN SCHULZ</t>
  </si>
  <si>
    <t>10006</t>
  </si>
  <si>
    <t>GRANT SHANNON</t>
  </si>
  <si>
    <t>December 21, 2012</t>
  </si>
  <si>
    <t>10053</t>
  </si>
  <si>
    <t>January 4, 2013</t>
  </si>
  <si>
    <t>MARTIN G. SCHULZ</t>
  </si>
  <si>
    <t>10072</t>
  </si>
  <si>
    <t>January 22, 2013</t>
  </si>
  <si>
    <t>10078</t>
  </si>
  <si>
    <t>March 7, 2013</t>
  </si>
  <si>
    <t>10156</t>
  </si>
  <si>
    <t>10309</t>
  </si>
  <si>
    <t>July 2, 2013</t>
  </si>
  <si>
    <t>10384</t>
  </si>
  <si>
    <t>July 3, 2015</t>
  </si>
  <si>
    <t>KRISTINE MACKIE</t>
  </si>
  <si>
    <t>11391</t>
  </si>
  <si>
    <t>LINDSAY D WRIGHT</t>
  </si>
  <si>
    <t>GROSLIN ASHLEY</t>
  </si>
  <si>
    <t>LINDSAY WRIGHT</t>
  </si>
  <si>
    <t>January 14, 2020</t>
  </si>
  <si>
    <t>February 28, 2020</t>
  </si>
  <si>
    <t>LINDSEY WRIGHT</t>
  </si>
  <si>
    <t>GROSLIN JORDAN</t>
  </si>
  <si>
    <t>March 31, 2014</t>
  </si>
  <si>
    <t>JOESEPH MURPHY</t>
  </si>
  <si>
    <t>10811</t>
  </si>
  <si>
    <t>HACHEY MIREILLE</t>
  </si>
  <si>
    <t>July 31, 2018</t>
  </si>
  <si>
    <t>NORM ASSIFF</t>
  </si>
  <si>
    <t>12501</t>
  </si>
  <si>
    <t>HILSENDEGER DEREK</t>
  </si>
  <si>
    <t>November 16, 2018</t>
  </si>
  <si>
    <t>RYAN BERGET</t>
  </si>
  <si>
    <t>12622</t>
  </si>
  <si>
    <t>November 29, 2019</t>
  </si>
  <si>
    <t>JAMES HERB</t>
  </si>
  <si>
    <t>July 13, 2018</t>
  </si>
  <si>
    <t>12486</t>
  </si>
  <si>
    <t>July 16, 2018</t>
  </si>
  <si>
    <t>12488</t>
  </si>
  <si>
    <t>ANASTACE MARAGOS</t>
  </si>
  <si>
    <t>12677</t>
  </si>
  <si>
    <t>January 18, 2019</t>
  </si>
  <si>
    <t>12705</t>
  </si>
  <si>
    <t>October 26, 2012</t>
  </si>
  <si>
    <t>JOHN STEWART</t>
  </si>
  <si>
    <t>9966</t>
  </si>
  <si>
    <t>JERRY DENNIE</t>
  </si>
  <si>
    <t>December 12, 2012</t>
  </si>
  <si>
    <t>10031</t>
  </si>
  <si>
    <t>May 13, 2013</t>
  </si>
  <si>
    <t>JOHN STEWRAT</t>
  </si>
  <si>
    <t>10276</t>
  </si>
  <si>
    <t>June 27, 2018</t>
  </si>
  <si>
    <t>JEAN JORDAAN</t>
  </si>
  <si>
    <t>12473</t>
  </si>
  <si>
    <t>JODOIN BERKLEY</t>
  </si>
  <si>
    <t>December 19, 2019</t>
  </si>
  <si>
    <t>CELINA TOIA</t>
  </si>
  <si>
    <t>KANERVA WILLIAM</t>
  </si>
  <si>
    <t>February 18, 2020</t>
  </si>
  <si>
    <t>October 22, 2018</t>
  </si>
  <si>
    <t>JONATHAN ABRAMETZ</t>
  </si>
  <si>
    <t>12582</t>
  </si>
  <si>
    <t>KELLY DENELDA</t>
  </si>
  <si>
    <t>June 12, 2017</t>
  </si>
  <si>
    <t>MILAD TAFAKORI</t>
  </si>
  <si>
    <t>12146</t>
  </si>
  <si>
    <t>KONTOZIS ANDREAS</t>
  </si>
  <si>
    <t>October 12, 2017</t>
  </si>
  <si>
    <t>12233</t>
  </si>
  <si>
    <t>March 9, 2018</t>
  </si>
  <si>
    <t>12379</t>
  </si>
  <si>
    <t>November 25, 2019</t>
  </si>
  <si>
    <t>MATTHEW SIREN</t>
  </si>
  <si>
    <t>KOSOWAN GLADYS</t>
  </si>
  <si>
    <t>July 4, 2019</t>
  </si>
  <si>
    <t>12821</t>
  </si>
  <si>
    <t>July 22, 2020</t>
  </si>
  <si>
    <t>MARLISA MARTIN</t>
  </si>
  <si>
    <t>MACLEOD LINDA</t>
  </si>
  <si>
    <t>10277</t>
  </si>
  <si>
    <t>MARTIN TAMMY</t>
  </si>
  <si>
    <t>March 5, 2019</t>
  </si>
  <si>
    <t>MARK HAMILTON</t>
  </si>
  <si>
    <t>12743</t>
  </si>
  <si>
    <t>MEIGS ERNEST</t>
  </si>
  <si>
    <t>November 8, 2019</t>
  </si>
  <si>
    <t>VLADIMIR ZHIVOV</t>
  </si>
  <si>
    <t>NAPURI JEAN PIERRE</t>
  </si>
  <si>
    <t>12745</t>
  </si>
  <si>
    <t>April 12, 2019</t>
  </si>
  <si>
    <t>12771</t>
  </si>
  <si>
    <t>August 23, 2019</t>
  </si>
  <si>
    <t>NATACHA DEVJI</t>
  </si>
  <si>
    <t>NAZIR FARRUKH</t>
  </si>
  <si>
    <t>November 15, 2019</t>
  </si>
  <si>
    <t>October 11, 2013</t>
  </si>
  <si>
    <t>HERMIA LEUNG</t>
  </si>
  <si>
    <t>10571</t>
  </si>
  <si>
    <t>NEWLAND ANSELL (ANDRE)</t>
  </si>
  <si>
    <t>October 17, 2013</t>
  </si>
  <si>
    <t>10579</t>
  </si>
  <si>
    <t>HERMIA LEAUNG</t>
  </si>
  <si>
    <t>10610</t>
  </si>
  <si>
    <t>January 23, 2015</t>
  </si>
  <si>
    <t>HERMIS LEUNG</t>
  </si>
  <si>
    <t>11169</t>
  </si>
  <si>
    <t>June 8, 2018</t>
  </si>
  <si>
    <t>JOHNATHAN ABRAMETZ</t>
  </si>
  <si>
    <t>12461</t>
  </si>
  <si>
    <t>WILSON ROBERT</t>
  </si>
  <si>
    <t>12652</t>
  </si>
  <si>
    <t>September 6, 2019</t>
  </si>
  <si>
    <t>ELIZABETH TATCHYN</t>
  </si>
  <si>
    <t>YERICHUK DAVID</t>
  </si>
  <si>
    <t>December 13, 2019</t>
  </si>
  <si>
    <t>ELIXABETH TATCHYN</t>
  </si>
  <si>
    <t>April 23, 2019</t>
  </si>
  <si>
    <t>12780</t>
  </si>
  <si>
    <t>Ongoing</t>
  </si>
  <si>
    <t>August 1, 2018</t>
  </si>
  <si>
    <t>12506</t>
  </si>
  <si>
    <t>ALSAMMARRIE DHAFER</t>
  </si>
  <si>
    <t>August 17, 2017</t>
  </si>
  <si>
    <t>12193</t>
  </si>
  <si>
    <t>ARGHANDEWAL NIKOLETTA</t>
  </si>
  <si>
    <t>SHAHZAD AYUB</t>
  </si>
  <si>
    <t>BAKARI SULUHU</t>
  </si>
  <si>
    <t>January 7, 2019</t>
  </si>
  <si>
    <t>ARI SCHACTER</t>
  </si>
  <si>
    <t>12690</t>
  </si>
  <si>
    <t>DAHER MERANE</t>
  </si>
  <si>
    <t>12661</t>
  </si>
  <si>
    <t>DONOVAN STARLENE</t>
  </si>
  <si>
    <t>May 23, 2014</t>
  </si>
  <si>
    <t>PRISCILLA KENNEDY</t>
  </si>
  <si>
    <t>10866</t>
  </si>
  <si>
    <t>FARZAMIRAD VAHID</t>
  </si>
  <si>
    <t>May 14, 2015</t>
  </si>
  <si>
    <t>FRANK MCNALLY</t>
  </si>
  <si>
    <t>11326</t>
  </si>
  <si>
    <t>FILLION ANDRE</t>
  </si>
  <si>
    <t>December 2, 2015</t>
  </si>
  <si>
    <t>FRANCIS MCNALLY</t>
  </si>
  <si>
    <t>11551</t>
  </si>
  <si>
    <t>June 12, 2015</t>
  </si>
  <si>
    <t>LOUIS MOSTYN</t>
  </si>
  <si>
    <t>11363</t>
  </si>
  <si>
    <t>FLEMING-HALLEY ANGELA</t>
  </si>
  <si>
    <t>August 21, 2015</t>
  </si>
  <si>
    <t>11442</t>
  </si>
  <si>
    <t>August 2, 2019</t>
  </si>
  <si>
    <t>AMARIT BAINES</t>
  </si>
  <si>
    <t>FOX DUSTIN</t>
  </si>
  <si>
    <t>November 28, 2019</t>
  </si>
  <si>
    <t>May 17, 2019</t>
  </si>
  <si>
    <t>12793</t>
  </si>
  <si>
    <t>February 23, 2012</t>
  </si>
  <si>
    <t>9685</t>
  </si>
  <si>
    <t>GREEN DONALD</t>
  </si>
  <si>
    <t>November 14, 2013</t>
  </si>
  <si>
    <t>ALLAN CHAPNIK</t>
  </si>
  <si>
    <t>10622</t>
  </si>
  <si>
    <t>YOUSEF JABBOUR</t>
  </si>
  <si>
    <t>10808</t>
  </si>
  <si>
    <t>HOLLAND SHAUN</t>
  </si>
  <si>
    <t>August 30, 2013</t>
  </si>
  <si>
    <t>MARYANN STRONG</t>
  </si>
  <si>
    <t>10471</t>
  </si>
  <si>
    <t>IONSON JONNI</t>
  </si>
  <si>
    <t>October 3, 2013</t>
  </si>
  <si>
    <t>MARY ANN STRONG</t>
  </si>
  <si>
    <t>10553</t>
  </si>
  <si>
    <t>October 24, 2013</t>
  </si>
  <si>
    <t>10590</t>
  </si>
  <si>
    <t>February 27, 2018</t>
  </si>
  <si>
    <t>JOHN KWOK</t>
  </si>
  <si>
    <t>12368</t>
  </si>
  <si>
    <t>KACHUR CHRISTOPHER</t>
  </si>
  <si>
    <t>February 7, 2017</t>
  </si>
  <si>
    <t>WARREN RIGBY</t>
  </si>
  <si>
    <t>12027</t>
  </si>
  <si>
    <t>KING STACEY</t>
  </si>
  <si>
    <t>April 1, 2019</t>
  </si>
  <si>
    <t>12761</t>
  </si>
  <si>
    <t>KITCHING TRINA</t>
  </si>
  <si>
    <t>April 19, 2018</t>
  </si>
  <si>
    <t>12421</t>
  </si>
  <si>
    <t>LACHMANEC DAVID</t>
  </si>
  <si>
    <t>October 18, 2019</t>
  </si>
  <si>
    <t>JENNIFER PELTON</t>
  </si>
  <si>
    <t>LAVEAU GINIENE</t>
  </si>
  <si>
    <t>February 3, 2020</t>
  </si>
  <si>
    <t>March 5, 2015</t>
  </si>
  <si>
    <t>DAN MAILER</t>
  </si>
  <si>
    <t>11228</t>
  </si>
  <si>
    <t>LINDOR EDWIDGE</t>
  </si>
  <si>
    <t>ANTONIS LAFAZANIS</t>
  </si>
  <si>
    <t>10722</t>
  </si>
  <si>
    <t>MCDOUGALL ANDREW</t>
  </si>
  <si>
    <t>June 12, 2014</t>
  </si>
  <si>
    <t>ANTONIO LAFAZANIS</t>
  </si>
  <si>
    <t>10889</t>
  </si>
  <si>
    <t>May 4, 2015</t>
  </si>
  <si>
    <t>TONY LAFANZIS</t>
  </si>
  <si>
    <t>11308</t>
  </si>
  <si>
    <t>June 10, 2015</t>
  </si>
  <si>
    <t>TONY LAFAZANIS</t>
  </si>
  <si>
    <t>11357</t>
  </si>
  <si>
    <t>December 22, 2014</t>
  </si>
  <si>
    <t>WILLIAM HISCOCK</t>
  </si>
  <si>
    <t>11131</t>
  </si>
  <si>
    <t>NOSEWORTHY RANDELL</t>
  </si>
  <si>
    <t>December 8, 2016</t>
  </si>
  <si>
    <t>WILL HISCOCK</t>
  </si>
  <si>
    <t>11954</t>
  </si>
  <si>
    <t>January 9, 2015</t>
  </si>
  <si>
    <t>KEN SOCKETTE</t>
  </si>
  <si>
    <t>PEIGAN ADELORE SAMUEL</t>
  </si>
  <si>
    <t>January 26, 2015</t>
  </si>
  <si>
    <t>KEN SOCKETT</t>
  </si>
  <si>
    <t>11172</t>
  </si>
  <si>
    <t>October 24, 2016</t>
  </si>
  <si>
    <t>SELVA THIYAGARAJAH</t>
  </si>
  <si>
    <t>11912</t>
  </si>
  <si>
    <t>RAJENDRAM THANUSHAN</t>
  </si>
  <si>
    <t>December 27, 2016</t>
  </si>
  <si>
    <t>11992</t>
  </si>
  <si>
    <t>September 12, 2017</t>
  </si>
  <si>
    <t>SELVA TH/MARK LARAIA</t>
  </si>
  <si>
    <t>12208</t>
  </si>
  <si>
    <t>November 17, 2017</t>
  </si>
  <si>
    <t>12265</t>
  </si>
  <si>
    <t>August 22, 2019</t>
  </si>
  <si>
    <t>PETER QUANSAH</t>
  </si>
  <si>
    <t>REYNOLDS LEAFORD</t>
  </si>
  <si>
    <t>July 26, 2013</t>
  </si>
  <si>
    <t>GIUSEPPE FALCONERI</t>
  </si>
  <si>
    <t>10415</t>
  </si>
  <si>
    <t>TASCIONE MARYANNE</t>
  </si>
  <si>
    <t>May 31, 2013</t>
  </si>
  <si>
    <t>ROBERT KRAM</t>
  </si>
  <si>
    <t>10290</t>
  </si>
  <si>
    <t>THEOBALD LAURA</t>
  </si>
  <si>
    <t>May 8, 2015</t>
  </si>
  <si>
    <t>11315</t>
  </si>
  <si>
    <t>TRAFTON BRADLEY</t>
  </si>
  <si>
    <t>April 29, 2014</t>
  </si>
  <si>
    <t>CLAUDIO MARTINI</t>
  </si>
  <si>
    <t>10833</t>
  </si>
  <si>
    <t>VINCENT ROSS</t>
  </si>
  <si>
    <t>JONATHON ABRAMETZ</t>
  </si>
  <si>
    <t>WAHOBIN ERIKA</t>
  </si>
  <si>
    <t>10185</t>
  </si>
  <si>
    <t>October 10, 2014</t>
  </si>
  <si>
    <t>ANGELA JAMES</t>
  </si>
  <si>
    <t>11009</t>
  </si>
  <si>
    <t>WILSON ADAM</t>
  </si>
  <si>
    <t>11511</t>
  </si>
  <si>
    <t>June 20, 2016</t>
  </si>
  <si>
    <t>11770</t>
  </si>
  <si>
    <t>September 26, 2016</t>
  </si>
  <si>
    <t>11887</t>
  </si>
  <si>
    <t>December 22, 2016</t>
  </si>
  <si>
    <t>11988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</si>
</sst>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1" fillId="0" borderId="0" xfId="0" applyNumberFormat="1" applyFont="1"/>
    <xf numFmtId="165" fontId="0" fillId="0" borderId="0" xfId="1" applyNumberFormat="1" applyFont="1"/>
    <xf numFmtId="14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1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A16CD2-000E-4F3D-9849-64B402AFBE44}" name="Table6" displayName="Table6" ref="A2:J80" totalsRowCount="1">
  <autoFilter ref="A2:J79" xr:uid="{3DD4CA50-F7D9-42FD-B779-240CF1253C02}"/>
  <tableColumns count="10">
    <tableColumn id="1" xr3:uid="{2EA2EA29-B72D-4723-B083-8BABB7489E36}" name="Loan Num"/>
    <tableColumn id="2" xr3:uid="{8226BDC5-236E-4651-893C-1E33D816CBB1}" name="Client name"/>
    <tableColumn id="3" xr3:uid="{E066154B-F23A-4EC1-886F-F59FB0FA47DF}" name="Status"/>
    <tableColumn id="4" xr3:uid="{94F6A6FE-54B5-417A-B639-90544E91E7E7}" name="Inv Number"/>
    <tableColumn id="5" xr3:uid="{F3FFE1E4-6D60-4781-A83F-E9224D1AE523}" name="Location"/>
    <tableColumn id="6" xr3:uid="{FFE0E310-350F-4B63-BD90-6211E5071BE5}" name="Column2" totalsRowLabel="Sum"/>
    <tableColumn id="7" xr3:uid="{33B5B8D3-76FB-4FA9-9E2D-8AC051ED9536}" name="Amt Financed" totalsRowFunction="sum" dataDxfId="17" totalsRowDxfId="16" dataCellStyle="Currency"/>
    <tableColumn id="8" xr3:uid="{A7C48A31-C7B8-4F21-BC18-24C3F6C218D6}" name="Finance Charge" totalsRowFunction="sum" dataDxfId="15" totalsRowDxfId="14" dataCellStyle="Currency"/>
    <tableColumn id="9" xr3:uid="{DB1F9CEB-3FC7-4FC3-9E2B-B6976E273078}" name="Payment Total" totalsRowFunction="sum" dataDxfId="13" totalsRowDxfId="12" dataCellStyle="Currency"/>
    <tableColumn id="13" xr3:uid="{6B852DA2-9C03-408C-A4A0-FDB4A6522416}" name="OB" totalsRowFunction="sum" dataDxfId="11" totalsRowDxfId="10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C767DA-EC33-4825-92FD-32E0A02E1C74}" name="Table7" displayName="Table7" ref="A1:J52" totalsRowCount="1">
  <autoFilter ref="A1:J51" xr:uid="{C57708AE-5DBE-479D-906E-2DA9A3E024FD}"/>
  <tableColumns count="10">
    <tableColumn id="1" xr3:uid="{534FDB86-60E2-435E-99BB-8B26A71D8BC1}" name="Loan Num"/>
    <tableColumn id="2" xr3:uid="{D6B7F48B-3C43-4F23-97BB-51307D6392E6}" name="Client name"/>
    <tableColumn id="3" xr3:uid="{A36C53C1-AE02-4558-A5E1-698383A51C8F}" name="Status"/>
    <tableColumn id="4" xr3:uid="{B9F3BAC2-1EE1-4304-8871-56BCA49ED860}" name="Inv Number"/>
    <tableColumn id="5" xr3:uid="{4A8EE3AD-0574-453B-B546-F6614E6EC5CD}" name="Location"/>
    <tableColumn id="6" xr3:uid="{6AFD473C-296C-4DCD-8FA2-508A95D9276D}" name="Column2" totalsRowLabel="Sum"/>
    <tableColumn id="7" xr3:uid="{BCF89011-A86F-4277-9EA8-E27F77E981E5}" name="Amt Financed" totalsRowFunction="sum" totalsRowDxfId="9"/>
    <tableColumn id="8" xr3:uid="{0EB6425D-725C-4239-871C-A28A5C2E7610}" name="Finance Charge" totalsRowFunction="sum" totalsRowDxfId="8"/>
    <tableColumn id="9" xr3:uid="{D029423E-0907-4375-95C7-4E7C37A19ED4}" name="Payment Total" totalsRowFunction="sum" totalsRowDxfId="7"/>
    <tableColumn id="13" xr3:uid="{41EC30BF-E7AE-4D6A-8DE0-719201E6FC3C}" name="OB" totalsRowFunction="sum" totalsRow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2771D-3ACA-427E-A6CD-31CA76BC1596}" name="Table5" displayName="Table5" ref="A2:J165" totalsRowShown="0">
  <autoFilter ref="A2:J165" xr:uid="{43B34F71-5572-46CF-9B96-7D7C94428462}"/>
  <sortState xmlns:xlrd2="http://schemas.microsoft.com/office/spreadsheetml/2017/richdata2" ref="A3:J164">
    <sortCondition ref="A2:A164"/>
  </sortState>
  <tableColumns count="10">
    <tableColumn id="1" xr3:uid="{E46CA137-6079-4330-820C-9DBEAABDCF41}" name="Loan Num"/>
    <tableColumn id="2" xr3:uid="{2DBB685D-D8AF-4873-84ED-EB8506E260E5}" name="Client name"/>
    <tableColumn id="3" xr3:uid="{821B15F3-0309-44BC-AE3C-33A27AA5E26D}" name="Status"/>
    <tableColumn id="4" xr3:uid="{523EBCD0-4736-44D2-A9B8-7FD9C81D3502}" name="Inv Number"/>
    <tableColumn id="5" xr3:uid="{52905EF4-720D-4AC6-91EB-BE8C9A7C9CA5}" name="Location"/>
    <tableColumn id="6" xr3:uid="{2D9B3385-5433-4621-8BEE-A7C681D22A7C}" name="Column2" dataDxfId="5"/>
    <tableColumn id="7" xr3:uid="{0C8CDD58-D12A-4E4C-A6A3-B68A3097E7D8}" name="Amt Financed"/>
    <tableColumn id="8" xr3:uid="{E758334C-DDB5-4AB5-A7CF-FEFD16BAE7E3}" name="Finance Charge"/>
    <tableColumn id="9" xr3:uid="{ADFBC733-AC83-4485-A33C-79C375C0C68D}" name="Payment Total"/>
    <tableColumn id="13" xr3:uid="{23BEFF4C-3791-4333-8A7A-58B023D161C1}" name="OB" dataDxfId="4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C73E68-DFC5-44D6-B2A1-568E694946AD}" name="Table3" displayName="Table3" ref="A2:J12" totalsRowCount="1">
  <autoFilter ref="A2:J11" xr:uid="{B3CDBC76-5E92-413F-BEB2-A447867F4F88}"/>
  <tableColumns count="10">
    <tableColumn id="1" xr3:uid="{58241178-4948-4D47-BE79-EAF737A0966D}" name="Loan Num"/>
    <tableColumn id="2" xr3:uid="{061BAFD7-0B0D-42F7-ADAD-24E95E7856FB}" name="Client name"/>
    <tableColumn id="3" xr3:uid="{751E1102-D353-4478-BCB1-B028691D7627}" name="Status"/>
    <tableColumn id="4" xr3:uid="{264EB686-4D02-48BF-8889-450EBE635F8C}" name="Inv Number"/>
    <tableColumn id="5" xr3:uid="{2226D80C-0351-415A-842B-8AE5E71B7E8C}" name="Location"/>
    <tableColumn id="6" xr3:uid="{8BDB7632-7973-460B-983B-413AF9D9F5B4}" name="Column2" totalsRowLabel="Sum"/>
    <tableColumn id="7" xr3:uid="{8FAC14C5-77D3-42EF-8CB7-23C64EFABC28}" name="Amt Financed" totalsRowFunction="sum" totalsRowDxfId="3"/>
    <tableColumn id="8" xr3:uid="{4AD941C5-01BF-4A09-BD76-80103390793F}" name="Finance Charge" totalsRowFunction="sum" totalsRowDxfId="2"/>
    <tableColumn id="9" xr3:uid="{8D3A1F35-47A3-4C16-BD6D-4DE2F369398A}" name="Payment Total" totalsRowFunction="sum" totalsRowDxfId="1"/>
    <tableColumn id="15" xr3:uid="{0DF968DF-9CEE-4660-84D2-CCA5A440D743}" name="OB" totalsRowFunction="sum" totalsRow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3CCE-8943-4C03-94A4-7BE8AB3E1DE0}">
  <dimension ref="A1:J80"/>
  <sheetViews>
    <sheetView topLeftCell="A46" workbookViewId="0">
      <selection activeCell="H83" sqref="H83"/>
    </sheetView>
  </sheetViews>
  <sheetFormatPr defaultRowHeight="14.5" x14ac:dyDescent="0.35"/>
  <cols>
    <col min="1" max="1" width="12" customWidth="1"/>
    <col min="2" max="2" width="25.54296875" bestFit="1" customWidth="1"/>
    <col min="4" max="4" width="13.54296875" customWidth="1"/>
    <col min="5" max="5" width="10.54296875" customWidth="1"/>
    <col min="6" max="6" width="18.54296875" bestFit="1" customWidth="1"/>
    <col min="7" max="7" width="15.26953125" customWidth="1"/>
    <col min="8" max="8" width="16.54296875" customWidth="1"/>
    <col min="9" max="9" width="15.81640625" customWidth="1"/>
    <col min="10" max="10" width="12.54296875" style="1" bestFit="1" customWidth="1"/>
  </cols>
  <sheetData>
    <row r="1" spans="1:10" x14ac:dyDescent="0.35">
      <c r="A1" s="9" t="s">
        <v>712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t="s">
        <v>491</v>
      </c>
      <c r="B2" t="s">
        <v>490</v>
      </c>
      <c r="C2" t="s">
        <v>489</v>
      </c>
      <c r="D2" t="s">
        <v>488</v>
      </c>
      <c r="E2" t="s">
        <v>487</v>
      </c>
      <c r="F2" t="s">
        <v>486</v>
      </c>
      <c r="G2" t="s">
        <v>485</v>
      </c>
      <c r="H2" t="s">
        <v>484</v>
      </c>
      <c r="I2" t="s">
        <v>483</v>
      </c>
      <c r="J2" s="1" t="s">
        <v>482</v>
      </c>
    </row>
    <row r="3" spans="1:10" x14ac:dyDescent="0.35">
      <c r="A3">
        <v>41131</v>
      </c>
      <c r="B3" t="s">
        <v>707</v>
      </c>
      <c r="C3" t="s">
        <v>4</v>
      </c>
      <c r="D3" t="s">
        <v>711</v>
      </c>
      <c r="E3" t="s">
        <v>706</v>
      </c>
      <c r="F3" t="s">
        <v>710</v>
      </c>
      <c r="G3" s="5">
        <v>2000</v>
      </c>
      <c r="H3" s="5">
        <v>500</v>
      </c>
      <c r="I3" s="5">
        <v>2500</v>
      </c>
      <c r="J3" s="1">
        <v>4554.8959000000004</v>
      </c>
    </row>
    <row r="4" spans="1:10" x14ac:dyDescent="0.35">
      <c r="A4">
        <v>41647</v>
      </c>
      <c r="B4" t="s">
        <v>707</v>
      </c>
      <c r="C4" t="s">
        <v>4</v>
      </c>
      <c r="D4" t="s">
        <v>3</v>
      </c>
      <c r="E4" t="s">
        <v>709</v>
      </c>
      <c r="F4" t="s">
        <v>708</v>
      </c>
      <c r="G4" s="5">
        <v>3000</v>
      </c>
      <c r="H4" s="5">
        <v>750</v>
      </c>
      <c r="I4" s="5">
        <v>3750</v>
      </c>
      <c r="J4" s="1">
        <v>5652.1221999999998</v>
      </c>
    </row>
    <row r="5" spans="1:10" x14ac:dyDescent="0.35">
      <c r="A5">
        <v>41405</v>
      </c>
      <c r="B5" t="s">
        <v>707</v>
      </c>
      <c r="C5" t="s">
        <v>4</v>
      </c>
      <c r="D5" t="s">
        <v>3</v>
      </c>
      <c r="E5" t="s">
        <v>706</v>
      </c>
      <c r="F5" t="s">
        <v>705</v>
      </c>
      <c r="G5" s="5">
        <v>2000</v>
      </c>
      <c r="H5" s="5">
        <v>500</v>
      </c>
      <c r="I5" s="5">
        <v>2500</v>
      </c>
      <c r="J5" s="1">
        <v>4079.4472999999998</v>
      </c>
    </row>
    <row r="6" spans="1:10" x14ac:dyDescent="0.35">
      <c r="A6">
        <v>40802</v>
      </c>
      <c r="B6" t="s">
        <v>703</v>
      </c>
      <c r="C6" t="s">
        <v>17</v>
      </c>
      <c r="D6" t="s">
        <v>704</v>
      </c>
      <c r="E6" t="s">
        <v>654</v>
      </c>
      <c r="F6" t="s">
        <v>27</v>
      </c>
      <c r="G6" s="5">
        <v>1500</v>
      </c>
      <c r="H6" s="5">
        <v>375</v>
      </c>
      <c r="I6" s="5">
        <v>1875</v>
      </c>
      <c r="J6" s="1">
        <v>3808.0852</v>
      </c>
    </row>
    <row r="7" spans="1:10" x14ac:dyDescent="0.35">
      <c r="A7">
        <v>40300</v>
      </c>
      <c r="B7" t="s">
        <v>703</v>
      </c>
      <c r="C7" t="s">
        <v>17</v>
      </c>
      <c r="D7" t="s">
        <v>702</v>
      </c>
      <c r="E7" t="s">
        <v>701</v>
      </c>
      <c r="F7" t="s">
        <v>700</v>
      </c>
      <c r="G7" s="5">
        <v>1500</v>
      </c>
      <c r="H7" s="5">
        <v>375</v>
      </c>
      <c r="I7" s="5">
        <v>1875</v>
      </c>
      <c r="J7" s="1">
        <v>4424.0169999999998</v>
      </c>
    </row>
    <row r="8" spans="1:10" x14ac:dyDescent="0.35">
      <c r="A8">
        <v>37256</v>
      </c>
      <c r="B8" t="s">
        <v>692</v>
      </c>
      <c r="C8" t="s">
        <v>17</v>
      </c>
      <c r="D8" t="s">
        <v>699</v>
      </c>
      <c r="E8" t="s">
        <v>698</v>
      </c>
      <c r="F8" t="s">
        <v>697</v>
      </c>
      <c r="G8" s="5">
        <v>2000</v>
      </c>
      <c r="H8" s="5">
        <v>500</v>
      </c>
      <c r="I8" s="5">
        <v>2500</v>
      </c>
      <c r="J8" s="1">
        <v>16010.4393</v>
      </c>
    </row>
    <row r="9" spans="1:10" x14ac:dyDescent="0.35">
      <c r="A9">
        <v>35846</v>
      </c>
      <c r="B9" t="s">
        <v>692</v>
      </c>
      <c r="C9" t="s">
        <v>17</v>
      </c>
      <c r="D9" t="s">
        <v>696</v>
      </c>
      <c r="E9" t="s">
        <v>695</v>
      </c>
      <c r="F9" t="s">
        <v>366</v>
      </c>
      <c r="G9" s="5">
        <v>500</v>
      </c>
      <c r="H9" s="5">
        <v>125</v>
      </c>
      <c r="I9" s="5">
        <v>625</v>
      </c>
      <c r="J9" s="1">
        <v>5722.1682000000001</v>
      </c>
    </row>
    <row r="10" spans="1:10" x14ac:dyDescent="0.35">
      <c r="A10">
        <v>35775</v>
      </c>
      <c r="B10" t="s">
        <v>692</v>
      </c>
      <c r="C10" t="s">
        <v>17</v>
      </c>
      <c r="D10" t="s">
        <v>694</v>
      </c>
      <c r="E10" t="s">
        <v>690</v>
      </c>
      <c r="F10" t="s">
        <v>693</v>
      </c>
      <c r="G10" s="5">
        <v>2000</v>
      </c>
      <c r="H10" s="5">
        <v>500</v>
      </c>
      <c r="I10" s="5">
        <v>2500</v>
      </c>
      <c r="J10" s="1">
        <v>23300.922999999999</v>
      </c>
    </row>
    <row r="11" spans="1:10" x14ac:dyDescent="0.35">
      <c r="A11">
        <v>35760</v>
      </c>
      <c r="B11" t="s">
        <v>692</v>
      </c>
      <c r="C11" t="s">
        <v>17</v>
      </c>
      <c r="D11" t="s">
        <v>691</v>
      </c>
      <c r="E11" t="s">
        <v>690</v>
      </c>
      <c r="F11" t="s">
        <v>689</v>
      </c>
      <c r="G11" s="5">
        <v>2000</v>
      </c>
      <c r="H11" s="5">
        <v>500</v>
      </c>
      <c r="I11" s="5">
        <v>2500</v>
      </c>
      <c r="J11" s="1">
        <v>23414.245299999999</v>
      </c>
    </row>
    <row r="12" spans="1:10" x14ac:dyDescent="0.35">
      <c r="A12">
        <v>41542</v>
      </c>
      <c r="B12" t="s">
        <v>687</v>
      </c>
      <c r="C12" t="s">
        <v>4</v>
      </c>
      <c r="D12" t="s">
        <v>3</v>
      </c>
      <c r="E12" t="s">
        <v>686</v>
      </c>
      <c r="F12" t="s">
        <v>688</v>
      </c>
      <c r="G12" s="5">
        <v>500</v>
      </c>
      <c r="H12" s="5">
        <v>50</v>
      </c>
      <c r="I12" s="5">
        <v>550</v>
      </c>
      <c r="J12" s="1">
        <v>848.01210000000003</v>
      </c>
    </row>
    <row r="13" spans="1:10" x14ac:dyDescent="0.35">
      <c r="A13">
        <v>41369</v>
      </c>
      <c r="B13" t="s">
        <v>687</v>
      </c>
      <c r="C13" t="s">
        <v>4</v>
      </c>
      <c r="D13" t="s">
        <v>3</v>
      </c>
      <c r="E13" t="s">
        <v>686</v>
      </c>
      <c r="F13" t="s">
        <v>685</v>
      </c>
      <c r="G13" s="5">
        <v>1000</v>
      </c>
      <c r="H13" s="5">
        <v>100</v>
      </c>
      <c r="I13" s="5">
        <v>1100</v>
      </c>
      <c r="J13" s="1">
        <v>1815.4761000000001</v>
      </c>
    </row>
    <row r="14" spans="1:10" x14ac:dyDescent="0.35">
      <c r="A14">
        <v>41106</v>
      </c>
      <c r="B14" t="s">
        <v>681</v>
      </c>
      <c r="C14" t="s">
        <v>17</v>
      </c>
      <c r="D14" t="s">
        <v>684</v>
      </c>
      <c r="E14" t="s">
        <v>680</v>
      </c>
      <c r="F14" t="s">
        <v>683</v>
      </c>
      <c r="G14" s="5">
        <v>500</v>
      </c>
      <c r="H14" s="5">
        <v>125</v>
      </c>
      <c r="I14" s="5">
        <v>625</v>
      </c>
      <c r="J14" s="1">
        <v>1148.9268</v>
      </c>
    </row>
    <row r="15" spans="1:10" x14ac:dyDescent="0.35">
      <c r="A15">
        <v>41028</v>
      </c>
      <c r="B15" t="s">
        <v>681</v>
      </c>
      <c r="C15" t="s">
        <v>17</v>
      </c>
      <c r="D15" t="s">
        <v>682</v>
      </c>
      <c r="E15" t="s">
        <v>680</v>
      </c>
      <c r="F15" t="s">
        <v>675</v>
      </c>
      <c r="G15" s="5">
        <v>500</v>
      </c>
      <c r="H15" s="5">
        <v>125</v>
      </c>
      <c r="I15" s="5">
        <v>625</v>
      </c>
      <c r="J15" s="1">
        <v>1184.8091999999999</v>
      </c>
    </row>
    <row r="16" spans="1:10" x14ac:dyDescent="0.35">
      <c r="A16">
        <v>41526</v>
      </c>
      <c r="B16" t="s">
        <v>681</v>
      </c>
      <c r="C16" t="s">
        <v>4</v>
      </c>
      <c r="D16" t="s">
        <v>3</v>
      </c>
      <c r="E16" t="s">
        <v>680</v>
      </c>
      <c r="F16" t="s">
        <v>679</v>
      </c>
      <c r="G16" s="5">
        <v>500</v>
      </c>
      <c r="H16" s="5">
        <v>125</v>
      </c>
      <c r="I16" s="5">
        <v>625</v>
      </c>
      <c r="J16" s="1">
        <v>969.10900000000004</v>
      </c>
    </row>
    <row r="17" spans="1:10" x14ac:dyDescent="0.35">
      <c r="A17">
        <v>41026</v>
      </c>
      <c r="B17" t="s">
        <v>678</v>
      </c>
      <c r="C17" t="s">
        <v>17</v>
      </c>
      <c r="D17" t="s">
        <v>677</v>
      </c>
      <c r="E17" t="s">
        <v>676</v>
      </c>
      <c r="F17" t="s">
        <v>675</v>
      </c>
      <c r="G17" s="5">
        <v>500</v>
      </c>
      <c r="H17" s="5">
        <v>125</v>
      </c>
      <c r="I17" s="5">
        <v>625</v>
      </c>
      <c r="J17" s="1">
        <v>1184.8091999999999</v>
      </c>
    </row>
    <row r="18" spans="1:10" x14ac:dyDescent="0.35">
      <c r="A18">
        <v>35102</v>
      </c>
      <c r="B18" t="s">
        <v>674</v>
      </c>
      <c r="C18" t="s">
        <v>17</v>
      </c>
      <c r="D18" t="s">
        <v>673</v>
      </c>
      <c r="E18" t="s">
        <v>3</v>
      </c>
      <c r="F18" t="s">
        <v>642</v>
      </c>
      <c r="G18" s="5">
        <v>2000</v>
      </c>
      <c r="H18" s="5">
        <v>500</v>
      </c>
      <c r="I18" s="5">
        <v>2500</v>
      </c>
      <c r="J18" s="1">
        <v>26462.357100000001</v>
      </c>
    </row>
    <row r="19" spans="1:10" x14ac:dyDescent="0.35">
      <c r="A19">
        <v>41894</v>
      </c>
      <c r="B19" t="s">
        <v>672</v>
      </c>
      <c r="C19" t="s">
        <v>4</v>
      </c>
      <c r="D19" t="s">
        <v>3</v>
      </c>
      <c r="E19" t="s">
        <v>671</v>
      </c>
      <c r="F19" t="s">
        <v>670</v>
      </c>
      <c r="G19" s="5">
        <v>1000</v>
      </c>
      <c r="H19" s="5">
        <v>250</v>
      </c>
      <c r="I19" s="5">
        <v>1250</v>
      </c>
      <c r="J19" s="1">
        <v>1573.7989</v>
      </c>
    </row>
    <row r="20" spans="1:10" x14ac:dyDescent="0.35">
      <c r="A20">
        <v>41259</v>
      </c>
      <c r="B20" t="s">
        <v>667</v>
      </c>
      <c r="C20" t="s">
        <v>17</v>
      </c>
      <c r="D20" t="s">
        <v>669</v>
      </c>
      <c r="E20" t="s">
        <v>666</v>
      </c>
      <c r="F20" t="s">
        <v>668</v>
      </c>
      <c r="G20" s="5">
        <v>1000</v>
      </c>
      <c r="H20" s="5">
        <v>250</v>
      </c>
      <c r="I20" s="5">
        <v>1250</v>
      </c>
      <c r="J20" s="1">
        <v>2148.2579999999998</v>
      </c>
    </row>
    <row r="21" spans="1:10" x14ac:dyDescent="0.35">
      <c r="A21">
        <v>41568</v>
      </c>
      <c r="B21" t="s">
        <v>667</v>
      </c>
      <c r="C21" t="s">
        <v>4</v>
      </c>
      <c r="D21" t="s">
        <v>3</v>
      </c>
      <c r="E21" t="s">
        <v>666</v>
      </c>
      <c r="F21" t="s">
        <v>665</v>
      </c>
      <c r="G21" s="5">
        <v>300</v>
      </c>
      <c r="H21" s="5">
        <v>0</v>
      </c>
      <c r="I21" s="5">
        <v>300</v>
      </c>
      <c r="J21" s="1">
        <v>458.80880000000002</v>
      </c>
    </row>
    <row r="22" spans="1:10" x14ac:dyDescent="0.35">
      <c r="A22">
        <v>40094</v>
      </c>
      <c r="B22" t="s">
        <v>660</v>
      </c>
      <c r="C22" t="s">
        <v>17</v>
      </c>
      <c r="D22" t="s">
        <v>664</v>
      </c>
      <c r="E22" t="s">
        <v>658</v>
      </c>
      <c r="F22" t="s">
        <v>663</v>
      </c>
      <c r="G22" s="5">
        <v>1000</v>
      </c>
      <c r="H22" s="5">
        <v>250</v>
      </c>
      <c r="I22" s="5">
        <v>1250</v>
      </c>
      <c r="J22" s="1">
        <v>3175.0857999999998</v>
      </c>
    </row>
    <row r="23" spans="1:10" x14ac:dyDescent="0.35">
      <c r="A23">
        <v>39749</v>
      </c>
      <c r="B23" t="s">
        <v>660</v>
      </c>
      <c r="C23" t="s">
        <v>17</v>
      </c>
      <c r="D23" t="s">
        <v>662</v>
      </c>
      <c r="E23" t="s">
        <v>658</v>
      </c>
      <c r="F23" t="s">
        <v>661</v>
      </c>
      <c r="G23" s="5">
        <v>500</v>
      </c>
      <c r="H23" s="5">
        <v>125</v>
      </c>
      <c r="I23" s="5">
        <v>625</v>
      </c>
      <c r="J23" s="1">
        <v>1789.8982000000001</v>
      </c>
    </row>
    <row r="24" spans="1:10" x14ac:dyDescent="0.35">
      <c r="A24">
        <v>39526</v>
      </c>
      <c r="B24" t="s">
        <v>660</v>
      </c>
      <c r="C24" t="s">
        <v>17</v>
      </c>
      <c r="D24" t="s">
        <v>659</v>
      </c>
      <c r="E24" t="s">
        <v>658</v>
      </c>
      <c r="F24" t="s">
        <v>657</v>
      </c>
      <c r="G24" s="5">
        <v>1500</v>
      </c>
      <c r="H24" s="5">
        <v>150</v>
      </c>
      <c r="I24" s="5">
        <v>1650</v>
      </c>
      <c r="J24" s="1">
        <v>5216.4204</v>
      </c>
    </row>
    <row r="25" spans="1:10" x14ac:dyDescent="0.35">
      <c r="A25">
        <v>40624</v>
      </c>
      <c r="B25" t="s">
        <v>656</v>
      </c>
      <c r="C25" t="s">
        <v>17</v>
      </c>
      <c r="D25" t="s">
        <v>655</v>
      </c>
      <c r="E25" t="s">
        <v>654</v>
      </c>
      <c r="F25" t="s">
        <v>653</v>
      </c>
      <c r="G25" s="5">
        <v>1500</v>
      </c>
      <c r="H25" s="5">
        <v>375</v>
      </c>
      <c r="I25" s="5">
        <v>1875</v>
      </c>
      <c r="J25" s="1">
        <v>3962.3791000000001</v>
      </c>
    </row>
    <row r="26" spans="1:10" x14ac:dyDescent="0.35">
      <c r="A26">
        <v>41769</v>
      </c>
      <c r="B26" t="s">
        <v>651</v>
      </c>
      <c r="C26" t="s">
        <v>4</v>
      </c>
      <c r="D26" t="s">
        <v>3</v>
      </c>
      <c r="E26" t="s">
        <v>650</v>
      </c>
      <c r="F26" t="s">
        <v>652</v>
      </c>
      <c r="G26" s="5">
        <v>1000</v>
      </c>
      <c r="H26" s="5">
        <v>250</v>
      </c>
      <c r="I26" s="5">
        <v>1250</v>
      </c>
      <c r="J26" s="1">
        <v>1784.4914000000001</v>
      </c>
    </row>
    <row r="27" spans="1:10" x14ac:dyDescent="0.35">
      <c r="A27">
        <v>41669</v>
      </c>
      <c r="B27" t="s">
        <v>651</v>
      </c>
      <c r="C27" t="s">
        <v>4</v>
      </c>
      <c r="D27" t="s">
        <v>3</v>
      </c>
      <c r="E27" t="s">
        <v>650</v>
      </c>
      <c r="F27" t="s">
        <v>649</v>
      </c>
      <c r="G27" s="5">
        <v>1000</v>
      </c>
      <c r="H27" s="5">
        <v>250</v>
      </c>
      <c r="I27" s="5">
        <v>1250</v>
      </c>
      <c r="J27" s="1">
        <v>1874.9074000000001</v>
      </c>
    </row>
    <row r="28" spans="1:10" x14ac:dyDescent="0.35">
      <c r="A28">
        <v>40340</v>
      </c>
      <c r="B28" t="s">
        <v>648</v>
      </c>
      <c r="C28" t="s">
        <v>17</v>
      </c>
      <c r="D28" t="s">
        <v>647</v>
      </c>
      <c r="E28" t="s">
        <v>646</v>
      </c>
      <c r="F28" t="s">
        <v>645</v>
      </c>
      <c r="G28" s="5">
        <v>1500</v>
      </c>
      <c r="H28" s="5">
        <v>375</v>
      </c>
      <c r="I28" s="5">
        <v>1875</v>
      </c>
      <c r="J28" s="1">
        <v>4356.3768</v>
      </c>
    </row>
    <row r="29" spans="1:10" x14ac:dyDescent="0.35">
      <c r="A29">
        <v>35101</v>
      </c>
      <c r="B29" t="s">
        <v>639</v>
      </c>
      <c r="C29" t="s">
        <v>17</v>
      </c>
      <c r="D29" t="s">
        <v>644</v>
      </c>
      <c r="E29" t="s">
        <v>643</v>
      </c>
      <c r="F29" t="s">
        <v>642</v>
      </c>
      <c r="G29" s="5">
        <v>1000</v>
      </c>
      <c r="H29" s="5">
        <v>250</v>
      </c>
      <c r="I29" s="5">
        <v>1250</v>
      </c>
      <c r="J29" s="1">
        <v>13231.1785</v>
      </c>
    </row>
    <row r="30" spans="1:10" x14ac:dyDescent="0.35">
      <c r="A30">
        <v>34557</v>
      </c>
      <c r="B30" t="s">
        <v>639</v>
      </c>
      <c r="C30" t="s">
        <v>17</v>
      </c>
      <c r="D30" t="s">
        <v>641</v>
      </c>
      <c r="E30" t="s">
        <v>637</v>
      </c>
      <c r="F30" t="s">
        <v>640</v>
      </c>
      <c r="G30" s="5">
        <v>5000</v>
      </c>
      <c r="H30" s="5">
        <v>1250</v>
      </c>
      <c r="I30" s="5">
        <v>6250</v>
      </c>
      <c r="J30" s="1">
        <v>74829.475300000006</v>
      </c>
    </row>
    <row r="31" spans="1:10" x14ac:dyDescent="0.35">
      <c r="A31">
        <v>34417</v>
      </c>
      <c r="B31" t="s">
        <v>639</v>
      </c>
      <c r="C31" t="s">
        <v>17</v>
      </c>
      <c r="D31" t="s">
        <v>638</v>
      </c>
      <c r="E31" t="s">
        <v>637</v>
      </c>
      <c r="F31" t="s">
        <v>636</v>
      </c>
      <c r="G31" s="5">
        <v>5000</v>
      </c>
      <c r="H31" s="5">
        <v>1250</v>
      </c>
      <c r="I31" s="5">
        <v>6250</v>
      </c>
      <c r="J31" s="1">
        <v>77733.203899999993</v>
      </c>
    </row>
    <row r="32" spans="1:10" x14ac:dyDescent="0.35">
      <c r="A32">
        <v>40909</v>
      </c>
      <c r="B32" t="s">
        <v>627</v>
      </c>
      <c r="C32" t="s">
        <v>17</v>
      </c>
      <c r="D32" t="s">
        <v>635</v>
      </c>
      <c r="E32" t="s">
        <v>500</v>
      </c>
      <c r="F32" t="s">
        <v>634</v>
      </c>
      <c r="G32" s="5">
        <v>2000</v>
      </c>
      <c r="H32" s="5">
        <v>500</v>
      </c>
      <c r="I32" s="5">
        <v>2500</v>
      </c>
      <c r="J32" s="1">
        <v>4919.5686999999998</v>
      </c>
    </row>
    <row r="33" spans="1:10" x14ac:dyDescent="0.35">
      <c r="A33">
        <v>40857</v>
      </c>
      <c r="B33" t="s">
        <v>627</v>
      </c>
      <c r="C33" t="s">
        <v>17</v>
      </c>
      <c r="D33" t="s">
        <v>633</v>
      </c>
      <c r="E33" t="s">
        <v>632</v>
      </c>
      <c r="F33" t="s">
        <v>588</v>
      </c>
      <c r="G33" s="5">
        <v>200</v>
      </c>
      <c r="H33" s="5">
        <v>0</v>
      </c>
      <c r="I33" s="5">
        <v>200</v>
      </c>
      <c r="J33" s="1">
        <v>402.59440000000001</v>
      </c>
    </row>
    <row r="34" spans="1:10" x14ac:dyDescent="0.35">
      <c r="A34">
        <v>40377</v>
      </c>
      <c r="B34" t="s">
        <v>627</v>
      </c>
      <c r="C34" t="s">
        <v>17</v>
      </c>
      <c r="D34" t="s">
        <v>631</v>
      </c>
      <c r="E34" t="s">
        <v>500</v>
      </c>
      <c r="F34" t="s">
        <v>630</v>
      </c>
      <c r="G34" s="5">
        <v>500</v>
      </c>
      <c r="H34" s="5">
        <v>125</v>
      </c>
      <c r="I34" s="5">
        <v>625</v>
      </c>
      <c r="J34" s="1">
        <v>1429.9789000000001</v>
      </c>
    </row>
    <row r="35" spans="1:10" x14ac:dyDescent="0.35">
      <c r="A35">
        <v>40374</v>
      </c>
      <c r="B35" t="s">
        <v>627</v>
      </c>
      <c r="C35" t="s">
        <v>17</v>
      </c>
      <c r="D35" t="s">
        <v>629</v>
      </c>
      <c r="E35" t="s">
        <v>500</v>
      </c>
      <c r="F35" t="s">
        <v>628</v>
      </c>
      <c r="G35" s="5">
        <v>500</v>
      </c>
      <c r="H35" s="5">
        <v>125</v>
      </c>
      <c r="I35" s="5">
        <v>625</v>
      </c>
      <c r="J35" s="1">
        <v>1433.4534000000001</v>
      </c>
    </row>
    <row r="36" spans="1:10" x14ac:dyDescent="0.35">
      <c r="A36">
        <v>41599</v>
      </c>
      <c r="B36" t="s">
        <v>627</v>
      </c>
      <c r="C36" t="s">
        <v>4</v>
      </c>
      <c r="D36" t="s">
        <v>3</v>
      </c>
      <c r="E36" t="s">
        <v>500</v>
      </c>
      <c r="F36" t="s">
        <v>626</v>
      </c>
      <c r="G36" s="5">
        <v>300</v>
      </c>
      <c r="H36" s="5">
        <v>0</v>
      </c>
      <c r="I36" s="5">
        <v>300</v>
      </c>
      <c r="J36" s="1">
        <v>457.05669999999998</v>
      </c>
    </row>
    <row r="37" spans="1:10" x14ac:dyDescent="0.35">
      <c r="A37">
        <v>40716</v>
      </c>
      <c r="B37" t="s">
        <v>622</v>
      </c>
      <c r="C37" t="s">
        <v>17</v>
      </c>
      <c r="D37" t="s">
        <v>625</v>
      </c>
      <c r="E37" t="s">
        <v>624</v>
      </c>
      <c r="F37" t="s">
        <v>623</v>
      </c>
      <c r="G37" s="5">
        <v>200</v>
      </c>
      <c r="H37" s="5">
        <v>0</v>
      </c>
      <c r="I37" s="5">
        <v>200</v>
      </c>
      <c r="J37" s="1">
        <v>414.18189999999998</v>
      </c>
    </row>
    <row r="38" spans="1:10" x14ac:dyDescent="0.35">
      <c r="A38">
        <v>40414</v>
      </c>
      <c r="B38" t="s">
        <v>622</v>
      </c>
      <c r="C38" t="s">
        <v>17</v>
      </c>
      <c r="D38" t="s">
        <v>621</v>
      </c>
      <c r="E38" t="s">
        <v>620</v>
      </c>
      <c r="F38" t="s">
        <v>619</v>
      </c>
      <c r="G38" s="5">
        <v>1000</v>
      </c>
      <c r="H38" s="5">
        <v>250</v>
      </c>
      <c r="I38" s="5">
        <v>1250</v>
      </c>
      <c r="J38" s="1">
        <v>2804.8613999999998</v>
      </c>
    </row>
    <row r="39" spans="1:10" x14ac:dyDescent="0.35">
      <c r="A39">
        <v>36306</v>
      </c>
      <c r="B39" t="s">
        <v>618</v>
      </c>
      <c r="C39" t="s">
        <v>17</v>
      </c>
      <c r="D39" t="s">
        <v>617</v>
      </c>
      <c r="E39" t="s">
        <v>616</v>
      </c>
      <c r="F39" t="s">
        <v>615</v>
      </c>
      <c r="G39" s="5">
        <v>3000</v>
      </c>
      <c r="H39" s="5">
        <v>750</v>
      </c>
      <c r="I39" s="5">
        <v>3750</v>
      </c>
      <c r="J39" s="1">
        <v>29963.048900000002</v>
      </c>
    </row>
    <row r="40" spans="1:10" x14ac:dyDescent="0.35">
      <c r="A40">
        <v>41785</v>
      </c>
      <c r="B40" t="s">
        <v>614</v>
      </c>
      <c r="C40" t="s">
        <v>4</v>
      </c>
      <c r="D40" t="s">
        <v>3</v>
      </c>
      <c r="E40" t="s">
        <v>613</v>
      </c>
      <c r="F40" t="s">
        <v>612</v>
      </c>
      <c r="G40" s="5">
        <v>3000</v>
      </c>
      <c r="H40" s="5">
        <v>750</v>
      </c>
      <c r="I40" s="5">
        <v>3750</v>
      </c>
      <c r="J40" s="1">
        <v>5310.0452999999998</v>
      </c>
    </row>
    <row r="41" spans="1:10" x14ac:dyDescent="0.35">
      <c r="A41">
        <v>41695</v>
      </c>
      <c r="B41" t="s">
        <v>609</v>
      </c>
      <c r="C41" t="s">
        <v>4</v>
      </c>
      <c r="D41" t="s">
        <v>3</v>
      </c>
      <c r="E41" t="s">
        <v>610</v>
      </c>
      <c r="F41" t="s">
        <v>611</v>
      </c>
      <c r="G41" s="5">
        <v>1000</v>
      </c>
      <c r="H41" s="5">
        <v>250</v>
      </c>
      <c r="I41" s="5">
        <v>1250</v>
      </c>
      <c r="J41" s="1">
        <v>1835.8213000000001</v>
      </c>
    </row>
    <row r="42" spans="1:10" x14ac:dyDescent="0.35">
      <c r="A42">
        <v>41584</v>
      </c>
      <c r="B42" t="s">
        <v>609</v>
      </c>
      <c r="C42" t="s">
        <v>4</v>
      </c>
      <c r="D42" t="s">
        <v>3</v>
      </c>
      <c r="E42" t="s">
        <v>610</v>
      </c>
      <c r="F42" t="s">
        <v>514</v>
      </c>
      <c r="G42" s="5">
        <v>5000</v>
      </c>
      <c r="H42" s="5">
        <v>1250</v>
      </c>
      <c r="I42" s="5">
        <v>6250</v>
      </c>
      <c r="J42" s="1">
        <v>9542.9202999999998</v>
      </c>
    </row>
    <row r="43" spans="1:10" x14ac:dyDescent="0.35">
      <c r="A43">
        <v>41378</v>
      </c>
      <c r="B43" t="s">
        <v>609</v>
      </c>
      <c r="C43" t="s">
        <v>4</v>
      </c>
      <c r="D43" t="s">
        <v>3</v>
      </c>
      <c r="E43" t="s">
        <v>608</v>
      </c>
      <c r="F43" t="s">
        <v>13</v>
      </c>
      <c r="G43" s="5">
        <v>5000</v>
      </c>
      <c r="H43" s="5">
        <v>1250</v>
      </c>
      <c r="I43" s="5">
        <v>6250</v>
      </c>
      <c r="J43" s="1">
        <v>10273.194799999999</v>
      </c>
    </row>
    <row r="44" spans="1:10" x14ac:dyDescent="0.35">
      <c r="A44">
        <v>37759</v>
      </c>
      <c r="B44" t="s">
        <v>592</v>
      </c>
      <c r="C44" t="s">
        <v>17</v>
      </c>
      <c r="D44" t="s">
        <v>607</v>
      </c>
      <c r="E44" t="s">
        <v>606</v>
      </c>
      <c r="F44" t="s">
        <v>605</v>
      </c>
      <c r="G44" s="5">
        <v>2500</v>
      </c>
      <c r="H44" s="5">
        <v>625</v>
      </c>
      <c r="I44" s="5">
        <v>3125</v>
      </c>
      <c r="J44" s="1">
        <v>17563.7006</v>
      </c>
    </row>
    <row r="45" spans="1:10" x14ac:dyDescent="0.35">
      <c r="A45">
        <v>35312</v>
      </c>
      <c r="B45" t="s">
        <v>592</v>
      </c>
      <c r="C45" t="s">
        <v>17</v>
      </c>
      <c r="D45" t="s">
        <v>604</v>
      </c>
      <c r="E45" t="s">
        <v>590</v>
      </c>
      <c r="F45" t="s">
        <v>603</v>
      </c>
      <c r="G45" s="5">
        <v>1500</v>
      </c>
      <c r="H45" s="5">
        <v>375</v>
      </c>
      <c r="I45" s="5">
        <v>1875</v>
      </c>
      <c r="J45" s="1">
        <v>19057.337200000002</v>
      </c>
    </row>
    <row r="46" spans="1:10" x14ac:dyDescent="0.35">
      <c r="A46">
        <v>35168</v>
      </c>
      <c r="B46" t="s">
        <v>592</v>
      </c>
      <c r="C46" t="s">
        <v>17</v>
      </c>
      <c r="D46" t="s">
        <v>602</v>
      </c>
      <c r="E46" t="s">
        <v>590</v>
      </c>
      <c r="F46" t="s">
        <v>405</v>
      </c>
      <c r="G46" s="5">
        <v>2000</v>
      </c>
      <c r="H46" s="5">
        <v>500</v>
      </c>
      <c r="I46" s="5">
        <v>2500</v>
      </c>
      <c r="J46" s="1">
        <v>25989.739300000001</v>
      </c>
    </row>
    <row r="47" spans="1:10" x14ac:dyDescent="0.35">
      <c r="A47">
        <v>34856</v>
      </c>
      <c r="B47" t="s">
        <v>592</v>
      </c>
      <c r="C47" t="s">
        <v>17</v>
      </c>
      <c r="D47" t="s">
        <v>601</v>
      </c>
      <c r="E47" t="s">
        <v>596</v>
      </c>
      <c r="F47" t="s">
        <v>600</v>
      </c>
      <c r="G47" s="5">
        <v>1000</v>
      </c>
      <c r="H47" s="5">
        <v>250</v>
      </c>
      <c r="I47" s="5">
        <v>1250</v>
      </c>
      <c r="J47" s="1">
        <v>13969.120800000001</v>
      </c>
    </row>
    <row r="48" spans="1:10" x14ac:dyDescent="0.35">
      <c r="A48">
        <v>34677</v>
      </c>
      <c r="B48" t="s">
        <v>592</v>
      </c>
      <c r="C48" t="s">
        <v>17</v>
      </c>
      <c r="D48" t="s">
        <v>599</v>
      </c>
      <c r="E48" t="s">
        <v>596</v>
      </c>
      <c r="F48" t="s">
        <v>598</v>
      </c>
      <c r="G48" s="5">
        <v>1000</v>
      </c>
      <c r="H48" s="5">
        <v>250</v>
      </c>
      <c r="I48" s="5">
        <v>1250</v>
      </c>
      <c r="J48" s="1">
        <v>14476.828600000001</v>
      </c>
    </row>
    <row r="49" spans="1:10" x14ac:dyDescent="0.35">
      <c r="A49">
        <v>34623</v>
      </c>
      <c r="B49" t="s">
        <v>592</v>
      </c>
      <c r="C49" t="s">
        <v>17</v>
      </c>
      <c r="D49" t="s">
        <v>597</v>
      </c>
      <c r="E49" t="s">
        <v>596</v>
      </c>
      <c r="F49" t="s">
        <v>595</v>
      </c>
      <c r="G49" s="5">
        <v>1000</v>
      </c>
      <c r="H49" s="5">
        <v>250</v>
      </c>
      <c r="I49" s="5">
        <v>1250</v>
      </c>
      <c r="J49" s="1">
        <v>14688.909100000001</v>
      </c>
    </row>
    <row r="50" spans="1:10" x14ac:dyDescent="0.35">
      <c r="A50">
        <v>34604</v>
      </c>
      <c r="B50" t="s">
        <v>592</v>
      </c>
      <c r="C50" t="s">
        <v>17</v>
      </c>
      <c r="D50" t="s">
        <v>594</v>
      </c>
      <c r="E50" t="s">
        <v>590</v>
      </c>
      <c r="F50" t="s">
        <v>593</v>
      </c>
      <c r="G50" s="5">
        <v>1000</v>
      </c>
      <c r="H50" s="5">
        <v>250</v>
      </c>
      <c r="I50" s="5">
        <v>1250</v>
      </c>
      <c r="J50" s="1">
        <v>14857.1574</v>
      </c>
    </row>
    <row r="51" spans="1:10" x14ac:dyDescent="0.35">
      <c r="A51">
        <v>34498</v>
      </c>
      <c r="B51" t="s">
        <v>592</v>
      </c>
      <c r="C51" t="s">
        <v>17</v>
      </c>
      <c r="D51" t="s">
        <v>591</v>
      </c>
      <c r="E51" t="s">
        <v>590</v>
      </c>
      <c r="F51" t="s">
        <v>452</v>
      </c>
      <c r="G51" s="5">
        <v>3000</v>
      </c>
      <c r="H51" s="5">
        <v>750</v>
      </c>
      <c r="I51" s="5">
        <v>3750</v>
      </c>
      <c r="J51" s="1">
        <v>45631.495799999997</v>
      </c>
    </row>
    <row r="52" spans="1:10" x14ac:dyDescent="0.35">
      <c r="A52">
        <v>40858</v>
      </c>
      <c r="B52" t="s">
        <v>587</v>
      </c>
      <c r="C52" t="s">
        <v>17</v>
      </c>
      <c r="D52" t="s">
        <v>589</v>
      </c>
      <c r="E52" t="s">
        <v>586</v>
      </c>
      <c r="F52" t="s">
        <v>588</v>
      </c>
      <c r="G52" s="5">
        <v>2000</v>
      </c>
      <c r="H52" s="5">
        <v>500</v>
      </c>
      <c r="I52" s="5">
        <v>2500</v>
      </c>
      <c r="J52" s="1">
        <v>5032.4304000000002</v>
      </c>
    </row>
    <row r="53" spans="1:10" x14ac:dyDescent="0.35">
      <c r="A53">
        <v>41716</v>
      </c>
      <c r="B53" t="s">
        <v>587</v>
      </c>
      <c r="C53" t="s">
        <v>4</v>
      </c>
      <c r="D53" t="s">
        <v>3</v>
      </c>
      <c r="E53" t="s">
        <v>586</v>
      </c>
      <c r="F53" t="s">
        <v>585</v>
      </c>
      <c r="G53" s="5">
        <v>1000</v>
      </c>
      <c r="H53" s="5">
        <v>250</v>
      </c>
      <c r="I53" s="5">
        <v>1250</v>
      </c>
      <c r="J53" s="1">
        <v>1820.9767999999999</v>
      </c>
    </row>
    <row r="54" spans="1:10" x14ac:dyDescent="0.35">
      <c r="A54">
        <v>39815</v>
      </c>
      <c r="B54" t="s">
        <v>584</v>
      </c>
      <c r="C54" t="s">
        <v>17</v>
      </c>
      <c r="D54" t="s">
        <v>583</v>
      </c>
      <c r="E54" t="s">
        <v>174</v>
      </c>
      <c r="F54" t="s">
        <v>582</v>
      </c>
      <c r="G54" s="5">
        <v>1000</v>
      </c>
      <c r="H54" s="5">
        <v>100</v>
      </c>
      <c r="I54" s="5">
        <v>1100</v>
      </c>
      <c r="J54" s="1">
        <v>3079.5147999999999</v>
      </c>
    </row>
    <row r="55" spans="1:10" x14ac:dyDescent="0.35">
      <c r="A55">
        <v>37246</v>
      </c>
      <c r="B55" t="s">
        <v>579</v>
      </c>
      <c r="C55" t="s">
        <v>17</v>
      </c>
      <c r="D55" t="s">
        <v>581</v>
      </c>
      <c r="E55" t="s">
        <v>580</v>
      </c>
      <c r="F55" s="6">
        <v>42024</v>
      </c>
      <c r="G55" s="5">
        <v>2000</v>
      </c>
      <c r="H55" s="5">
        <v>500</v>
      </c>
      <c r="I55" s="5">
        <v>2500</v>
      </c>
      <c r="J55" s="1">
        <v>16049.562400000001</v>
      </c>
    </row>
    <row r="56" spans="1:10" x14ac:dyDescent="0.35">
      <c r="A56">
        <v>36366</v>
      </c>
      <c r="B56" t="s">
        <v>579</v>
      </c>
      <c r="C56" t="s">
        <v>17</v>
      </c>
      <c r="D56" t="s">
        <v>578</v>
      </c>
      <c r="E56" t="s">
        <v>577</v>
      </c>
      <c r="F56" t="s">
        <v>576</v>
      </c>
      <c r="G56" s="5">
        <v>5000</v>
      </c>
      <c r="H56" s="5">
        <v>1250</v>
      </c>
      <c r="I56" s="5">
        <v>6250</v>
      </c>
      <c r="J56" s="1">
        <v>49937.302000000003</v>
      </c>
    </row>
    <row r="57" spans="1:10" x14ac:dyDescent="0.35">
      <c r="A57">
        <v>41359</v>
      </c>
      <c r="B57" t="s">
        <v>575</v>
      </c>
      <c r="C57" t="s">
        <v>4</v>
      </c>
      <c r="D57" t="s">
        <v>3</v>
      </c>
      <c r="F57" t="s">
        <v>574</v>
      </c>
      <c r="G57" s="5">
        <v>2500</v>
      </c>
      <c r="H57" s="5">
        <v>625</v>
      </c>
      <c r="I57" s="5">
        <v>3125</v>
      </c>
      <c r="J57" s="1">
        <v>5170.2057000000004</v>
      </c>
    </row>
    <row r="58" spans="1:10" x14ac:dyDescent="0.35">
      <c r="A58">
        <v>37819</v>
      </c>
      <c r="B58" t="s">
        <v>571</v>
      </c>
      <c r="C58" t="s">
        <v>17</v>
      </c>
      <c r="D58" t="s">
        <v>573</v>
      </c>
      <c r="E58" t="s">
        <v>569</v>
      </c>
      <c r="F58" t="s">
        <v>572</v>
      </c>
      <c r="G58" s="5">
        <v>500</v>
      </c>
      <c r="H58" s="5">
        <v>125</v>
      </c>
      <c r="I58" s="5">
        <v>625</v>
      </c>
      <c r="J58" s="1">
        <v>3459.2478999999998</v>
      </c>
    </row>
    <row r="59" spans="1:10" x14ac:dyDescent="0.35">
      <c r="A59">
        <v>36852</v>
      </c>
      <c r="B59" t="s">
        <v>571</v>
      </c>
      <c r="C59" t="s">
        <v>17</v>
      </c>
      <c r="D59" t="s">
        <v>570</v>
      </c>
      <c r="E59" t="s">
        <v>569</v>
      </c>
      <c r="F59" t="s">
        <v>568</v>
      </c>
      <c r="G59" s="5">
        <v>1500</v>
      </c>
      <c r="H59" s="5">
        <v>375</v>
      </c>
      <c r="I59" s="5">
        <v>1875</v>
      </c>
      <c r="J59" s="1">
        <v>13158.305399999999</v>
      </c>
    </row>
    <row r="60" spans="1:10" x14ac:dyDescent="0.35">
      <c r="A60">
        <v>38354</v>
      </c>
      <c r="B60" t="s">
        <v>560</v>
      </c>
      <c r="C60" t="s">
        <v>17</v>
      </c>
      <c r="D60" t="s">
        <v>567</v>
      </c>
      <c r="E60" t="s">
        <v>564</v>
      </c>
      <c r="F60" t="s">
        <v>566</v>
      </c>
      <c r="G60" s="5">
        <v>500</v>
      </c>
      <c r="H60" s="5">
        <v>125</v>
      </c>
      <c r="I60" s="5">
        <v>625</v>
      </c>
      <c r="J60" s="1">
        <v>2934.5075000000002</v>
      </c>
    </row>
    <row r="61" spans="1:10" x14ac:dyDescent="0.35">
      <c r="A61">
        <v>38056</v>
      </c>
      <c r="B61" t="s">
        <v>560</v>
      </c>
      <c r="C61" t="s">
        <v>17</v>
      </c>
      <c r="D61" t="s">
        <v>565</v>
      </c>
      <c r="E61" t="s">
        <v>564</v>
      </c>
      <c r="F61" t="s">
        <v>563</v>
      </c>
      <c r="G61" s="5">
        <v>500</v>
      </c>
      <c r="H61" s="5">
        <v>125</v>
      </c>
      <c r="I61" s="5">
        <v>625</v>
      </c>
      <c r="J61" s="1">
        <v>3179.4931000000001</v>
      </c>
    </row>
    <row r="62" spans="1:10" x14ac:dyDescent="0.35">
      <c r="A62">
        <v>36913</v>
      </c>
      <c r="B62" t="s">
        <v>560</v>
      </c>
      <c r="C62" t="s">
        <v>17</v>
      </c>
      <c r="D62" t="s">
        <v>562</v>
      </c>
      <c r="E62" t="s">
        <v>558</v>
      </c>
      <c r="F62" t="s">
        <v>561</v>
      </c>
      <c r="G62" s="5">
        <v>750</v>
      </c>
      <c r="H62" s="5">
        <v>187.5</v>
      </c>
      <c r="I62" s="5">
        <v>937.5</v>
      </c>
      <c r="J62" s="1">
        <v>6479.1899000000003</v>
      </c>
    </row>
    <row r="63" spans="1:10" x14ac:dyDescent="0.35">
      <c r="A63">
        <v>36908</v>
      </c>
      <c r="B63" t="s">
        <v>560</v>
      </c>
      <c r="C63" t="s">
        <v>17</v>
      </c>
      <c r="D63" t="s">
        <v>559</v>
      </c>
      <c r="E63" t="s">
        <v>558</v>
      </c>
      <c r="F63" t="s">
        <v>315</v>
      </c>
      <c r="G63" s="5">
        <v>250</v>
      </c>
      <c r="H63" s="5">
        <v>62.5</v>
      </c>
      <c r="I63" s="5">
        <v>312.5</v>
      </c>
      <c r="J63" s="1">
        <v>2161.4863</v>
      </c>
    </row>
    <row r="64" spans="1:10" x14ac:dyDescent="0.35">
      <c r="A64">
        <v>39147</v>
      </c>
      <c r="B64" t="s">
        <v>557</v>
      </c>
      <c r="C64" t="s">
        <v>17</v>
      </c>
      <c r="D64" t="s">
        <v>556</v>
      </c>
      <c r="E64" t="s">
        <v>555</v>
      </c>
      <c r="F64" t="s">
        <v>554</v>
      </c>
      <c r="G64" s="5">
        <v>10000</v>
      </c>
      <c r="H64" s="5">
        <v>2500</v>
      </c>
      <c r="I64" s="5">
        <v>12500</v>
      </c>
      <c r="J64" s="1">
        <v>45392.848899999997</v>
      </c>
    </row>
    <row r="65" spans="1:10" x14ac:dyDescent="0.35">
      <c r="A65">
        <v>41941</v>
      </c>
      <c r="B65" t="s">
        <v>553</v>
      </c>
      <c r="C65" t="s">
        <v>4</v>
      </c>
      <c r="D65" t="s">
        <v>3</v>
      </c>
      <c r="E65" t="s">
        <v>552</v>
      </c>
      <c r="F65" t="s">
        <v>551</v>
      </c>
      <c r="G65" s="5">
        <v>3000</v>
      </c>
      <c r="H65" s="5">
        <v>300</v>
      </c>
      <c r="I65" s="5">
        <v>3300</v>
      </c>
      <c r="J65" s="1">
        <v>3972.2876999999999</v>
      </c>
    </row>
    <row r="66" spans="1:10" x14ac:dyDescent="0.35">
      <c r="A66">
        <v>36156</v>
      </c>
      <c r="B66" t="s">
        <v>542</v>
      </c>
      <c r="C66" t="s">
        <v>17</v>
      </c>
      <c r="D66" t="s">
        <v>550</v>
      </c>
      <c r="E66" t="s">
        <v>540</v>
      </c>
      <c r="F66" t="s">
        <v>549</v>
      </c>
      <c r="G66" s="5">
        <v>2000</v>
      </c>
      <c r="H66" s="5">
        <v>500</v>
      </c>
      <c r="I66" s="5">
        <v>2500</v>
      </c>
      <c r="J66" s="1">
        <v>21210.028699999999</v>
      </c>
    </row>
    <row r="67" spans="1:10" x14ac:dyDescent="0.35">
      <c r="A67">
        <v>36269</v>
      </c>
      <c r="B67" t="s">
        <v>542</v>
      </c>
      <c r="C67" t="s">
        <v>17</v>
      </c>
      <c r="D67" t="s">
        <v>548</v>
      </c>
      <c r="E67" t="s">
        <v>540</v>
      </c>
      <c r="F67" t="s">
        <v>547</v>
      </c>
      <c r="G67" s="5">
        <v>1500</v>
      </c>
      <c r="H67" s="5">
        <v>375</v>
      </c>
      <c r="I67" s="5">
        <v>1875</v>
      </c>
      <c r="J67" s="1">
        <v>15450.0113</v>
      </c>
    </row>
    <row r="68" spans="1:10" x14ac:dyDescent="0.35">
      <c r="A68">
        <v>36350</v>
      </c>
      <c r="B68" t="s">
        <v>542</v>
      </c>
      <c r="C68" t="s">
        <v>17</v>
      </c>
      <c r="D68" t="s">
        <v>546</v>
      </c>
      <c r="E68" t="s">
        <v>540</v>
      </c>
      <c r="F68" t="s">
        <v>545</v>
      </c>
      <c r="G68" s="5">
        <v>2500</v>
      </c>
      <c r="H68" s="5">
        <v>0</v>
      </c>
      <c r="I68" s="5">
        <v>2500</v>
      </c>
      <c r="J68" s="1">
        <v>20040.107899999999</v>
      </c>
    </row>
    <row r="69" spans="1:10" x14ac:dyDescent="0.35">
      <c r="A69">
        <v>37108</v>
      </c>
      <c r="B69" t="s">
        <v>542</v>
      </c>
      <c r="C69" t="s">
        <v>17</v>
      </c>
      <c r="D69" t="s">
        <v>544</v>
      </c>
      <c r="E69" t="s">
        <v>540</v>
      </c>
      <c r="F69" t="s">
        <v>543</v>
      </c>
      <c r="G69" s="5">
        <v>300</v>
      </c>
      <c r="H69" s="5">
        <v>75</v>
      </c>
      <c r="I69" s="5">
        <v>375</v>
      </c>
      <c r="J69" s="1">
        <v>2500.7667999999999</v>
      </c>
    </row>
    <row r="70" spans="1:10" x14ac:dyDescent="0.35">
      <c r="A70">
        <v>37320</v>
      </c>
      <c r="B70" t="s">
        <v>542</v>
      </c>
      <c r="C70" t="s">
        <v>17</v>
      </c>
      <c r="D70" t="s">
        <v>541</v>
      </c>
      <c r="E70" t="s">
        <v>540</v>
      </c>
      <c r="F70" t="s">
        <v>539</v>
      </c>
      <c r="G70" s="5">
        <v>200</v>
      </c>
      <c r="H70" s="5">
        <v>0</v>
      </c>
      <c r="I70" s="5">
        <v>200</v>
      </c>
      <c r="J70" s="1">
        <v>1260.2526</v>
      </c>
    </row>
    <row r="71" spans="1:10" x14ac:dyDescent="0.35">
      <c r="A71">
        <v>39906</v>
      </c>
      <c r="B71" t="s">
        <v>537</v>
      </c>
      <c r="C71" t="s">
        <v>17</v>
      </c>
      <c r="D71" t="s">
        <v>538</v>
      </c>
      <c r="E71" t="s">
        <v>535</v>
      </c>
      <c r="F71" t="s">
        <v>534</v>
      </c>
      <c r="G71" s="5">
        <v>200</v>
      </c>
      <c r="H71" s="5">
        <v>0</v>
      </c>
      <c r="I71" s="5">
        <v>200</v>
      </c>
      <c r="J71" s="1">
        <v>544.25980000000004</v>
      </c>
    </row>
    <row r="72" spans="1:10" x14ac:dyDescent="0.35">
      <c r="A72">
        <v>39905</v>
      </c>
      <c r="B72" t="s">
        <v>537</v>
      </c>
      <c r="C72" t="s">
        <v>17</v>
      </c>
      <c r="D72" t="s">
        <v>536</v>
      </c>
      <c r="E72" t="s">
        <v>535</v>
      </c>
      <c r="F72" t="s">
        <v>534</v>
      </c>
      <c r="G72" s="5">
        <v>1000</v>
      </c>
      <c r="H72" s="5">
        <v>100</v>
      </c>
      <c r="I72" s="5">
        <v>1100</v>
      </c>
      <c r="J72" s="1">
        <v>2993.4288000000001</v>
      </c>
    </row>
    <row r="73" spans="1:10" x14ac:dyDescent="0.35">
      <c r="A73">
        <v>35660</v>
      </c>
      <c r="B73" t="s">
        <v>533</v>
      </c>
      <c r="C73" t="s">
        <v>17</v>
      </c>
      <c r="D73" t="s">
        <v>532</v>
      </c>
      <c r="E73" t="s">
        <v>531</v>
      </c>
      <c r="F73" t="s">
        <v>530</v>
      </c>
      <c r="G73" s="5">
        <v>1500</v>
      </c>
      <c r="H73" s="5">
        <v>375</v>
      </c>
      <c r="I73" s="5">
        <v>1875</v>
      </c>
      <c r="J73" s="1">
        <v>17862.328099999999</v>
      </c>
    </row>
    <row r="74" spans="1:10" x14ac:dyDescent="0.35">
      <c r="A74">
        <v>41883</v>
      </c>
      <c r="B74" t="s">
        <v>528</v>
      </c>
      <c r="C74" t="s">
        <v>4</v>
      </c>
      <c r="D74" t="s">
        <v>3</v>
      </c>
      <c r="E74" t="s">
        <v>35</v>
      </c>
      <c r="F74" t="s">
        <v>529</v>
      </c>
      <c r="G74" s="5">
        <v>500</v>
      </c>
      <c r="H74" s="5">
        <v>125</v>
      </c>
      <c r="I74" s="5">
        <v>625</v>
      </c>
      <c r="J74" s="1">
        <v>791.38250000000005</v>
      </c>
    </row>
    <row r="75" spans="1:10" x14ac:dyDescent="0.35">
      <c r="A75">
        <v>41879</v>
      </c>
      <c r="B75" t="s">
        <v>528</v>
      </c>
      <c r="C75" t="s">
        <v>4</v>
      </c>
      <c r="D75" t="s">
        <v>3</v>
      </c>
      <c r="E75" t="s">
        <v>35</v>
      </c>
      <c r="F75" t="s">
        <v>527</v>
      </c>
      <c r="G75" s="5">
        <v>500</v>
      </c>
      <c r="H75" s="5">
        <v>125</v>
      </c>
      <c r="I75" s="5">
        <v>625</v>
      </c>
      <c r="J75" s="1">
        <v>796.50599999999997</v>
      </c>
    </row>
    <row r="76" spans="1:10" x14ac:dyDescent="0.35">
      <c r="A76">
        <v>40804</v>
      </c>
      <c r="B76" t="s">
        <v>523</v>
      </c>
      <c r="C76" t="s">
        <v>17</v>
      </c>
      <c r="D76" t="s">
        <v>526</v>
      </c>
      <c r="E76" t="s">
        <v>32</v>
      </c>
      <c r="F76" t="s">
        <v>27</v>
      </c>
      <c r="G76" s="5">
        <v>200</v>
      </c>
      <c r="H76" s="5">
        <v>0</v>
      </c>
      <c r="I76" s="5">
        <v>200</v>
      </c>
      <c r="J76" s="1">
        <v>406.19580000000002</v>
      </c>
    </row>
    <row r="77" spans="1:10" x14ac:dyDescent="0.35">
      <c r="A77">
        <v>40660</v>
      </c>
      <c r="B77" t="s">
        <v>523</v>
      </c>
      <c r="C77" t="s">
        <v>17</v>
      </c>
      <c r="D77" t="s">
        <v>525</v>
      </c>
      <c r="E77" t="s">
        <v>32</v>
      </c>
      <c r="F77" t="s">
        <v>524</v>
      </c>
      <c r="G77" s="5">
        <v>1000</v>
      </c>
      <c r="H77" s="5">
        <v>250</v>
      </c>
      <c r="I77" s="5">
        <v>1250</v>
      </c>
      <c r="J77" s="1">
        <v>2620.0853000000002</v>
      </c>
    </row>
    <row r="78" spans="1:10" x14ac:dyDescent="0.35">
      <c r="A78">
        <v>40309</v>
      </c>
      <c r="B78" t="s">
        <v>523</v>
      </c>
      <c r="C78" t="s">
        <v>17</v>
      </c>
      <c r="D78" t="s">
        <v>522</v>
      </c>
      <c r="E78" t="s">
        <v>32</v>
      </c>
      <c r="F78" t="s">
        <v>521</v>
      </c>
      <c r="G78" s="5">
        <v>2500</v>
      </c>
      <c r="H78" s="5">
        <v>625</v>
      </c>
      <c r="I78" s="5">
        <v>3125</v>
      </c>
      <c r="J78" s="1">
        <v>7343.6949000000004</v>
      </c>
    </row>
    <row r="79" spans="1:10" x14ac:dyDescent="0.35">
      <c r="A79">
        <v>34862</v>
      </c>
      <c r="B79" t="s">
        <v>520</v>
      </c>
      <c r="C79" t="s">
        <v>17</v>
      </c>
      <c r="D79" t="s">
        <v>519</v>
      </c>
      <c r="E79" t="s">
        <v>335</v>
      </c>
      <c r="F79" t="s">
        <v>518</v>
      </c>
      <c r="G79" s="5">
        <v>5000</v>
      </c>
      <c r="H79" s="5">
        <v>1250</v>
      </c>
      <c r="I79" s="5">
        <v>6250</v>
      </c>
      <c r="J79" s="1">
        <v>44552</v>
      </c>
    </row>
    <row r="80" spans="1:10" x14ac:dyDescent="0.35">
      <c r="F80" t="s">
        <v>0</v>
      </c>
      <c r="G80" s="4">
        <f>SUBTOTAL(109,Table6[Amt Financed])</f>
        <v>127400</v>
      </c>
      <c r="H80" s="4">
        <f>SUBTOTAL(109,Table6[Finance Charge])</f>
        <v>29625</v>
      </c>
      <c r="I80" s="4">
        <f>SUBTOTAL(109,Table6[Payment Total])</f>
        <v>157025</v>
      </c>
      <c r="J80" s="4">
        <f>SUBTOTAL(109,Table6[OB])</f>
        <v>851933.54749999987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26EB-CFD5-42C4-ADE9-E62A9E6C42C8}">
  <dimension ref="A1:J52"/>
  <sheetViews>
    <sheetView tabSelected="1" topLeftCell="A34" workbookViewId="0">
      <selection activeCell="I59" sqref="I59"/>
    </sheetView>
  </sheetViews>
  <sheetFormatPr defaultRowHeight="14.5" x14ac:dyDescent="0.35"/>
  <cols>
    <col min="1" max="1" width="12" customWidth="1"/>
    <col min="2" max="2" width="25.7265625" bestFit="1" customWidth="1"/>
    <col min="4" max="4" width="13.54296875" customWidth="1"/>
    <col min="5" max="5" width="25.26953125" bestFit="1" customWidth="1"/>
    <col min="6" max="6" width="18.54296875" bestFit="1" customWidth="1"/>
    <col min="7" max="7" width="15.26953125" customWidth="1"/>
    <col min="8" max="8" width="16.54296875" customWidth="1"/>
    <col min="9" max="9" width="15.81640625" customWidth="1"/>
    <col min="10" max="10" width="14.26953125" bestFit="1" customWidth="1"/>
  </cols>
  <sheetData>
    <row r="1" spans="1:10" x14ac:dyDescent="0.35">
      <c r="A1" t="s">
        <v>491</v>
      </c>
      <c r="B1" t="s">
        <v>490</v>
      </c>
      <c r="C1" t="s">
        <v>489</v>
      </c>
      <c r="D1" t="s">
        <v>488</v>
      </c>
      <c r="E1" t="s">
        <v>487</v>
      </c>
      <c r="F1" t="s">
        <v>486</v>
      </c>
      <c r="G1" t="s">
        <v>485</v>
      </c>
      <c r="H1" t="s">
        <v>484</v>
      </c>
      <c r="I1" t="s">
        <v>483</v>
      </c>
      <c r="J1" t="s">
        <v>482</v>
      </c>
    </row>
    <row r="2" spans="1:10" x14ac:dyDescent="0.35">
      <c r="A2">
        <v>39143</v>
      </c>
      <c r="B2" t="s">
        <v>850</v>
      </c>
      <c r="C2" t="s">
        <v>17</v>
      </c>
      <c r="D2" t="s">
        <v>857</v>
      </c>
      <c r="E2" t="s">
        <v>848</v>
      </c>
      <c r="F2" t="s">
        <v>856</v>
      </c>
      <c r="G2">
        <v>5000</v>
      </c>
      <c r="H2">
        <v>1250</v>
      </c>
      <c r="I2">
        <v>6250</v>
      </c>
      <c r="J2" s="1">
        <v>22714.911400000001</v>
      </c>
    </row>
    <row r="3" spans="1:10" x14ac:dyDescent="0.35">
      <c r="A3">
        <v>38915</v>
      </c>
      <c r="B3" t="s">
        <v>850</v>
      </c>
      <c r="C3" t="s">
        <v>17</v>
      </c>
      <c r="D3" t="s">
        <v>855</v>
      </c>
      <c r="E3" t="s">
        <v>848</v>
      </c>
      <c r="F3" t="s">
        <v>854</v>
      </c>
      <c r="G3">
        <v>5000</v>
      </c>
      <c r="H3">
        <v>1250</v>
      </c>
      <c r="I3">
        <v>6250</v>
      </c>
      <c r="J3" s="1">
        <v>24373.9683</v>
      </c>
    </row>
    <row r="4" spans="1:10" x14ac:dyDescent="0.35">
      <c r="A4">
        <v>38663</v>
      </c>
      <c r="B4" t="s">
        <v>850</v>
      </c>
      <c r="C4" t="s">
        <v>17</v>
      </c>
      <c r="D4" t="s">
        <v>853</v>
      </c>
      <c r="E4" t="s">
        <v>848</v>
      </c>
      <c r="F4" t="s">
        <v>852</v>
      </c>
      <c r="G4">
        <v>3000</v>
      </c>
      <c r="H4">
        <v>750</v>
      </c>
      <c r="I4">
        <v>3750</v>
      </c>
      <c r="J4" s="1">
        <v>15833.5849</v>
      </c>
    </row>
    <row r="5" spans="1:10" x14ac:dyDescent="0.35">
      <c r="A5">
        <v>38058</v>
      </c>
      <c r="B5" t="s">
        <v>850</v>
      </c>
      <c r="C5" t="s">
        <v>17</v>
      </c>
      <c r="D5" t="s">
        <v>851</v>
      </c>
      <c r="E5" t="s">
        <v>848</v>
      </c>
      <c r="F5" t="s">
        <v>252</v>
      </c>
      <c r="G5">
        <v>3000</v>
      </c>
      <c r="H5">
        <v>750</v>
      </c>
      <c r="I5">
        <v>3750</v>
      </c>
      <c r="J5" s="1">
        <v>19061.6692</v>
      </c>
    </row>
    <row r="6" spans="1:10" x14ac:dyDescent="0.35">
      <c r="A6">
        <v>36881</v>
      </c>
      <c r="B6" t="s">
        <v>850</v>
      </c>
      <c r="C6" t="s">
        <v>17</v>
      </c>
      <c r="D6" t="s">
        <v>849</v>
      </c>
      <c r="E6" t="s">
        <v>848</v>
      </c>
      <c r="F6" t="s">
        <v>847</v>
      </c>
      <c r="G6">
        <v>5000</v>
      </c>
      <c r="H6">
        <v>1250</v>
      </c>
      <c r="I6">
        <v>6250</v>
      </c>
      <c r="J6" s="1">
        <v>43580.9876</v>
      </c>
    </row>
    <row r="7" spans="1:10" x14ac:dyDescent="0.35">
      <c r="A7">
        <v>34865</v>
      </c>
      <c r="B7" t="s">
        <v>845</v>
      </c>
      <c r="C7" t="s">
        <v>17</v>
      </c>
      <c r="D7" t="s">
        <v>846</v>
      </c>
      <c r="E7" t="s">
        <v>3</v>
      </c>
      <c r="F7" t="s">
        <v>518</v>
      </c>
      <c r="G7">
        <v>7500</v>
      </c>
      <c r="H7">
        <v>1875</v>
      </c>
      <c r="I7">
        <v>9375</v>
      </c>
      <c r="J7" s="1">
        <v>104684.16680000001</v>
      </c>
    </row>
    <row r="8" spans="1:10" x14ac:dyDescent="0.35">
      <c r="A8">
        <v>34864</v>
      </c>
      <c r="B8" t="s">
        <v>845</v>
      </c>
      <c r="C8" t="s">
        <v>17</v>
      </c>
      <c r="D8" t="s">
        <v>3</v>
      </c>
      <c r="E8" t="s">
        <v>844</v>
      </c>
      <c r="F8" t="s">
        <v>518</v>
      </c>
      <c r="G8">
        <v>7500</v>
      </c>
      <c r="H8">
        <v>1875</v>
      </c>
      <c r="I8">
        <v>9375</v>
      </c>
      <c r="J8" s="1">
        <v>104684.16680000001</v>
      </c>
    </row>
    <row r="9" spans="1:10" x14ac:dyDescent="0.35">
      <c r="A9">
        <v>36377</v>
      </c>
      <c r="B9" t="s">
        <v>843</v>
      </c>
      <c r="C9" t="s">
        <v>17</v>
      </c>
      <c r="D9" t="s">
        <v>842</v>
      </c>
      <c r="E9" t="s">
        <v>841</v>
      </c>
      <c r="F9" t="s">
        <v>840</v>
      </c>
      <c r="G9">
        <v>50000</v>
      </c>
      <c r="H9">
        <v>12500</v>
      </c>
      <c r="I9">
        <v>62500</v>
      </c>
      <c r="J9" s="1">
        <v>496510.31809999997</v>
      </c>
    </row>
    <row r="10" spans="1:10" x14ac:dyDescent="0.35">
      <c r="A10">
        <v>37602</v>
      </c>
      <c r="B10" t="s">
        <v>839</v>
      </c>
      <c r="C10" t="s">
        <v>17</v>
      </c>
      <c r="D10" t="s">
        <v>838</v>
      </c>
      <c r="E10" t="s">
        <v>215</v>
      </c>
      <c r="F10" t="s">
        <v>837</v>
      </c>
      <c r="G10">
        <v>3000</v>
      </c>
      <c r="H10">
        <v>750</v>
      </c>
      <c r="I10">
        <v>3750</v>
      </c>
      <c r="J10" s="1">
        <v>22055.844300000001</v>
      </c>
    </row>
    <row r="11" spans="1:10" x14ac:dyDescent="0.35">
      <c r="A11">
        <v>35181</v>
      </c>
      <c r="B11" t="s">
        <v>836</v>
      </c>
      <c r="C11" t="s">
        <v>17</v>
      </c>
      <c r="D11" t="s">
        <v>835</v>
      </c>
      <c r="E11" t="s">
        <v>834</v>
      </c>
      <c r="F11" t="s">
        <v>833</v>
      </c>
      <c r="G11">
        <v>5000</v>
      </c>
      <c r="H11">
        <v>1250</v>
      </c>
      <c r="I11">
        <v>6250</v>
      </c>
      <c r="J11" s="1">
        <v>63741.021000000001</v>
      </c>
    </row>
    <row r="12" spans="1:10" x14ac:dyDescent="0.35">
      <c r="A12">
        <v>35425</v>
      </c>
      <c r="B12" t="s">
        <v>832</v>
      </c>
      <c r="C12" t="s">
        <v>17</v>
      </c>
      <c r="D12" t="s">
        <v>831</v>
      </c>
      <c r="E12" t="s">
        <v>830</v>
      </c>
      <c r="F12" t="s">
        <v>829</v>
      </c>
      <c r="G12">
        <v>1000</v>
      </c>
      <c r="H12">
        <v>250</v>
      </c>
      <c r="I12">
        <v>1250</v>
      </c>
      <c r="J12" s="1">
        <v>12460.7032</v>
      </c>
    </row>
    <row r="13" spans="1:10" x14ac:dyDescent="0.35">
      <c r="A13">
        <v>41364</v>
      </c>
      <c r="B13" t="s">
        <v>828</v>
      </c>
      <c r="C13" t="s">
        <v>4</v>
      </c>
      <c r="D13" t="s">
        <v>3</v>
      </c>
      <c r="E13" t="s">
        <v>827</v>
      </c>
      <c r="F13" t="s">
        <v>826</v>
      </c>
      <c r="G13">
        <v>1000</v>
      </c>
      <c r="H13">
        <v>250</v>
      </c>
      <c r="I13">
        <v>1250</v>
      </c>
      <c r="J13" s="1">
        <v>2064.7213999999999</v>
      </c>
    </row>
    <row r="14" spans="1:10" x14ac:dyDescent="0.35">
      <c r="A14">
        <v>39831</v>
      </c>
      <c r="B14" t="s">
        <v>818</v>
      </c>
      <c r="C14" t="s">
        <v>17</v>
      </c>
      <c r="D14" t="s">
        <v>825</v>
      </c>
      <c r="E14" t="s">
        <v>816</v>
      </c>
      <c r="F14" t="s">
        <v>824</v>
      </c>
      <c r="G14">
        <v>200</v>
      </c>
      <c r="H14">
        <v>0</v>
      </c>
      <c r="I14">
        <v>200</v>
      </c>
      <c r="J14" s="1">
        <v>556.30439999999999</v>
      </c>
    </row>
    <row r="15" spans="1:10" x14ac:dyDescent="0.35">
      <c r="A15">
        <v>39686</v>
      </c>
      <c r="B15" t="s">
        <v>818</v>
      </c>
      <c r="C15" t="s">
        <v>17</v>
      </c>
      <c r="D15" t="s">
        <v>823</v>
      </c>
      <c r="E15" t="s">
        <v>822</v>
      </c>
      <c r="F15" t="s">
        <v>821</v>
      </c>
      <c r="G15">
        <v>500</v>
      </c>
      <c r="H15">
        <v>125</v>
      </c>
      <c r="I15">
        <v>625</v>
      </c>
      <c r="J15" s="1">
        <v>1833.9580000000001</v>
      </c>
    </row>
    <row r="16" spans="1:10" x14ac:dyDescent="0.35">
      <c r="A16">
        <v>39149</v>
      </c>
      <c r="B16" t="s">
        <v>818</v>
      </c>
      <c r="C16" t="s">
        <v>17</v>
      </c>
      <c r="D16" t="s">
        <v>820</v>
      </c>
      <c r="E16" t="s">
        <v>816</v>
      </c>
      <c r="F16" t="s">
        <v>819</v>
      </c>
      <c r="G16">
        <v>500</v>
      </c>
      <c r="H16">
        <v>125</v>
      </c>
      <c r="I16">
        <v>625</v>
      </c>
      <c r="J16" s="1">
        <v>2262.2476999999999</v>
      </c>
    </row>
    <row r="17" spans="1:10" x14ac:dyDescent="0.35">
      <c r="A17">
        <v>38979</v>
      </c>
      <c r="B17" t="s">
        <v>818</v>
      </c>
      <c r="C17" t="s">
        <v>17</v>
      </c>
      <c r="D17" t="s">
        <v>817</v>
      </c>
      <c r="E17" t="s">
        <v>816</v>
      </c>
      <c r="F17" t="s">
        <v>815</v>
      </c>
      <c r="G17">
        <v>1500</v>
      </c>
      <c r="H17">
        <v>375</v>
      </c>
      <c r="I17">
        <v>1875</v>
      </c>
      <c r="J17" s="1">
        <v>7148.1737999999996</v>
      </c>
    </row>
    <row r="18" spans="1:10" x14ac:dyDescent="0.35">
      <c r="A18">
        <v>37259</v>
      </c>
      <c r="B18" t="s">
        <v>811</v>
      </c>
      <c r="C18" t="s">
        <v>17</v>
      </c>
      <c r="D18" t="s">
        <v>814</v>
      </c>
      <c r="E18" t="s">
        <v>813</v>
      </c>
      <c r="F18" t="s">
        <v>812</v>
      </c>
      <c r="G18">
        <v>750</v>
      </c>
      <c r="H18">
        <v>187.5</v>
      </c>
      <c r="I18">
        <v>937.5</v>
      </c>
      <c r="J18" s="1">
        <v>5989.2435999999998</v>
      </c>
    </row>
    <row r="19" spans="1:10" x14ac:dyDescent="0.35">
      <c r="A19">
        <v>37221</v>
      </c>
      <c r="B19" t="s">
        <v>811</v>
      </c>
      <c r="C19" t="s">
        <v>17</v>
      </c>
      <c r="D19" t="s">
        <v>3</v>
      </c>
      <c r="E19" t="s">
        <v>810</v>
      </c>
      <c r="F19" t="s">
        <v>809</v>
      </c>
      <c r="G19">
        <v>750</v>
      </c>
      <c r="H19">
        <v>187.5</v>
      </c>
      <c r="I19">
        <v>937.5</v>
      </c>
      <c r="J19" s="1">
        <v>6072.3801000000003</v>
      </c>
    </row>
    <row r="20" spans="1:10" x14ac:dyDescent="0.35">
      <c r="A20">
        <v>39088</v>
      </c>
      <c r="B20" t="s">
        <v>805</v>
      </c>
      <c r="C20" t="s">
        <v>17</v>
      </c>
      <c r="D20" t="s">
        <v>808</v>
      </c>
      <c r="E20" t="s">
        <v>807</v>
      </c>
      <c r="F20" t="s">
        <v>806</v>
      </c>
      <c r="G20">
        <v>4000</v>
      </c>
      <c r="H20">
        <v>400</v>
      </c>
      <c r="I20">
        <v>4400</v>
      </c>
      <c r="J20" s="1">
        <v>16173.505300000001</v>
      </c>
    </row>
    <row r="21" spans="1:10" x14ac:dyDescent="0.35">
      <c r="A21">
        <v>37175</v>
      </c>
      <c r="B21" t="s">
        <v>805</v>
      </c>
      <c r="C21" t="s">
        <v>17</v>
      </c>
      <c r="D21" t="s">
        <v>804</v>
      </c>
      <c r="E21" t="s">
        <v>803</v>
      </c>
      <c r="F21" t="s">
        <v>802</v>
      </c>
      <c r="G21">
        <v>28000</v>
      </c>
      <c r="H21">
        <v>5000</v>
      </c>
      <c r="I21">
        <v>33000</v>
      </c>
      <c r="J21" s="1">
        <v>216890.1164</v>
      </c>
    </row>
    <row r="22" spans="1:10" x14ac:dyDescent="0.35">
      <c r="A22">
        <v>37688</v>
      </c>
      <c r="B22" t="s">
        <v>792</v>
      </c>
      <c r="C22" t="s">
        <v>17</v>
      </c>
      <c r="D22" t="s">
        <v>801</v>
      </c>
      <c r="E22" t="s">
        <v>800</v>
      </c>
      <c r="F22" t="s">
        <v>799</v>
      </c>
      <c r="G22">
        <v>500</v>
      </c>
      <c r="H22">
        <v>125</v>
      </c>
      <c r="I22">
        <v>625</v>
      </c>
      <c r="J22" s="1">
        <v>3579.0194999999999</v>
      </c>
    </row>
    <row r="23" spans="1:10" x14ac:dyDescent="0.35">
      <c r="A23">
        <v>37581</v>
      </c>
      <c r="B23" t="s">
        <v>792</v>
      </c>
      <c r="C23" t="s">
        <v>17</v>
      </c>
      <c r="D23" t="s">
        <v>798</v>
      </c>
      <c r="E23" t="s">
        <v>797</v>
      </c>
      <c r="F23" t="s">
        <v>796</v>
      </c>
      <c r="G23">
        <v>1500</v>
      </c>
      <c r="H23">
        <v>375</v>
      </c>
      <c r="I23">
        <v>1875</v>
      </c>
      <c r="J23" s="1">
        <v>11063.418900000001</v>
      </c>
    </row>
    <row r="24" spans="1:10" x14ac:dyDescent="0.35">
      <c r="A24">
        <v>36537</v>
      </c>
      <c r="B24" t="s">
        <v>792</v>
      </c>
      <c r="C24" t="s">
        <v>17</v>
      </c>
      <c r="D24" t="s">
        <v>795</v>
      </c>
      <c r="E24" t="s">
        <v>794</v>
      </c>
      <c r="F24" t="s">
        <v>793</v>
      </c>
      <c r="G24">
        <v>500</v>
      </c>
      <c r="H24">
        <v>125</v>
      </c>
      <c r="I24">
        <v>625</v>
      </c>
      <c r="J24" s="1">
        <v>4803.2671</v>
      </c>
    </row>
    <row r="25" spans="1:10" x14ac:dyDescent="0.35">
      <c r="A25">
        <v>36066</v>
      </c>
      <c r="B25" t="s">
        <v>792</v>
      </c>
      <c r="C25" t="s">
        <v>17</v>
      </c>
      <c r="D25" t="s">
        <v>791</v>
      </c>
      <c r="E25" t="s">
        <v>790</v>
      </c>
      <c r="F25" t="s">
        <v>356</v>
      </c>
      <c r="G25">
        <v>2500</v>
      </c>
      <c r="H25">
        <v>625</v>
      </c>
      <c r="I25">
        <v>3125</v>
      </c>
      <c r="J25" s="1">
        <v>27121.249299999999</v>
      </c>
    </row>
    <row r="26" spans="1:10" x14ac:dyDescent="0.35">
      <c r="A26">
        <v>37397</v>
      </c>
      <c r="B26" t="s">
        <v>789</v>
      </c>
      <c r="C26" t="s">
        <v>17</v>
      </c>
      <c r="D26" t="s">
        <v>788</v>
      </c>
      <c r="E26" t="s">
        <v>787</v>
      </c>
      <c r="F26" t="s">
        <v>786</v>
      </c>
      <c r="G26">
        <v>1500</v>
      </c>
      <c r="H26">
        <v>375</v>
      </c>
      <c r="I26">
        <v>1875</v>
      </c>
      <c r="J26" s="1">
        <v>11614.781199999999</v>
      </c>
    </row>
    <row r="27" spans="1:10" x14ac:dyDescent="0.35">
      <c r="A27">
        <v>41736</v>
      </c>
      <c r="B27" t="s">
        <v>784</v>
      </c>
      <c r="C27" t="s">
        <v>4</v>
      </c>
      <c r="D27" t="s">
        <v>3</v>
      </c>
      <c r="E27" t="s">
        <v>783</v>
      </c>
      <c r="F27" t="s">
        <v>785</v>
      </c>
      <c r="G27">
        <v>500</v>
      </c>
      <c r="H27">
        <v>100</v>
      </c>
      <c r="I27">
        <v>600</v>
      </c>
      <c r="J27" s="1">
        <v>866.97879999999998</v>
      </c>
    </row>
    <row r="28" spans="1:10" x14ac:dyDescent="0.35">
      <c r="A28">
        <v>41488</v>
      </c>
      <c r="B28" t="s">
        <v>784</v>
      </c>
      <c r="C28" t="s">
        <v>4</v>
      </c>
      <c r="D28" t="s">
        <v>3</v>
      </c>
      <c r="E28" t="s">
        <v>783</v>
      </c>
      <c r="F28" t="s">
        <v>782</v>
      </c>
      <c r="G28">
        <v>2000</v>
      </c>
      <c r="H28">
        <v>200</v>
      </c>
      <c r="I28">
        <v>2200</v>
      </c>
      <c r="J28" s="1">
        <v>3469.8863999999999</v>
      </c>
    </row>
    <row r="29" spans="1:10" x14ac:dyDescent="0.35">
      <c r="A29">
        <v>40189</v>
      </c>
      <c r="B29" t="s">
        <v>781</v>
      </c>
      <c r="C29" t="s">
        <v>17</v>
      </c>
      <c r="D29" t="s">
        <v>780</v>
      </c>
      <c r="E29" t="s">
        <v>261</v>
      </c>
      <c r="F29" t="s">
        <v>779</v>
      </c>
      <c r="G29">
        <v>500</v>
      </c>
      <c r="H29">
        <v>125</v>
      </c>
      <c r="I29">
        <v>625</v>
      </c>
      <c r="J29" s="1">
        <v>1535.6931999999999</v>
      </c>
    </row>
    <row r="30" spans="1:10" x14ac:dyDescent="0.35">
      <c r="A30">
        <v>41079</v>
      </c>
      <c r="B30" t="s">
        <v>778</v>
      </c>
      <c r="C30" t="s">
        <v>17</v>
      </c>
      <c r="D30" t="s">
        <v>777</v>
      </c>
      <c r="E30" t="s">
        <v>3</v>
      </c>
      <c r="F30" t="s">
        <v>776</v>
      </c>
      <c r="G30">
        <v>500</v>
      </c>
      <c r="H30">
        <v>50</v>
      </c>
      <c r="I30">
        <v>550</v>
      </c>
      <c r="J30" s="1">
        <v>1020.034</v>
      </c>
    </row>
    <row r="31" spans="1:10" x14ac:dyDescent="0.35">
      <c r="A31">
        <v>39248</v>
      </c>
      <c r="B31" t="s">
        <v>775</v>
      </c>
      <c r="C31" t="s">
        <v>17</v>
      </c>
      <c r="D31" t="s">
        <v>774</v>
      </c>
      <c r="E31" t="s">
        <v>773</v>
      </c>
      <c r="F31" t="s">
        <v>772</v>
      </c>
      <c r="G31">
        <v>2000</v>
      </c>
      <c r="H31">
        <v>500</v>
      </c>
      <c r="I31">
        <v>2500</v>
      </c>
      <c r="J31" s="1">
        <v>8746.2528999999995</v>
      </c>
    </row>
    <row r="32" spans="1:10" x14ac:dyDescent="0.35">
      <c r="A32">
        <v>40073</v>
      </c>
      <c r="B32" t="s">
        <v>771</v>
      </c>
      <c r="C32" t="s">
        <v>17</v>
      </c>
      <c r="D32" t="s">
        <v>770</v>
      </c>
      <c r="E32" t="s">
        <v>769</v>
      </c>
      <c r="F32" t="s">
        <v>768</v>
      </c>
      <c r="G32">
        <v>1500</v>
      </c>
      <c r="H32">
        <v>375</v>
      </c>
      <c r="I32">
        <v>1875</v>
      </c>
      <c r="J32" s="1">
        <v>4801.4157999999998</v>
      </c>
    </row>
    <row r="33" spans="1:10" x14ac:dyDescent="0.35">
      <c r="A33">
        <v>35794</v>
      </c>
      <c r="B33" t="s">
        <v>762</v>
      </c>
      <c r="C33" t="s">
        <v>17</v>
      </c>
      <c r="D33" t="s">
        <v>767</v>
      </c>
      <c r="E33" t="s">
        <v>764</v>
      </c>
      <c r="F33" t="s">
        <v>766</v>
      </c>
      <c r="G33">
        <v>1200</v>
      </c>
      <c r="H33">
        <v>300</v>
      </c>
      <c r="I33">
        <v>1500</v>
      </c>
      <c r="J33" s="1">
        <v>13901.2282</v>
      </c>
    </row>
    <row r="34" spans="1:10" x14ac:dyDescent="0.35">
      <c r="A34">
        <v>35715</v>
      </c>
      <c r="B34" t="s">
        <v>762</v>
      </c>
      <c r="C34" t="s">
        <v>17</v>
      </c>
      <c r="D34" t="s">
        <v>765</v>
      </c>
      <c r="E34" t="s">
        <v>764</v>
      </c>
      <c r="F34" t="s">
        <v>763</v>
      </c>
      <c r="G34">
        <v>5000</v>
      </c>
      <c r="H34">
        <v>1250</v>
      </c>
      <c r="I34">
        <v>6250</v>
      </c>
      <c r="J34" s="1">
        <v>58913.354500000001</v>
      </c>
    </row>
    <row r="35" spans="1:10" x14ac:dyDescent="0.35">
      <c r="A35">
        <v>35591</v>
      </c>
      <c r="B35" t="s">
        <v>762</v>
      </c>
      <c r="C35" t="s">
        <v>17</v>
      </c>
      <c r="D35" t="s">
        <v>761</v>
      </c>
      <c r="E35" t="s">
        <v>760</v>
      </c>
      <c r="F35" t="s">
        <v>759</v>
      </c>
      <c r="G35">
        <v>5000</v>
      </c>
      <c r="H35">
        <v>1250</v>
      </c>
      <c r="I35">
        <v>6250</v>
      </c>
      <c r="J35" s="1">
        <v>60306.296300000002</v>
      </c>
    </row>
    <row r="36" spans="1:10" x14ac:dyDescent="0.35">
      <c r="A36">
        <v>36301</v>
      </c>
      <c r="B36" t="s">
        <v>758</v>
      </c>
      <c r="C36" t="s">
        <v>17</v>
      </c>
      <c r="D36" t="s">
        <v>757</v>
      </c>
      <c r="E36" t="s">
        <v>756</v>
      </c>
      <c r="F36" t="s">
        <v>615</v>
      </c>
      <c r="G36">
        <v>5000</v>
      </c>
      <c r="H36">
        <v>1250</v>
      </c>
      <c r="I36">
        <v>6250</v>
      </c>
      <c r="J36" s="1">
        <v>49938.414900000003</v>
      </c>
    </row>
    <row r="37" spans="1:10" x14ac:dyDescent="0.35">
      <c r="A37">
        <v>35876</v>
      </c>
      <c r="B37" t="s">
        <v>752</v>
      </c>
      <c r="C37" t="s">
        <v>17</v>
      </c>
      <c r="D37" t="s">
        <v>755</v>
      </c>
      <c r="E37" t="s">
        <v>754</v>
      </c>
      <c r="F37" t="s">
        <v>753</v>
      </c>
      <c r="G37">
        <v>5000</v>
      </c>
      <c r="H37">
        <v>1250</v>
      </c>
      <c r="I37">
        <v>6250</v>
      </c>
      <c r="J37" s="1">
        <v>56945.4035</v>
      </c>
    </row>
    <row r="38" spans="1:10" x14ac:dyDescent="0.35">
      <c r="A38">
        <v>33808</v>
      </c>
      <c r="B38" t="s">
        <v>752</v>
      </c>
      <c r="C38" t="s">
        <v>17</v>
      </c>
      <c r="D38" t="s">
        <v>751</v>
      </c>
      <c r="E38" t="s">
        <v>32</v>
      </c>
      <c r="F38" t="s">
        <v>750</v>
      </c>
      <c r="G38">
        <v>7000</v>
      </c>
      <c r="H38">
        <v>1750</v>
      </c>
      <c r="I38">
        <v>8750</v>
      </c>
      <c r="J38" s="1">
        <v>132840.3737</v>
      </c>
    </row>
    <row r="39" spans="1:10" x14ac:dyDescent="0.35">
      <c r="A39">
        <v>41173</v>
      </c>
      <c r="B39" t="s">
        <v>746</v>
      </c>
      <c r="C39" t="s">
        <v>17</v>
      </c>
      <c r="D39" t="s">
        <v>749</v>
      </c>
      <c r="E39" t="s">
        <v>745</v>
      </c>
      <c r="F39" t="s">
        <v>748</v>
      </c>
      <c r="G39">
        <v>500</v>
      </c>
      <c r="H39">
        <v>125</v>
      </c>
      <c r="I39">
        <v>625</v>
      </c>
      <c r="J39" s="1">
        <v>1116.7972</v>
      </c>
    </row>
    <row r="40" spans="1:10" x14ac:dyDescent="0.35">
      <c r="A40">
        <v>41588</v>
      </c>
      <c r="B40" t="s">
        <v>746</v>
      </c>
      <c r="C40" t="s">
        <v>4</v>
      </c>
      <c r="D40" t="s">
        <v>3</v>
      </c>
      <c r="E40" t="s">
        <v>745</v>
      </c>
      <c r="F40" t="s">
        <v>747</v>
      </c>
      <c r="G40">
        <v>2000</v>
      </c>
      <c r="H40">
        <v>500</v>
      </c>
      <c r="I40">
        <v>2500</v>
      </c>
      <c r="J40" s="1">
        <v>3814.0488</v>
      </c>
    </row>
    <row r="41" spans="1:10" x14ac:dyDescent="0.35">
      <c r="A41">
        <v>41325</v>
      </c>
      <c r="B41" t="s">
        <v>746</v>
      </c>
      <c r="C41" t="s">
        <v>4</v>
      </c>
      <c r="D41" t="s">
        <v>3</v>
      </c>
      <c r="E41" t="s">
        <v>745</v>
      </c>
      <c r="F41" t="s">
        <v>744</v>
      </c>
      <c r="G41">
        <v>500</v>
      </c>
      <c r="H41">
        <v>125</v>
      </c>
      <c r="I41">
        <v>625</v>
      </c>
      <c r="J41" s="1">
        <v>1049.1649</v>
      </c>
    </row>
    <row r="42" spans="1:10" x14ac:dyDescent="0.35">
      <c r="A42">
        <v>37887</v>
      </c>
      <c r="B42" t="s">
        <v>741</v>
      </c>
      <c r="C42" t="s">
        <v>17</v>
      </c>
      <c r="D42" t="s">
        <v>743</v>
      </c>
      <c r="E42" t="s">
        <v>739</v>
      </c>
      <c r="F42" t="s">
        <v>742</v>
      </c>
      <c r="G42">
        <v>1000</v>
      </c>
      <c r="H42">
        <v>250</v>
      </c>
      <c r="I42">
        <v>1250</v>
      </c>
      <c r="J42" s="1">
        <v>6752.3687</v>
      </c>
    </row>
    <row r="43" spans="1:10" x14ac:dyDescent="0.35">
      <c r="A43">
        <v>37699</v>
      </c>
      <c r="B43" t="s">
        <v>741</v>
      </c>
      <c r="C43" t="s">
        <v>17</v>
      </c>
      <c r="D43" t="s">
        <v>740</v>
      </c>
      <c r="E43" t="s">
        <v>739</v>
      </c>
      <c r="F43" t="s">
        <v>738</v>
      </c>
      <c r="G43">
        <v>2000</v>
      </c>
      <c r="H43">
        <v>500</v>
      </c>
      <c r="I43">
        <v>2500</v>
      </c>
      <c r="J43" s="1">
        <v>14293.000700000001</v>
      </c>
    </row>
    <row r="44" spans="1:10" x14ac:dyDescent="0.35">
      <c r="A44">
        <v>38145</v>
      </c>
      <c r="B44" t="s">
        <v>734</v>
      </c>
      <c r="C44" t="s">
        <v>17</v>
      </c>
      <c r="D44" t="s">
        <v>737</v>
      </c>
      <c r="E44" t="s">
        <v>736</v>
      </c>
      <c r="F44" t="s">
        <v>735</v>
      </c>
      <c r="G44">
        <v>1000</v>
      </c>
      <c r="H44">
        <v>250</v>
      </c>
      <c r="I44">
        <v>1250</v>
      </c>
      <c r="J44" s="1">
        <v>6211.1837999999998</v>
      </c>
    </row>
    <row r="45" spans="1:10" x14ac:dyDescent="0.35">
      <c r="A45">
        <v>37619</v>
      </c>
      <c r="B45" t="s">
        <v>734</v>
      </c>
      <c r="C45" t="s">
        <v>17</v>
      </c>
      <c r="D45" t="s">
        <v>733</v>
      </c>
      <c r="E45" t="s">
        <v>732</v>
      </c>
      <c r="F45" t="s">
        <v>731</v>
      </c>
      <c r="G45">
        <v>3000</v>
      </c>
      <c r="H45">
        <v>750</v>
      </c>
      <c r="I45">
        <v>3750</v>
      </c>
      <c r="J45" s="1">
        <v>21949.354200000002</v>
      </c>
    </row>
    <row r="46" spans="1:10" x14ac:dyDescent="0.35">
      <c r="A46">
        <v>36469</v>
      </c>
      <c r="B46" t="s">
        <v>730</v>
      </c>
      <c r="C46" t="s">
        <v>17</v>
      </c>
      <c r="D46" t="s">
        <v>729</v>
      </c>
      <c r="E46" t="s">
        <v>728</v>
      </c>
      <c r="F46" t="s">
        <v>727</v>
      </c>
      <c r="G46">
        <v>1000</v>
      </c>
      <c r="H46">
        <v>250</v>
      </c>
      <c r="I46">
        <v>1250</v>
      </c>
      <c r="J46" s="1">
        <v>9763.4228999999996</v>
      </c>
    </row>
    <row r="47" spans="1:10" x14ac:dyDescent="0.35">
      <c r="A47">
        <v>40819</v>
      </c>
      <c r="B47" t="s">
        <v>726</v>
      </c>
      <c r="C47" t="s">
        <v>17</v>
      </c>
      <c r="D47" t="s">
        <v>725</v>
      </c>
      <c r="E47" t="s">
        <v>511</v>
      </c>
      <c r="F47" t="s">
        <v>510</v>
      </c>
      <c r="G47">
        <v>1000</v>
      </c>
      <c r="H47">
        <v>250</v>
      </c>
      <c r="I47">
        <v>1250</v>
      </c>
      <c r="J47" s="1">
        <v>2532.5848999999998</v>
      </c>
    </row>
    <row r="48" spans="1:10" x14ac:dyDescent="0.35">
      <c r="A48">
        <v>40878</v>
      </c>
      <c r="B48" t="s">
        <v>724</v>
      </c>
      <c r="C48" t="s">
        <v>17</v>
      </c>
      <c r="D48" t="s">
        <v>723</v>
      </c>
      <c r="E48" t="s">
        <v>722</v>
      </c>
      <c r="F48" t="s">
        <v>721</v>
      </c>
      <c r="G48">
        <v>4000</v>
      </c>
      <c r="H48">
        <v>1000</v>
      </c>
      <c r="I48">
        <v>5000</v>
      </c>
      <c r="J48" s="1">
        <v>9926.9369999999999</v>
      </c>
    </row>
    <row r="49" spans="1:10" x14ac:dyDescent="0.35">
      <c r="A49">
        <v>41782</v>
      </c>
      <c r="B49" t="s">
        <v>720</v>
      </c>
      <c r="C49" t="s">
        <v>4</v>
      </c>
      <c r="D49" t="s">
        <v>3</v>
      </c>
      <c r="E49" t="s">
        <v>719</v>
      </c>
      <c r="F49" t="s">
        <v>612</v>
      </c>
      <c r="G49">
        <v>1500</v>
      </c>
      <c r="H49">
        <v>375</v>
      </c>
      <c r="I49">
        <v>1875</v>
      </c>
      <c r="J49" s="1">
        <v>2655.0225999999998</v>
      </c>
    </row>
    <row r="50" spans="1:10" x14ac:dyDescent="0.35">
      <c r="A50">
        <v>39644</v>
      </c>
      <c r="B50" t="s">
        <v>718</v>
      </c>
      <c r="C50" t="s">
        <v>17</v>
      </c>
      <c r="D50" t="s">
        <v>717</v>
      </c>
      <c r="E50" t="s">
        <v>107</v>
      </c>
      <c r="F50" t="s">
        <v>716</v>
      </c>
      <c r="G50">
        <v>1000</v>
      </c>
      <c r="H50">
        <v>100</v>
      </c>
      <c r="I50">
        <v>1100</v>
      </c>
      <c r="J50" s="1">
        <v>3296.5124999999998</v>
      </c>
    </row>
    <row r="51" spans="1:10" x14ac:dyDescent="0.35">
      <c r="A51">
        <v>40425</v>
      </c>
      <c r="B51" t="s">
        <v>715</v>
      </c>
      <c r="C51" t="s">
        <v>17</v>
      </c>
      <c r="D51" t="s">
        <v>714</v>
      </c>
      <c r="E51" t="s">
        <v>620</v>
      </c>
      <c r="F51" t="s">
        <v>713</v>
      </c>
      <c r="G51">
        <v>2000</v>
      </c>
      <c r="H51">
        <v>500</v>
      </c>
      <c r="I51">
        <v>2500</v>
      </c>
      <c r="J51" s="1">
        <v>5645.79</v>
      </c>
    </row>
    <row r="52" spans="1:10" x14ac:dyDescent="0.35">
      <c r="F52" t="s">
        <v>0</v>
      </c>
      <c r="G52" s="4">
        <f>SUBTOTAL(109,Table7[Amt Financed])</f>
        <v>194400</v>
      </c>
      <c r="H52" s="4">
        <f>SUBTOTAL(109,Table7[Finance Charge])</f>
        <v>45400</v>
      </c>
      <c r="I52" s="4">
        <f>SUBTOTAL(109,Table7[Payment Total])</f>
        <v>239800</v>
      </c>
      <c r="J52" s="4">
        <f>SUBTOTAL(109,Table7[OB])</f>
        <v>1729165.2486999992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E6A7-38FA-4515-BF7A-0E9E7D5C669C}">
  <dimension ref="A1:J165"/>
  <sheetViews>
    <sheetView topLeftCell="A46" workbookViewId="0">
      <selection activeCell="D160" sqref="D160:D163"/>
    </sheetView>
  </sheetViews>
  <sheetFormatPr defaultRowHeight="14.5" x14ac:dyDescent="0.35"/>
  <cols>
    <col min="1" max="1" width="12" customWidth="1"/>
    <col min="2" max="2" width="13.81640625" customWidth="1"/>
    <col min="4" max="4" width="13.54296875" customWidth="1"/>
    <col min="5" max="5" width="25.26953125" bestFit="1" customWidth="1"/>
    <col min="6" max="6" width="18.54296875" bestFit="1" customWidth="1"/>
    <col min="7" max="7" width="15.26953125" customWidth="1"/>
    <col min="8" max="8" width="16.54296875" customWidth="1"/>
    <col min="9" max="9" width="15.81640625" customWidth="1"/>
    <col min="10" max="10" width="14.26953125" bestFit="1" customWidth="1"/>
  </cols>
  <sheetData>
    <row r="1" spans="1:10" x14ac:dyDescent="0.35">
      <c r="A1" s="9" t="s">
        <v>492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5">
      <c r="A2" t="s">
        <v>491</v>
      </c>
      <c r="B2" t="s">
        <v>490</v>
      </c>
      <c r="C2" t="s">
        <v>489</v>
      </c>
      <c r="D2" t="s">
        <v>488</v>
      </c>
      <c r="E2" t="s">
        <v>487</v>
      </c>
      <c r="F2" t="s">
        <v>486</v>
      </c>
      <c r="G2" t="s">
        <v>485</v>
      </c>
      <c r="H2" t="s">
        <v>484</v>
      </c>
      <c r="I2" t="s">
        <v>483</v>
      </c>
      <c r="J2" t="s">
        <v>482</v>
      </c>
    </row>
    <row r="3" spans="1:10" x14ac:dyDescent="0.35">
      <c r="A3">
        <v>32887</v>
      </c>
      <c r="B3" t="s">
        <v>369</v>
      </c>
      <c r="C3" t="s">
        <v>17</v>
      </c>
      <c r="D3" t="s">
        <v>481</v>
      </c>
      <c r="E3" t="s">
        <v>384</v>
      </c>
      <c r="F3" s="2" t="s">
        <v>480</v>
      </c>
      <c r="G3">
        <v>1000</v>
      </c>
      <c r="H3">
        <v>250</v>
      </c>
      <c r="I3">
        <v>1250</v>
      </c>
      <c r="J3" s="1">
        <v>24916.4421</v>
      </c>
    </row>
    <row r="4" spans="1:10" x14ac:dyDescent="0.35">
      <c r="A4">
        <v>32903</v>
      </c>
      <c r="B4" t="s">
        <v>369</v>
      </c>
      <c r="C4" t="s">
        <v>17</v>
      </c>
      <c r="D4" t="s">
        <v>479</v>
      </c>
      <c r="E4" t="s">
        <v>384</v>
      </c>
      <c r="F4" s="2" t="s">
        <v>478</v>
      </c>
      <c r="G4">
        <v>1000</v>
      </c>
      <c r="H4">
        <v>250</v>
      </c>
      <c r="I4">
        <v>1250</v>
      </c>
      <c r="J4" s="1">
        <v>24065.2971</v>
      </c>
    </row>
    <row r="5" spans="1:10" x14ac:dyDescent="0.35">
      <c r="A5">
        <v>32995</v>
      </c>
      <c r="B5" t="s">
        <v>379</v>
      </c>
      <c r="C5" t="s">
        <v>17</v>
      </c>
      <c r="D5" t="s">
        <v>3</v>
      </c>
      <c r="E5" t="s">
        <v>474</v>
      </c>
      <c r="F5" s="2" t="s">
        <v>477</v>
      </c>
      <c r="G5">
        <v>2500</v>
      </c>
      <c r="H5">
        <v>625</v>
      </c>
      <c r="I5">
        <v>3125</v>
      </c>
      <c r="J5" s="1">
        <v>60156.450199999999</v>
      </c>
    </row>
    <row r="6" spans="1:10" x14ac:dyDescent="0.35">
      <c r="A6">
        <v>33046</v>
      </c>
      <c r="B6" t="s">
        <v>369</v>
      </c>
      <c r="C6" t="s">
        <v>17</v>
      </c>
      <c r="D6" t="s">
        <v>476</v>
      </c>
      <c r="E6" t="s">
        <v>384</v>
      </c>
      <c r="F6" s="2" t="s">
        <v>475</v>
      </c>
      <c r="G6">
        <v>3000</v>
      </c>
      <c r="H6">
        <v>750</v>
      </c>
      <c r="I6">
        <v>3750</v>
      </c>
      <c r="J6" s="1">
        <v>71085.8125</v>
      </c>
    </row>
    <row r="7" spans="1:10" x14ac:dyDescent="0.35">
      <c r="A7">
        <v>33287</v>
      </c>
      <c r="B7" t="s">
        <v>379</v>
      </c>
      <c r="C7" t="s">
        <v>17</v>
      </c>
      <c r="D7" t="s">
        <v>3</v>
      </c>
      <c r="E7" t="s">
        <v>474</v>
      </c>
      <c r="F7" s="2" t="s">
        <v>473</v>
      </c>
      <c r="G7">
        <v>3000</v>
      </c>
      <c r="H7">
        <v>750</v>
      </c>
      <c r="I7">
        <v>3750</v>
      </c>
      <c r="J7" s="1">
        <v>66839.976299999995</v>
      </c>
    </row>
    <row r="8" spans="1:10" x14ac:dyDescent="0.35">
      <c r="A8">
        <v>33363</v>
      </c>
      <c r="B8" t="s">
        <v>369</v>
      </c>
      <c r="C8" t="s">
        <v>17</v>
      </c>
      <c r="D8" t="s">
        <v>3</v>
      </c>
      <c r="E8" t="s">
        <v>384</v>
      </c>
      <c r="F8" s="2" t="s">
        <v>472</v>
      </c>
      <c r="G8">
        <v>3000</v>
      </c>
      <c r="H8">
        <v>750</v>
      </c>
      <c r="I8">
        <v>3750</v>
      </c>
      <c r="J8" s="1">
        <v>65549.4035</v>
      </c>
    </row>
    <row r="9" spans="1:10" x14ac:dyDescent="0.35">
      <c r="A9">
        <v>33485</v>
      </c>
      <c r="B9" t="s">
        <v>471</v>
      </c>
      <c r="C9" t="s">
        <v>17</v>
      </c>
      <c r="D9" t="s">
        <v>470</v>
      </c>
      <c r="E9" t="s">
        <v>469</v>
      </c>
      <c r="F9" s="2" t="s">
        <v>468</v>
      </c>
      <c r="G9">
        <v>3500</v>
      </c>
      <c r="H9">
        <v>875</v>
      </c>
      <c r="I9">
        <v>4375</v>
      </c>
      <c r="J9" s="1">
        <v>73501.320000000007</v>
      </c>
    </row>
    <row r="10" spans="1:10" x14ac:dyDescent="0.35">
      <c r="A10">
        <v>33721</v>
      </c>
      <c r="B10" t="s">
        <v>467</v>
      </c>
      <c r="C10" t="s">
        <v>17</v>
      </c>
      <c r="D10" t="s">
        <v>466</v>
      </c>
      <c r="E10" t="s">
        <v>465</v>
      </c>
      <c r="F10" s="2" t="s">
        <v>464</v>
      </c>
      <c r="G10">
        <v>5000</v>
      </c>
      <c r="H10">
        <v>1250</v>
      </c>
      <c r="I10">
        <v>6250</v>
      </c>
      <c r="J10" s="1">
        <v>97616.609400000001</v>
      </c>
    </row>
    <row r="11" spans="1:10" x14ac:dyDescent="0.35">
      <c r="A11">
        <v>33951</v>
      </c>
      <c r="B11" t="s">
        <v>463</v>
      </c>
      <c r="C11" t="s">
        <v>17</v>
      </c>
      <c r="D11" t="s">
        <v>462</v>
      </c>
      <c r="E11" t="s">
        <v>461</v>
      </c>
      <c r="F11" s="2" t="s">
        <v>460</v>
      </c>
      <c r="G11">
        <v>1000</v>
      </c>
      <c r="H11">
        <v>250</v>
      </c>
      <c r="I11">
        <v>1250</v>
      </c>
      <c r="J11" s="1">
        <v>18061.583600000002</v>
      </c>
    </row>
    <row r="12" spans="1:10" x14ac:dyDescent="0.35">
      <c r="A12">
        <v>33961</v>
      </c>
      <c r="B12" t="s">
        <v>441</v>
      </c>
      <c r="C12" t="s">
        <v>17</v>
      </c>
      <c r="D12" t="s">
        <v>459</v>
      </c>
      <c r="E12" t="s">
        <v>458</v>
      </c>
      <c r="F12" s="2" t="s">
        <v>457</v>
      </c>
      <c r="G12">
        <v>1000</v>
      </c>
      <c r="H12">
        <v>250</v>
      </c>
      <c r="I12">
        <v>1250</v>
      </c>
      <c r="J12" s="1">
        <v>18032.1361</v>
      </c>
    </row>
    <row r="13" spans="1:10" x14ac:dyDescent="0.35">
      <c r="A13">
        <v>34198</v>
      </c>
      <c r="B13" t="s">
        <v>369</v>
      </c>
      <c r="C13" t="s">
        <v>17</v>
      </c>
      <c r="D13" t="s">
        <v>456</v>
      </c>
      <c r="E13" t="s">
        <v>384</v>
      </c>
      <c r="F13" s="3">
        <v>41117</v>
      </c>
      <c r="G13">
        <v>3000</v>
      </c>
      <c r="H13">
        <v>750</v>
      </c>
      <c r="I13">
        <v>3750</v>
      </c>
      <c r="J13" s="1">
        <v>50209.088300000003</v>
      </c>
    </row>
    <row r="14" spans="1:10" x14ac:dyDescent="0.35">
      <c r="A14">
        <v>34494</v>
      </c>
      <c r="B14" t="s">
        <v>455</v>
      </c>
      <c r="C14" t="s">
        <v>17</v>
      </c>
      <c r="D14" t="s">
        <v>454</v>
      </c>
      <c r="E14" t="s">
        <v>453</v>
      </c>
      <c r="F14" s="2" t="s">
        <v>452</v>
      </c>
      <c r="G14">
        <v>2000</v>
      </c>
      <c r="H14">
        <v>500</v>
      </c>
      <c r="I14">
        <v>2500</v>
      </c>
      <c r="J14" s="1">
        <v>30420.997200000002</v>
      </c>
    </row>
    <row r="15" spans="1:10" x14ac:dyDescent="0.35">
      <c r="A15">
        <v>34590</v>
      </c>
      <c r="B15" t="s">
        <v>441</v>
      </c>
      <c r="C15" t="s">
        <v>17</v>
      </c>
      <c r="D15" t="s">
        <v>451</v>
      </c>
      <c r="E15" t="s">
        <v>3</v>
      </c>
      <c r="F15" s="2" t="s">
        <v>450</v>
      </c>
      <c r="G15">
        <v>1000</v>
      </c>
      <c r="H15">
        <v>250</v>
      </c>
      <c r="I15">
        <v>1250</v>
      </c>
      <c r="J15" s="1">
        <v>14869.2394</v>
      </c>
    </row>
    <row r="16" spans="1:10" x14ac:dyDescent="0.35">
      <c r="A16">
        <v>34646</v>
      </c>
      <c r="B16" t="s">
        <v>369</v>
      </c>
      <c r="C16" t="s">
        <v>17</v>
      </c>
      <c r="D16" t="s">
        <v>449</v>
      </c>
      <c r="E16" t="s">
        <v>436</v>
      </c>
      <c r="F16" s="2" t="s">
        <v>448</v>
      </c>
      <c r="G16">
        <v>4000</v>
      </c>
      <c r="H16">
        <v>1000</v>
      </c>
      <c r="I16">
        <v>5000</v>
      </c>
      <c r="J16" s="1">
        <v>58425.733500000002</v>
      </c>
    </row>
    <row r="17" spans="1:10" x14ac:dyDescent="0.35">
      <c r="A17">
        <v>34655</v>
      </c>
      <c r="B17" t="s">
        <v>441</v>
      </c>
      <c r="C17" t="s">
        <v>17</v>
      </c>
      <c r="D17" t="s">
        <v>447</v>
      </c>
      <c r="E17" t="s">
        <v>3</v>
      </c>
      <c r="F17" s="2" t="s">
        <v>446</v>
      </c>
      <c r="G17">
        <v>1000</v>
      </c>
      <c r="H17">
        <v>250</v>
      </c>
      <c r="I17">
        <v>1250</v>
      </c>
      <c r="J17" s="1">
        <v>14571.086600000001</v>
      </c>
    </row>
    <row r="18" spans="1:10" x14ac:dyDescent="0.35">
      <c r="A18">
        <v>34672</v>
      </c>
      <c r="B18" t="s">
        <v>298</v>
      </c>
      <c r="C18" t="s">
        <v>17</v>
      </c>
      <c r="D18" t="s">
        <v>3</v>
      </c>
      <c r="E18" t="s">
        <v>445</v>
      </c>
      <c r="F18" s="2" t="s">
        <v>444</v>
      </c>
      <c r="G18">
        <v>10000</v>
      </c>
      <c r="H18">
        <v>2500</v>
      </c>
      <c r="I18">
        <v>12500</v>
      </c>
      <c r="J18" s="1">
        <v>144886.1084</v>
      </c>
    </row>
    <row r="19" spans="1:10" x14ac:dyDescent="0.35">
      <c r="A19">
        <v>34705</v>
      </c>
      <c r="B19" t="s">
        <v>349</v>
      </c>
      <c r="C19" t="s">
        <v>17</v>
      </c>
      <c r="D19" t="s">
        <v>443</v>
      </c>
      <c r="E19" t="s">
        <v>347</v>
      </c>
      <c r="F19" s="2" t="s">
        <v>442</v>
      </c>
      <c r="G19">
        <v>2500</v>
      </c>
      <c r="H19">
        <v>625</v>
      </c>
      <c r="I19">
        <v>3125</v>
      </c>
      <c r="J19" s="1">
        <v>35857.379099999998</v>
      </c>
    </row>
    <row r="20" spans="1:10" x14ac:dyDescent="0.35">
      <c r="A20">
        <v>34747</v>
      </c>
      <c r="B20" t="s">
        <v>441</v>
      </c>
      <c r="C20" t="s">
        <v>17</v>
      </c>
      <c r="D20" t="s">
        <v>440</v>
      </c>
      <c r="E20" t="s">
        <v>439</v>
      </c>
      <c r="F20" s="2" t="s">
        <v>438</v>
      </c>
      <c r="G20">
        <v>1000</v>
      </c>
      <c r="H20">
        <v>250</v>
      </c>
      <c r="I20">
        <v>1250</v>
      </c>
      <c r="J20" s="1">
        <v>14244.078799999999</v>
      </c>
    </row>
    <row r="21" spans="1:10" x14ac:dyDescent="0.35">
      <c r="A21">
        <v>34764</v>
      </c>
      <c r="B21" t="s">
        <v>369</v>
      </c>
      <c r="C21" t="s">
        <v>17</v>
      </c>
      <c r="D21" t="s">
        <v>437</v>
      </c>
      <c r="E21" t="s">
        <v>436</v>
      </c>
      <c r="F21" s="2" t="s">
        <v>435</v>
      </c>
      <c r="G21">
        <v>2500</v>
      </c>
      <c r="H21">
        <v>625</v>
      </c>
      <c r="I21">
        <v>3125</v>
      </c>
      <c r="J21" s="1">
        <v>35552.747199999998</v>
      </c>
    </row>
    <row r="22" spans="1:10" x14ac:dyDescent="0.35">
      <c r="A22">
        <v>34814</v>
      </c>
      <c r="B22" t="s">
        <v>164</v>
      </c>
      <c r="C22" t="s">
        <v>17</v>
      </c>
      <c r="D22" t="s">
        <v>434</v>
      </c>
      <c r="E22" t="s">
        <v>162</v>
      </c>
      <c r="F22" s="2" t="s">
        <v>433</v>
      </c>
      <c r="G22">
        <v>4000</v>
      </c>
      <c r="H22">
        <v>1000</v>
      </c>
      <c r="I22">
        <v>5000</v>
      </c>
      <c r="J22" s="1">
        <v>56286.917500000003</v>
      </c>
    </row>
    <row r="23" spans="1:10" x14ac:dyDescent="0.35">
      <c r="A23">
        <v>34929</v>
      </c>
      <c r="B23" t="s">
        <v>429</v>
      </c>
      <c r="C23" t="s">
        <v>17</v>
      </c>
      <c r="D23" t="s">
        <v>432</v>
      </c>
      <c r="E23" t="s">
        <v>431</v>
      </c>
      <c r="F23" s="2" t="s">
        <v>430</v>
      </c>
      <c r="G23">
        <v>1000</v>
      </c>
      <c r="H23">
        <v>250</v>
      </c>
      <c r="I23">
        <v>1250</v>
      </c>
      <c r="J23" s="1">
        <v>13733.250400000001</v>
      </c>
    </row>
    <row r="24" spans="1:10" x14ac:dyDescent="0.35">
      <c r="A24">
        <v>34931</v>
      </c>
      <c r="B24" t="s">
        <v>429</v>
      </c>
      <c r="C24" t="s">
        <v>17</v>
      </c>
      <c r="D24" t="s">
        <v>428</v>
      </c>
      <c r="E24" t="s">
        <v>3</v>
      </c>
      <c r="F24" s="2" t="s">
        <v>427</v>
      </c>
      <c r="G24">
        <v>4000</v>
      </c>
      <c r="H24">
        <v>1000</v>
      </c>
      <c r="I24">
        <v>5000</v>
      </c>
      <c r="J24" s="1">
        <v>54753.255700000002</v>
      </c>
    </row>
    <row r="25" spans="1:10" x14ac:dyDescent="0.35">
      <c r="A25">
        <v>34937</v>
      </c>
      <c r="B25" t="s">
        <v>247</v>
      </c>
      <c r="C25" t="s">
        <v>17</v>
      </c>
      <c r="D25" t="s">
        <v>426</v>
      </c>
      <c r="E25" t="s">
        <v>245</v>
      </c>
      <c r="F25" s="2" t="s">
        <v>425</v>
      </c>
      <c r="G25">
        <v>2000</v>
      </c>
      <c r="H25">
        <v>500</v>
      </c>
      <c r="I25">
        <v>2500</v>
      </c>
      <c r="J25" s="1">
        <v>27354.7212</v>
      </c>
    </row>
    <row r="26" spans="1:10" x14ac:dyDescent="0.35">
      <c r="A26">
        <v>34939</v>
      </c>
      <c r="B26" t="s">
        <v>424</v>
      </c>
      <c r="C26" t="s">
        <v>17</v>
      </c>
      <c r="D26" t="s">
        <v>423</v>
      </c>
      <c r="E26" t="s">
        <v>422</v>
      </c>
      <c r="F26" s="2" t="s">
        <v>421</v>
      </c>
      <c r="G26">
        <v>1000</v>
      </c>
      <c r="H26">
        <v>250</v>
      </c>
      <c r="I26">
        <v>1250</v>
      </c>
      <c r="J26" s="1">
        <v>13666.407300000001</v>
      </c>
    </row>
    <row r="27" spans="1:10" x14ac:dyDescent="0.35">
      <c r="A27">
        <v>34958</v>
      </c>
      <c r="B27" t="s">
        <v>419</v>
      </c>
      <c r="C27" t="s">
        <v>17</v>
      </c>
      <c r="D27" t="s">
        <v>420</v>
      </c>
      <c r="E27" t="s">
        <v>32</v>
      </c>
      <c r="F27" s="2" t="s">
        <v>418</v>
      </c>
      <c r="G27">
        <v>12500</v>
      </c>
      <c r="H27">
        <v>3125</v>
      </c>
      <c r="I27">
        <v>15625</v>
      </c>
      <c r="J27" s="1">
        <v>170145.51029999999</v>
      </c>
    </row>
    <row r="28" spans="1:10" x14ac:dyDescent="0.35">
      <c r="A28">
        <v>34959</v>
      </c>
      <c r="B28" t="s">
        <v>419</v>
      </c>
      <c r="C28" t="s">
        <v>17</v>
      </c>
      <c r="D28">
        <v>10206</v>
      </c>
      <c r="E28" t="s">
        <v>32</v>
      </c>
      <c r="F28" s="2" t="s">
        <v>418</v>
      </c>
      <c r="G28">
        <v>3500</v>
      </c>
      <c r="H28">
        <v>875</v>
      </c>
      <c r="I28">
        <v>4375</v>
      </c>
      <c r="J28" s="1">
        <v>47640.742899999997</v>
      </c>
    </row>
    <row r="29" spans="1:10" x14ac:dyDescent="0.35">
      <c r="A29">
        <v>34976</v>
      </c>
      <c r="B29" t="s">
        <v>393</v>
      </c>
      <c r="C29" t="s">
        <v>17</v>
      </c>
      <c r="D29" t="s">
        <v>417</v>
      </c>
      <c r="E29" t="s">
        <v>416</v>
      </c>
      <c r="F29" s="2" t="s">
        <v>415</v>
      </c>
      <c r="G29">
        <v>1000</v>
      </c>
      <c r="H29">
        <v>250</v>
      </c>
      <c r="I29">
        <v>1250</v>
      </c>
      <c r="J29" s="1">
        <v>13567.827600000001</v>
      </c>
    </row>
    <row r="30" spans="1:10" x14ac:dyDescent="0.35">
      <c r="A30">
        <v>35038</v>
      </c>
      <c r="B30" t="s">
        <v>247</v>
      </c>
      <c r="C30" t="s">
        <v>17</v>
      </c>
      <c r="D30" t="s">
        <v>414</v>
      </c>
      <c r="E30" t="s">
        <v>413</v>
      </c>
      <c r="F30" s="2" t="s">
        <v>412</v>
      </c>
      <c r="G30">
        <v>500</v>
      </c>
      <c r="H30">
        <v>125</v>
      </c>
      <c r="I30">
        <v>625</v>
      </c>
      <c r="J30" s="1">
        <v>6657.3743000000004</v>
      </c>
    </row>
    <row r="31" spans="1:10" x14ac:dyDescent="0.35">
      <c r="A31">
        <v>35092</v>
      </c>
      <c r="B31" t="s">
        <v>164</v>
      </c>
      <c r="C31" t="s">
        <v>17</v>
      </c>
      <c r="D31" t="s">
        <v>411</v>
      </c>
      <c r="E31" t="s">
        <v>162</v>
      </c>
      <c r="F31" s="2" t="s">
        <v>410</v>
      </c>
      <c r="G31">
        <v>1500</v>
      </c>
      <c r="H31">
        <v>375</v>
      </c>
      <c r="I31">
        <v>1875</v>
      </c>
      <c r="J31" s="1">
        <v>19910.9087</v>
      </c>
    </row>
    <row r="32" spans="1:10" x14ac:dyDescent="0.35">
      <c r="A32">
        <v>35104</v>
      </c>
      <c r="B32" t="s">
        <v>393</v>
      </c>
      <c r="C32" t="s">
        <v>17</v>
      </c>
      <c r="D32" t="s">
        <v>409</v>
      </c>
      <c r="E32" t="s">
        <v>391</v>
      </c>
      <c r="F32" s="2" t="s">
        <v>408</v>
      </c>
      <c r="G32">
        <v>1000</v>
      </c>
      <c r="H32">
        <v>250</v>
      </c>
      <c r="I32">
        <v>1250</v>
      </c>
      <c r="J32" s="1">
        <v>13220.4884</v>
      </c>
    </row>
    <row r="33" spans="1:10" x14ac:dyDescent="0.35">
      <c r="A33">
        <v>35175</v>
      </c>
      <c r="B33" t="s">
        <v>247</v>
      </c>
      <c r="C33" t="s">
        <v>17</v>
      </c>
      <c r="D33" t="s">
        <v>407</v>
      </c>
      <c r="E33" t="s">
        <v>406</v>
      </c>
      <c r="F33" s="2" t="s">
        <v>405</v>
      </c>
      <c r="G33">
        <v>500</v>
      </c>
      <c r="H33">
        <v>125</v>
      </c>
      <c r="I33">
        <v>625</v>
      </c>
      <c r="J33" s="1">
        <v>6497.4348</v>
      </c>
    </row>
    <row r="34" spans="1:10" x14ac:dyDescent="0.35">
      <c r="A34">
        <v>35193</v>
      </c>
      <c r="B34" t="s">
        <v>404</v>
      </c>
      <c r="C34" t="s">
        <v>17</v>
      </c>
      <c r="D34" t="s">
        <v>403</v>
      </c>
      <c r="E34" t="s">
        <v>402</v>
      </c>
      <c r="F34" s="2" t="s">
        <v>401</v>
      </c>
      <c r="G34">
        <v>1000</v>
      </c>
      <c r="H34">
        <v>250</v>
      </c>
      <c r="I34">
        <v>1250</v>
      </c>
      <c r="J34" s="1">
        <v>12975.932500000001</v>
      </c>
    </row>
    <row r="35" spans="1:10" x14ac:dyDescent="0.35">
      <c r="A35">
        <v>35220</v>
      </c>
      <c r="B35" t="s">
        <v>369</v>
      </c>
      <c r="C35" t="s">
        <v>17</v>
      </c>
      <c r="D35" t="s">
        <v>400</v>
      </c>
      <c r="E35" t="s">
        <v>384</v>
      </c>
      <c r="F35" s="2" t="s">
        <v>399</v>
      </c>
      <c r="G35">
        <v>4000</v>
      </c>
      <c r="H35">
        <v>1000</v>
      </c>
      <c r="I35">
        <v>5000</v>
      </c>
      <c r="J35" s="1">
        <v>51653.530599999998</v>
      </c>
    </row>
    <row r="36" spans="1:10" x14ac:dyDescent="0.35">
      <c r="A36">
        <v>35295</v>
      </c>
      <c r="B36" t="s">
        <v>247</v>
      </c>
      <c r="C36" t="s">
        <v>17</v>
      </c>
      <c r="D36" t="s">
        <v>398</v>
      </c>
      <c r="E36" t="s">
        <v>245</v>
      </c>
      <c r="F36" s="2" t="s">
        <v>394</v>
      </c>
      <c r="G36">
        <v>500</v>
      </c>
      <c r="H36">
        <v>125</v>
      </c>
      <c r="I36">
        <v>625</v>
      </c>
      <c r="J36" s="1">
        <v>6373.2915999999996</v>
      </c>
    </row>
    <row r="37" spans="1:10" x14ac:dyDescent="0.35">
      <c r="A37">
        <v>35305</v>
      </c>
      <c r="B37" t="s">
        <v>397</v>
      </c>
      <c r="C37" t="s">
        <v>17</v>
      </c>
      <c r="D37" t="s">
        <v>396</v>
      </c>
      <c r="E37" t="s">
        <v>395</v>
      </c>
      <c r="F37" s="2" t="s">
        <v>394</v>
      </c>
      <c r="G37">
        <v>10000</v>
      </c>
      <c r="H37">
        <v>2500</v>
      </c>
      <c r="I37">
        <v>12500</v>
      </c>
      <c r="J37" s="1">
        <v>127465.83199999999</v>
      </c>
    </row>
    <row r="38" spans="1:10" x14ac:dyDescent="0.35">
      <c r="A38">
        <v>35339</v>
      </c>
      <c r="B38" t="s">
        <v>393</v>
      </c>
      <c r="C38" t="s">
        <v>17</v>
      </c>
      <c r="D38" t="s">
        <v>392</v>
      </c>
      <c r="E38" t="s">
        <v>391</v>
      </c>
      <c r="F38" s="2" t="s">
        <v>390</v>
      </c>
      <c r="G38">
        <v>2000</v>
      </c>
      <c r="H38">
        <v>500</v>
      </c>
      <c r="I38">
        <v>2500</v>
      </c>
      <c r="J38" s="1">
        <v>25287.6888</v>
      </c>
    </row>
    <row r="39" spans="1:10" x14ac:dyDescent="0.35">
      <c r="A39">
        <v>35411</v>
      </c>
      <c r="B39" t="s">
        <v>375</v>
      </c>
      <c r="C39" t="s">
        <v>17</v>
      </c>
      <c r="D39" t="s">
        <v>389</v>
      </c>
      <c r="E39" t="s">
        <v>373</v>
      </c>
      <c r="F39" s="2" t="s">
        <v>388</v>
      </c>
      <c r="G39">
        <v>1000</v>
      </c>
      <c r="H39">
        <v>250</v>
      </c>
      <c r="I39">
        <v>1250</v>
      </c>
      <c r="J39" s="1">
        <v>12470.877699999999</v>
      </c>
    </row>
    <row r="40" spans="1:10" x14ac:dyDescent="0.35">
      <c r="A40">
        <v>35455</v>
      </c>
      <c r="B40" t="s">
        <v>247</v>
      </c>
      <c r="C40" t="s">
        <v>17</v>
      </c>
      <c r="D40" t="s">
        <v>387</v>
      </c>
      <c r="E40" t="s">
        <v>245</v>
      </c>
      <c r="F40" s="2" t="s">
        <v>386</v>
      </c>
      <c r="G40">
        <v>500</v>
      </c>
      <c r="H40">
        <v>125</v>
      </c>
      <c r="I40">
        <v>625</v>
      </c>
      <c r="J40" s="1">
        <v>6070.1505999999999</v>
      </c>
    </row>
    <row r="41" spans="1:10" x14ac:dyDescent="0.35">
      <c r="A41">
        <v>35580</v>
      </c>
      <c r="B41" t="s">
        <v>369</v>
      </c>
      <c r="C41" t="s">
        <v>17</v>
      </c>
      <c r="D41" t="s">
        <v>385</v>
      </c>
      <c r="E41" t="s">
        <v>384</v>
      </c>
      <c r="F41" s="2" t="s">
        <v>382</v>
      </c>
      <c r="G41">
        <v>4000</v>
      </c>
      <c r="H41">
        <v>1000</v>
      </c>
      <c r="I41">
        <v>5000</v>
      </c>
      <c r="J41" s="1">
        <v>48340.2857</v>
      </c>
    </row>
    <row r="42" spans="1:10" x14ac:dyDescent="0.35">
      <c r="A42">
        <v>35581</v>
      </c>
      <c r="B42" t="s">
        <v>247</v>
      </c>
      <c r="C42" t="s">
        <v>17</v>
      </c>
      <c r="D42" t="s">
        <v>383</v>
      </c>
      <c r="E42" t="s">
        <v>245</v>
      </c>
      <c r="F42" s="2" t="s">
        <v>382</v>
      </c>
      <c r="G42">
        <v>500</v>
      </c>
      <c r="H42">
        <v>125</v>
      </c>
      <c r="I42">
        <v>625</v>
      </c>
      <c r="J42" s="1">
        <v>6042.5357000000004</v>
      </c>
    </row>
    <row r="43" spans="1:10" x14ac:dyDescent="0.35">
      <c r="A43">
        <v>35700</v>
      </c>
      <c r="B43" t="s">
        <v>247</v>
      </c>
      <c r="C43" t="s">
        <v>17</v>
      </c>
      <c r="D43" t="s">
        <v>381</v>
      </c>
      <c r="E43" t="s">
        <v>245</v>
      </c>
      <c r="F43" s="2" t="s">
        <v>380</v>
      </c>
      <c r="G43">
        <v>500</v>
      </c>
      <c r="H43">
        <v>125</v>
      </c>
      <c r="I43">
        <v>625</v>
      </c>
      <c r="J43" s="1">
        <v>5900.7790000000005</v>
      </c>
    </row>
    <row r="44" spans="1:10" x14ac:dyDescent="0.35">
      <c r="A44">
        <v>35740</v>
      </c>
      <c r="B44" t="s">
        <v>379</v>
      </c>
      <c r="C44" t="s">
        <v>17</v>
      </c>
      <c r="D44" t="s">
        <v>378</v>
      </c>
      <c r="E44" t="s">
        <v>377</v>
      </c>
      <c r="F44" s="2" t="s">
        <v>376</v>
      </c>
      <c r="G44">
        <v>1000</v>
      </c>
      <c r="H44">
        <v>250</v>
      </c>
      <c r="I44">
        <v>1250</v>
      </c>
      <c r="J44" s="1">
        <v>11726.009700000001</v>
      </c>
    </row>
    <row r="45" spans="1:10" x14ac:dyDescent="0.35">
      <c r="A45">
        <v>35804</v>
      </c>
      <c r="B45" t="s">
        <v>375</v>
      </c>
      <c r="C45" t="s">
        <v>17</v>
      </c>
      <c r="D45" t="s">
        <v>374</v>
      </c>
      <c r="E45" t="s">
        <v>373</v>
      </c>
      <c r="F45" s="2" t="s">
        <v>372</v>
      </c>
      <c r="G45">
        <v>500</v>
      </c>
      <c r="H45">
        <v>125</v>
      </c>
      <c r="I45">
        <v>625</v>
      </c>
      <c r="J45" s="1">
        <v>5773.2912999999999</v>
      </c>
    </row>
    <row r="46" spans="1:10" x14ac:dyDescent="0.35">
      <c r="A46">
        <v>35818</v>
      </c>
      <c r="B46" t="s">
        <v>247</v>
      </c>
      <c r="C46" t="s">
        <v>17</v>
      </c>
      <c r="D46" t="s">
        <v>371</v>
      </c>
      <c r="E46" t="s">
        <v>245</v>
      </c>
      <c r="F46" s="2" t="s">
        <v>370</v>
      </c>
      <c r="G46">
        <v>500</v>
      </c>
      <c r="H46">
        <v>125</v>
      </c>
      <c r="I46">
        <v>625</v>
      </c>
      <c r="J46" s="1">
        <v>5637.509</v>
      </c>
    </row>
    <row r="47" spans="1:10" x14ac:dyDescent="0.35">
      <c r="A47">
        <v>35844</v>
      </c>
      <c r="B47" t="s">
        <v>369</v>
      </c>
      <c r="C47" t="s">
        <v>17</v>
      </c>
      <c r="D47" t="s">
        <v>368</v>
      </c>
      <c r="E47" t="s">
        <v>367</v>
      </c>
      <c r="F47" s="2" t="s">
        <v>366</v>
      </c>
      <c r="G47">
        <v>1000</v>
      </c>
      <c r="H47">
        <v>250</v>
      </c>
      <c r="I47">
        <v>1250</v>
      </c>
      <c r="J47" s="1">
        <v>11444.336300000001</v>
      </c>
    </row>
    <row r="48" spans="1:10" x14ac:dyDescent="0.35">
      <c r="A48">
        <v>35941</v>
      </c>
      <c r="B48" t="s">
        <v>247</v>
      </c>
      <c r="C48" t="s">
        <v>17</v>
      </c>
      <c r="D48" t="s">
        <v>365</v>
      </c>
      <c r="E48" t="s">
        <v>245</v>
      </c>
      <c r="F48" s="2" t="s">
        <v>364</v>
      </c>
      <c r="G48">
        <v>500</v>
      </c>
      <c r="H48">
        <v>125</v>
      </c>
      <c r="I48">
        <v>625</v>
      </c>
      <c r="J48" s="1">
        <v>5607.1665000000003</v>
      </c>
    </row>
    <row r="49" spans="1:10" x14ac:dyDescent="0.35">
      <c r="A49">
        <v>36028</v>
      </c>
      <c r="B49" t="s">
        <v>308</v>
      </c>
      <c r="C49" t="s">
        <v>17</v>
      </c>
      <c r="D49" t="s">
        <v>363</v>
      </c>
      <c r="E49" t="s">
        <v>306</v>
      </c>
      <c r="F49" s="2" t="s">
        <v>362</v>
      </c>
      <c r="G49">
        <v>2000</v>
      </c>
      <c r="H49">
        <v>500</v>
      </c>
      <c r="I49">
        <v>2500</v>
      </c>
      <c r="J49" s="1">
        <v>21997.2412</v>
      </c>
    </row>
    <row r="50" spans="1:10" x14ac:dyDescent="0.35">
      <c r="A50">
        <v>36041</v>
      </c>
      <c r="B50" t="s">
        <v>247</v>
      </c>
      <c r="C50" t="s">
        <v>17</v>
      </c>
      <c r="D50" t="s">
        <v>361</v>
      </c>
      <c r="E50" t="s">
        <v>245</v>
      </c>
      <c r="F50" s="2" t="s">
        <v>360</v>
      </c>
      <c r="G50">
        <v>500</v>
      </c>
      <c r="H50">
        <v>125</v>
      </c>
      <c r="I50">
        <v>625</v>
      </c>
      <c r="J50" s="1">
        <v>5468.0752000000002</v>
      </c>
    </row>
    <row r="51" spans="1:10" x14ac:dyDescent="0.35">
      <c r="A51">
        <v>36071</v>
      </c>
      <c r="B51" t="s">
        <v>359</v>
      </c>
      <c r="C51" t="s">
        <v>17</v>
      </c>
      <c r="D51" t="s">
        <v>358</v>
      </c>
      <c r="E51" t="s">
        <v>357</v>
      </c>
      <c r="F51" s="2" t="s">
        <v>356</v>
      </c>
      <c r="G51">
        <v>3000</v>
      </c>
      <c r="H51">
        <v>750</v>
      </c>
      <c r="I51">
        <v>3750</v>
      </c>
      <c r="J51" s="1">
        <v>32545.499199999998</v>
      </c>
    </row>
    <row r="52" spans="1:10" x14ac:dyDescent="0.35">
      <c r="A52">
        <v>36119</v>
      </c>
      <c r="B52" t="s">
        <v>337</v>
      </c>
      <c r="C52" t="s">
        <v>17</v>
      </c>
      <c r="D52" t="s">
        <v>355</v>
      </c>
      <c r="E52" t="s">
        <v>335</v>
      </c>
      <c r="F52" s="2" t="s">
        <v>354</v>
      </c>
      <c r="G52">
        <v>5000</v>
      </c>
      <c r="H52">
        <v>1250</v>
      </c>
      <c r="I52">
        <v>6250</v>
      </c>
      <c r="J52" s="1">
        <v>53760.4202</v>
      </c>
    </row>
    <row r="53" spans="1:10" x14ac:dyDescent="0.35">
      <c r="A53">
        <v>36142</v>
      </c>
      <c r="B53" t="s">
        <v>247</v>
      </c>
      <c r="C53" t="s">
        <v>17</v>
      </c>
      <c r="D53" t="s">
        <v>353</v>
      </c>
      <c r="E53" t="s">
        <v>245</v>
      </c>
      <c r="F53" s="2" t="s">
        <v>352</v>
      </c>
      <c r="G53">
        <v>500</v>
      </c>
      <c r="H53">
        <v>125</v>
      </c>
      <c r="I53">
        <v>625</v>
      </c>
      <c r="J53" s="1">
        <v>5328.15</v>
      </c>
    </row>
    <row r="54" spans="1:10" x14ac:dyDescent="0.35">
      <c r="A54">
        <v>36218</v>
      </c>
      <c r="B54" t="s">
        <v>247</v>
      </c>
      <c r="C54" t="s">
        <v>17</v>
      </c>
      <c r="D54" t="s">
        <v>351</v>
      </c>
      <c r="E54" t="s">
        <v>245</v>
      </c>
      <c r="F54" s="2" t="s">
        <v>350</v>
      </c>
      <c r="G54">
        <v>500</v>
      </c>
      <c r="H54">
        <v>125</v>
      </c>
      <c r="I54">
        <v>625</v>
      </c>
      <c r="J54" s="1">
        <v>5208.4934000000003</v>
      </c>
    </row>
    <row r="55" spans="1:10" x14ac:dyDescent="0.35">
      <c r="A55">
        <v>36289</v>
      </c>
      <c r="B55" t="s">
        <v>349</v>
      </c>
      <c r="C55" t="s">
        <v>17</v>
      </c>
      <c r="D55" t="s">
        <v>348</v>
      </c>
      <c r="E55" t="s">
        <v>347</v>
      </c>
      <c r="F55" s="2" t="s">
        <v>346</v>
      </c>
      <c r="G55">
        <v>2000</v>
      </c>
      <c r="H55">
        <v>500</v>
      </c>
      <c r="I55">
        <v>2500</v>
      </c>
      <c r="J55" s="1">
        <v>20466.324400000001</v>
      </c>
    </row>
    <row r="56" spans="1:10" x14ac:dyDescent="0.35">
      <c r="A56">
        <v>36297</v>
      </c>
      <c r="B56" t="s">
        <v>247</v>
      </c>
      <c r="C56" t="s">
        <v>17</v>
      </c>
      <c r="D56" t="s">
        <v>345</v>
      </c>
      <c r="E56" t="s">
        <v>245</v>
      </c>
      <c r="F56" s="2" t="s">
        <v>344</v>
      </c>
      <c r="G56">
        <v>500</v>
      </c>
      <c r="H56">
        <v>125</v>
      </c>
      <c r="I56">
        <v>625</v>
      </c>
      <c r="J56" s="1">
        <v>5108.2254000000003</v>
      </c>
    </row>
    <row r="57" spans="1:10" x14ac:dyDescent="0.35">
      <c r="A57">
        <v>36497</v>
      </c>
      <c r="B57" t="s">
        <v>176</v>
      </c>
      <c r="C57" t="s">
        <v>17</v>
      </c>
      <c r="D57" t="s">
        <v>343</v>
      </c>
      <c r="E57" t="s">
        <v>342</v>
      </c>
      <c r="F57" s="2" t="s">
        <v>341</v>
      </c>
      <c r="G57">
        <v>1000</v>
      </c>
      <c r="H57">
        <v>250</v>
      </c>
      <c r="I57">
        <v>1250</v>
      </c>
      <c r="J57" s="1">
        <v>9691.6391000000003</v>
      </c>
    </row>
    <row r="58" spans="1:10" x14ac:dyDescent="0.35">
      <c r="A58">
        <v>36515</v>
      </c>
      <c r="B58" t="s">
        <v>176</v>
      </c>
      <c r="C58" t="s">
        <v>17</v>
      </c>
      <c r="D58" t="s">
        <v>340</v>
      </c>
      <c r="E58" t="s">
        <v>339</v>
      </c>
      <c r="F58" s="2" t="s">
        <v>338</v>
      </c>
      <c r="G58">
        <v>2000</v>
      </c>
      <c r="H58">
        <v>500</v>
      </c>
      <c r="I58">
        <v>2500</v>
      </c>
      <c r="J58" s="1">
        <v>19337.153999999999</v>
      </c>
    </row>
    <row r="59" spans="1:10" x14ac:dyDescent="0.35">
      <c r="A59">
        <v>36584</v>
      </c>
      <c r="B59" t="s">
        <v>337</v>
      </c>
      <c r="C59" t="s">
        <v>17</v>
      </c>
      <c r="D59" t="s">
        <v>336</v>
      </c>
      <c r="E59" t="s">
        <v>335</v>
      </c>
      <c r="F59" s="2" t="s">
        <v>334</v>
      </c>
      <c r="G59">
        <v>3000</v>
      </c>
      <c r="H59">
        <v>750</v>
      </c>
      <c r="I59">
        <v>3750</v>
      </c>
      <c r="J59" s="1">
        <v>28354.299800000001</v>
      </c>
    </row>
    <row r="60" spans="1:10" x14ac:dyDescent="0.35">
      <c r="A60">
        <v>36623</v>
      </c>
      <c r="B60" t="s">
        <v>322</v>
      </c>
      <c r="C60" t="s">
        <v>17</v>
      </c>
      <c r="D60" t="s">
        <v>333</v>
      </c>
      <c r="E60" t="s">
        <v>320</v>
      </c>
      <c r="F60" s="2" t="s">
        <v>332</v>
      </c>
      <c r="G60">
        <v>5000</v>
      </c>
      <c r="H60">
        <v>1250</v>
      </c>
      <c r="I60">
        <v>6250</v>
      </c>
      <c r="J60" s="1">
        <v>46803.0245</v>
      </c>
    </row>
    <row r="61" spans="1:10" x14ac:dyDescent="0.35">
      <c r="A61">
        <v>36699</v>
      </c>
      <c r="B61" t="s">
        <v>164</v>
      </c>
      <c r="C61" t="s">
        <v>17</v>
      </c>
      <c r="D61" t="s">
        <v>331</v>
      </c>
      <c r="E61" t="s">
        <v>330</v>
      </c>
      <c r="F61" s="2" t="s">
        <v>329</v>
      </c>
      <c r="G61">
        <v>1000</v>
      </c>
      <c r="H61">
        <v>250</v>
      </c>
      <c r="I61">
        <v>1250</v>
      </c>
      <c r="J61" s="1">
        <v>9172.6934000000001</v>
      </c>
    </row>
    <row r="62" spans="1:10" x14ac:dyDescent="0.35">
      <c r="A62">
        <v>36773</v>
      </c>
      <c r="B62" t="s">
        <v>176</v>
      </c>
      <c r="C62" t="s">
        <v>17</v>
      </c>
      <c r="D62" t="s">
        <v>328</v>
      </c>
      <c r="E62" t="s">
        <v>327</v>
      </c>
      <c r="F62" s="2" t="s">
        <v>326</v>
      </c>
      <c r="G62">
        <v>1000</v>
      </c>
      <c r="H62">
        <v>250</v>
      </c>
      <c r="I62">
        <v>1250</v>
      </c>
      <c r="J62" s="1">
        <v>9121.0244999999995</v>
      </c>
    </row>
    <row r="63" spans="1:10" x14ac:dyDescent="0.35">
      <c r="A63">
        <v>36799</v>
      </c>
      <c r="B63" t="s">
        <v>314</v>
      </c>
      <c r="C63" t="s">
        <v>17</v>
      </c>
      <c r="D63" t="s">
        <v>325</v>
      </c>
      <c r="E63" t="s">
        <v>324</v>
      </c>
      <c r="F63" s="2" t="s">
        <v>323</v>
      </c>
      <c r="G63">
        <v>1500</v>
      </c>
      <c r="H63">
        <v>375</v>
      </c>
      <c r="I63">
        <v>1875</v>
      </c>
      <c r="J63" s="1">
        <v>13406.927600000001</v>
      </c>
    </row>
    <row r="64" spans="1:10" x14ac:dyDescent="0.35">
      <c r="A64">
        <v>36878</v>
      </c>
      <c r="B64" t="s">
        <v>322</v>
      </c>
      <c r="C64" t="s">
        <v>17</v>
      </c>
      <c r="D64" t="s">
        <v>321</v>
      </c>
      <c r="E64" t="s">
        <v>320</v>
      </c>
      <c r="F64" s="2" t="s">
        <v>319</v>
      </c>
      <c r="G64">
        <v>2000</v>
      </c>
      <c r="H64">
        <v>500</v>
      </c>
      <c r="I64">
        <v>2500</v>
      </c>
      <c r="J64" s="1">
        <v>17446.445500000002</v>
      </c>
    </row>
    <row r="65" spans="1:10" x14ac:dyDescent="0.35">
      <c r="A65">
        <v>36911</v>
      </c>
      <c r="B65" t="s">
        <v>318</v>
      </c>
      <c r="C65" t="s">
        <v>17</v>
      </c>
      <c r="D65" t="s">
        <v>317</v>
      </c>
      <c r="E65" t="s">
        <v>316</v>
      </c>
      <c r="F65" s="2" t="s">
        <v>315</v>
      </c>
      <c r="G65">
        <v>3000</v>
      </c>
      <c r="H65">
        <v>750</v>
      </c>
      <c r="I65">
        <v>3750</v>
      </c>
      <c r="J65" s="1">
        <v>25937.8354</v>
      </c>
    </row>
    <row r="66" spans="1:10" x14ac:dyDescent="0.35">
      <c r="A66">
        <v>36975</v>
      </c>
      <c r="B66" t="s">
        <v>314</v>
      </c>
      <c r="C66" t="s">
        <v>17</v>
      </c>
      <c r="D66" t="s">
        <v>313</v>
      </c>
      <c r="E66" t="s">
        <v>312</v>
      </c>
      <c r="F66" s="2" t="s">
        <v>311</v>
      </c>
      <c r="G66">
        <v>2000</v>
      </c>
      <c r="H66">
        <v>500</v>
      </c>
      <c r="I66">
        <v>2500</v>
      </c>
      <c r="J66" s="1">
        <v>17082.167799999999</v>
      </c>
    </row>
    <row r="67" spans="1:10" x14ac:dyDescent="0.35">
      <c r="A67">
        <v>36998</v>
      </c>
      <c r="B67" t="s">
        <v>308</v>
      </c>
      <c r="C67" t="s">
        <v>17</v>
      </c>
      <c r="D67" t="s">
        <v>310</v>
      </c>
      <c r="E67" t="s">
        <v>306</v>
      </c>
      <c r="F67" s="2" t="s">
        <v>309</v>
      </c>
      <c r="G67">
        <v>500</v>
      </c>
      <c r="H67">
        <v>125</v>
      </c>
      <c r="I67">
        <v>625</v>
      </c>
      <c r="J67" s="1">
        <v>4249.9890999999998</v>
      </c>
    </row>
    <row r="68" spans="1:10" x14ac:dyDescent="0.35">
      <c r="A68">
        <v>37165</v>
      </c>
      <c r="B68" t="s">
        <v>308</v>
      </c>
      <c r="C68" t="s">
        <v>17</v>
      </c>
      <c r="D68" t="s">
        <v>307</v>
      </c>
      <c r="E68" t="s">
        <v>306</v>
      </c>
      <c r="F68" s="2" t="s">
        <v>305</v>
      </c>
      <c r="G68">
        <v>300</v>
      </c>
      <c r="H68">
        <v>0</v>
      </c>
      <c r="I68">
        <v>300</v>
      </c>
      <c r="J68" s="1">
        <v>1978.1473000000001</v>
      </c>
    </row>
    <row r="69" spans="1:10" x14ac:dyDescent="0.35">
      <c r="A69">
        <v>37286</v>
      </c>
      <c r="B69" t="s">
        <v>285</v>
      </c>
      <c r="C69" t="s">
        <v>17</v>
      </c>
      <c r="D69" t="s">
        <v>304</v>
      </c>
      <c r="E69" t="s">
        <v>283</v>
      </c>
      <c r="F69" s="2" t="s">
        <v>303</v>
      </c>
      <c r="G69">
        <v>2000</v>
      </c>
      <c r="H69">
        <v>500</v>
      </c>
      <c r="I69">
        <v>2500</v>
      </c>
      <c r="J69" s="1">
        <v>15854.897199999999</v>
      </c>
    </row>
    <row r="70" spans="1:10" x14ac:dyDescent="0.35">
      <c r="A70">
        <v>37370</v>
      </c>
      <c r="B70" t="s">
        <v>302</v>
      </c>
      <c r="C70" t="s">
        <v>17</v>
      </c>
      <c r="D70" t="s">
        <v>301</v>
      </c>
      <c r="E70" t="s">
        <v>300</v>
      </c>
      <c r="F70" s="2" t="s">
        <v>299</v>
      </c>
      <c r="G70">
        <v>3000</v>
      </c>
      <c r="H70">
        <v>750</v>
      </c>
      <c r="I70">
        <v>3750</v>
      </c>
      <c r="J70" s="1">
        <v>23343.591499999999</v>
      </c>
    </row>
    <row r="71" spans="1:10" x14ac:dyDescent="0.35">
      <c r="A71">
        <v>37428</v>
      </c>
      <c r="B71" t="s">
        <v>298</v>
      </c>
      <c r="C71" t="s">
        <v>17</v>
      </c>
      <c r="D71" t="s">
        <v>297</v>
      </c>
      <c r="E71" t="s">
        <v>3</v>
      </c>
      <c r="F71" s="2" t="s">
        <v>295</v>
      </c>
      <c r="G71">
        <v>2500</v>
      </c>
      <c r="H71">
        <v>625</v>
      </c>
      <c r="I71">
        <v>3125</v>
      </c>
      <c r="J71" s="1">
        <v>19155.950400000002</v>
      </c>
    </row>
    <row r="72" spans="1:10" x14ac:dyDescent="0.35">
      <c r="A72">
        <v>37430</v>
      </c>
      <c r="B72" t="s">
        <v>184</v>
      </c>
      <c r="C72" t="s">
        <v>17</v>
      </c>
      <c r="D72" t="s">
        <v>296</v>
      </c>
      <c r="E72" t="s">
        <v>287</v>
      </c>
      <c r="F72" s="2" t="s">
        <v>295</v>
      </c>
      <c r="G72">
        <v>1500</v>
      </c>
      <c r="H72">
        <v>375</v>
      </c>
      <c r="I72">
        <v>1875</v>
      </c>
      <c r="J72" s="1">
        <v>11493.570299999999</v>
      </c>
    </row>
    <row r="73" spans="1:10" x14ac:dyDescent="0.35">
      <c r="A73">
        <v>37470</v>
      </c>
      <c r="B73" t="s">
        <v>294</v>
      </c>
      <c r="C73" t="s">
        <v>17</v>
      </c>
      <c r="D73" t="s">
        <v>293</v>
      </c>
      <c r="E73" t="s">
        <v>292</v>
      </c>
      <c r="F73" s="2" t="s">
        <v>291</v>
      </c>
      <c r="G73">
        <v>5000</v>
      </c>
      <c r="H73">
        <v>1250</v>
      </c>
      <c r="I73">
        <v>6250</v>
      </c>
      <c r="J73" s="1">
        <v>37259.654999999999</v>
      </c>
    </row>
    <row r="74" spans="1:10" x14ac:dyDescent="0.35">
      <c r="A74">
        <v>37526</v>
      </c>
      <c r="B74" t="s">
        <v>164</v>
      </c>
      <c r="C74" t="s">
        <v>17</v>
      </c>
      <c r="D74" t="s">
        <v>290</v>
      </c>
      <c r="E74" t="s">
        <v>162</v>
      </c>
      <c r="F74" s="2" t="s">
        <v>289</v>
      </c>
      <c r="G74">
        <v>1500</v>
      </c>
      <c r="H74">
        <v>375</v>
      </c>
      <c r="I74">
        <v>1875</v>
      </c>
      <c r="J74" s="1">
        <v>11235.745199999999</v>
      </c>
    </row>
    <row r="75" spans="1:10" x14ac:dyDescent="0.35">
      <c r="A75">
        <v>37533</v>
      </c>
      <c r="B75" t="s">
        <v>184</v>
      </c>
      <c r="C75" t="s">
        <v>17</v>
      </c>
      <c r="D75" t="s">
        <v>288</v>
      </c>
      <c r="E75" t="s">
        <v>287</v>
      </c>
      <c r="F75" s="2" t="s">
        <v>286</v>
      </c>
      <c r="G75">
        <v>1500</v>
      </c>
      <c r="H75">
        <v>375</v>
      </c>
      <c r="I75">
        <v>1875</v>
      </c>
      <c r="J75" s="1">
        <v>11226.652599999999</v>
      </c>
    </row>
    <row r="76" spans="1:10" x14ac:dyDescent="0.35">
      <c r="A76">
        <v>37540</v>
      </c>
      <c r="B76" t="s">
        <v>285</v>
      </c>
      <c r="C76" t="s">
        <v>17</v>
      </c>
      <c r="D76" t="s">
        <v>284</v>
      </c>
      <c r="E76" t="s">
        <v>283</v>
      </c>
      <c r="F76" s="2" t="s">
        <v>282</v>
      </c>
      <c r="G76">
        <v>2000</v>
      </c>
      <c r="H76">
        <v>500</v>
      </c>
      <c r="I76">
        <v>2500</v>
      </c>
      <c r="J76" s="1">
        <v>14908.252500000001</v>
      </c>
    </row>
    <row r="77" spans="1:10" x14ac:dyDescent="0.35">
      <c r="A77">
        <v>37568</v>
      </c>
      <c r="B77" t="s">
        <v>281</v>
      </c>
      <c r="C77" t="s">
        <v>17</v>
      </c>
      <c r="D77" t="s">
        <v>280</v>
      </c>
      <c r="E77" t="s">
        <v>279</v>
      </c>
      <c r="F77" s="3">
        <v>42124</v>
      </c>
      <c r="G77">
        <v>3000</v>
      </c>
      <c r="H77">
        <v>750</v>
      </c>
      <c r="I77">
        <v>3750</v>
      </c>
      <c r="J77" s="1">
        <v>22130.757399999999</v>
      </c>
    </row>
    <row r="78" spans="1:10" x14ac:dyDescent="0.35">
      <c r="A78">
        <v>37708</v>
      </c>
      <c r="B78" t="s">
        <v>266</v>
      </c>
      <c r="C78" t="s">
        <v>17</v>
      </c>
      <c r="D78" t="s">
        <v>278</v>
      </c>
      <c r="E78" t="s">
        <v>268</v>
      </c>
      <c r="F78" s="2" t="s">
        <v>277</v>
      </c>
      <c r="G78">
        <v>5000</v>
      </c>
      <c r="H78">
        <v>1250</v>
      </c>
      <c r="I78">
        <v>6250</v>
      </c>
      <c r="J78" s="1">
        <v>35617.114300000001</v>
      </c>
    </row>
    <row r="79" spans="1:10" x14ac:dyDescent="0.35">
      <c r="A79">
        <v>37881</v>
      </c>
      <c r="B79" t="s">
        <v>276</v>
      </c>
      <c r="C79" t="s">
        <v>17</v>
      </c>
      <c r="D79" t="s">
        <v>275</v>
      </c>
      <c r="E79" t="s">
        <v>274</v>
      </c>
      <c r="F79" s="2" t="s">
        <v>272</v>
      </c>
      <c r="G79">
        <v>500</v>
      </c>
      <c r="H79">
        <v>125</v>
      </c>
      <c r="I79">
        <v>625</v>
      </c>
      <c r="J79" s="1">
        <v>3381.6754000000001</v>
      </c>
    </row>
    <row r="80" spans="1:10" x14ac:dyDescent="0.35">
      <c r="A80">
        <v>37882</v>
      </c>
      <c r="B80" t="s">
        <v>180</v>
      </c>
      <c r="C80" t="s">
        <v>17</v>
      </c>
      <c r="D80" t="s">
        <v>273</v>
      </c>
      <c r="E80" t="s">
        <v>178</v>
      </c>
      <c r="F80" s="2" t="s">
        <v>272</v>
      </c>
      <c r="G80">
        <v>2000</v>
      </c>
      <c r="H80">
        <v>500</v>
      </c>
      <c r="I80">
        <v>2500</v>
      </c>
      <c r="J80" s="1">
        <v>13526.701800000001</v>
      </c>
    </row>
    <row r="81" spans="1:10" x14ac:dyDescent="0.35">
      <c r="A81">
        <v>37930</v>
      </c>
      <c r="B81" t="s">
        <v>180</v>
      </c>
      <c r="C81" t="s">
        <v>17</v>
      </c>
      <c r="D81" t="s">
        <v>271</v>
      </c>
      <c r="E81" t="s">
        <v>178</v>
      </c>
      <c r="F81" s="2" t="s">
        <v>270</v>
      </c>
      <c r="G81">
        <v>4000</v>
      </c>
      <c r="H81">
        <v>1000</v>
      </c>
      <c r="I81">
        <v>5000</v>
      </c>
      <c r="J81" s="1">
        <v>26575.092199999999</v>
      </c>
    </row>
    <row r="82" spans="1:10" x14ac:dyDescent="0.35">
      <c r="A82">
        <v>37945</v>
      </c>
      <c r="B82" t="s">
        <v>266</v>
      </c>
      <c r="C82" t="s">
        <v>17</v>
      </c>
      <c r="D82" t="s">
        <v>269</v>
      </c>
      <c r="E82" t="s">
        <v>268</v>
      </c>
      <c r="F82" s="2" t="s">
        <v>267</v>
      </c>
      <c r="G82">
        <v>2000</v>
      </c>
      <c r="H82">
        <v>500</v>
      </c>
      <c r="I82">
        <v>2500</v>
      </c>
      <c r="J82" s="1">
        <v>13233.9974</v>
      </c>
    </row>
    <row r="83" spans="1:10" x14ac:dyDescent="0.35">
      <c r="A83">
        <v>37949</v>
      </c>
      <c r="B83" t="s">
        <v>266</v>
      </c>
      <c r="C83" t="s">
        <v>17</v>
      </c>
      <c r="D83" t="s">
        <v>265</v>
      </c>
      <c r="E83" t="s">
        <v>264</v>
      </c>
      <c r="F83" s="2" t="s">
        <v>263</v>
      </c>
      <c r="G83">
        <v>1000</v>
      </c>
      <c r="H83">
        <v>250</v>
      </c>
      <c r="I83">
        <v>1250</v>
      </c>
      <c r="J83" s="1">
        <v>6611.6437999999998</v>
      </c>
    </row>
    <row r="84" spans="1:10" x14ac:dyDescent="0.35">
      <c r="A84">
        <v>37997</v>
      </c>
      <c r="B84" t="s">
        <v>176</v>
      </c>
      <c r="C84" t="s">
        <v>17</v>
      </c>
      <c r="D84" t="s">
        <v>262</v>
      </c>
      <c r="E84" t="s">
        <v>261</v>
      </c>
      <c r="F84" s="2" t="s">
        <v>260</v>
      </c>
      <c r="G84">
        <v>500</v>
      </c>
      <c r="H84">
        <v>125</v>
      </c>
      <c r="I84">
        <v>625</v>
      </c>
      <c r="J84" s="1">
        <v>3247.3033999999998</v>
      </c>
    </row>
    <row r="85" spans="1:10" x14ac:dyDescent="0.35">
      <c r="A85">
        <v>38013</v>
      </c>
      <c r="B85" t="s">
        <v>227</v>
      </c>
      <c r="C85" t="s">
        <v>17</v>
      </c>
      <c r="D85" t="s">
        <v>259</v>
      </c>
      <c r="E85" t="s">
        <v>225</v>
      </c>
      <c r="F85" s="2" t="s">
        <v>258</v>
      </c>
      <c r="G85">
        <v>2000</v>
      </c>
      <c r="H85">
        <v>500</v>
      </c>
      <c r="I85">
        <v>2500</v>
      </c>
      <c r="J85" s="1">
        <v>12916.0465</v>
      </c>
    </row>
    <row r="86" spans="1:10" x14ac:dyDescent="0.35">
      <c r="A86">
        <v>38048</v>
      </c>
      <c r="B86" t="s">
        <v>117</v>
      </c>
      <c r="C86" t="s">
        <v>17</v>
      </c>
      <c r="D86" t="s">
        <v>257</v>
      </c>
      <c r="E86" t="s">
        <v>115</v>
      </c>
      <c r="F86" s="2" t="s">
        <v>256</v>
      </c>
      <c r="G86">
        <v>2000</v>
      </c>
      <c r="H86">
        <v>500</v>
      </c>
      <c r="I86">
        <v>2500</v>
      </c>
      <c r="J86" s="1">
        <v>12790.617399999999</v>
      </c>
    </row>
    <row r="87" spans="1:10" x14ac:dyDescent="0.35">
      <c r="A87">
        <v>38063</v>
      </c>
      <c r="B87" t="s">
        <v>255</v>
      </c>
      <c r="C87" t="s">
        <v>17</v>
      </c>
      <c r="D87" t="s">
        <v>254</v>
      </c>
      <c r="E87" t="s">
        <v>253</v>
      </c>
      <c r="F87" s="2" t="s">
        <v>252</v>
      </c>
      <c r="G87">
        <v>2500</v>
      </c>
      <c r="H87">
        <v>625</v>
      </c>
      <c r="I87">
        <v>3125</v>
      </c>
      <c r="J87" s="1">
        <v>15884.7243</v>
      </c>
    </row>
    <row r="88" spans="1:10" x14ac:dyDescent="0.35">
      <c r="A88">
        <v>38163</v>
      </c>
      <c r="B88" t="s">
        <v>251</v>
      </c>
      <c r="C88" t="s">
        <v>17</v>
      </c>
      <c r="D88" t="s">
        <v>250</v>
      </c>
      <c r="E88" t="s">
        <v>249</v>
      </c>
      <c r="F88" s="2" t="s">
        <v>248</v>
      </c>
      <c r="G88">
        <v>1000</v>
      </c>
      <c r="H88">
        <v>250</v>
      </c>
      <c r="I88">
        <v>1250</v>
      </c>
      <c r="J88" s="1">
        <v>6181.3389999999999</v>
      </c>
    </row>
    <row r="89" spans="1:10" x14ac:dyDescent="0.35">
      <c r="A89">
        <v>38182</v>
      </c>
      <c r="B89" t="s">
        <v>247</v>
      </c>
      <c r="C89" t="s">
        <v>17</v>
      </c>
      <c r="D89" t="s">
        <v>246</v>
      </c>
      <c r="E89" t="s">
        <v>245</v>
      </c>
      <c r="F89" s="2" t="s">
        <v>244</v>
      </c>
      <c r="G89">
        <v>1000</v>
      </c>
      <c r="H89">
        <v>250</v>
      </c>
      <c r="I89">
        <v>1250</v>
      </c>
      <c r="J89" s="1">
        <v>6166.4165999999996</v>
      </c>
    </row>
    <row r="90" spans="1:10" x14ac:dyDescent="0.35">
      <c r="A90">
        <v>38243</v>
      </c>
      <c r="B90" t="s">
        <v>172</v>
      </c>
      <c r="C90" t="s">
        <v>17</v>
      </c>
      <c r="D90" t="s">
        <v>243</v>
      </c>
      <c r="E90" t="s">
        <v>242</v>
      </c>
      <c r="F90" s="2" t="s">
        <v>241</v>
      </c>
      <c r="G90">
        <v>1500</v>
      </c>
      <c r="H90">
        <v>375</v>
      </c>
      <c r="I90">
        <v>1875</v>
      </c>
      <c r="J90" s="1">
        <v>9095.0269000000008</v>
      </c>
    </row>
    <row r="91" spans="1:10" x14ac:dyDescent="0.35">
      <c r="A91">
        <v>38258</v>
      </c>
      <c r="B91" t="s">
        <v>180</v>
      </c>
      <c r="C91" t="s">
        <v>17</v>
      </c>
      <c r="D91" t="s">
        <v>240</v>
      </c>
      <c r="E91" t="s">
        <v>178</v>
      </c>
      <c r="F91" s="2" t="s">
        <v>239</v>
      </c>
      <c r="G91">
        <v>3000</v>
      </c>
      <c r="H91">
        <v>750</v>
      </c>
      <c r="I91">
        <v>3750</v>
      </c>
      <c r="J91" s="1">
        <v>18098.5717</v>
      </c>
    </row>
    <row r="92" spans="1:10" x14ac:dyDescent="0.35">
      <c r="A92">
        <v>38296</v>
      </c>
      <c r="B92" t="s">
        <v>184</v>
      </c>
      <c r="C92" t="s">
        <v>17</v>
      </c>
      <c r="D92" t="s">
        <v>238</v>
      </c>
      <c r="E92" t="s">
        <v>182</v>
      </c>
      <c r="F92" s="2" t="s">
        <v>237</v>
      </c>
      <c r="G92">
        <v>1500</v>
      </c>
      <c r="H92">
        <v>375</v>
      </c>
      <c r="I92">
        <v>1875</v>
      </c>
      <c r="J92" s="1">
        <v>8969.2486000000008</v>
      </c>
    </row>
    <row r="93" spans="1:10" x14ac:dyDescent="0.35">
      <c r="A93">
        <v>38310</v>
      </c>
      <c r="B93" t="s">
        <v>184</v>
      </c>
      <c r="C93" t="s">
        <v>17</v>
      </c>
      <c r="D93" t="s">
        <v>236</v>
      </c>
      <c r="E93" t="s">
        <v>182</v>
      </c>
      <c r="F93" s="2" t="s">
        <v>235</v>
      </c>
      <c r="G93">
        <v>1500</v>
      </c>
      <c r="H93">
        <v>375</v>
      </c>
      <c r="I93">
        <v>1875</v>
      </c>
      <c r="J93" s="1">
        <v>8940.1442000000006</v>
      </c>
    </row>
    <row r="94" spans="1:10" x14ac:dyDescent="0.35">
      <c r="A94">
        <v>38319</v>
      </c>
      <c r="B94" t="s">
        <v>234</v>
      </c>
      <c r="C94" t="s">
        <v>17</v>
      </c>
      <c r="D94" t="s">
        <v>233</v>
      </c>
      <c r="E94" t="s">
        <v>232</v>
      </c>
      <c r="F94" s="2" t="s">
        <v>231</v>
      </c>
      <c r="G94">
        <v>8000</v>
      </c>
      <c r="H94">
        <v>2000</v>
      </c>
      <c r="I94">
        <v>10000</v>
      </c>
      <c r="J94" s="1">
        <v>47447.933299999997</v>
      </c>
    </row>
    <row r="95" spans="1:10" x14ac:dyDescent="0.35">
      <c r="A95">
        <v>38326</v>
      </c>
      <c r="B95" t="s">
        <v>230</v>
      </c>
      <c r="C95" t="s">
        <v>17</v>
      </c>
      <c r="D95" t="s">
        <v>229</v>
      </c>
      <c r="E95" t="s">
        <v>215</v>
      </c>
      <c r="F95" s="2" t="s">
        <v>228</v>
      </c>
      <c r="G95">
        <v>1000</v>
      </c>
      <c r="H95">
        <v>250</v>
      </c>
      <c r="I95">
        <v>1250</v>
      </c>
      <c r="J95" s="1">
        <v>5912.9454999999998</v>
      </c>
    </row>
    <row r="96" spans="1:10" x14ac:dyDescent="0.35">
      <c r="A96">
        <v>38338</v>
      </c>
      <c r="B96" t="s">
        <v>227</v>
      </c>
      <c r="C96" t="s">
        <v>17</v>
      </c>
      <c r="D96" t="s">
        <v>226</v>
      </c>
      <c r="E96" t="s">
        <v>225</v>
      </c>
      <c r="F96" s="2" t="s">
        <v>224</v>
      </c>
      <c r="G96">
        <v>500</v>
      </c>
      <c r="H96">
        <v>125</v>
      </c>
      <c r="I96">
        <v>625</v>
      </c>
      <c r="J96" s="1">
        <v>2948.6986999999999</v>
      </c>
    </row>
    <row r="97" spans="1:10" x14ac:dyDescent="0.35">
      <c r="A97">
        <v>38380</v>
      </c>
      <c r="B97" t="s">
        <v>213</v>
      </c>
      <c r="C97" t="s">
        <v>17</v>
      </c>
      <c r="D97" t="s">
        <v>223</v>
      </c>
      <c r="E97" t="s">
        <v>215</v>
      </c>
      <c r="F97" s="2" t="s">
        <v>222</v>
      </c>
      <c r="G97">
        <v>1000</v>
      </c>
      <c r="H97">
        <v>250</v>
      </c>
      <c r="I97">
        <v>1250</v>
      </c>
      <c r="J97" s="1">
        <v>5835.9021000000002</v>
      </c>
    </row>
    <row r="98" spans="1:10" x14ac:dyDescent="0.35">
      <c r="A98">
        <v>38427</v>
      </c>
      <c r="B98" t="s">
        <v>221</v>
      </c>
      <c r="C98" t="s">
        <v>17</v>
      </c>
      <c r="D98" t="s">
        <v>220</v>
      </c>
      <c r="E98" t="s">
        <v>219</v>
      </c>
      <c r="F98" s="2" t="s">
        <v>218</v>
      </c>
      <c r="G98">
        <v>3000</v>
      </c>
      <c r="H98">
        <v>750</v>
      </c>
      <c r="I98">
        <v>3750</v>
      </c>
      <c r="J98" s="1">
        <v>17211.6813</v>
      </c>
    </row>
    <row r="99" spans="1:10" x14ac:dyDescent="0.35">
      <c r="A99">
        <v>38470</v>
      </c>
      <c r="B99" t="s">
        <v>217</v>
      </c>
      <c r="C99" t="s">
        <v>17</v>
      </c>
      <c r="D99" t="s">
        <v>216</v>
      </c>
      <c r="E99" t="s">
        <v>215</v>
      </c>
      <c r="F99" s="2" t="s">
        <v>214</v>
      </c>
      <c r="G99">
        <v>2000</v>
      </c>
      <c r="H99">
        <v>500</v>
      </c>
      <c r="I99">
        <v>2500</v>
      </c>
      <c r="J99" s="1">
        <v>11225.8585</v>
      </c>
    </row>
    <row r="100" spans="1:10" x14ac:dyDescent="0.35">
      <c r="A100">
        <v>38511</v>
      </c>
      <c r="B100" t="s">
        <v>213</v>
      </c>
      <c r="C100" t="s">
        <v>17</v>
      </c>
      <c r="D100" t="s">
        <v>212</v>
      </c>
      <c r="E100" t="s">
        <v>211</v>
      </c>
      <c r="F100" s="2" t="s">
        <v>210</v>
      </c>
      <c r="G100">
        <v>1000</v>
      </c>
      <c r="H100">
        <v>250</v>
      </c>
      <c r="I100">
        <v>1250</v>
      </c>
      <c r="J100" s="1">
        <v>5536.3298000000004</v>
      </c>
    </row>
    <row r="101" spans="1:10" x14ac:dyDescent="0.35">
      <c r="A101">
        <v>38525</v>
      </c>
      <c r="B101" t="s">
        <v>194</v>
      </c>
      <c r="C101" t="s">
        <v>17</v>
      </c>
      <c r="D101" t="s">
        <v>209</v>
      </c>
      <c r="E101" t="s">
        <v>192</v>
      </c>
      <c r="F101" s="2" t="s">
        <v>208</v>
      </c>
      <c r="G101">
        <v>5000</v>
      </c>
      <c r="H101">
        <v>1250</v>
      </c>
      <c r="I101">
        <v>6250</v>
      </c>
      <c r="J101" s="1">
        <v>27569.002700000001</v>
      </c>
    </row>
    <row r="102" spans="1:10" x14ac:dyDescent="0.35">
      <c r="A102">
        <v>38536</v>
      </c>
      <c r="B102" t="s">
        <v>180</v>
      </c>
      <c r="C102" t="s">
        <v>17</v>
      </c>
      <c r="D102" t="s">
        <v>207</v>
      </c>
      <c r="E102" t="s">
        <v>178</v>
      </c>
      <c r="F102" s="2" t="s">
        <v>206</v>
      </c>
      <c r="G102">
        <v>1500</v>
      </c>
      <c r="H102">
        <v>375</v>
      </c>
      <c r="I102">
        <v>1875</v>
      </c>
      <c r="J102" s="1">
        <v>8230.3158000000003</v>
      </c>
    </row>
    <row r="103" spans="1:10" x14ac:dyDescent="0.35">
      <c r="A103">
        <v>38547</v>
      </c>
      <c r="B103" t="s">
        <v>160</v>
      </c>
      <c r="C103" t="s">
        <v>17</v>
      </c>
      <c r="D103" t="s">
        <v>205</v>
      </c>
      <c r="E103" t="s">
        <v>204</v>
      </c>
      <c r="F103" s="2" t="s">
        <v>203</v>
      </c>
      <c r="G103">
        <v>2000</v>
      </c>
      <c r="H103">
        <v>500</v>
      </c>
      <c r="I103">
        <v>2500</v>
      </c>
      <c r="J103" s="1">
        <v>10920.983200000001</v>
      </c>
    </row>
    <row r="104" spans="1:10" x14ac:dyDescent="0.35">
      <c r="A104">
        <v>38619</v>
      </c>
      <c r="B104" t="s">
        <v>200</v>
      </c>
      <c r="C104" t="s">
        <v>17</v>
      </c>
      <c r="D104" t="s">
        <v>202</v>
      </c>
      <c r="E104" t="s">
        <v>198</v>
      </c>
      <c r="F104" s="2" t="s">
        <v>201</v>
      </c>
      <c r="G104">
        <v>2500</v>
      </c>
      <c r="H104">
        <v>625</v>
      </c>
      <c r="I104">
        <v>3125</v>
      </c>
      <c r="J104" s="1">
        <v>13334.030699999999</v>
      </c>
    </row>
    <row r="105" spans="1:10" x14ac:dyDescent="0.35">
      <c r="A105">
        <v>38630</v>
      </c>
      <c r="B105" t="s">
        <v>200</v>
      </c>
      <c r="C105" t="s">
        <v>17</v>
      </c>
      <c r="D105" t="s">
        <v>199</v>
      </c>
      <c r="E105" t="s">
        <v>198</v>
      </c>
      <c r="F105" s="2" t="s">
        <v>197</v>
      </c>
      <c r="G105">
        <v>1000</v>
      </c>
      <c r="H105">
        <v>250</v>
      </c>
      <c r="I105">
        <v>1250</v>
      </c>
      <c r="J105" s="1">
        <v>5320.7466999999997</v>
      </c>
    </row>
    <row r="106" spans="1:10" x14ac:dyDescent="0.35">
      <c r="A106">
        <v>38645</v>
      </c>
      <c r="B106" t="s">
        <v>176</v>
      </c>
      <c r="C106" t="s">
        <v>17</v>
      </c>
      <c r="D106" t="s">
        <v>196</v>
      </c>
      <c r="E106" t="s">
        <v>174</v>
      </c>
      <c r="F106" s="2" t="s">
        <v>195</v>
      </c>
      <c r="G106">
        <v>1500</v>
      </c>
      <c r="H106">
        <v>375</v>
      </c>
      <c r="I106">
        <v>1875</v>
      </c>
      <c r="J106" s="1">
        <v>7948.9562999999998</v>
      </c>
    </row>
    <row r="107" spans="1:10" x14ac:dyDescent="0.35">
      <c r="A107">
        <v>38681</v>
      </c>
      <c r="B107" t="s">
        <v>194</v>
      </c>
      <c r="C107" t="s">
        <v>17</v>
      </c>
      <c r="D107" t="s">
        <v>193</v>
      </c>
      <c r="E107" t="s">
        <v>192</v>
      </c>
      <c r="F107" s="2" t="s">
        <v>191</v>
      </c>
      <c r="G107">
        <v>2250</v>
      </c>
      <c r="H107">
        <v>562.5</v>
      </c>
      <c r="I107">
        <v>2812.5</v>
      </c>
      <c r="J107" s="1">
        <v>11846.2412</v>
      </c>
    </row>
    <row r="108" spans="1:10" x14ac:dyDescent="0.35">
      <c r="A108">
        <v>38723</v>
      </c>
      <c r="B108" t="s">
        <v>172</v>
      </c>
      <c r="C108" t="s">
        <v>17</v>
      </c>
      <c r="D108" t="s">
        <v>190</v>
      </c>
      <c r="E108" t="s">
        <v>170</v>
      </c>
      <c r="F108" s="2" t="s">
        <v>189</v>
      </c>
      <c r="G108">
        <v>2000</v>
      </c>
      <c r="H108">
        <v>500</v>
      </c>
      <c r="I108">
        <v>2500</v>
      </c>
      <c r="J108" s="1">
        <v>10369.096</v>
      </c>
    </row>
    <row r="109" spans="1:10" x14ac:dyDescent="0.35">
      <c r="A109">
        <v>38765</v>
      </c>
      <c r="B109" t="s">
        <v>188</v>
      </c>
      <c r="C109" t="s">
        <v>17</v>
      </c>
      <c r="D109" t="s">
        <v>187</v>
      </c>
      <c r="E109" t="s">
        <v>186</v>
      </c>
      <c r="F109" s="2" t="s">
        <v>185</v>
      </c>
      <c r="G109">
        <v>10000</v>
      </c>
      <c r="H109">
        <v>2500</v>
      </c>
      <c r="I109">
        <v>12500</v>
      </c>
      <c r="J109" s="1">
        <v>50885.934000000001</v>
      </c>
    </row>
    <row r="110" spans="1:10" x14ac:dyDescent="0.35">
      <c r="A110">
        <v>38834</v>
      </c>
      <c r="B110" t="s">
        <v>184</v>
      </c>
      <c r="C110" t="s">
        <v>17</v>
      </c>
      <c r="D110" t="s">
        <v>183</v>
      </c>
      <c r="E110" t="s">
        <v>182</v>
      </c>
      <c r="F110" s="2" t="s">
        <v>181</v>
      </c>
      <c r="G110">
        <v>500</v>
      </c>
      <c r="H110">
        <v>125</v>
      </c>
      <c r="I110">
        <v>625</v>
      </c>
      <c r="J110" s="1">
        <v>2499.3984999999998</v>
      </c>
    </row>
    <row r="111" spans="1:10" x14ac:dyDescent="0.35">
      <c r="A111">
        <v>38855</v>
      </c>
      <c r="B111" t="s">
        <v>180</v>
      </c>
      <c r="C111" t="s">
        <v>17</v>
      </c>
      <c r="D111" t="s">
        <v>179</v>
      </c>
      <c r="E111" t="s">
        <v>178</v>
      </c>
      <c r="F111" s="2" t="s">
        <v>177</v>
      </c>
      <c r="G111">
        <v>3500</v>
      </c>
      <c r="H111">
        <v>875</v>
      </c>
      <c r="I111">
        <v>4375</v>
      </c>
      <c r="J111" s="1">
        <v>17396.1319</v>
      </c>
    </row>
    <row r="112" spans="1:10" x14ac:dyDescent="0.35">
      <c r="A112">
        <v>38863</v>
      </c>
      <c r="B112" t="s">
        <v>176</v>
      </c>
      <c r="C112" t="s">
        <v>17</v>
      </c>
      <c r="D112" t="s">
        <v>175</v>
      </c>
      <c r="E112" t="s">
        <v>174</v>
      </c>
      <c r="F112" s="2" t="s">
        <v>173</v>
      </c>
      <c r="G112">
        <v>1000</v>
      </c>
      <c r="H112">
        <v>250</v>
      </c>
      <c r="I112">
        <v>1250</v>
      </c>
      <c r="J112" s="1">
        <v>4946.4409999999998</v>
      </c>
    </row>
    <row r="113" spans="1:10" x14ac:dyDescent="0.35">
      <c r="A113">
        <v>38890</v>
      </c>
      <c r="B113" t="s">
        <v>172</v>
      </c>
      <c r="C113" t="s">
        <v>17</v>
      </c>
      <c r="D113" t="s">
        <v>171</v>
      </c>
      <c r="E113" t="s">
        <v>170</v>
      </c>
      <c r="F113" s="2" t="s">
        <v>169</v>
      </c>
      <c r="G113">
        <v>1000</v>
      </c>
      <c r="H113">
        <v>250</v>
      </c>
      <c r="I113">
        <v>1250</v>
      </c>
      <c r="J113" s="1">
        <v>4914.5977000000003</v>
      </c>
    </row>
    <row r="114" spans="1:10" x14ac:dyDescent="0.35">
      <c r="A114">
        <v>38913</v>
      </c>
      <c r="B114" t="s">
        <v>168</v>
      </c>
      <c r="C114" t="s">
        <v>17</v>
      </c>
      <c r="D114" t="s">
        <v>167</v>
      </c>
      <c r="E114" t="s">
        <v>166</v>
      </c>
      <c r="F114" s="2" t="s">
        <v>165</v>
      </c>
      <c r="G114">
        <v>1000</v>
      </c>
      <c r="H114">
        <v>250</v>
      </c>
      <c r="I114">
        <v>1250</v>
      </c>
      <c r="J114" s="1">
        <v>4886.7349000000004</v>
      </c>
    </row>
    <row r="115" spans="1:10" x14ac:dyDescent="0.35">
      <c r="A115">
        <v>38980</v>
      </c>
      <c r="B115" t="s">
        <v>164</v>
      </c>
      <c r="C115" t="s">
        <v>17</v>
      </c>
      <c r="D115" t="s">
        <v>163</v>
      </c>
      <c r="E115" t="s">
        <v>162</v>
      </c>
      <c r="F115" s="2" t="s">
        <v>161</v>
      </c>
      <c r="G115">
        <v>1500</v>
      </c>
      <c r="H115">
        <v>375</v>
      </c>
      <c r="I115">
        <v>1875</v>
      </c>
      <c r="J115" s="1">
        <v>7142.3467000000001</v>
      </c>
    </row>
    <row r="116" spans="1:10" x14ac:dyDescent="0.35">
      <c r="A116">
        <v>38985</v>
      </c>
      <c r="B116" t="s">
        <v>160</v>
      </c>
      <c r="C116" t="s">
        <v>17</v>
      </c>
      <c r="D116" t="s">
        <v>159</v>
      </c>
      <c r="E116" t="s">
        <v>158</v>
      </c>
      <c r="F116" s="2" t="s">
        <v>157</v>
      </c>
      <c r="G116">
        <v>500</v>
      </c>
      <c r="H116">
        <v>125</v>
      </c>
      <c r="I116">
        <v>625</v>
      </c>
      <c r="J116" s="1">
        <v>2376.8973999999998</v>
      </c>
    </row>
    <row r="117" spans="1:10" x14ac:dyDescent="0.35">
      <c r="A117">
        <v>39021</v>
      </c>
      <c r="B117" t="s">
        <v>150</v>
      </c>
      <c r="C117" t="s">
        <v>17</v>
      </c>
      <c r="D117" t="s">
        <v>156</v>
      </c>
      <c r="F117" s="2" t="s">
        <v>155</v>
      </c>
      <c r="G117">
        <v>2000</v>
      </c>
      <c r="H117">
        <v>500</v>
      </c>
      <c r="I117">
        <v>2500</v>
      </c>
      <c r="J117" s="1">
        <v>9400.5445</v>
      </c>
    </row>
    <row r="118" spans="1:10" x14ac:dyDescent="0.35">
      <c r="A118">
        <v>39072</v>
      </c>
      <c r="B118" t="s">
        <v>154</v>
      </c>
      <c r="C118" t="s">
        <v>17</v>
      </c>
      <c r="D118" t="s">
        <v>153</v>
      </c>
      <c r="E118" t="s">
        <v>152</v>
      </c>
      <c r="F118" s="2" t="s">
        <v>151</v>
      </c>
      <c r="G118">
        <v>1000</v>
      </c>
      <c r="H118">
        <v>250</v>
      </c>
      <c r="I118">
        <v>1250</v>
      </c>
      <c r="J118" s="1">
        <v>4616.9301999999998</v>
      </c>
    </row>
    <row r="119" spans="1:10" x14ac:dyDescent="0.35">
      <c r="A119">
        <v>39107</v>
      </c>
      <c r="B119" t="s">
        <v>150</v>
      </c>
      <c r="C119" t="s">
        <v>17</v>
      </c>
      <c r="D119" t="s">
        <v>149</v>
      </c>
      <c r="F119" s="2" t="s">
        <v>148</v>
      </c>
      <c r="G119">
        <v>2000</v>
      </c>
      <c r="H119">
        <v>500</v>
      </c>
      <c r="I119">
        <v>2500</v>
      </c>
      <c r="J119" s="1">
        <v>9159.9125000000004</v>
      </c>
    </row>
    <row r="120" spans="1:10" x14ac:dyDescent="0.35">
      <c r="A120">
        <v>39134</v>
      </c>
      <c r="B120" t="s">
        <v>131</v>
      </c>
      <c r="C120" t="s">
        <v>17</v>
      </c>
      <c r="D120" t="s">
        <v>147</v>
      </c>
      <c r="E120" t="s">
        <v>129</v>
      </c>
      <c r="F120" s="2" t="s">
        <v>146</v>
      </c>
      <c r="G120">
        <v>3500</v>
      </c>
      <c r="H120">
        <v>875</v>
      </c>
      <c r="I120">
        <v>4375</v>
      </c>
      <c r="J120" s="1">
        <v>15926.319799999999</v>
      </c>
    </row>
    <row r="121" spans="1:10" x14ac:dyDescent="0.35">
      <c r="A121">
        <v>39173</v>
      </c>
      <c r="B121" t="s">
        <v>143</v>
      </c>
      <c r="C121" t="s">
        <v>17</v>
      </c>
      <c r="D121" t="s">
        <v>145</v>
      </c>
      <c r="E121" t="s">
        <v>141</v>
      </c>
      <c r="F121" s="2" t="s">
        <v>144</v>
      </c>
      <c r="G121">
        <v>4000</v>
      </c>
      <c r="H121">
        <v>1000</v>
      </c>
      <c r="I121">
        <v>5000</v>
      </c>
      <c r="J121" s="1">
        <v>17894.228899999998</v>
      </c>
    </row>
    <row r="122" spans="1:10" x14ac:dyDescent="0.35">
      <c r="A122">
        <v>39177</v>
      </c>
      <c r="B122" t="s">
        <v>143</v>
      </c>
      <c r="C122" t="s">
        <v>17</v>
      </c>
      <c r="D122" t="s">
        <v>142</v>
      </c>
      <c r="E122" t="s">
        <v>141</v>
      </c>
      <c r="F122" s="2" t="s">
        <v>140</v>
      </c>
      <c r="G122">
        <v>2000</v>
      </c>
      <c r="H122">
        <v>500</v>
      </c>
      <c r="I122">
        <v>2500</v>
      </c>
      <c r="J122" s="1">
        <v>8939.9030999999995</v>
      </c>
    </row>
    <row r="123" spans="1:10" x14ac:dyDescent="0.35">
      <c r="A123">
        <v>39207</v>
      </c>
      <c r="B123" t="s">
        <v>131</v>
      </c>
      <c r="C123" t="s">
        <v>17</v>
      </c>
      <c r="D123" t="s">
        <v>139</v>
      </c>
      <c r="E123" t="s">
        <v>129</v>
      </c>
      <c r="F123" s="2" t="s">
        <v>138</v>
      </c>
      <c r="G123">
        <v>1500</v>
      </c>
      <c r="H123">
        <v>375</v>
      </c>
      <c r="I123">
        <v>1875</v>
      </c>
      <c r="J123" s="1">
        <v>6634.6166000000003</v>
      </c>
    </row>
    <row r="124" spans="1:10" x14ac:dyDescent="0.35">
      <c r="A124">
        <v>39232</v>
      </c>
      <c r="B124" t="s">
        <v>137</v>
      </c>
      <c r="C124" t="s">
        <v>17</v>
      </c>
      <c r="D124" t="s">
        <v>136</v>
      </c>
      <c r="E124" t="s">
        <v>135</v>
      </c>
      <c r="F124" s="2" t="s">
        <v>134</v>
      </c>
      <c r="G124">
        <v>10000</v>
      </c>
      <c r="H124">
        <v>2500</v>
      </c>
      <c r="I124">
        <v>12500</v>
      </c>
      <c r="J124" s="1">
        <v>43907.076099999998</v>
      </c>
    </row>
    <row r="125" spans="1:10" x14ac:dyDescent="0.35">
      <c r="A125">
        <v>39253</v>
      </c>
      <c r="B125" t="s">
        <v>131</v>
      </c>
      <c r="C125" t="s">
        <v>17</v>
      </c>
      <c r="D125" t="s">
        <v>133</v>
      </c>
      <c r="E125" t="s">
        <v>129</v>
      </c>
      <c r="F125" s="2" t="s">
        <v>132</v>
      </c>
      <c r="G125">
        <v>1000</v>
      </c>
      <c r="H125">
        <v>250</v>
      </c>
      <c r="I125">
        <v>1250</v>
      </c>
      <c r="J125" s="1">
        <v>4369.6102000000001</v>
      </c>
    </row>
    <row r="126" spans="1:10" x14ac:dyDescent="0.35">
      <c r="A126">
        <v>39260</v>
      </c>
      <c r="B126" t="s">
        <v>131</v>
      </c>
      <c r="C126" t="s">
        <v>17</v>
      </c>
      <c r="D126" t="s">
        <v>130</v>
      </c>
      <c r="E126" t="s">
        <v>129</v>
      </c>
      <c r="F126" s="2" t="s">
        <v>128</v>
      </c>
      <c r="G126">
        <v>1000</v>
      </c>
      <c r="H126">
        <v>250</v>
      </c>
      <c r="I126">
        <v>1250</v>
      </c>
      <c r="J126" s="1">
        <v>4366.0940000000001</v>
      </c>
    </row>
    <row r="127" spans="1:10" x14ac:dyDescent="0.35">
      <c r="A127">
        <v>39289</v>
      </c>
      <c r="B127" t="s">
        <v>127</v>
      </c>
      <c r="C127" t="s">
        <v>17</v>
      </c>
      <c r="D127" t="s">
        <v>126</v>
      </c>
      <c r="E127" t="s">
        <v>125</v>
      </c>
      <c r="F127" s="2" t="s">
        <v>124</v>
      </c>
      <c r="G127">
        <v>4000</v>
      </c>
      <c r="H127">
        <v>1000</v>
      </c>
      <c r="I127">
        <v>5000</v>
      </c>
      <c r="J127" s="1">
        <v>17351.8567</v>
      </c>
    </row>
    <row r="128" spans="1:10" x14ac:dyDescent="0.35">
      <c r="A128">
        <v>39409</v>
      </c>
      <c r="B128" t="s">
        <v>79</v>
      </c>
      <c r="C128" t="s">
        <v>17</v>
      </c>
      <c r="D128" t="s">
        <v>123</v>
      </c>
      <c r="E128" t="s">
        <v>77</v>
      </c>
      <c r="F128" s="2" t="s">
        <v>122</v>
      </c>
      <c r="G128">
        <v>1000</v>
      </c>
      <c r="H128">
        <v>250</v>
      </c>
      <c r="I128">
        <v>1250</v>
      </c>
      <c r="J128" s="1">
        <v>4128.6469999999999</v>
      </c>
    </row>
    <row r="129" spans="1:10" x14ac:dyDescent="0.35">
      <c r="A129">
        <v>39479</v>
      </c>
      <c r="B129" t="s">
        <v>121</v>
      </c>
      <c r="C129" t="s">
        <v>17</v>
      </c>
      <c r="D129" t="s">
        <v>120</v>
      </c>
      <c r="E129" t="s">
        <v>119</v>
      </c>
      <c r="F129" s="2" t="s">
        <v>118</v>
      </c>
      <c r="G129">
        <v>1700</v>
      </c>
      <c r="H129">
        <v>170</v>
      </c>
      <c r="I129">
        <v>1870</v>
      </c>
      <c r="J129" s="1">
        <v>6042.7525999999998</v>
      </c>
    </row>
    <row r="130" spans="1:10" x14ac:dyDescent="0.35">
      <c r="A130">
        <v>39586</v>
      </c>
      <c r="B130" t="s">
        <v>117</v>
      </c>
      <c r="C130" t="s">
        <v>17</v>
      </c>
      <c r="D130" t="s">
        <v>116</v>
      </c>
      <c r="E130" t="s">
        <v>115</v>
      </c>
      <c r="F130" s="2" t="s">
        <v>114</v>
      </c>
      <c r="G130">
        <v>1000</v>
      </c>
      <c r="H130">
        <v>250</v>
      </c>
      <c r="I130">
        <v>1250</v>
      </c>
      <c r="J130" s="1">
        <v>3850.6659</v>
      </c>
    </row>
    <row r="131" spans="1:10" x14ac:dyDescent="0.35">
      <c r="A131">
        <v>39610</v>
      </c>
      <c r="B131" t="s">
        <v>113</v>
      </c>
      <c r="C131" t="s">
        <v>17</v>
      </c>
      <c r="D131" t="s">
        <v>112</v>
      </c>
      <c r="E131" t="s">
        <v>111</v>
      </c>
      <c r="F131" s="2" t="s">
        <v>110</v>
      </c>
      <c r="G131">
        <v>1500</v>
      </c>
      <c r="H131">
        <v>150</v>
      </c>
      <c r="I131">
        <v>1650</v>
      </c>
      <c r="J131" s="1">
        <v>5000.8819999999996</v>
      </c>
    </row>
    <row r="132" spans="1:10" x14ac:dyDescent="0.35">
      <c r="A132">
        <v>39636</v>
      </c>
      <c r="B132" t="s">
        <v>109</v>
      </c>
      <c r="C132" t="s">
        <v>17</v>
      </c>
      <c r="D132" t="s">
        <v>108</v>
      </c>
      <c r="E132" t="s">
        <v>107</v>
      </c>
      <c r="F132" s="2" t="s">
        <v>106</v>
      </c>
      <c r="G132">
        <v>700</v>
      </c>
      <c r="H132">
        <v>70</v>
      </c>
      <c r="I132">
        <v>770</v>
      </c>
      <c r="J132" s="1">
        <v>2309.4292</v>
      </c>
    </row>
    <row r="133" spans="1:10" x14ac:dyDescent="0.35">
      <c r="A133">
        <v>39681</v>
      </c>
      <c r="B133" t="s">
        <v>105</v>
      </c>
      <c r="C133" t="s">
        <v>17</v>
      </c>
      <c r="D133" t="s">
        <v>104</v>
      </c>
      <c r="E133" t="s">
        <v>103</v>
      </c>
      <c r="F133" s="2" t="s">
        <v>102</v>
      </c>
      <c r="G133">
        <v>2000</v>
      </c>
      <c r="H133">
        <v>200</v>
      </c>
      <c r="I133">
        <v>2200</v>
      </c>
      <c r="J133" s="1">
        <v>6460.7437</v>
      </c>
    </row>
    <row r="134" spans="1:10" x14ac:dyDescent="0.35">
      <c r="A134">
        <v>39765</v>
      </c>
      <c r="B134" t="s">
        <v>79</v>
      </c>
      <c r="C134" t="s">
        <v>17</v>
      </c>
      <c r="D134" t="s">
        <v>101</v>
      </c>
      <c r="E134" t="s">
        <v>77</v>
      </c>
      <c r="F134" s="2" t="s">
        <v>100</v>
      </c>
      <c r="G134">
        <v>500</v>
      </c>
      <c r="H134">
        <v>125</v>
      </c>
      <c r="I134">
        <v>625</v>
      </c>
      <c r="J134" s="1">
        <v>1781.2283</v>
      </c>
    </row>
    <row r="135" spans="1:10" x14ac:dyDescent="0.35">
      <c r="A135">
        <v>39847</v>
      </c>
      <c r="B135" t="s">
        <v>99</v>
      </c>
      <c r="C135" t="s">
        <v>17</v>
      </c>
      <c r="D135" t="s">
        <v>98</v>
      </c>
      <c r="E135" t="s">
        <v>97</v>
      </c>
      <c r="F135" s="2" t="s">
        <v>96</v>
      </c>
      <c r="G135">
        <v>1500</v>
      </c>
      <c r="H135">
        <v>150</v>
      </c>
      <c r="I135">
        <v>1650</v>
      </c>
      <c r="J135" s="1">
        <v>4538.6669000000002</v>
      </c>
    </row>
    <row r="136" spans="1:10" x14ac:dyDescent="0.35">
      <c r="A136">
        <v>39859</v>
      </c>
      <c r="B136" t="s">
        <v>95</v>
      </c>
      <c r="C136" t="s">
        <v>17</v>
      </c>
      <c r="D136" t="s">
        <v>94</v>
      </c>
      <c r="E136" t="s">
        <v>93</v>
      </c>
      <c r="F136" s="2" t="s">
        <v>92</v>
      </c>
      <c r="G136">
        <v>500</v>
      </c>
      <c r="H136">
        <v>50</v>
      </c>
      <c r="I136">
        <v>550</v>
      </c>
      <c r="J136" s="1">
        <v>1510.779</v>
      </c>
    </row>
    <row r="137" spans="1:10" x14ac:dyDescent="0.35">
      <c r="A137">
        <v>39939</v>
      </c>
      <c r="B137" t="s">
        <v>91</v>
      </c>
      <c r="C137" t="s">
        <v>17</v>
      </c>
      <c r="D137" t="s">
        <v>90</v>
      </c>
      <c r="E137" t="s">
        <v>46</v>
      </c>
      <c r="F137" s="2" t="s">
        <v>89</v>
      </c>
      <c r="G137">
        <v>2000</v>
      </c>
      <c r="H137">
        <v>200</v>
      </c>
      <c r="I137">
        <v>2200</v>
      </c>
      <c r="J137" s="1">
        <v>5948.1296000000002</v>
      </c>
    </row>
    <row r="138" spans="1:10" x14ac:dyDescent="0.35">
      <c r="A138">
        <v>39978</v>
      </c>
      <c r="B138" t="s">
        <v>37</v>
      </c>
      <c r="C138" t="s">
        <v>17</v>
      </c>
      <c r="D138" t="s">
        <v>88</v>
      </c>
      <c r="E138" t="s">
        <v>87</v>
      </c>
      <c r="F138" s="2" t="s">
        <v>86</v>
      </c>
      <c r="G138">
        <v>2500</v>
      </c>
      <c r="H138">
        <v>625</v>
      </c>
      <c r="I138">
        <v>3125</v>
      </c>
      <c r="J138" s="1">
        <v>8266.2841000000008</v>
      </c>
    </row>
    <row r="139" spans="1:10" x14ac:dyDescent="0.35">
      <c r="A139">
        <v>40032</v>
      </c>
      <c r="B139" t="s">
        <v>37</v>
      </c>
      <c r="C139" t="s">
        <v>17</v>
      </c>
      <c r="D139" t="s">
        <v>85</v>
      </c>
      <c r="E139" t="s">
        <v>35</v>
      </c>
      <c r="F139" s="2" t="s">
        <v>84</v>
      </c>
      <c r="G139">
        <v>500</v>
      </c>
      <c r="H139">
        <v>125</v>
      </c>
      <c r="I139">
        <v>625</v>
      </c>
      <c r="J139" s="1">
        <v>1624.0141000000001</v>
      </c>
    </row>
    <row r="140" spans="1:10" x14ac:dyDescent="0.35">
      <c r="A140">
        <v>40059</v>
      </c>
      <c r="B140" t="s">
        <v>83</v>
      </c>
      <c r="C140" t="s">
        <v>17</v>
      </c>
      <c r="D140" t="s">
        <v>82</v>
      </c>
      <c r="E140" t="s">
        <v>81</v>
      </c>
      <c r="F140" s="2" t="s">
        <v>80</v>
      </c>
      <c r="G140">
        <v>2000</v>
      </c>
      <c r="H140">
        <v>500</v>
      </c>
      <c r="I140">
        <v>2500</v>
      </c>
      <c r="J140" s="1">
        <v>6438.5088999999998</v>
      </c>
    </row>
    <row r="141" spans="1:10" x14ac:dyDescent="0.35">
      <c r="A141">
        <v>40122</v>
      </c>
      <c r="B141" t="s">
        <v>79</v>
      </c>
      <c r="C141" t="s">
        <v>17</v>
      </c>
      <c r="D141" t="s">
        <v>78</v>
      </c>
      <c r="E141" t="s">
        <v>77</v>
      </c>
      <c r="F141" s="2" t="s">
        <v>76</v>
      </c>
      <c r="G141">
        <v>1200</v>
      </c>
      <c r="H141">
        <v>300</v>
      </c>
      <c r="I141">
        <v>1500</v>
      </c>
      <c r="J141" s="1">
        <v>3773.2813999999998</v>
      </c>
    </row>
    <row r="142" spans="1:10" x14ac:dyDescent="0.35">
      <c r="A142">
        <v>40153</v>
      </c>
      <c r="B142" t="s">
        <v>75</v>
      </c>
      <c r="C142" t="s">
        <v>17</v>
      </c>
      <c r="D142" t="s">
        <v>74</v>
      </c>
      <c r="E142" t="s">
        <v>71</v>
      </c>
      <c r="F142" s="2" t="s">
        <v>70</v>
      </c>
      <c r="G142">
        <v>1000</v>
      </c>
      <c r="H142">
        <v>250</v>
      </c>
      <c r="I142">
        <v>1250</v>
      </c>
      <c r="J142" s="1">
        <v>3096.3226</v>
      </c>
    </row>
    <row r="143" spans="1:10" x14ac:dyDescent="0.35">
      <c r="A143">
        <v>40154</v>
      </c>
      <c r="B143" t="s">
        <v>73</v>
      </c>
      <c r="C143" t="s">
        <v>17</v>
      </c>
      <c r="D143" t="s">
        <v>72</v>
      </c>
      <c r="E143" t="s">
        <v>71</v>
      </c>
      <c r="F143" s="2" t="s">
        <v>70</v>
      </c>
      <c r="G143">
        <v>1000</v>
      </c>
      <c r="H143">
        <v>250</v>
      </c>
      <c r="I143">
        <v>1250</v>
      </c>
      <c r="J143" s="1">
        <v>3096.3226</v>
      </c>
    </row>
    <row r="144" spans="1:10" x14ac:dyDescent="0.35">
      <c r="A144">
        <v>40328</v>
      </c>
      <c r="B144" t="s">
        <v>56</v>
      </c>
      <c r="C144" t="s">
        <v>17</v>
      </c>
      <c r="D144" t="s">
        <v>69</v>
      </c>
      <c r="E144" t="s">
        <v>54</v>
      </c>
      <c r="F144" s="2" t="s">
        <v>68</v>
      </c>
      <c r="G144">
        <v>2000</v>
      </c>
      <c r="H144">
        <v>500</v>
      </c>
      <c r="I144">
        <v>2500</v>
      </c>
      <c r="J144" s="1">
        <v>5832.2358000000004</v>
      </c>
    </row>
    <row r="145" spans="1:10" x14ac:dyDescent="0.35">
      <c r="A145">
        <v>40402</v>
      </c>
      <c r="B145" t="s">
        <v>67</v>
      </c>
      <c r="C145" t="s">
        <v>17</v>
      </c>
      <c r="D145" t="s">
        <v>66</v>
      </c>
      <c r="E145" t="s">
        <v>65</v>
      </c>
      <c r="F145" s="2" t="s">
        <v>64</v>
      </c>
      <c r="G145">
        <v>500</v>
      </c>
      <c r="H145">
        <v>125</v>
      </c>
      <c r="I145">
        <v>625</v>
      </c>
      <c r="J145" s="1">
        <v>1418.3973000000001</v>
      </c>
    </row>
    <row r="146" spans="1:10" x14ac:dyDescent="0.35">
      <c r="A146">
        <v>40504</v>
      </c>
      <c r="B146" t="s">
        <v>26</v>
      </c>
      <c r="C146" t="s">
        <v>17</v>
      </c>
      <c r="D146" t="s">
        <v>63</v>
      </c>
      <c r="E146" t="s">
        <v>62</v>
      </c>
      <c r="F146" s="2" t="s">
        <v>61</v>
      </c>
      <c r="G146">
        <v>500</v>
      </c>
      <c r="H146">
        <v>125</v>
      </c>
      <c r="I146">
        <v>625</v>
      </c>
      <c r="J146" s="1">
        <v>1370.9280000000001</v>
      </c>
    </row>
    <row r="147" spans="1:10" x14ac:dyDescent="0.35">
      <c r="A147">
        <v>40545</v>
      </c>
      <c r="B147" t="s">
        <v>60</v>
      </c>
      <c r="C147" t="s">
        <v>17</v>
      </c>
      <c r="D147" t="s">
        <v>59</v>
      </c>
      <c r="E147" t="s">
        <v>58</v>
      </c>
      <c r="F147" s="2" t="s">
        <v>57</v>
      </c>
      <c r="G147">
        <v>5000</v>
      </c>
      <c r="H147">
        <v>1250</v>
      </c>
      <c r="I147">
        <v>6250</v>
      </c>
      <c r="J147" s="1">
        <v>13488.997300000001</v>
      </c>
    </row>
    <row r="148" spans="1:10" x14ac:dyDescent="0.35">
      <c r="A148">
        <v>40560</v>
      </c>
      <c r="B148" t="s">
        <v>56</v>
      </c>
      <c r="C148" t="s">
        <v>17</v>
      </c>
      <c r="D148" t="s">
        <v>55</v>
      </c>
      <c r="E148" t="s">
        <v>54</v>
      </c>
      <c r="F148" s="2" t="s">
        <v>53</v>
      </c>
      <c r="G148">
        <v>2000</v>
      </c>
      <c r="H148">
        <v>500</v>
      </c>
      <c r="I148">
        <v>2500</v>
      </c>
      <c r="J148" s="1">
        <v>5369.1683999999996</v>
      </c>
    </row>
    <row r="149" spans="1:10" x14ac:dyDescent="0.35">
      <c r="A149">
        <v>40619</v>
      </c>
      <c r="B149" t="s">
        <v>52</v>
      </c>
      <c r="C149" t="s">
        <v>17</v>
      </c>
      <c r="D149" t="s">
        <v>51</v>
      </c>
      <c r="E149" t="s">
        <v>50</v>
      </c>
      <c r="F149" s="2" t="s">
        <v>49</v>
      </c>
      <c r="G149">
        <v>2000</v>
      </c>
      <c r="H149">
        <v>500</v>
      </c>
      <c r="I149">
        <v>2500</v>
      </c>
      <c r="J149" s="1">
        <v>5296.0716000000002</v>
      </c>
    </row>
    <row r="150" spans="1:10" x14ac:dyDescent="0.35">
      <c r="A150">
        <v>40626</v>
      </c>
      <c r="B150" t="s">
        <v>48</v>
      </c>
      <c r="C150" t="s">
        <v>17</v>
      </c>
      <c r="D150" t="s">
        <v>47</v>
      </c>
      <c r="E150" t="s">
        <v>46</v>
      </c>
      <c r="F150" s="2" t="s">
        <v>45</v>
      </c>
      <c r="G150">
        <v>1500</v>
      </c>
      <c r="H150">
        <v>375</v>
      </c>
      <c r="I150">
        <v>1875</v>
      </c>
      <c r="J150" s="1">
        <v>3959.1541999999999</v>
      </c>
    </row>
    <row r="151" spans="1:10" x14ac:dyDescent="0.35">
      <c r="A151">
        <v>40655</v>
      </c>
      <c r="B151" t="s">
        <v>30</v>
      </c>
      <c r="C151" t="s">
        <v>17</v>
      </c>
      <c r="D151" t="s">
        <v>44</v>
      </c>
      <c r="E151" t="s">
        <v>28</v>
      </c>
      <c r="F151" s="2" t="s">
        <v>43</v>
      </c>
      <c r="G151">
        <v>500</v>
      </c>
      <c r="H151">
        <v>125</v>
      </c>
      <c r="I151">
        <v>625</v>
      </c>
      <c r="J151" s="1">
        <v>1302.4744000000001</v>
      </c>
    </row>
    <row r="152" spans="1:10" x14ac:dyDescent="0.35">
      <c r="A152">
        <v>40668</v>
      </c>
      <c r="B152" t="s">
        <v>42</v>
      </c>
      <c r="C152" t="s">
        <v>17</v>
      </c>
      <c r="D152" t="s">
        <v>41</v>
      </c>
      <c r="E152" t="s">
        <v>40</v>
      </c>
      <c r="F152" s="3">
        <v>43406</v>
      </c>
      <c r="G152">
        <v>500</v>
      </c>
      <c r="H152">
        <v>125</v>
      </c>
      <c r="I152">
        <v>625</v>
      </c>
      <c r="J152" s="1">
        <v>1308.9944</v>
      </c>
    </row>
    <row r="153" spans="1:10" x14ac:dyDescent="0.35">
      <c r="A153">
        <v>40685</v>
      </c>
      <c r="B153" t="s">
        <v>34</v>
      </c>
      <c r="C153" t="s">
        <v>17</v>
      </c>
      <c r="D153" t="s">
        <v>39</v>
      </c>
      <c r="E153" t="s">
        <v>32</v>
      </c>
      <c r="F153" s="2" t="s">
        <v>38</v>
      </c>
      <c r="G153">
        <v>2000</v>
      </c>
      <c r="H153">
        <v>500</v>
      </c>
      <c r="I153">
        <v>2500</v>
      </c>
      <c r="J153" s="1">
        <v>5206.6253999999999</v>
      </c>
    </row>
    <row r="154" spans="1:10" x14ac:dyDescent="0.35">
      <c r="A154">
        <v>40715</v>
      </c>
      <c r="B154" t="s">
        <v>37</v>
      </c>
      <c r="C154" t="s">
        <v>17</v>
      </c>
      <c r="D154" t="s">
        <v>36</v>
      </c>
      <c r="E154" t="s">
        <v>35</v>
      </c>
      <c r="F154" s="3">
        <v>43420</v>
      </c>
      <c r="G154">
        <v>200</v>
      </c>
      <c r="H154">
        <v>0</v>
      </c>
      <c r="I154">
        <v>200</v>
      </c>
      <c r="J154" s="1">
        <v>414.18189999999998</v>
      </c>
    </row>
    <row r="155" spans="1:10" x14ac:dyDescent="0.35">
      <c r="A155">
        <v>40796</v>
      </c>
      <c r="B155" t="s">
        <v>34</v>
      </c>
      <c r="C155" t="s">
        <v>17</v>
      </c>
      <c r="D155" t="s">
        <v>33</v>
      </c>
      <c r="E155" t="s">
        <v>32</v>
      </c>
      <c r="F155" s="2" t="s">
        <v>31</v>
      </c>
      <c r="G155">
        <v>200</v>
      </c>
      <c r="H155">
        <v>0</v>
      </c>
      <c r="I155">
        <v>200</v>
      </c>
      <c r="J155" s="1">
        <v>407.17790000000002</v>
      </c>
    </row>
    <row r="156" spans="1:10" x14ac:dyDescent="0.35">
      <c r="A156">
        <v>40808</v>
      </c>
      <c r="B156" t="s">
        <v>30</v>
      </c>
      <c r="C156" t="s">
        <v>17</v>
      </c>
      <c r="D156" t="s">
        <v>29</v>
      </c>
      <c r="E156" t="s">
        <v>28</v>
      </c>
      <c r="F156" s="2" t="s">
        <v>27</v>
      </c>
      <c r="G156">
        <v>500</v>
      </c>
      <c r="H156">
        <v>125</v>
      </c>
      <c r="I156">
        <v>625</v>
      </c>
      <c r="J156" s="1">
        <v>1269.3616999999999</v>
      </c>
    </row>
    <row r="157" spans="1:10" x14ac:dyDescent="0.35">
      <c r="A157">
        <v>41051</v>
      </c>
      <c r="B157" t="s">
        <v>26</v>
      </c>
      <c r="C157" t="s">
        <v>17</v>
      </c>
      <c r="D157" t="s">
        <v>25</v>
      </c>
      <c r="E157" t="s">
        <v>24</v>
      </c>
      <c r="F157" s="2" t="s">
        <v>23</v>
      </c>
      <c r="G157">
        <v>500</v>
      </c>
      <c r="H157">
        <v>125</v>
      </c>
      <c r="I157">
        <v>625</v>
      </c>
      <c r="J157" s="1">
        <v>1175.298</v>
      </c>
    </row>
    <row r="158" spans="1:10" x14ac:dyDescent="0.35">
      <c r="A158">
        <v>41223</v>
      </c>
      <c r="B158" t="s">
        <v>22</v>
      </c>
      <c r="C158" t="s">
        <v>17</v>
      </c>
      <c r="D158" t="s">
        <v>21</v>
      </c>
      <c r="E158" t="s">
        <v>20</v>
      </c>
      <c r="F158" s="2" t="s">
        <v>19</v>
      </c>
      <c r="G158">
        <v>5000</v>
      </c>
      <c r="H158">
        <v>500</v>
      </c>
      <c r="I158">
        <v>5500</v>
      </c>
      <c r="J158" s="1">
        <v>9607.3353000000006</v>
      </c>
    </row>
    <row r="159" spans="1:10" x14ac:dyDescent="0.35">
      <c r="A159">
        <v>41301</v>
      </c>
      <c r="B159" t="s">
        <v>18</v>
      </c>
      <c r="C159" t="s">
        <v>17</v>
      </c>
      <c r="D159" t="s">
        <v>16</v>
      </c>
      <c r="E159" t="s">
        <v>15</v>
      </c>
      <c r="F159" s="2" t="s">
        <v>14</v>
      </c>
      <c r="G159">
        <v>1000</v>
      </c>
      <c r="H159">
        <v>250</v>
      </c>
      <c r="I159">
        <v>1250</v>
      </c>
      <c r="J159" s="1">
        <v>2117.2411000000002</v>
      </c>
    </row>
    <row r="160" spans="1:10" x14ac:dyDescent="0.35">
      <c r="A160">
        <v>41377</v>
      </c>
      <c r="B160" t="s">
        <v>12</v>
      </c>
      <c r="C160" t="s">
        <v>4</v>
      </c>
      <c r="D160" t="s">
        <v>3</v>
      </c>
      <c r="E160" t="s">
        <v>11</v>
      </c>
      <c r="F160" s="2" t="s">
        <v>13</v>
      </c>
      <c r="G160">
        <v>500</v>
      </c>
      <c r="H160">
        <v>125</v>
      </c>
      <c r="I160">
        <v>625</v>
      </c>
      <c r="J160" s="1">
        <v>1027.3195000000001</v>
      </c>
    </row>
    <row r="161" spans="1:10" x14ac:dyDescent="0.35">
      <c r="A161">
        <v>41531</v>
      </c>
      <c r="B161" t="s">
        <v>12</v>
      </c>
      <c r="C161" t="s">
        <v>4</v>
      </c>
      <c r="D161" t="s">
        <v>3</v>
      </c>
      <c r="E161" t="s">
        <v>11</v>
      </c>
      <c r="F161" s="2" t="s">
        <v>10</v>
      </c>
      <c r="G161">
        <v>2000</v>
      </c>
      <c r="H161">
        <v>500</v>
      </c>
      <c r="I161">
        <v>2500</v>
      </c>
      <c r="J161" s="1">
        <v>3863.9587000000001</v>
      </c>
    </row>
    <row r="162" spans="1:10" x14ac:dyDescent="0.35">
      <c r="A162">
        <v>41679</v>
      </c>
      <c r="B162" t="s">
        <v>8</v>
      </c>
      <c r="C162" t="s">
        <v>4</v>
      </c>
      <c r="D162" t="s">
        <v>3</v>
      </c>
      <c r="E162" t="s">
        <v>7</v>
      </c>
      <c r="F162" s="2" t="s">
        <v>9</v>
      </c>
      <c r="G162">
        <v>500</v>
      </c>
      <c r="H162">
        <v>125</v>
      </c>
      <c r="I162">
        <v>625</v>
      </c>
      <c r="J162" s="1">
        <v>925.4692</v>
      </c>
    </row>
    <row r="163" spans="1:10" x14ac:dyDescent="0.35">
      <c r="A163">
        <v>41684</v>
      </c>
      <c r="B163" t="s">
        <v>8</v>
      </c>
      <c r="C163" t="s">
        <v>4</v>
      </c>
      <c r="D163" t="s">
        <v>3</v>
      </c>
      <c r="E163" t="s">
        <v>7</v>
      </c>
      <c r="F163" s="2" t="s">
        <v>6</v>
      </c>
      <c r="G163">
        <v>500</v>
      </c>
      <c r="H163">
        <v>125</v>
      </c>
      <c r="I163">
        <v>625</v>
      </c>
      <c r="J163" s="1">
        <v>923.84849999999994</v>
      </c>
    </row>
    <row r="164" spans="1:10" x14ac:dyDescent="0.35">
      <c r="A164">
        <v>41929</v>
      </c>
      <c r="B164" t="s">
        <v>5</v>
      </c>
      <c r="C164" t="s">
        <v>4</v>
      </c>
      <c r="D164" t="s">
        <v>3</v>
      </c>
      <c r="E164" t="s">
        <v>2</v>
      </c>
      <c r="F164" s="2" t="s">
        <v>1</v>
      </c>
      <c r="G164">
        <v>500</v>
      </c>
      <c r="H164">
        <v>125</v>
      </c>
      <c r="I164">
        <v>625</v>
      </c>
      <c r="J164" s="1">
        <v>4538.6669000000002</v>
      </c>
    </row>
    <row r="165" spans="1:10" x14ac:dyDescent="0.35">
      <c r="F165" s="7" t="s">
        <v>0</v>
      </c>
      <c r="G165" s="8">
        <f>SUBTOTAL(109,G3:G164)</f>
        <v>334050</v>
      </c>
      <c r="H165" s="8">
        <f>SUBTOTAL(109,H3:H164)</f>
        <v>81102.5</v>
      </c>
      <c r="I165" s="8">
        <f>SUBTOTAL(109,I3:I164)</f>
        <v>415152.5</v>
      </c>
      <c r="J165" s="8">
        <f>SUBTOTAL(109,J3:J164)</f>
        <v>2993337.9179000012</v>
      </c>
    </row>
  </sheetData>
  <mergeCells count="1">
    <mergeCell ref="A1:J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BA9-1044-48B0-B93B-A4BC1FB679E6}">
  <dimension ref="A1:J12"/>
  <sheetViews>
    <sheetView zoomScaleNormal="100" workbookViewId="0">
      <selection activeCell="F16" sqref="F16"/>
    </sheetView>
  </sheetViews>
  <sheetFormatPr defaultRowHeight="14.5" x14ac:dyDescent="0.35"/>
  <cols>
    <col min="1" max="1" width="12" customWidth="1"/>
    <col min="2" max="2" width="22.26953125" bestFit="1" customWidth="1"/>
    <col min="4" max="4" width="13.54296875" customWidth="1"/>
    <col min="5" max="5" width="20.1796875" bestFit="1" customWidth="1"/>
    <col min="6" max="6" width="18.54296875" bestFit="1" customWidth="1"/>
    <col min="7" max="7" width="15.26953125" customWidth="1"/>
    <col min="8" max="8" width="16.54296875" customWidth="1"/>
    <col min="9" max="9" width="15.81640625" customWidth="1"/>
    <col min="10" max="10" width="14.81640625" bestFit="1" customWidth="1"/>
  </cols>
  <sheetData>
    <row r="1" spans="1:10" x14ac:dyDescent="0.35">
      <c r="A1" s="9" t="s">
        <v>517</v>
      </c>
      <c r="B1" s="9"/>
      <c r="C1" s="9"/>
      <c r="D1" s="9"/>
      <c r="E1" s="9"/>
      <c r="F1" s="9"/>
      <c r="G1" s="9"/>
      <c r="H1" s="9"/>
      <c r="I1" s="9"/>
    </row>
    <row r="2" spans="1:10" x14ac:dyDescent="0.35">
      <c r="A2" t="s">
        <v>491</v>
      </c>
      <c r="B2" t="s">
        <v>490</v>
      </c>
      <c r="C2" t="s">
        <v>489</v>
      </c>
      <c r="D2" t="s">
        <v>488</v>
      </c>
      <c r="E2" t="s">
        <v>487</v>
      </c>
      <c r="F2" t="s">
        <v>486</v>
      </c>
      <c r="G2" t="s">
        <v>485</v>
      </c>
      <c r="H2" t="s">
        <v>484</v>
      </c>
      <c r="I2" t="s">
        <v>483</v>
      </c>
      <c r="J2" t="s">
        <v>482</v>
      </c>
    </row>
    <row r="3" spans="1:10" x14ac:dyDescent="0.35">
      <c r="A3">
        <v>41732</v>
      </c>
      <c r="B3" t="s">
        <v>515</v>
      </c>
      <c r="C3" t="s">
        <v>4</v>
      </c>
      <c r="D3" t="s">
        <v>3</v>
      </c>
      <c r="E3" t="s">
        <v>174</v>
      </c>
      <c r="F3" t="s">
        <v>516</v>
      </c>
      <c r="G3">
        <v>2000</v>
      </c>
      <c r="H3">
        <v>500</v>
      </c>
      <c r="I3">
        <v>2500</v>
      </c>
      <c r="J3" s="1">
        <v>3610.0174000000002</v>
      </c>
    </row>
    <row r="4" spans="1:10" x14ac:dyDescent="0.35">
      <c r="A4">
        <v>41582</v>
      </c>
      <c r="B4" t="s">
        <v>515</v>
      </c>
      <c r="C4" t="s">
        <v>4</v>
      </c>
      <c r="D4" t="s">
        <v>3</v>
      </c>
      <c r="E4" t="s">
        <v>174</v>
      </c>
      <c r="F4" t="s">
        <v>514</v>
      </c>
      <c r="G4">
        <v>2000</v>
      </c>
      <c r="H4">
        <v>500</v>
      </c>
      <c r="I4">
        <v>2500</v>
      </c>
      <c r="J4" s="1">
        <v>3817.1680999999999</v>
      </c>
    </row>
    <row r="5" spans="1:10" x14ac:dyDescent="0.35">
      <c r="A5">
        <v>40820</v>
      </c>
      <c r="B5" t="s">
        <v>513</v>
      </c>
      <c r="C5" t="s">
        <v>17</v>
      </c>
      <c r="D5" t="s">
        <v>512</v>
      </c>
      <c r="E5" t="s">
        <v>511</v>
      </c>
      <c r="F5" t="s">
        <v>510</v>
      </c>
      <c r="G5">
        <v>1000</v>
      </c>
      <c r="H5">
        <v>250</v>
      </c>
      <c r="I5">
        <v>1250</v>
      </c>
      <c r="J5" s="1">
        <v>2532.5848999999998</v>
      </c>
    </row>
    <row r="6" spans="1:10" x14ac:dyDescent="0.35">
      <c r="A6">
        <v>38581</v>
      </c>
      <c r="B6" t="s">
        <v>509</v>
      </c>
      <c r="C6" t="s">
        <v>17</v>
      </c>
      <c r="D6" t="s">
        <v>508</v>
      </c>
      <c r="E6" t="s">
        <v>507</v>
      </c>
      <c r="F6" t="s">
        <v>506</v>
      </c>
      <c r="G6">
        <v>1000</v>
      </c>
      <c r="H6">
        <v>250</v>
      </c>
      <c r="I6">
        <v>1250</v>
      </c>
      <c r="J6" s="1">
        <v>5412.1180000000004</v>
      </c>
    </row>
    <row r="7" spans="1:10" x14ac:dyDescent="0.35">
      <c r="A7">
        <v>35479</v>
      </c>
      <c r="B7" t="s">
        <v>496</v>
      </c>
      <c r="C7" t="s">
        <v>17</v>
      </c>
      <c r="D7" t="s">
        <v>505</v>
      </c>
      <c r="E7" t="s">
        <v>504</v>
      </c>
      <c r="F7" t="s">
        <v>503</v>
      </c>
      <c r="G7">
        <v>5000</v>
      </c>
      <c r="H7">
        <v>1250</v>
      </c>
      <c r="I7">
        <v>6250</v>
      </c>
      <c r="J7" s="1">
        <v>61750.227500000001</v>
      </c>
    </row>
    <row r="8" spans="1:10" x14ac:dyDescent="0.35">
      <c r="A8">
        <v>33377</v>
      </c>
      <c r="B8" t="s">
        <v>496</v>
      </c>
      <c r="C8" t="s">
        <v>17</v>
      </c>
      <c r="D8" t="s">
        <v>502</v>
      </c>
      <c r="E8" t="s">
        <v>500</v>
      </c>
      <c r="F8" t="s">
        <v>501</v>
      </c>
      <c r="G8">
        <v>4000</v>
      </c>
      <c r="H8">
        <v>1000</v>
      </c>
      <c r="I8">
        <v>5000</v>
      </c>
      <c r="J8" s="1">
        <v>86909.258799999996</v>
      </c>
    </row>
    <row r="9" spans="1:10" x14ac:dyDescent="0.35">
      <c r="A9">
        <v>33156</v>
      </c>
      <c r="B9" t="s">
        <v>496</v>
      </c>
      <c r="C9" t="s">
        <v>17</v>
      </c>
      <c r="D9" t="s">
        <v>3</v>
      </c>
      <c r="E9" t="s">
        <v>500</v>
      </c>
      <c r="F9" t="s">
        <v>499</v>
      </c>
      <c r="G9">
        <v>5000</v>
      </c>
      <c r="H9">
        <v>1250</v>
      </c>
      <c r="I9">
        <v>6250</v>
      </c>
      <c r="J9" s="1">
        <v>114456.2611</v>
      </c>
    </row>
    <row r="10" spans="1:10" x14ac:dyDescent="0.35">
      <c r="A10">
        <v>33013</v>
      </c>
      <c r="B10" t="s">
        <v>496</v>
      </c>
      <c r="C10" t="s">
        <v>17</v>
      </c>
      <c r="D10" t="s">
        <v>498</v>
      </c>
      <c r="E10" t="s">
        <v>3</v>
      </c>
      <c r="F10" t="s">
        <v>497</v>
      </c>
      <c r="G10">
        <v>10000</v>
      </c>
      <c r="H10">
        <v>2500</v>
      </c>
      <c r="I10">
        <v>12500</v>
      </c>
      <c r="J10" s="1">
        <v>239852.51809999999</v>
      </c>
    </row>
    <row r="11" spans="1:10" x14ac:dyDescent="0.35">
      <c r="A11">
        <v>32718</v>
      </c>
      <c r="B11" t="s">
        <v>496</v>
      </c>
      <c r="C11" t="s">
        <v>17</v>
      </c>
      <c r="D11" t="s">
        <v>495</v>
      </c>
      <c r="E11" t="s">
        <v>494</v>
      </c>
      <c r="F11" t="s">
        <v>493</v>
      </c>
      <c r="G11">
        <v>2000</v>
      </c>
      <c r="H11">
        <v>500</v>
      </c>
      <c r="I11">
        <v>2500</v>
      </c>
      <c r="J11" s="1">
        <v>52487.671199999997</v>
      </c>
    </row>
    <row r="12" spans="1:10" x14ac:dyDescent="0.35">
      <c r="F12" t="s">
        <v>0</v>
      </c>
      <c r="G12" s="4">
        <f>SUBTOTAL(109,Table3[Amt Financed])</f>
        <v>32000</v>
      </c>
      <c r="H12" s="4">
        <f>SUBTOTAL(109,Table3[Finance Charge])</f>
        <v>8000</v>
      </c>
      <c r="I12" s="4">
        <f>SUBTOTAL(109,Table3[Payment Total])</f>
        <v>40000</v>
      </c>
      <c r="J12" s="4">
        <f>SUBTOTAL(109,Table3[OB])</f>
        <v>570827.82510000002</v>
      </c>
    </row>
  </sheetData>
  <mergeCells count="1">
    <mergeCell ref="A1:I1"/>
  </mergeCells>
  <pageMargins left="0.7" right="0.7" top="0.75" bottom="0.75" header="0.3" footer="0.3"/>
  <pageSetup scale="7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Ongoing</vt:lpstr>
      <vt:lpstr>Issue</vt:lpstr>
      <vt:lpstr>Collection</vt:lpstr>
      <vt:lpstr>Legal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Koohkesh</dc:creator>
  <cp:lastModifiedBy>Tim Latimer</cp:lastModifiedBy>
  <dcterms:created xsi:type="dcterms:W3CDTF">2021-09-01T20:26:38Z</dcterms:created>
  <dcterms:modified xsi:type="dcterms:W3CDTF">2021-09-03T19:52:48Z</dcterms:modified>
</cp:coreProperties>
</file>