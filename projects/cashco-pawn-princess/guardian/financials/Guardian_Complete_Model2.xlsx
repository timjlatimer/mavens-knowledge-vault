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cashcoloans-my.sharepoint.com/personal/tim_businessasaforceforgood_ca/Documents/Desktop/Cashco post Nov 1 2025/"/>
    </mc:Choice>
  </mc:AlternateContent>
  <xr:revisionPtr revIDLastSave="0" documentId="8_{DD261D9B-F987-4194-8060-D7EDF0051508}" xr6:coauthVersionLast="47" xr6:coauthVersionMax="47" xr10:uidLastSave="{00000000-0000-0000-0000-000000000000}"/>
  <bookViews>
    <workbookView xWindow="-120" yWindow="-120" windowWidth="29040" windowHeight="15720" tabRatio="500" activeTab="3" xr2:uid="{00000000-000D-0000-FFFF-FFFF00000000}"/>
  </bookViews>
  <sheets>
    <sheet name="Assumptions" sheetId="1" r:id="rId1"/>
    <sheet name="Lead Gen Options" sheetId="2" r:id="rId2"/>
    <sheet name="12-Month P&amp;L" sheetId="3" r:id="rId3"/>
    <sheet name="Cost Breakdown Chart" sheetId="4" r:id="rId4"/>
    <sheet name="Summary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1" i="5" l="1"/>
  <c r="B22" i="4"/>
  <c r="M43" i="3"/>
  <c r="L43" i="3"/>
  <c r="K43" i="3"/>
  <c r="J43" i="3"/>
  <c r="I43" i="3"/>
  <c r="H43" i="3"/>
  <c r="G43" i="3"/>
  <c r="F43" i="3"/>
  <c r="E43" i="3"/>
  <c r="D43" i="3"/>
  <c r="C43" i="3"/>
  <c r="B43" i="3"/>
  <c r="M42" i="3"/>
  <c r="L42" i="3"/>
  <c r="K42" i="3"/>
  <c r="J42" i="3"/>
  <c r="I42" i="3"/>
  <c r="H42" i="3"/>
  <c r="G42" i="3"/>
  <c r="F42" i="3"/>
  <c r="E42" i="3"/>
  <c r="D42" i="3"/>
  <c r="C42" i="3"/>
  <c r="B42" i="3"/>
  <c r="M41" i="3"/>
  <c r="L41" i="3"/>
  <c r="K41" i="3"/>
  <c r="J41" i="3"/>
  <c r="I41" i="3"/>
  <c r="H41" i="3"/>
  <c r="G41" i="3"/>
  <c r="F41" i="3"/>
  <c r="E41" i="3"/>
  <c r="D41" i="3"/>
  <c r="C41" i="3"/>
  <c r="B41" i="3"/>
  <c r="C40" i="3"/>
  <c r="C44" i="3" s="1"/>
  <c r="J37" i="3"/>
  <c r="I37" i="3"/>
  <c r="H37" i="3"/>
  <c r="G37" i="3"/>
  <c r="F37" i="3"/>
  <c r="B37" i="3"/>
  <c r="M36" i="3"/>
  <c r="L36" i="3"/>
  <c r="K36" i="3"/>
  <c r="J36" i="3"/>
  <c r="I36" i="3"/>
  <c r="H36" i="3"/>
  <c r="G36" i="3"/>
  <c r="F36" i="3"/>
  <c r="E36" i="3"/>
  <c r="D36" i="3"/>
  <c r="C36" i="3"/>
  <c r="B36" i="3"/>
  <c r="M35" i="3"/>
  <c r="L35" i="3"/>
  <c r="L37" i="3" s="1"/>
  <c r="K35" i="3"/>
  <c r="J35" i="3"/>
  <c r="I35" i="3"/>
  <c r="H35" i="3"/>
  <c r="G35" i="3"/>
  <c r="F35" i="3"/>
  <c r="E35" i="3"/>
  <c r="D35" i="3"/>
  <c r="N35" i="3" s="1"/>
  <c r="C35" i="3"/>
  <c r="B35" i="3"/>
  <c r="M34" i="3"/>
  <c r="M37" i="3" s="1"/>
  <c r="L34" i="3"/>
  <c r="K34" i="3"/>
  <c r="K37" i="3" s="1"/>
  <c r="J34" i="3"/>
  <c r="I34" i="3"/>
  <c r="H34" i="3"/>
  <c r="G34" i="3"/>
  <c r="F34" i="3"/>
  <c r="E34" i="3"/>
  <c r="D34" i="3"/>
  <c r="C34" i="3"/>
  <c r="B34" i="3"/>
  <c r="C31" i="3"/>
  <c r="C30" i="3"/>
  <c r="B30" i="3"/>
  <c r="B31" i="3" s="1"/>
  <c r="C29" i="3"/>
  <c r="B29" i="3"/>
  <c r="M25" i="3"/>
  <c r="L25" i="3"/>
  <c r="K25" i="3"/>
  <c r="J25" i="3"/>
  <c r="I25" i="3"/>
  <c r="H25" i="3"/>
  <c r="N25" i="3" s="1"/>
  <c r="G25" i="3"/>
  <c r="F25" i="3"/>
  <c r="E25" i="3"/>
  <c r="D25" i="3"/>
  <c r="C25" i="3"/>
  <c r="B25" i="3"/>
  <c r="B23" i="3"/>
  <c r="B21" i="3"/>
  <c r="C20" i="3"/>
  <c r="C19" i="3"/>
  <c r="B19" i="3"/>
  <c r="B15" i="3"/>
  <c r="C14" i="3"/>
  <c r="C13" i="3"/>
  <c r="B13" i="3"/>
  <c r="C12" i="3"/>
  <c r="B12" i="3"/>
  <c r="C11" i="3"/>
  <c r="B11" i="3"/>
  <c r="C10" i="3"/>
  <c r="B10" i="3"/>
  <c r="B9" i="3"/>
  <c r="C6" i="3"/>
  <c r="C21" i="3" s="1"/>
  <c r="B6" i="3"/>
  <c r="B40" i="3" s="1"/>
  <c r="N5" i="3"/>
  <c r="B45" i="1"/>
  <c r="N36" i="3" l="1"/>
  <c r="C37" i="3"/>
  <c r="N34" i="3"/>
  <c r="N37" i="3" s="1"/>
  <c r="N42" i="3"/>
  <c r="D37" i="3"/>
  <c r="E37" i="3"/>
  <c r="N41" i="3"/>
  <c r="N43" i="3"/>
  <c r="B44" i="3"/>
  <c r="B14" i="3"/>
  <c r="C15" i="3"/>
  <c r="C9" i="3"/>
  <c r="B24" i="3"/>
  <c r="C24" i="3"/>
  <c r="D6" i="3"/>
  <c r="B22" i="3"/>
  <c r="C23" i="3"/>
  <c r="C22" i="3"/>
  <c r="C26" i="3" s="1"/>
  <c r="C46" i="3" s="1"/>
  <c r="B20" i="3"/>
  <c r="B26" i="3" s="1"/>
  <c r="B46" i="3" s="1"/>
  <c r="C16" i="3" l="1"/>
  <c r="D22" i="3"/>
  <c r="D23" i="3"/>
  <c r="E6" i="3"/>
  <c r="D11" i="3"/>
  <c r="D30" i="3"/>
  <c r="D12" i="3"/>
  <c r="D24" i="3"/>
  <c r="D9" i="3"/>
  <c r="D13" i="3"/>
  <c r="D10" i="3"/>
  <c r="D29" i="3"/>
  <c r="D19" i="3"/>
  <c r="D40" i="3"/>
  <c r="D20" i="3"/>
  <c r="D15" i="3"/>
  <c r="D21" i="3"/>
  <c r="D14" i="3"/>
  <c r="B15" i="5"/>
  <c r="B7" i="4"/>
  <c r="B22" i="5"/>
  <c r="B21" i="4"/>
  <c r="B16" i="3"/>
  <c r="B11" i="4"/>
  <c r="B19" i="5"/>
  <c r="D31" i="3" l="1"/>
  <c r="E23" i="3"/>
  <c r="F6" i="3"/>
  <c r="E14" i="3"/>
  <c r="E24" i="3"/>
  <c r="E9" i="3"/>
  <c r="E10" i="3"/>
  <c r="E30" i="3"/>
  <c r="E12" i="3"/>
  <c r="E13" i="3"/>
  <c r="E29" i="3"/>
  <c r="E11" i="3"/>
  <c r="E19" i="3"/>
  <c r="E40" i="3"/>
  <c r="E44" i="3" s="1"/>
  <c r="E20" i="3"/>
  <c r="E21" i="3"/>
  <c r="E15" i="3"/>
  <c r="E22" i="3"/>
  <c r="D16" i="3"/>
  <c r="C48" i="3"/>
  <c r="C49" i="3"/>
  <c r="B48" i="3"/>
  <c r="B51" i="3" s="1"/>
  <c r="C51" i="3" s="1"/>
  <c r="B49" i="3"/>
  <c r="D44" i="3"/>
  <c r="D26" i="3"/>
  <c r="D46" i="3" s="1"/>
  <c r="D48" i="3" l="1"/>
  <c r="D51" i="3" s="1"/>
  <c r="D49" i="3"/>
  <c r="E16" i="3"/>
  <c r="F24" i="3"/>
  <c r="F9" i="3"/>
  <c r="F16" i="3" s="1"/>
  <c r="F14" i="3"/>
  <c r="F10" i="3"/>
  <c r="F29" i="3"/>
  <c r="F11" i="3"/>
  <c r="F15" i="3"/>
  <c r="F30" i="3"/>
  <c r="F12" i="3"/>
  <c r="F13" i="3"/>
  <c r="F40" i="3"/>
  <c r="F20" i="3"/>
  <c r="F21" i="3"/>
  <c r="F22" i="3"/>
  <c r="F19" i="3"/>
  <c r="F23" i="3"/>
  <c r="G6" i="3"/>
  <c r="E26" i="3"/>
  <c r="E31" i="3"/>
  <c r="E46" i="3" l="1"/>
  <c r="E48" i="3" s="1"/>
  <c r="F26" i="3"/>
  <c r="F46" i="3" s="1"/>
  <c r="F48" i="3" s="1"/>
  <c r="F49" i="3" s="1"/>
  <c r="F31" i="3"/>
  <c r="F44" i="3"/>
  <c r="G9" i="3"/>
  <c r="G10" i="3"/>
  <c r="G14" i="3"/>
  <c r="G29" i="3"/>
  <c r="G11" i="3"/>
  <c r="G30" i="3"/>
  <c r="G12" i="3"/>
  <c r="G15" i="3"/>
  <c r="G13" i="3"/>
  <c r="G21" i="3"/>
  <c r="G22" i="3"/>
  <c r="G23" i="3"/>
  <c r="H6" i="3"/>
  <c r="G19" i="3"/>
  <c r="G20" i="3"/>
  <c r="G40" i="3"/>
  <c r="G44" i="3" s="1"/>
  <c r="G24" i="3"/>
  <c r="E49" i="3" l="1"/>
  <c r="E51" i="3"/>
  <c r="F51" i="3" s="1"/>
  <c r="H10" i="3"/>
  <c r="H15" i="3"/>
  <c r="H29" i="3"/>
  <c r="H11" i="3"/>
  <c r="H30" i="3"/>
  <c r="H12" i="3"/>
  <c r="H13" i="3"/>
  <c r="H19" i="3"/>
  <c r="H14" i="3"/>
  <c r="H22" i="3"/>
  <c r="H23" i="3"/>
  <c r="I6" i="3"/>
  <c r="H24" i="3"/>
  <c r="H21" i="3"/>
  <c r="H9" i="3"/>
  <c r="H20" i="3"/>
  <c r="H40" i="3"/>
  <c r="H44" i="3" s="1"/>
  <c r="G31" i="3"/>
  <c r="G26" i="3"/>
  <c r="G46" i="3" s="1"/>
  <c r="G16" i="3"/>
  <c r="H26" i="3" l="1"/>
  <c r="H46" i="3" s="1"/>
  <c r="G48" i="3"/>
  <c r="G49" i="3"/>
  <c r="H31" i="3"/>
  <c r="H16" i="3"/>
  <c r="G51" i="3"/>
  <c r="I29" i="3"/>
  <c r="I11" i="3"/>
  <c r="I40" i="3"/>
  <c r="I20" i="3"/>
  <c r="I30" i="3"/>
  <c r="I12" i="3"/>
  <c r="I19" i="3"/>
  <c r="I13" i="3"/>
  <c r="I14" i="3"/>
  <c r="I15" i="3"/>
  <c r="I23" i="3"/>
  <c r="J6" i="3"/>
  <c r="I24" i="3"/>
  <c r="I9" i="3"/>
  <c r="I21" i="3"/>
  <c r="I10" i="3"/>
  <c r="I22" i="3"/>
  <c r="I26" i="3" l="1"/>
  <c r="I44" i="3"/>
  <c r="I16" i="3"/>
  <c r="J30" i="3"/>
  <c r="J12" i="3"/>
  <c r="J21" i="3"/>
  <c r="J13" i="3"/>
  <c r="J14" i="3"/>
  <c r="J15" i="3"/>
  <c r="J20" i="3"/>
  <c r="J19" i="3"/>
  <c r="J40" i="3"/>
  <c r="J44" i="3" s="1"/>
  <c r="J24" i="3"/>
  <c r="J9" i="3"/>
  <c r="J10" i="3"/>
  <c r="J29" i="3"/>
  <c r="J11" i="3"/>
  <c r="J23" i="3"/>
  <c r="J22" i="3"/>
  <c r="K6" i="3"/>
  <c r="I31" i="3"/>
  <c r="H48" i="3"/>
  <c r="H51" i="3" s="1"/>
  <c r="H49" i="3"/>
  <c r="J26" i="3" l="1"/>
  <c r="K13" i="3"/>
  <c r="K22" i="3"/>
  <c r="K14" i="3"/>
  <c r="K40" i="3"/>
  <c r="K44" i="3" s="1"/>
  <c r="K20" i="3"/>
  <c r="K21" i="3"/>
  <c r="K15" i="3"/>
  <c r="K19" i="3"/>
  <c r="K26" i="3" s="1"/>
  <c r="K9" i="3"/>
  <c r="K10" i="3"/>
  <c r="K29" i="3"/>
  <c r="K31" i="3" s="1"/>
  <c r="K11" i="3"/>
  <c r="K12" i="3"/>
  <c r="K23" i="3"/>
  <c r="K24" i="3"/>
  <c r="K30" i="3"/>
  <c r="L6" i="3"/>
  <c r="J31" i="3"/>
  <c r="J16" i="3"/>
  <c r="I46" i="3"/>
  <c r="I48" i="3" s="1"/>
  <c r="I51" i="3" l="1"/>
  <c r="I49" i="3"/>
  <c r="K46" i="3"/>
  <c r="K16" i="3"/>
  <c r="L14" i="3"/>
  <c r="M6" i="3"/>
  <c r="L15" i="3"/>
  <c r="L19" i="3"/>
  <c r="L21" i="3"/>
  <c r="L22" i="3"/>
  <c r="L23" i="3"/>
  <c r="L40" i="3"/>
  <c r="L44" i="3" s="1"/>
  <c r="L20" i="3"/>
  <c r="L10" i="3"/>
  <c r="L29" i="3"/>
  <c r="L31" i="3" s="1"/>
  <c r="L11" i="3"/>
  <c r="L30" i="3"/>
  <c r="L12" i="3"/>
  <c r="L9" i="3"/>
  <c r="L24" i="3"/>
  <c r="L13" i="3"/>
  <c r="J46" i="3"/>
  <c r="J48" i="3"/>
  <c r="J49" i="3" s="1"/>
  <c r="L26" i="3" l="1"/>
  <c r="L46" i="3" s="1"/>
  <c r="B12" i="5"/>
  <c r="M15" i="3"/>
  <c r="N15" i="3" s="1"/>
  <c r="M24" i="3"/>
  <c r="N24" i="3" s="1"/>
  <c r="M23" i="3"/>
  <c r="N23" i="3" s="1"/>
  <c r="N6" i="3"/>
  <c r="M19" i="3"/>
  <c r="M20" i="3"/>
  <c r="N20" i="3" s="1"/>
  <c r="M40" i="3"/>
  <c r="M22" i="3"/>
  <c r="N22" i="3" s="1"/>
  <c r="M21" i="3"/>
  <c r="N21" i="3" s="1"/>
  <c r="M29" i="3"/>
  <c r="M11" i="3"/>
  <c r="N11" i="3" s="1"/>
  <c r="M30" i="3"/>
  <c r="N30" i="3" s="1"/>
  <c r="M12" i="3"/>
  <c r="N12" i="3" s="1"/>
  <c r="M13" i="3"/>
  <c r="N13" i="3" s="1"/>
  <c r="M10" i="3"/>
  <c r="N10" i="3" s="1"/>
  <c r="M14" i="3"/>
  <c r="N14" i="3" s="1"/>
  <c r="M9" i="3"/>
  <c r="L16" i="3"/>
  <c r="K48" i="3"/>
  <c r="K49" i="3"/>
  <c r="J51" i="3"/>
  <c r="K51" i="3" s="1"/>
  <c r="M31" i="3" l="1"/>
  <c r="N29" i="3"/>
  <c r="N31" i="3" s="1"/>
  <c r="M44" i="3"/>
  <c r="N40" i="3"/>
  <c r="M16" i="3"/>
  <c r="N9" i="3"/>
  <c r="N16" i="3" s="1"/>
  <c r="L48" i="3"/>
  <c r="L49" i="3"/>
  <c r="L51" i="3"/>
  <c r="M26" i="3"/>
  <c r="M46" i="3" s="1"/>
  <c r="N19" i="3"/>
  <c r="N26" i="3" s="1"/>
  <c r="B9" i="4" l="1"/>
  <c r="C9" i="4" s="1"/>
  <c r="B17" i="5"/>
  <c r="B6" i="5"/>
  <c r="B23" i="5"/>
  <c r="B16" i="4"/>
  <c r="C11" i="4"/>
  <c r="C7" i="4"/>
  <c r="M49" i="3"/>
  <c r="M48" i="3"/>
  <c r="M51" i="3" s="1"/>
  <c r="N51" i="3" s="1"/>
  <c r="B18" i="5"/>
  <c r="B10" i="4"/>
  <c r="C10" i="4" s="1"/>
  <c r="N44" i="3"/>
  <c r="N46" i="3" s="1"/>
  <c r="B8" i="4"/>
  <c r="C8" i="4" s="1"/>
  <c r="B16" i="5"/>
  <c r="B24" i="5" l="1"/>
  <c r="B7" i="5"/>
  <c r="B17" i="4"/>
  <c r="C15" i="5"/>
  <c r="C19" i="5"/>
  <c r="C17" i="5"/>
  <c r="C18" i="5"/>
  <c r="N48" i="3"/>
  <c r="C16" i="5"/>
  <c r="B29" i="5" l="1"/>
  <c r="B25" i="5"/>
  <c r="B8" i="5"/>
  <c r="B18" i="4"/>
  <c r="B6" i="4"/>
  <c r="C6" i="4" s="1"/>
  <c r="N49" i="3"/>
  <c r="B9" i="5" l="1"/>
  <c r="B19" i="4"/>
</calcChain>
</file>

<file path=xl/sharedStrings.xml><?xml version="1.0" encoding="utf-8"?>
<sst xmlns="http://schemas.openxmlformats.org/spreadsheetml/2006/main" count="208" uniqueCount="192">
  <si>
    <t>THE GUARDIAN MVP - 12 MONTH MODEL</t>
  </si>
  <si>
    <t>BLUE CELLS = INPUTS YOU CAN CHANGE</t>
  </si>
  <si>
    <t>MEMBER ASSUMPTIONS</t>
  </si>
  <si>
    <t>Total Members (End of Year)</t>
  </si>
  <si>
    <t>Target member count</t>
  </si>
  <si>
    <t>Basic Tier %</t>
  </si>
  <si>
    <t>70% at $3.75/week</t>
  </si>
  <si>
    <t>Elite Tier %</t>
  </si>
  <si>
    <t>30% at $5.95/week</t>
  </si>
  <si>
    <t>Basic Weekly Rate ($)</t>
  </si>
  <si>
    <t>Weekly subscription</t>
  </si>
  <si>
    <t>Elite Weekly Rate ($)</t>
  </si>
  <si>
    <t>Weeks per Month</t>
  </si>
  <si>
    <t>Average</t>
  </si>
  <si>
    <t>ZŪM RAILS COSTS (per transaction)</t>
  </si>
  <si>
    <t>EFT Success</t>
  </si>
  <si>
    <t>Debit pull for repayments</t>
  </si>
  <si>
    <t>Interac Send</t>
  </si>
  <si>
    <t>e-Transfer out</t>
  </si>
  <si>
    <t>Interac ANR (Instant)</t>
  </si>
  <si>
    <t>Instant rails</t>
  </si>
  <si>
    <t>Aggregation New User</t>
  </si>
  <si>
    <t>Bank connection</t>
  </si>
  <si>
    <t>SERVICE USAGE (per member per month)</t>
  </si>
  <si>
    <t>Shield Saves Needed</t>
  </si>
  <si>
    <t>80% need NSF protection</t>
  </si>
  <si>
    <t>Milk Money Uses</t>
  </si>
  <si>
    <t>60% use micro-loans</t>
  </si>
  <si>
    <t>Payroll Accelerator Uses</t>
  </si>
  <si>
    <t>30% use early pay</t>
  </si>
  <si>
    <t>Check Bridge Uses</t>
  </si>
  <si>
    <t>15% use deposit release</t>
  </si>
  <si>
    <t>Lifeline Link Gifts</t>
  </si>
  <si>
    <t>10% give to neighbors</t>
  </si>
  <si>
    <t>Avg Transactions/Member</t>
  </si>
  <si>
    <t>For Nickel Millionaire</t>
  </si>
  <si>
    <t>MILK MONEY PARAMETERS</t>
  </si>
  <si>
    <t>Average Loan Amount</t>
  </si>
  <si>
    <t>Avg micro-loan size</t>
  </si>
  <si>
    <t>APR</t>
  </si>
  <si>
    <t>9.95% annual rate</t>
  </si>
  <si>
    <t>Avg Days Outstanding</t>
  </si>
  <si>
    <t>Two week average</t>
  </si>
  <si>
    <t>Bad Debt Rate</t>
  </si>
  <si>
    <t>8% default rate</t>
  </si>
  <si>
    <t>PRIVATE BANKER (PHILIPPINES)</t>
  </si>
  <si>
    <t>Monthly Cost per Agent</t>
  </si>
  <si>
    <t>Full-loaded cost</t>
  </si>
  <si>
    <t>Members per Agent</t>
  </si>
  <si>
    <t>Caseload capacity</t>
  </si>
  <si>
    <t>Training Cost (one-time)</t>
  </si>
  <si>
    <t>Per agent onboarding</t>
  </si>
  <si>
    <t>OTHER MONTHLY COSTS</t>
  </si>
  <si>
    <t>Tech Infrastructure</t>
  </si>
  <si>
    <t>Servers, APIs, software</t>
  </si>
  <si>
    <t>Compliance &amp; Legal</t>
  </si>
  <si>
    <t>Regulatory reserve</t>
  </si>
  <si>
    <t>Customer Support Buffer</t>
  </si>
  <si>
    <t>Escalations</t>
  </si>
  <si>
    <t>LEAD GENERATION - TARGET: 1,000 NEW MEMBERS/MONTH</t>
  </si>
  <si>
    <t>Monthly New Member Target</t>
  </si>
  <si>
    <t>Acquisition goal</t>
  </si>
  <si>
    <t>Lead-to-Member Conversion Rate</t>
  </si>
  <si>
    <t>25% of leads become members</t>
  </si>
  <si>
    <t>Leads Needed per Month</t>
  </si>
  <si>
    <t>Formula: Target/Conversion</t>
  </si>
  <si>
    <t>Selected Channel Cost per Lead</t>
  </si>
  <si>
    <t>Facebook Ads CPL</t>
  </si>
  <si>
    <t>Referral Bonus per New Member</t>
  </si>
  <si>
    <t>Paid to referrer</t>
  </si>
  <si>
    <t>Referral Rate (% from referrals)</t>
  </si>
  <si>
    <t>30% come from referrals</t>
  </si>
  <si>
    <t>LEAD GENERATION OPTIONS FOR THE GUARDIAN</t>
  </si>
  <si>
    <t>Target: 1,000 new members/month | Market: Working Poor / Underbanked Canadians</t>
  </si>
  <si>
    <t>Channel</t>
  </si>
  <si>
    <t>Cost per Lead</t>
  </si>
  <si>
    <t>Conversion Rate</t>
  </si>
  <si>
    <t>Cost per Member</t>
  </si>
  <si>
    <t>Monthly Cost (1K members)</t>
  </si>
  <si>
    <t>Pros</t>
  </si>
  <si>
    <t>Cons</t>
  </si>
  <si>
    <t>Facebook/Meta Ads</t>
  </si>
  <si>
    <t>Reaches working class well, visual storytelling, $11 CPM in Canada, lead forms native</t>
  </si>
  <si>
    <t>Requires creative refresh, compliance review needed</t>
  </si>
  <si>
    <t>Google Ads</t>
  </si>
  <si>
    <t>High intent traffic, immediate visibility</t>
  </si>
  <si>
    <t>Expensive for financial services, restrictions on personal loans, cant target by income</t>
  </si>
  <si>
    <t>Member Referral Program</t>
  </si>
  <si>
    <t>Highest quality leads, 53% cheaper than paid, builds community</t>
  </si>
  <si>
    <t>Needs existing member base first, slower to scale</t>
  </si>
  <si>
    <t>SMS Marketing</t>
  </si>
  <si>
    <t>High open rates (98%), direct communication, $0.015/message</t>
  </si>
  <si>
    <t>Needs opt-in list first, compliance (CASL), limited for cold outreach</t>
  </si>
  <si>
    <t>Community Partnerships</t>
  </si>
  <si>
    <t>Trust transfer, reaches target market directly, low cost</t>
  </si>
  <si>
    <t>Time intensive to build, variable results, not scalable initially</t>
  </si>
  <si>
    <t>TikTok/Instagram Reels</t>
  </si>
  <si>
    <t>Lower CPM, younger demographic, viral potential</t>
  </si>
  <si>
    <t>Less proven for financial services, content creation overhead</t>
  </si>
  <si>
    <t>RECOMMENDED STRATEGY: BLENDED APPROACH</t>
  </si>
  <si>
    <t>% of Leads</t>
  </si>
  <si>
    <t>CPL</t>
  </si>
  <si>
    <t>Monthly Cost</t>
  </si>
  <si>
    <t>Why</t>
  </si>
  <si>
    <t>Facebook Ads (Primary)</t>
  </si>
  <si>
    <t>Scalable, proven for financial services</t>
  </si>
  <si>
    <t>Member Referrals</t>
  </si>
  <si>
    <t>Highest quality, lowest cost per member</t>
  </si>
  <si>
    <t>Trust-based, reaches target directly</t>
  </si>
  <si>
    <t>TOTAL BLENDED MONTHLY COST</t>
  </si>
  <si>
    <t>BLENDED COST PER MEMBER</t>
  </si>
  <si>
    <t>THE GUARDIAN - 12-MONTH P&amp;L WITH LEAD GENERATION</t>
  </si>
  <si>
    <t>Ramping from 0 to 1,000 members/month acquisition | All figures in CAD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</si>
  <si>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</si>
  <si>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</si>
  <si>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</si>
  <si>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</si>
  <si>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</si>
  <si>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</si>
  <si>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</si>
  <si>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</si>
  <si>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</si>
  <si>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</si>
  <si>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</si>
  <si>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</si>
  <si>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YEAR 1</t>
  </si>
  <si>
    <t>NEW MEMBERS THIS MONTH</t>
  </si>
  <si>
    <t>CUMULATIVE MEMBERS</t>
  </si>
  <si>
    <t>REVENUE</t>
  </si>
  <si>
    <t>Basic Subscriptions</t>
  </si>
  <si>
    <t>Elite Subscriptions</t>
  </si>
  <si>
    <t>Payroll Accelerator ($2.50)</t>
  </si>
  <si>
    <t>Check Bridge ($2.50)</t>
  </si>
  <si>
    <t>Milk Money Interest</t>
  </si>
  <si>
    <t>Lifeline Link Net</t>
  </si>
  <si>
    <t>Nickel Millionaire Pool</t>
  </si>
  <si>
    <t>TOTAL REVENUE</t>
  </si>
  <si>
    <t>ZŪM RAILS COSTS</t>
  </si>
  <si>
    <t>Shield Aggregation</t>
  </si>
  <si>
    <t>Milk Money (EFT+Interac)</t>
  </si>
  <si>
    <t>Payroll Accelerator (ANR)</t>
  </si>
  <si>
    <t>Check Bridge (EFT+Interac)</t>
  </si>
  <si>
    <t>Lifeline Link (Interac)</t>
  </si>
  <si>
    <t>Nickel Millionaire (pool)</t>
  </si>
  <si>
    <t>New User Aggregation</t>
  </si>
  <si>
    <t>TOTAL ZŪM RAILS</t>
  </si>
  <si>
    <t>PRIVATE BANKER COSTS</t>
  </si>
  <si>
    <t>Agent Salaries</t>
  </si>
  <si>
    <t>Agent Training (new hires)</t>
  </si>
  <si>
    <t>TOTAL PRIVATE BANKER</t>
  </si>
  <si>
    <t>LEAD GENERATION COSTS</t>
  </si>
  <si>
    <t>Facebook Ads (50% of leads)</t>
  </si>
  <si>
    <t>Referral Bonuses (30%)</t>
  </si>
  <si>
    <t>Community Partnerships (20%)</t>
  </si>
  <si>
    <t>TOTAL LEAD GENERATION</t>
  </si>
  <si>
    <t>OTHER OPERATING COSTS</t>
  </si>
  <si>
    <t>Milk Money Bad Debt</t>
  </si>
  <si>
    <t>Customer Support</t>
  </si>
  <si>
    <t>TOTAL OTHER COSTS</t>
  </si>
  <si>
    <t>TOTAL COSTS</t>
  </si>
  <si>
    <t>NET OPERATING INCOME</t>
  </si>
  <si>
    <t>Operating Margin</t>
  </si>
  <si>
    <t>Cumulative NOI</t>
  </si>
  <si>
    <t>FOR EVERY $1.00 OF REVENUE - WHERE DOES IT GO?</t>
  </si>
  <si>
    <t>The Guardian MVP | Year 1 with Lead Generation</t>
  </si>
  <si>
    <t>Category</t>
  </si>
  <si>
    <t>Amount</t>
  </si>
  <si>
    <t>Cents per $1</t>
  </si>
  <si>
    <t>PROFIT (You Keep)</t>
  </si>
  <si>
    <t>Lead Generation</t>
  </si>
  <si>
    <t>Private Bankers</t>
  </si>
  <si>
    <t>Zūm Rails</t>
  </si>
  <si>
    <t>Bad Debt</t>
  </si>
  <si>
    <t>Operations</t>
  </si>
  <si>
    <t>SUMMARY</t>
  </si>
  <si>
    <t>Total Revenue (Year 1)</t>
  </si>
  <si>
    <t>Total Costs (Year 1)</t>
  </si>
  <si>
    <t>Net Operating Income</t>
  </si>
  <si>
    <t>Cost per Member Acquired</t>
  </si>
  <si>
    <t>Total Members Acquired</t>
  </si>
  <si>
    <t>THE GUARDIAN MVP - COMPLETE FINANCIAL SUMMARY</t>
  </si>
  <si>
    <t>With Lead Generation Costs Included</t>
  </si>
  <si>
    <t>THE BOTTOM LINE</t>
  </si>
  <si>
    <t>Members Acquired (Year 1)</t>
  </si>
  <si>
    <t>End-of-Year Member Count</t>
  </si>
  <si>
    <t>COST BREAKDOWN</t>
  </si>
  <si>
    <t>UNIT ECONOMICS</t>
  </si>
  <si>
    <t>Annual Revenue per Member</t>
  </si>
  <si>
    <t>Annual Cost per Member</t>
  </si>
  <si>
    <t>Annual Profit per Member</t>
  </si>
  <si>
    <t>VERDICT</t>
  </si>
  <si>
    <t>Is MVP Profitable?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</si>
</sst>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.00"/>
    <numFmt numFmtId="165" formatCode="\$#,##0"/>
    <numFmt numFmtId="166" formatCode="0.0%"/>
    <numFmt numFmtId="167" formatCode="0.0\¢"/>
  </numFmts>
  <fonts count="15" x14ac:knownFonts="1">
    <font>
      <sz val="11"/>
      <color theme="1"/>
      <name val="Calibri"/>
      <family val="2"/>
      <charset val="1"/>
    </font>
    <font>
      <b/>
      <sz val="14"/>
      <color rgb="FF2C3E50"/>
      <name val="Cambria"/>
      <charset val="1"/>
    </font>
    <font>
      <b/>
      <i/>
      <sz val="11"/>
      <color rgb="FF0000FF"/>
      <name val="Cambria"/>
      <charset val="1"/>
    </font>
    <font>
      <b/>
      <sz val="12"/>
      <color rgb="FFFFFFFF"/>
      <name val="Cambria"/>
      <charset val="1"/>
    </font>
    <font>
      <sz val="11"/>
      <color rgb="FF0000FF"/>
      <name val="Cambria"/>
      <charset val="1"/>
    </font>
    <font>
      <i/>
      <sz val="11"/>
      <color rgb="FF666666"/>
      <name val="Cambria"/>
      <charset val="1"/>
    </font>
    <font>
      <b/>
      <sz val="11"/>
      <color rgb="FFFFFFFF"/>
      <name val="Cambria"/>
      <charset val="1"/>
    </font>
    <font>
      <b/>
      <sz val="14"/>
      <color rgb="FF006400"/>
      <name val="Cambria"/>
      <charset val="1"/>
    </font>
    <font>
      <b/>
      <sz val="11"/>
      <name val="Cambria"/>
      <charset val="1"/>
    </font>
    <font>
      <b/>
      <sz val="14"/>
      <name val="Cambria"/>
      <charset val="1"/>
    </font>
    <font>
      <b/>
      <sz val="13"/>
      <name val="Cambria"/>
      <charset val="1"/>
    </font>
    <font>
      <b/>
      <sz val="16"/>
      <color rgb="FF2C3E50"/>
      <name val="Cambria"/>
      <charset val="1"/>
    </font>
    <font>
      <b/>
      <sz val="18"/>
      <color rgb="FF2C3E50"/>
      <name val="Cambria"/>
      <charset val="1"/>
    </font>
    <font>
      <b/>
      <sz val="12"/>
      <name val="Cambria"/>
      <charset val="1"/>
    </font>
    <font>
      <b/>
      <sz val="11"/>
      <color rgb="FF006400"/>
      <name val="Cambria"/>
      <charset val="1"/>
    </font>
  </fonts>
  <fills count="9">
    <fill>
      <patternFill patternType="none"/>
    </fill>
    <fill>
      <patternFill patternType="gray125"/>
    </fill>
    <fill>
      <patternFill patternType="solid">
        <fgColor rgb="FF7CB394"/>
        <bgColor rgb="FF9BBB59"/>
      </patternFill>
    </fill>
    <fill>
      <patternFill patternType="solid">
        <fgColor rgb="FFE3F2FD"/>
        <bgColor rgb="FFD4EDDA"/>
      </patternFill>
    </fill>
    <fill>
      <patternFill patternType="solid">
        <fgColor rgb="FFFFE0B2"/>
        <bgColor rgb="FFF8D7DA"/>
      </patternFill>
    </fill>
    <fill>
      <patternFill patternType="solid">
        <fgColor rgb="FF2C3E50"/>
        <bgColor rgb="FF333399"/>
      </patternFill>
    </fill>
    <fill>
      <patternFill patternType="solid">
        <fgColor rgb="FFD4EDDA"/>
        <bgColor rgb="FFE3F2FD"/>
      </patternFill>
    </fill>
    <fill>
      <patternFill patternType="solid">
        <fgColor rgb="FFFFF9C4"/>
        <bgColor rgb="FFFFFFFF"/>
      </patternFill>
    </fill>
    <fill>
      <patternFill patternType="solid">
        <fgColor rgb="FFF8D7DA"/>
        <bgColor rgb="FFFFE0B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2" fillId="0" borderId="0" xfId="0" applyFont="1"/>
    <xf numFmtId="0" fontId="11" fillId="0" borderId="0" xfId="0" applyFont="1"/>
    <xf numFmtId="0" fontId="7" fillId="0" borderId="0" xfId="0" applyFont="1"/>
    <xf numFmtId="0" fontId="3" fillId="4" borderId="0" xfId="0" applyFont="1" applyFill="1"/>
    <xf numFmtId="0" fontId="3" fillId="2" borderId="0" xfId="0" applyFont="1" applyFill="1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5" fillId="0" borderId="0" xfId="0" applyFont="1"/>
    <xf numFmtId="9" fontId="4" fillId="3" borderId="0" xfId="0" applyNumberFormat="1" applyFont="1" applyFill="1"/>
    <xf numFmtId="164" fontId="4" fillId="3" borderId="0" xfId="0" applyNumberFormat="1" applyFont="1" applyFill="1"/>
    <xf numFmtId="4" fontId="4" fillId="3" borderId="0" xfId="0" applyNumberFormat="1" applyFont="1" applyFill="1"/>
    <xf numFmtId="3" fontId="4" fillId="3" borderId="0" xfId="0" applyNumberFormat="1" applyFont="1" applyFill="1"/>
    <xf numFmtId="165" fontId="4" fillId="3" borderId="0" xfId="0" applyNumberFormat="1" applyFont="1" applyFill="1"/>
    <xf numFmtId="10" fontId="4" fillId="3" borderId="0" xfId="0" applyNumberFormat="1" applyFont="1" applyFill="1"/>
    <xf numFmtId="0" fontId="3" fillId="4" borderId="0" xfId="0" applyFont="1" applyFill="1"/>
    <xf numFmtId="0" fontId="6" fillId="5" borderId="1" xfId="0" applyFont="1" applyFill="1" applyBorder="1"/>
    <xf numFmtId="0" fontId="0" fillId="0" borderId="1" xfId="0" applyBorder="1"/>
    <xf numFmtId="165" fontId="0" fillId="0" borderId="1" xfId="0" applyNumberFormat="1" applyBorder="1"/>
    <xf numFmtId="9" fontId="0" fillId="0" borderId="1" xfId="0" applyNumberFormat="1" applyBorder="1"/>
    <xf numFmtId="0" fontId="8" fillId="6" borderId="0" xfId="0" applyFont="1" applyFill="1"/>
    <xf numFmtId="9" fontId="0" fillId="0" borderId="0" xfId="0" applyNumberFormat="1"/>
    <xf numFmtId="165" fontId="0" fillId="0" borderId="0" xfId="0" applyNumberFormat="1"/>
    <xf numFmtId="0" fontId="8" fillId="0" borderId="0" xfId="0" applyFont="1"/>
    <xf numFmtId="165" fontId="9" fillId="7" borderId="0" xfId="0" applyNumberFormat="1" applyFont="1" applyFill="1"/>
    <xf numFmtId="164" fontId="7" fillId="0" borderId="0" xfId="0" applyNumberFormat="1" applyFont="1"/>
    <xf numFmtId="0" fontId="6" fillId="5" borderId="1" xfId="0" applyFont="1" applyFill="1" applyBorder="1" applyAlignment="1">
      <alignment horizontal="center"/>
    </xf>
    <xf numFmtId="3" fontId="0" fillId="0" borderId="0" xfId="0" applyNumberFormat="1"/>
    <xf numFmtId="3" fontId="8" fillId="0" borderId="0" xfId="0" applyNumberFormat="1" applyFont="1"/>
    <xf numFmtId="3" fontId="0" fillId="3" borderId="0" xfId="0" applyNumberFormat="1" applyFill="1"/>
    <xf numFmtId="0" fontId="0" fillId="2" borderId="0" xfId="0" applyFill="1"/>
    <xf numFmtId="165" fontId="8" fillId="0" borderId="1" xfId="0" applyNumberFormat="1" applyFont="1" applyBorder="1"/>
    <xf numFmtId="0" fontId="8" fillId="6" borderId="1" xfId="0" applyFont="1" applyFill="1" applyBorder="1"/>
    <xf numFmtId="165" fontId="8" fillId="6" borderId="1" xfId="0" applyNumberFormat="1" applyFont="1" applyFill="1" applyBorder="1"/>
    <xf numFmtId="0" fontId="3" fillId="5" borderId="0" xfId="0" applyFont="1" applyFill="1"/>
    <xf numFmtId="0" fontId="0" fillId="5" borderId="0" xfId="0" applyFill="1"/>
    <xf numFmtId="0" fontId="8" fillId="0" borderId="1" xfId="0" applyFont="1" applyBorder="1"/>
    <xf numFmtId="0" fontId="0" fillId="4" borderId="0" xfId="0" applyFill="1"/>
    <xf numFmtId="0" fontId="8" fillId="4" borderId="1" xfId="0" applyFont="1" applyFill="1" applyBorder="1"/>
    <xf numFmtId="165" fontId="8" fillId="4" borderId="1" xfId="0" applyNumberFormat="1" applyFont="1" applyFill="1" applyBorder="1"/>
    <xf numFmtId="0" fontId="8" fillId="8" borderId="1" xfId="0" applyFont="1" applyFill="1" applyBorder="1"/>
    <xf numFmtId="165" fontId="8" fillId="8" borderId="1" xfId="0" applyNumberFormat="1" applyFont="1" applyFill="1" applyBorder="1"/>
    <xf numFmtId="0" fontId="10" fillId="7" borderId="1" xfId="0" applyFont="1" applyFill="1" applyBorder="1"/>
    <xf numFmtId="165" fontId="10" fillId="7" borderId="1" xfId="0" applyNumberFormat="1" applyFont="1" applyFill="1" applyBorder="1"/>
    <xf numFmtId="166" fontId="8" fillId="0" borderId="1" xfId="0" applyNumberFormat="1" applyFont="1" applyBorder="1"/>
    <xf numFmtId="0" fontId="8" fillId="7" borderId="1" xfId="0" applyFont="1" applyFill="1" applyBorder="1"/>
    <xf numFmtId="165" fontId="0" fillId="7" borderId="1" xfId="0" applyNumberFormat="1" applyFill="1" applyBorder="1"/>
    <xf numFmtId="165" fontId="8" fillId="7" borderId="1" xfId="0" applyNumberFormat="1" applyFont="1" applyFill="1" applyBorder="1"/>
    <xf numFmtId="0" fontId="6" fillId="5" borderId="0" xfId="0" applyFont="1" applyFill="1"/>
    <xf numFmtId="167" fontId="0" fillId="0" borderId="0" xfId="0" applyNumberFormat="1"/>
    <xf numFmtId="165" fontId="7" fillId="0" borderId="0" xfId="0" applyNumberFormat="1" applyFont="1"/>
    <xf numFmtId="166" fontId="8" fillId="0" borderId="0" xfId="0" applyNumberFormat="1" applyFont="1"/>
    <xf numFmtId="164" fontId="0" fillId="0" borderId="0" xfId="0" applyNumberFormat="1"/>
    <xf numFmtId="0" fontId="13" fillId="0" borderId="0" xfId="0" applyFont="1"/>
    <xf numFmtId="165" fontId="7" fillId="7" borderId="0" xfId="0" applyNumberFormat="1" applyFont="1" applyFill="1"/>
    <xf numFmtId="166" fontId="0" fillId="0" borderId="0" xfId="0" applyNumberFormat="1"/>
    <xf numFmtId="165" fontId="14" fillId="0" borderId="0" xfId="0" applyNumberFormat="1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400"/>
      <rgbColor rgb="FF000080"/>
      <rgbColor rgb="FF808000"/>
      <rgbColor rgb="FF800080"/>
      <rgbColor rgb="FF008080"/>
      <rgbColor rgb="FFCCCCCC"/>
      <rgbColor rgb="FF666666"/>
      <rgbColor rgb="FF9999FF"/>
      <rgbColor rgb="FFC0504D"/>
      <rgbColor rgb="FFFFF9C4"/>
      <rgbColor rgb="FFE3F2F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8D7DA"/>
      <rgbColor rgb="FF99CCFF"/>
      <rgbColor rgb="FFFF99CC"/>
      <rgbColor rgb="FFCC99FF"/>
      <rgbColor rgb="FFFFE0B2"/>
      <rgbColor rgb="FF4F81BD"/>
      <rgbColor rgb="FF4BACC6"/>
      <rgbColor rgb="FF9BBB59"/>
      <rgbColor rgb="FFFFCC00"/>
      <rgbColor rgb="FFF79646"/>
      <rgbColor rgb="FFFF6600"/>
      <rgbColor rgb="FF8064A2"/>
      <rgbColor rgb="FF7CB394"/>
      <rgbColor rgb="FF003366"/>
      <rgbColor rgb="FF339966"/>
      <rgbColor rgb="FF003300"/>
      <rgbColor rgb="FF333300"/>
      <rgbColor rgb="FF993300"/>
      <rgbColor rgb="FF993366"/>
      <rgbColor rgb="FF333399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Where Every Dollar Goes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'Cost Breakdown Chart'!$B$5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15D6-4342-A884-C3E9D9F6AA45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15D6-4342-A884-C3E9D9F6AA45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15D6-4342-A884-C3E9D9F6AA45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15D6-4342-A884-C3E9D9F6AA45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15D6-4342-A884-C3E9D9F6AA45}"/>
              </c:ext>
            </c:extLst>
          </c:dPt>
          <c:dPt>
            <c:idx val="5"/>
            <c:bubble3D val="0"/>
            <c:spPr>
              <a:solidFill>
                <a:srgbClr val="F7964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15D6-4342-A884-C3E9D9F6AA45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15D6-4342-A884-C3E9D9F6AA45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15D6-4342-A884-C3E9D9F6AA45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15D6-4342-A884-C3E9D9F6AA45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15D6-4342-A884-C3E9D9F6AA45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15D6-4342-A884-C3E9D9F6AA45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B-15D6-4342-A884-C3E9D9F6AA4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0"/>
            <c:showCatName val="1"/>
            <c:showSerName val="1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'Cost Breakdown Chart'!$A$6:$A$11</c:f>
              <c:strCache>
                <c:ptCount val="6"/>
                <c:pt idx="0">
                  <c:v>PROFIT (You Keep)</c:v>
                </c:pt>
                <c:pt idx="1">
                  <c:v>Lead Generation</c:v>
                </c:pt>
                <c:pt idx="2">
                  <c:v>Private Bankers</c:v>
                </c:pt>
                <c:pt idx="3">
                  <c:v>Zūm Rails</c:v>
                </c:pt>
                <c:pt idx="4">
                  <c:v>Bad Debt</c:v>
                </c:pt>
                <c:pt idx="5">
                  <c:v>Operations</c:v>
                </c:pt>
              </c:strCache>
            </c:strRef>
          </c:cat>
          <c:val>
            <c:numRef>
              <c:f>'Cost Breakdown Chart'!$B$6:$B$11</c:f>
              <c:numCache>
                <c:formatCode>\$#,##0</c:formatCode>
                <c:ptCount val="6"/>
                <c:pt idx="0">
                  <c:v>-70018.095890410943</c:v>
                </c:pt>
                <c:pt idx="1">
                  <c:v>412500</c:v>
                </c:pt>
                <c:pt idx="2">
                  <c:v>203000</c:v>
                </c:pt>
                <c:pt idx="3">
                  <c:v>104715</c:v>
                </c:pt>
                <c:pt idx="4">
                  <c:v>103680</c:v>
                </c:pt>
                <c:pt idx="5">
                  <c:v>27600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5D6-4342-A884-C3E9D9F6AA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131040</xdr:rowOff>
    </xdr:from>
    <xdr:to>
      <xdr:col>14</xdr:col>
      <xdr:colOff>364680</xdr:colOff>
      <xdr:row>29</xdr:row>
      <xdr:rowOff>187560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"/>
  <sheetViews>
    <sheetView topLeftCell="A12" zoomScaleNormal="100" workbookViewId="0">
      <selection activeCell="I9" sqref="I9"/>
    </sheetView>
  </sheetViews>
  <sheetFormatPr defaultColWidth="8.7109375" defaultRowHeight="15" x14ac:dyDescent="0.25"/>
  <cols>
    <col min="1" max="1" width="35" customWidth="1"/>
    <col min="2" max="2" width="15" customWidth="1"/>
    <col min="3" max="3" width="3" customWidth="1"/>
    <col min="4" max="4" width="35" customWidth="1"/>
    <col min="5" max="5" width="5" customWidth="1"/>
  </cols>
  <sheetData>
    <row r="1" spans="1:5" ht="18" x14ac:dyDescent="0.25">
      <c r="A1" s="6" t="s">
        <v>0</v>
      </c>
      <c r="B1" s="6"/>
      <c r="C1" s="6"/>
      <c r="D1" s="6"/>
      <c r="E1" s="6"/>
    </row>
    <row r="2" spans="1:5" x14ac:dyDescent="0.25">
      <c r="A2" s="7" t="s">
        <v>1</v>
      </c>
    </row>
    <row r="4" spans="1:5" ht="15.75" x14ac:dyDescent="0.25">
      <c r="A4" s="5" t="s">
        <v>2</v>
      </c>
      <c r="B4" s="5"/>
      <c r="C4" s="5"/>
      <c r="D4" s="5"/>
      <c r="E4" s="5"/>
    </row>
    <row r="5" spans="1:5" x14ac:dyDescent="0.25">
      <c r="A5" t="s">
        <v>3</v>
      </c>
      <c r="B5" s="9">
        <v>1000</v>
      </c>
      <c r="D5" s="10" t="s">
        <v>4</v>
      </c>
    </row>
    <row r="6" spans="1:5" x14ac:dyDescent="0.25">
      <c r="A6" t="s">
        <v>5</v>
      </c>
      <c r="B6" s="11">
        <v>0.7</v>
      </c>
      <c r="D6" s="10" t="s">
        <v>6</v>
      </c>
    </row>
    <row r="7" spans="1:5" x14ac:dyDescent="0.25">
      <c r="A7" t="s">
        <v>7</v>
      </c>
      <c r="B7" s="11">
        <v>0.3</v>
      </c>
      <c r="D7" s="10" t="s">
        <v>8</v>
      </c>
    </row>
    <row r="8" spans="1:5" x14ac:dyDescent="0.25">
      <c r="A8" t="s">
        <v>9</v>
      </c>
      <c r="B8" s="12">
        <v>3.75</v>
      </c>
      <c r="D8" s="10" t="s">
        <v>10</v>
      </c>
    </row>
    <row r="9" spans="1:5" x14ac:dyDescent="0.25">
      <c r="A9" t="s">
        <v>11</v>
      </c>
      <c r="B9" s="12">
        <v>5.95</v>
      </c>
      <c r="D9" s="10" t="s">
        <v>10</v>
      </c>
    </row>
    <row r="10" spans="1:5" x14ac:dyDescent="0.25">
      <c r="A10" t="s">
        <v>12</v>
      </c>
      <c r="B10" s="13">
        <v>4.33</v>
      </c>
      <c r="D10" s="10" t="s">
        <v>13</v>
      </c>
    </row>
    <row r="12" spans="1:5" ht="15.75" x14ac:dyDescent="0.25">
      <c r="A12" s="5" t="s">
        <v>14</v>
      </c>
      <c r="B12" s="5"/>
      <c r="C12" s="5"/>
      <c r="D12" s="5"/>
      <c r="E12" s="5"/>
    </row>
    <row r="13" spans="1:5" x14ac:dyDescent="0.25">
      <c r="A13" t="s">
        <v>15</v>
      </c>
      <c r="B13" s="12">
        <v>0.25</v>
      </c>
      <c r="D13" s="10" t="s">
        <v>16</v>
      </c>
    </row>
    <row r="14" spans="1:5" x14ac:dyDescent="0.25">
      <c r="A14" t="s">
        <v>17</v>
      </c>
      <c r="B14" s="12">
        <v>1</v>
      </c>
      <c r="D14" s="10" t="s">
        <v>18</v>
      </c>
    </row>
    <row r="15" spans="1:5" x14ac:dyDescent="0.25">
      <c r="A15" t="s">
        <v>19</v>
      </c>
      <c r="B15" s="12">
        <v>1.25</v>
      </c>
      <c r="D15" s="10" t="s">
        <v>20</v>
      </c>
    </row>
    <row r="16" spans="1:5" x14ac:dyDescent="0.25">
      <c r="A16" t="s">
        <v>21</v>
      </c>
      <c r="B16" s="12">
        <v>0.3</v>
      </c>
      <c r="D16" s="10" t="s">
        <v>22</v>
      </c>
    </row>
    <row r="18" spans="1:5" ht="15.75" x14ac:dyDescent="0.25">
      <c r="A18" s="5" t="s">
        <v>23</v>
      </c>
      <c r="B18" s="5"/>
      <c r="C18" s="5"/>
      <c r="D18" s="5"/>
      <c r="E18" s="5"/>
    </row>
    <row r="19" spans="1:5" x14ac:dyDescent="0.25">
      <c r="A19" t="s">
        <v>24</v>
      </c>
      <c r="B19" s="11">
        <v>0.8</v>
      </c>
      <c r="D19" s="10" t="s">
        <v>25</v>
      </c>
    </row>
    <row r="20" spans="1:5" x14ac:dyDescent="0.25">
      <c r="A20" t="s">
        <v>26</v>
      </c>
      <c r="B20" s="11">
        <v>0.6</v>
      </c>
      <c r="D20" s="10" t="s">
        <v>27</v>
      </c>
    </row>
    <row r="21" spans="1:5" x14ac:dyDescent="0.25">
      <c r="A21" t="s">
        <v>28</v>
      </c>
      <c r="B21" s="11">
        <v>0.3</v>
      </c>
      <c r="D21" s="10" t="s">
        <v>29</v>
      </c>
    </row>
    <row r="22" spans="1:5" x14ac:dyDescent="0.25">
      <c r="A22" t="s">
        <v>30</v>
      </c>
      <c r="B22" s="11">
        <v>0.15</v>
      </c>
      <c r="D22" s="10" t="s">
        <v>31</v>
      </c>
    </row>
    <row r="23" spans="1:5" x14ac:dyDescent="0.25">
      <c r="A23" t="s">
        <v>32</v>
      </c>
      <c r="B23" s="11">
        <v>0.1</v>
      </c>
      <c r="D23" s="10" t="s">
        <v>33</v>
      </c>
    </row>
    <row r="24" spans="1:5" x14ac:dyDescent="0.25">
      <c r="A24" t="s">
        <v>34</v>
      </c>
      <c r="B24" s="14">
        <v>25</v>
      </c>
      <c r="D24" s="10" t="s">
        <v>35</v>
      </c>
    </row>
    <row r="26" spans="1:5" ht="15.75" x14ac:dyDescent="0.25">
      <c r="A26" s="5" t="s">
        <v>36</v>
      </c>
      <c r="B26" s="5"/>
      <c r="C26" s="5"/>
      <c r="D26" s="5"/>
      <c r="E26" s="5"/>
    </row>
    <row r="27" spans="1:5" x14ac:dyDescent="0.25">
      <c r="A27" t="s">
        <v>37</v>
      </c>
      <c r="B27" s="15">
        <v>60</v>
      </c>
      <c r="D27" s="10" t="s">
        <v>38</v>
      </c>
    </row>
    <row r="28" spans="1:5" x14ac:dyDescent="0.25">
      <c r="A28" t="s">
        <v>39</v>
      </c>
      <c r="B28" s="16">
        <v>9.9500000000000005E-2</v>
      </c>
      <c r="D28" s="10" t="s">
        <v>40</v>
      </c>
    </row>
    <row r="29" spans="1:5" x14ac:dyDescent="0.25">
      <c r="A29" t="s">
        <v>41</v>
      </c>
      <c r="B29" s="14">
        <v>14</v>
      </c>
      <c r="D29" s="10" t="s">
        <v>42</v>
      </c>
    </row>
    <row r="30" spans="1:5" x14ac:dyDescent="0.25">
      <c r="A30" t="s">
        <v>43</v>
      </c>
      <c r="B30" s="11">
        <v>0.08</v>
      </c>
      <c r="D30" s="10" t="s">
        <v>44</v>
      </c>
    </row>
    <row r="32" spans="1:5" ht="15.75" x14ac:dyDescent="0.25">
      <c r="A32" s="5" t="s">
        <v>45</v>
      </c>
      <c r="B32" s="5"/>
      <c r="C32" s="5"/>
      <c r="D32" s="5"/>
      <c r="E32" s="5"/>
    </row>
    <row r="33" spans="1:5" x14ac:dyDescent="0.25">
      <c r="A33" t="s">
        <v>46</v>
      </c>
      <c r="B33" s="15">
        <v>1000</v>
      </c>
      <c r="D33" s="10" t="s">
        <v>47</v>
      </c>
    </row>
    <row r="34" spans="1:5" x14ac:dyDescent="0.25">
      <c r="A34" t="s">
        <v>48</v>
      </c>
      <c r="B34" s="14">
        <v>200</v>
      </c>
      <c r="D34" s="10" t="s">
        <v>49</v>
      </c>
    </row>
    <row r="35" spans="1:5" x14ac:dyDescent="0.25">
      <c r="A35" t="s">
        <v>50</v>
      </c>
      <c r="B35" s="15">
        <v>500</v>
      </c>
      <c r="D35" s="10" t="s">
        <v>51</v>
      </c>
    </row>
    <row r="37" spans="1:5" ht="15.75" x14ac:dyDescent="0.25">
      <c r="A37" s="5" t="s">
        <v>52</v>
      </c>
      <c r="B37" s="5"/>
      <c r="C37" s="5"/>
      <c r="D37" s="5"/>
      <c r="E37" s="5"/>
    </row>
    <row r="38" spans="1:5" x14ac:dyDescent="0.25">
      <c r="A38" t="s">
        <v>53</v>
      </c>
      <c r="B38" s="15">
        <v>1500</v>
      </c>
      <c r="D38" s="10" t="s">
        <v>54</v>
      </c>
    </row>
    <row r="39" spans="1:5" x14ac:dyDescent="0.25">
      <c r="A39" t="s">
        <v>55</v>
      </c>
      <c r="B39" s="15">
        <v>500</v>
      </c>
      <c r="D39" s="10" t="s">
        <v>56</v>
      </c>
    </row>
    <row r="40" spans="1:5" x14ac:dyDescent="0.25">
      <c r="A40" t="s">
        <v>57</v>
      </c>
      <c r="B40" s="15">
        <v>300</v>
      </c>
      <c r="D40" s="10" t="s">
        <v>58</v>
      </c>
    </row>
    <row r="42" spans="1:5" ht="15.75" x14ac:dyDescent="0.25">
      <c r="A42" s="4" t="s">
        <v>59</v>
      </c>
      <c r="B42" s="4"/>
      <c r="C42" s="4"/>
      <c r="D42" s="4"/>
      <c r="E42" s="4"/>
    </row>
    <row r="43" spans="1:5" x14ac:dyDescent="0.25">
      <c r="A43" t="s">
        <v>60</v>
      </c>
      <c r="B43" s="14">
        <v>1000</v>
      </c>
      <c r="D43" s="10" t="s">
        <v>61</v>
      </c>
    </row>
    <row r="44" spans="1:5" x14ac:dyDescent="0.25">
      <c r="A44" t="s">
        <v>62</v>
      </c>
      <c r="B44" s="11">
        <v>0.25</v>
      </c>
      <c r="D44" s="10" t="s">
        <v>63</v>
      </c>
    </row>
    <row r="45" spans="1:5" x14ac:dyDescent="0.25">
      <c r="A45" t="s">
        <v>64</v>
      </c>
      <c r="B45" s="14">
        <f>B43/B44</f>
        <v>4000</v>
      </c>
      <c r="D45" s="10" t="s">
        <v>65</v>
      </c>
    </row>
    <row r="46" spans="1:5" x14ac:dyDescent="0.25">
      <c r="A46" t="s">
        <v>66</v>
      </c>
      <c r="B46" s="12">
        <v>22</v>
      </c>
      <c r="D46" s="10" t="s">
        <v>67</v>
      </c>
    </row>
    <row r="47" spans="1:5" x14ac:dyDescent="0.25">
      <c r="A47" t="s">
        <v>68</v>
      </c>
      <c r="B47" s="15">
        <v>10</v>
      </c>
      <c r="D47" s="10" t="s">
        <v>69</v>
      </c>
    </row>
    <row r="48" spans="1:5" x14ac:dyDescent="0.25">
      <c r="A48" t="s">
        <v>70</v>
      </c>
      <c r="B48" s="11">
        <v>0.3</v>
      </c>
      <c r="D48" s="10" t="s">
        <v>71</v>
      </c>
    </row>
  </sheetData>
  <mergeCells count="8">
    <mergeCell ref="A32:E32"/>
    <mergeCell ref="A37:E37"/>
    <mergeCell ref="A42:E42"/>
    <mergeCell ref="A1:E1"/>
    <mergeCell ref="A4:E4"/>
    <mergeCell ref="A12:E12"/>
    <mergeCell ref="A18:E18"/>
    <mergeCell ref="A26:E2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zoomScaleNormal="100" workbookViewId="0">
      <selection sqref="A1:G1"/>
    </sheetView>
  </sheetViews>
  <sheetFormatPr defaultColWidth="8.7109375" defaultRowHeight="15" x14ac:dyDescent="0.25"/>
  <cols>
    <col min="1" max="5" width="18" customWidth="1"/>
    <col min="6" max="7" width="22" customWidth="1"/>
  </cols>
  <sheetData>
    <row r="1" spans="1:7" ht="18" x14ac:dyDescent="0.25">
      <c r="A1" s="6" t="s">
        <v>72</v>
      </c>
      <c r="B1" s="6"/>
      <c r="C1" s="6"/>
      <c r="D1" s="6"/>
      <c r="E1" s="6"/>
      <c r="F1" s="6"/>
      <c r="G1" s="6"/>
    </row>
    <row r="2" spans="1:7" x14ac:dyDescent="0.25">
      <c r="A2" s="10" t="s">
        <v>73</v>
      </c>
    </row>
    <row r="4" spans="1:7" x14ac:dyDescent="0.25">
      <c r="A4" s="18" t="s">
        <v>74</v>
      </c>
      <c r="B4" s="18" t="s">
        <v>75</v>
      </c>
      <c r="C4" s="18" t="s">
        <v>76</v>
      </c>
      <c r="D4" s="18" t="s">
        <v>77</v>
      </c>
      <c r="E4" s="18" t="s">
        <v>78</v>
      </c>
      <c r="F4" s="18" t="s">
        <v>79</v>
      </c>
      <c r="G4" s="18" t="s">
        <v>80</v>
      </c>
    </row>
    <row r="5" spans="1:7" x14ac:dyDescent="0.25">
      <c r="A5" s="19" t="s">
        <v>81</v>
      </c>
      <c r="B5" s="20">
        <v>22</v>
      </c>
      <c r="C5" s="21">
        <v>0.25</v>
      </c>
      <c r="D5" s="20">
        <v>88</v>
      </c>
      <c r="E5" s="20">
        <v>88000</v>
      </c>
      <c r="F5" s="19" t="s">
        <v>82</v>
      </c>
      <c r="G5" s="19" t="s">
        <v>83</v>
      </c>
    </row>
    <row r="6" spans="1:7" x14ac:dyDescent="0.25">
      <c r="A6" s="19" t="s">
        <v>84</v>
      </c>
      <c r="B6" s="20">
        <v>70</v>
      </c>
      <c r="C6" s="21">
        <v>0.2</v>
      </c>
      <c r="D6" s="20">
        <v>350</v>
      </c>
      <c r="E6" s="20">
        <v>350000</v>
      </c>
      <c r="F6" s="19" t="s">
        <v>85</v>
      </c>
      <c r="G6" s="19" t="s">
        <v>86</v>
      </c>
    </row>
    <row r="7" spans="1:7" x14ac:dyDescent="0.25">
      <c r="A7" s="19" t="s">
        <v>87</v>
      </c>
      <c r="B7" s="20">
        <v>25</v>
      </c>
      <c r="C7" s="21">
        <v>0.5</v>
      </c>
      <c r="D7" s="20">
        <v>50</v>
      </c>
      <c r="E7" s="20">
        <v>50000</v>
      </c>
      <c r="F7" s="19" t="s">
        <v>88</v>
      </c>
      <c r="G7" s="19" t="s">
        <v>89</v>
      </c>
    </row>
    <row r="8" spans="1:7" x14ac:dyDescent="0.25">
      <c r="A8" s="19" t="s">
        <v>90</v>
      </c>
      <c r="B8" s="20">
        <v>15</v>
      </c>
      <c r="C8" s="21">
        <v>0.15</v>
      </c>
      <c r="D8" s="20">
        <v>100</v>
      </c>
      <c r="E8" s="20">
        <v>100000</v>
      </c>
      <c r="F8" s="19" t="s">
        <v>91</v>
      </c>
      <c r="G8" s="19" t="s">
        <v>92</v>
      </c>
    </row>
    <row r="9" spans="1:7" x14ac:dyDescent="0.25">
      <c r="A9" s="19" t="s">
        <v>93</v>
      </c>
      <c r="B9" s="20">
        <v>10</v>
      </c>
      <c r="C9" s="21">
        <v>0.35</v>
      </c>
      <c r="D9" s="20">
        <v>29</v>
      </c>
      <c r="E9" s="20">
        <v>29000</v>
      </c>
      <c r="F9" s="19" t="s">
        <v>94</v>
      </c>
      <c r="G9" s="19" t="s">
        <v>95</v>
      </c>
    </row>
    <row r="10" spans="1:7" x14ac:dyDescent="0.25">
      <c r="A10" s="19" t="s">
        <v>96</v>
      </c>
      <c r="B10" s="20">
        <v>18</v>
      </c>
      <c r="C10" s="21">
        <v>0.2</v>
      </c>
      <c r="D10" s="20">
        <v>90</v>
      </c>
      <c r="E10" s="20">
        <v>90000</v>
      </c>
      <c r="F10" s="19" t="s">
        <v>97</v>
      </c>
      <c r="G10" s="19" t="s">
        <v>98</v>
      </c>
    </row>
    <row r="13" spans="1:7" ht="18" x14ac:dyDescent="0.25">
      <c r="A13" s="3" t="s">
        <v>99</v>
      </c>
      <c r="B13" s="3"/>
      <c r="C13" s="3"/>
      <c r="D13" s="3"/>
      <c r="E13" s="3"/>
      <c r="F13" s="3"/>
      <c r="G13" s="3"/>
    </row>
    <row r="15" spans="1:7" x14ac:dyDescent="0.25">
      <c r="A15" s="22" t="s">
        <v>74</v>
      </c>
      <c r="B15" s="22" t="s">
        <v>100</v>
      </c>
      <c r="C15" s="22" t="s">
        <v>101</v>
      </c>
      <c r="D15" s="22" t="s">
        <v>102</v>
      </c>
      <c r="E15" s="22" t="s">
        <v>103</v>
      </c>
    </row>
    <row r="16" spans="1:7" x14ac:dyDescent="0.25">
      <c r="A16" t="s">
        <v>104</v>
      </c>
      <c r="B16" s="23">
        <v>0.5</v>
      </c>
      <c r="C16" s="24">
        <v>22</v>
      </c>
      <c r="D16" s="24">
        <v>44000</v>
      </c>
      <c r="E16" t="s">
        <v>105</v>
      </c>
    </row>
    <row r="17" spans="1:5" x14ac:dyDescent="0.25">
      <c r="A17" t="s">
        <v>106</v>
      </c>
      <c r="B17" s="23">
        <v>0.3</v>
      </c>
      <c r="C17" s="24">
        <v>25</v>
      </c>
      <c r="D17" s="24">
        <v>15000</v>
      </c>
      <c r="E17" t="s">
        <v>107</v>
      </c>
    </row>
    <row r="18" spans="1:5" x14ac:dyDescent="0.25">
      <c r="A18" t="s">
        <v>93</v>
      </c>
      <c r="B18" s="23">
        <v>0.2</v>
      </c>
      <c r="C18" s="24">
        <v>10</v>
      </c>
      <c r="D18" s="24">
        <v>5800</v>
      </c>
      <c r="E18" t="s">
        <v>108</v>
      </c>
    </row>
    <row r="20" spans="1:5" ht="18" x14ac:dyDescent="0.25">
      <c r="A20" s="25" t="s">
        <v>109</v>
      </c>
      <c r="D20" s="26">
        <v>64800</v>
      </c>
    </row>
    <row r="21" spans="1:5" ht="18" x14ac:dyDescent="0.25">
      <c r="A21" s="25" t="s">
        <v>110</v>
      </c>
      <c r="D21" s="27">
        <v>64.8</v>
      </c>
    </row>
  </sheetData>
  <mergeCells count="2">
    <mergeCell ref="A1:G1"/>
    <mergeCell ref="A13:G1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1"/>
  <sheetViews>
    <sheetView zoomScaleNormal="100" workbookViewId="0"/>
  </sheetViews>
  <sheetFormatPr defaultColWidth="8.7109375" defaultRowHeight="15" x14ac:dyDescent="0.25"/>
  <cols>
    <col min="1" max="1" width="28" customWidth="1"/>
    <col min="2" max="14" width="11" customWidth="1"/>
  </cols>
  <sheetData>
    <row r="1" spans="1:15" ht="18" x14ac:dyDescent="0.25">
      <c r="A1" s="6" t="s">
        <v>111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10" t="s">
        <v>112</v>
      </c>
    </row>
    <row r="4" spans="1:15" x14ac:dyDescent="0.25">
      <c r="A4" s="28"/>
      <c r="B4" s="28" t="s">
        <v>113</v>
      </c>
      <c r="C4" s="28" t="s">
        <v>114</v>
      </c>
      <c r="D4" s="28" t="s">
        <v>115</v>
      </c>
      <c r="E4" s="28" t="s">
        <v>116</v>
      </c>
      <c r="F4" s="28" t="s">
        <v>117</v>
      </c>
      <c r="G4" s="28" t="s">
        <v>118</v>
      </c>
      <c r="H4" s="28" t="s">
        <v>119</v>
      </c>
      <c r="I4" s="28" t="s">
        <v>120</v>
      </c>
      <c r="J4" s="28" t="s">
        <v>121</v>
      </c>
      <c r="K4" s="28" t="s">
        <v>122</v>
      </c>
      <c r="L4" s="28" t="s">
        <v>123</v>
      </c>
      <c r="M4" s="28" t="s">
        <v>124</v>
      </c>
      <c r="N4" s="28" t="s">
        <v>125</v>
      </c>
    </row>
    <row r="5" spans="1:15" x14ac:dyDescent="0.25">
      <c r="A5" s="25" t="s">
        <v>126</v>
      </c>
      <c r="B5" s="29">
        <v>100</v>
      </c>
      <c r="C5" s="29">
        <v>200</v>
      </c>
      <c r="D5" s="29">
        <v>300</v>
      </c>
      <c r="E5" s="29">
        <v>400</v>
      </c>
      <c r="F5" s="29">
        <v>500</v>
      </c>
      <c r="G5" s="29">
        <v>600</v>
      </c>
      <c r="H5" s="29">
        <v>700</v>
      </c>
      <c r="I5" s="29">
        <v>800</v>
      </c>
      <c r="J5" s="29">
        <v>900</v>
      </c>
      <c r="K5" s="29">
        <v>1000</v>
      </c>
      <c r="L5" s="29">
        <v>1000</v>
      </c>
      <c r="M5" s="29">
        <v>1000</v>
      </c>
      <c r="N5" s="30">
        <f>SUM(B5:M5)</f>
        <v>7500</v>
      </c>
    </row>
    <row r="6" spans="1:15" x14ac:dyDescent="0.25">
      <c r="A6" s="25" t="s">
        <v>127</v>
      </c>
      <c r="B6" s="31">
        <f>B5</f>
        <v>100</v>
      </c>
      <c r="C6" s="31">
        <f t="shared" ref="C6:M6" si="0">B6+C5</f>
        <v>300</v>
      </c>
      <c r="D6" s="31">
        <f t="shared" si="0"/>
        <v>600</v>
      </c>
      <c r="E6" s="31">
        <f t="shared" si="0"/>
        <v>1000</v>
      </c>
      <c r="F6" s="31">
        <f t="shared" si="0"/>
        <v>1500</v>
      </c>
      <c r="G6" s="31">
        <f t="shared" si="0"/>
        <v>2100</v>
      </c>
      <c r="H6" s="31">
        <f t="shared" si="0"/>
        <v>2800</v>
      </c>
      <c r="I6" s="31">
        <f t="shared" si="0"/>
        <v>3600</v>
      </c>
      <c r="J6" s="31">
        <f t="shared" si="0"/>
        <v>4500</v>
      </c>
      <c r="K6" s="31">
        <f t="shared" si="0"/>
        <v>5500</v>
      </c>
      <c r="L6" s="31">
        <f t="shared" si="0"/>
        <v>6500</v>
      </c>
      <c r="M6" s="31">
        <f t="shared" si="0"/>
        <v>7500</v>
      </c>
      <c r="N6" s="30">
        <f>M6</f>
        <v>7500</v>
      </c>
    </row>
    <row r="8" spans="1:15" ht="15.75" x14ac:dyDescent="0.25">
      <c r="A8" s="8" t="s">
        <v>128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</row>
    <row r="9" spans="1:15" x14ac:dyDescent="0.25">
      <c r="A9" s="19" t="s">
        <v>129</v>
      </c>
      <c r="B9" s="20">
        <f>B6*Assumptions!$B$6*Assumptions!$B$8*Assumptions!$B$10</f>
        <v>1136.625</v>
      </c>
      <c r="C9" s="20">
        <f>C6*Assumptions!$B$6*Assumptions!$B$8*Assumptions!$B$10</f>
        <v>3409.875</v>
      </c>
      <c r="D9" s="20">
        <f>D6*Assumptions!$B$6*Assumptions!$B$8*Assumptions!$B$10</f>
        <v>6819.75</v>
      </c>
      <c r="E9" s="20">
        <f>E6*Assumptions!$B$6*Assumptions!$B$8*Assumptions!$B$10</f>
        <v>11366.25</v>
      </c>
      <c r="F9" s="20">
        <f>F6*Assumptions!$B$6*Assumptions!$B$8*Assumptions!$B$10</f>
        <v>17049.375</v>
      </c>
      <c r="G9" s="20">
        <f>G6*Assumptions!$B$6*Assumptions!$B$8*Assumptions!$B$10</f>
        <v>23869.125</v>
      </c>
      <c r="H9" s="20">
        <f>H6*Assumptions!$B$6*Assumptions!$B$8*Assumptions!$B$10</f>
        <v>31825.499999999996</v>
      </c>
      <c r="I9" s="20">
        <f>I6*Assumptions!$B$6*Assumptions!$B$8*Assumptions!$B$10</f>
        <v>40918.5</v>
      </c>
      <c r="J9" s="20">
        <f>J6*Assumptions!$B$6*Assumptions!$B$8*Assumptions!$B$10</f>
        <v>51148.125</v>
      </c>
      <c r="K9" s="20">
        <f>K6*Assumptions!$B$6*Assumptions!$B$8*Assumptions!$B$10</f>
        <v>62514.374999999993</v>
      </c>
      <c r="L9" s="20">
        <f>L6*Assumptions!$B$6*Assumptions!$B$8*Assumptions!$B$10</f>
        <v>73880.625</v>
      </c>
      <c r="M9" s="20">
        <f>M6*Assumptions!$B$6*Assumptions!$B$8*Assumptions!$B$10</f>
        <v>85246.875</v>
      </c>
      <c r="N9" s="33">
        <f t="shared" ref="N9:N15" si="1">SUM(B9:M9)</f>
        <v>409185</v>
      </c>
    </row>
    <row r="10" spans="1:15" x14ac:dyDescent="0.25">
      <c r="A10" s="19" t="s">
        <v>130</v>
      </c>
      <c r="B10" s="20">
        <f>B6*Assumptions!$B$7*Assumptions!$B$9*Assumptions!$B$10</f>
        <v>772.90499999999997</v>
      </c>
      <c r="C10" s="20">
        <f>C6*Assumptions!$B$7*Assumptions!$B$9*Assumptions!$B$10</f>
        <v>2318.7150000000001</v>
      </c>
      <c r="D10" s="20">
        <f>D6*Assumptions!$B$7*Assumptions!$B$9*Assumptions!$B$10</f>
        <v>4637.43</v>
      </c>
      <c r="E10" s="20">
        <f>E6*Assumptions!$B$7*Assumptions!$B$9*Assumptions!$B$10</f>
        <v>7729.05</v>
      </c>
      <c r="F10" s="20">
        <f>F6*Assumptions!$B$7*Assumptions!$B$9*Assumptions!$B$10</f>
        <v>11593.575000000001</v>
      </c>
      <c r="G10" s="20">
        <f>G6*Assumptions!$B$7*Assumptions!$B$9*Assumptions!$B$10</f>
        <v>16231.005000000001</v>
      </c>
      <c r="H10" s="20">
        <f>H6*Assumptions!$B$7*Assumptions!$B$9*Assumptions!$B$10</f>
        <v>21641.34</v>
      </c>
      <c r="I10" s="20">
        <f>I6*Assumptions!$B$7*Assumptions!$B$9*Assumptions!$B$10</f>
        <v>27824.58</v>
      </c>
      <c r="J10" s="20">
        <f>J6*Assumptions!$B$7*Assumptions!$B$9*Assumptions!$B$10</f>
        <v>34780.724999999999</v>
      </c>
      <c r="K10" s="20">
        <f>K6*Assumptions!$B$7*Assumptions!$B$9*Assumptions!$B$10</f>
        <v>42509.775000000001</v>
      </c>
      <c r="L10" s="20">
        <f>L6*Assumptions!$B$7*Assumptions!$B$9*Assumptions!$B$10</f>
        <v>50238.825000000004</v>
      </c>
      <c r="M10" s="20">
        <f>M6*Assumptions!$B$7*Assumptions!$B$9*Assumptions!$B$10</f>
        <v>57967.875</v>
      </c>
      <c r="N10" s="33">
        <f t="shared" si="1"/>
        <v>278245.80000000005</v>
      </c>
    </row>
    <row r="11" spans="1:15" x14ac:dyDescent="0.25">
      <c r="A11" s="19" t="s">
        <v>131</v>
      </c>
      <c r="B11" s="20">
        <f>B6*Assumptions!$B$21*2.5</f>
        <v>75</v>
      </c>
      <c r="C11" s="20">
        <f>C6*Assumptions!$B$21*2.5</f>
        <v>225</v>
      </c>
      <c r="D11" s="20">
        <f>D6*Assumptions!$B$21*2.5</f>
        <v>450</v>
      </c>
      <c r="E11" s="20">
        <f>E6*Assumptions!$B$21*2.5</f>
        <v>750</v>
      </c>
      <c r="F11" s="20">
        <f>F6*Assumptions!$B$21*2.5</f>
        <v>1125</v>
      </c>
      <c r="G11" s="20">
        <f>G6*Assumptions!$B$21*2.5</f>
        <v>1575</v>
      </c>
      <c r="H11" s="20">
        <f>H6*Assumptions!$B$21*2.5</f>
        <v>2100</v>
      </c>
      <c r="I11" s="20">
        <f>I6*Assumptions!$B$21*2.5</f>
        <v>2700</v>
      </c>
      <c r="J11" s="20">
        <f>J6*Assumptions!$B$21*2.5</f>
        <v>3375</v>
      </c>
      <c r="K11" s="20">
        <f>K6*Assumptions!$B$21*2.5</f>
        <v>4125</v>
      </c>
      <c r="L11" s="20">
        <f>L6*Assumptions!$B$21*2.5</f>
        <v>4875</v>
      </c>
      <c r="M11" s="20">
        <f>M6*Assumptions!$B$21*2.5</f>
        <v>5625</v>
      </c>
      <c r="N11" s="33">
        <f t="shared" si="1"/>
        <v>27000</v>
      </c>
    </row>
    <row r="12" spans="1:15" x14ac:dyDescent="0.25">
      <c r="A12" s="19" t="s">
        <v>132</v>
      </c>
      <c r="B12" s="20">
        <f>B6*Assumptions!$B$22*2.5</f>
        <v>37.5</v>
      </c>
      <c r="C12" s="20">
        <f>C6*Assumptions!$B$22*2.5</f>
        <v>112.5</v>
      </c>
      <c r="D12" s="20">
        <f>D6*Assumptions!$B$22*2.5</f>
        <v>225</v>
      </c>
      <c r="E12" s="20">
        <f>E6*Assumptions!$B$22*2.5</f>
        <v>375</v>
      </c>
      <c r="F12" s="20">
        <f>F6*Assumptions!$B$22*2.5</f>
        <v>562.5</v>
      </c>
      <c r="G12" s="20">
        <f>G6*Assumptions!$B$22*2.5</f>
        <v>787.5</v>
      </c>
      <c r="H12" s="20">
        <f>H6*Assumptions!$B$22*2.5</f>
        <v>1050</v>
      </c>
      <c r="I12" s="20">
        <f>I6*Assumptions!$B$22*2.5</f>
        <v>1350</v>
      </c>
      <c r="J12" s="20">
        <f>J6*Assumptions!$B$22*2.5</f>
        <v>1687.5</v>
      </c>
      <c r="K12" s="20">
        <f>K6*Assumptions!$B$22*2.5</f>
        <v>2062.5</v>
      </c>
      <c r="L12" s="20">
        <f>L6*Assumptions!$B$22*2.5</f>
        <v>2437.5</v>
      </c>
      <c r="M12" s="20">
        <f>M6*Assumptions!$B$22*2.5</f>
        <v>2812.5</v>
      </c>
      <c r="N12" s="33">
        <f t="shared" si="1"/>
        <v>13500</v>
      </c>
    </row>
    <row r="13" spans="1:15" x14ac:dyDescent="0.25">
      <c r="A13" s="19" t="s">
        <v>133</v>
      </c>
      <c r="B13" s="20">
        <f>B6*Assumptions!$B$20*Assumptions!$B$27*Assumptions!$B$28*(Assumptions!$B$29/365)</f>
        <v>13.739178082191783</v>
      </c>
      <c r="C13" s="20">
        <f>C6*Assumptions!$B$20*Assumptions!$B$27*Assumptions!$B$28*(Assumptions!$B$29/365)</f>
        <v>41.217534246575347</v>
      </c>
      <c r="D13" s="20">
        <f>D6*Assumptions!$B$20*Assumptions!$B$27*Assumptions!$B$28*(Assumptions!$B$29/365)</f>
        <v>82.435068493150695</v>
      </c>
      <c r="E13" s="20">
        <f>E6*Assumptions!$B$20*Assumptions!$B$27*Assumptions!$B$28*(Assumptions!$B$29/365)</f>
        <v>137.39178082191782</v>
      </c>
      <c r="F13" s="20">
        <f>F6*Assumptions!$B$20*Assumptions!$B$27*Assumptions!$B$28*(Assumptions!$B$29/365)</f>
        <v>206.08767123287672</v>
      </c>
      <c r="G13" s="20">
        <f>G6*Assumptions!$B$20*Assumptions!$B$27*Assumptions!$B$28*(Assumptions!$B$29/365)</f>
        <v>288.52273972602745</v>
      </c>
      <c r="H13" s="20">
        <f>H6*Assumptions!$B$20*Assumptions!$B$27*Assumptions!$B$28*(Assumptions!$B$29/365)</f>
        <v>384.69698630136992</v>
      </c>
      <c r="I13" s="20">
        <f>I6*Assumptions!$B$20*Assumptions!$B$27*Assumptions!$B$28*(Assumptions!$B$29/365)</f>
        <v>494.61041095890414</v>
      </c>
      <c r="J13" s="20">
        <f>J6*Assumptions!$B$20*Assumptions!$B$27*Assumptions!$B$28*(Assumptions!$B$29/365)</f>
        <v>618.26301369863017</v>
      </c>
      <c r="K13" s="20">
        <f>K6*Assumptions!$B$20*Assumptions!$B$27*Assumptions!$B$28*(Assumptions!$B$29/365)</f>
        <v>755.65479452054797</v>
      </c>
      <c r="L13" s="20">
        <f>L6*Assumptions!$B$20*Assumptions!$B$27*Assumptions!$B$28*(Assumptions!$B$29/365)</f>
        <v>893.04657534246576</v>
      </c>
      <c r="M13" s="20">
        <f>M6*Assumptions!$B$20*Assumptions!$B$27*Assumptions!$B$28*(Assumptions!$B$29/365)</f>
        <v>1030.4383561643835</v>
      </c>
      <c r="N13" s="33">
        <f t="shared" si="1"/>
        <v>4946.1041095890414</v>
      </c>
    </row>
    <row r="14" spans="1:15" x14ac:dyDescent="0.25">
      <c r="A14" s="19" t="s">
        <v>134</v>
      </c>
      <c r="B14" s="20">
        <f>B6*Assumptions!$B$23*1</f>
        <v>10</v>
      </c>
      <c r="C14" s="20">
        <f>C6*Assumptions!$B$23*1</f>
        <v>30</v>
      </c>
      <c r="D14" s="20">
        <f>D6*Assumptions!$B$23*1</f>
        <v>60</v>
      </c>
      <c r="E14" s="20">
        <f>E6*Assumptions!$B$23*1</f>
        <v>100</v>
      </c>
      <c r="F14" s="20">
        <f>F6*Assumptions!$B$23*1</f>
        <v>150</v>
      </c>
      <c r="G14" s="20">
        <f>G6*Assumptions!$B$23*1</f>
        <v>210</v>
      </c>
      <c r="H14" s="20">
        <f>H6*Assumptions!$B$23*1</f>
        <v>280</v>
      </c>
      <c r="I14" s="20">
        <f>I6*Assumptions!$B$23*1</f>
        <v>360</v>
      </c>
      <c r="J14" s="20">
        <f>J6*Assumptions!$B$23*1</f>
        <v>450</v>
      </c>
      <c r="K14" s="20">
        <f>K6*Assumptions!$B$23*1</f>
        <v>550</v>
      </c>
      <c r="L14" s="20">
        <f>L6*Assumptions!$B$23*1</f>
        <v>650</v>
      </c>
      <c r="M14" s="20">
        <f>M6*Assumptions!$B$23*1</f>
        <v>750</v>
      </c>
      <c r="N14" s="33">
        <f t="shared" si="1"/>
        <v>3600</v>
      </c>
    </row>
    <row r="15" spans="1:15" x14ac:dyDescent="0.25">
      <c r="A15" s="19" t="s">
        <v>135</v>
      </c>
      <c r="B15" s="20">
        <f>B6*Assumptions!$B$24*0.05</f>
        <v>125</v>
      </c>
      <c r="C15" s="20">
        <f>C6*Assumptions!$B$24*0.05</f>
        <v>375</v>
      </c>
      <c r="D15" s="20">
        <f>D6*Assumptions!$B$24*0.05</f>
        <v>750</v>
      </c>
      <c r="E15" s="20">
        <f>E6*Assumptions!$B$24*0.05</f>
        <v>1250</v>
      </c>
      <c r="F15" s="20">
        <f>F6*Assumptions!$B$24*0.05</f>
        <v>1875</v>
      </c>
      <c r="G15" s="20">
        <f>G6*Assumptions!$B$24*0.05</f>
        <v>2625</v>
      </c>
      <c r="H15" s="20">
        <f>H6*Assumptions!$B$24*0.05</f>
        <v>3500</v>
      </c>
      <c r="I15" s="20">
        <f>I6*Assumptions!$B$24*0.05</f>
        <v>4500</v>
      </c>
      <c r="J15" s="20">
        <f>J6*Assumptions!$B$24*0.05</f>
        <v>5625</v>
      </c>
      <c r="K15" s="20">
        <f>K6*Assumptions!$B$24*0.05</f>
        <v>6875</v>
      </c>
      <c r="L15" s="20">
        <f>L6*Assumptions!$B$24*0.05</f>
        <v>8125</v>
      </c>
      <c r="M15" s="20">
        <f>M6*Assumptions!$B$24*0.05</f>
        <v>9375</v>
      </c>
      <c r="N15" s="33">
        <f t="shared" si="1"/>
        <v>45000</v>
      </c>
    </row>
    <row r="16" spans="1:15" x14ac:dyDescent="0.25">
      <c r="A16" s="34" t="s">
        <v>136</v>
      </c>
      <c r="B16" s="35">
        <f t="shared" ref="B16:N16" si="2">SUM(B9:B15)</f>
        <v>2170.7691780821915</v>
      </c>
      <c r="C16" s="35">
        <f t="shared" si="2"/>
        <v>6512.3075342465754</v>
      </c>
      <c r="D16" s="35">
        <f t="shared" si="2"/>
        <v>13024.615068493151</v>
      </c>
      <c r="E16" s="35">
        <f t="shared" si="2"/>
        <v>21707.691780821919</v>
      </c>
      <c r="F16" s="35">
        <f t="shared" si="2"/>
        <v>32561.537671232876</v>
      </c>
      <c r="G16" s="35">
        <f t="shared" si="2"/>
        <v>45586.152739726029</v>
      </c>
      <c r="H16" s="35">
        <f t="shared" si="2"/>
        <v>60781.536986301369</v>
      </c>
      <c r="I16" s="35">
        <f t="shared" si="2"/>
        <v>78147.690410958909</v>
      </c>
      <c r="J16" s="35">
        <f t="shared" si="2"/>
        <v>97684.613013698632</v>
      </c>
      <c r="K16" s="35">
        <f t="shared" si="2"/>
        <v>119392.30479452055</v>
      </c>
      <c r="L16" s="35">
        <f t="shared" si="2"/>
        <v>141099.99657534249</v>
      </c>
      <c r="M16" s="35">
        <f t="shared" si="2"/>
        <v>162807.68835616438</v>
      </c>
      <c r="N16" s="35">
        <f t="shared" si="2"/>
        <v>781476.90410958906</v>
      </c>
    </row>
    <row r="18" spans="1:14" ht="15.75" x14ac:dyDescent="0.25">
      <c r="A18" s="36" t="s">
        <v>137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</row>
    <row r="19" spans="1:14" x14ac:dyDescent="0.25">
      <c r="A19" s="19" t="s">
        <v>138</v>
      </c>
      <c r="B19" s="20">
        <f>B6*Assumptions!$B$19*Assumptions!$B$16</f>
        <v>24</v>
      </c>
      <c r="C19" s="20">
        <f>C6*Assumptions!$B$19*Assumptions!$B$16</f>
        <v>72</v>
      </c>
      <c r="D19" s="20">
        <f>D6*Assumptions!$B$19*Assumptions!$B$16</f>
        <v>144</v>
      </c>
      <c r="E19" s="20">
        <f>E6*Assumptions!$B$19*Assumptions!$B$16</f>
        <v>240</v>
      </c>
      <c r="F19" s="20">
        <f>F6*Assumptions!$B$19*Assumptions!$B$16</f>
        <v>360</v>
      </c>
      <c r="G19" s="20">
        <f>G6*Assumptions!$B$19*Assumptions!$B$16</f>
        <v>504</v>
      </c>
      <c r="H19" s="20">
        <f>H6*Assumptions!$B$19*Assumptions!$B$16</f>
        <v>672</v>
      </c>
      <c r="I19" s="20">
        <f>I6*Assumptions!$B$19*Assumptions!$B$16</f>
        <v>864</v>
      </c>
      <c r="J19" s="20">
        <f>J6*Assumptions!$B$19*Assumptions!$B$16</f>
        <v>1080</v>
      </c>
      <c r="K19" s="20">
        <f>K6*Assumptions!$B$19*Assumptions!$B$16</f>
        <v>1320</v>
      </c>
      <c r="L19" s="20">
        <f>L6*Assumptions!$B$19*Assumptions!$B$16</f>
        <v>1560</v>
      </c>
      <c r="M19" s="20">
        <f>M6*Assumptions!$B$19*Assumptions!$B$16</f>
        <v>1800</v>
      </c>
      <c r="N19" s="33">
        <f t="shared" ref="N19:N25" si="3">SUM(B19:M19)</f>
        <v>8640</v>
      </c>
    </row>
    <row r="20" spans="1:14" x14ac:dyDescent="0.25">
      <c r="A20" s="19" t="s">
        <v>139</v>
      </c>
      <c r="B20" s="20">
        <f>B6*Assumptions!$B$20*(Assumptions!$B$13+Assumptions!$B$14)</f>
        <v>75</v>
      </c>
      <c r="C20" s="20">
        <f>C6*Assumptions!$B$20*(Assumptions!$B$13+Assumptions!$B$14)</f>
        <v>225</v>
      </c>
      <c r="D20" s="20">
        <f>D6*Assumptions!$B$20*(Assumptions!$B$13+Assumptions!$B$14)</f>
        <v>450</v>
      </c>
      <c r="E20" s="20">
        <f>E6*Assumptions!$B$20*(Assumptions!$B$13+Assumptions!$B$14)</f>
        <v>750</v>
      </c>
      <c r="F20" s="20">
        <f>F6*Assumptions!$B$20*(Assumptions!$B$13+Assumptions!$B$14)</f>
        <v>1125</v>
      </c>
      <c r="G20" s="20">
        <f>G6*Assumptions!$B$20*(Assumptions!$B$13+Assumptions!$B$14)</f>
        <v>1575</v>
      </c>
      <c r="H20" s="20">
        <f>H6*Assumptions!$B$20*(Assumptions!$B$13+Assumptions!$B$14)</f>
        <v>2100</v>
      </c>
      <c r="I20" s="20">
        <f>I6*Assumptions!$B$20*(Assumptions!$B$13+Assumptions!$B$14)</f>
        <v>2700</v>
      </c>
      <c r="J20" s="20">
        <f>J6*Assumptions!$B$20*(Assumptions!$B$13+Assumptions!$B$14)</f>
        <v>3375</v>
      </c>
      <c r="K20" s="20">
        <f>K6*Assumptions!$B$20*(Assumptions!$B$13+Assumptions!$B$14)</f>
        <v>4125</v>
      </c>
      <c r="L20" s="20">
        <f>L6*Assumptions!$B$20*(Assumptions!$B$13+Assumptions!$B$14)</f>
        <v>4875</v>
      </c>
      <c r="M20" s="20">
        <f>M6*Assumptions!$B$20*(Assumptions!$B$13+Assumptions!$B$14)</f>
        <v>5625</v>
      </c>
      <c r="N20" s="33">
        <f t="shared" si="3"/>
        <v>27000</v>
      </c>
    </row>
    <row r="21" spans="1:14" x14ac:dyDescent="0.25">
      <c r="A21" s="19" t="s">
        <v>140</v>
      </c>
      <c r="B21" s="20">
        <f>B6*Assumptions!$B$21*Assumptions!$B$15</f>
        <v>37.5</v>
      </c>
      <c r="C21" s="20">
        <f>C6*Assumptions!$B$21*Assumptions!$B$15</f>
        <v>112.5</v>
      </c>
      <c r="D21" s="20">
        <f>D6*Assumptions!$B$21*Assumptions!$B$15</f>
        <v>225</v>
      </c>
      <c r="E21" s="20">
        <f>E6*Assumptions!$B$21*Assumptions!$B$15</f>
        <v>375</v>
      </c>
      <c r="F21" s="20">
        <f>F6*Assumptions!$B$21*Assumptions!$B$15</f>
        <v>562.5</v>
      </c>
      <c r="G21" s="20">
        <f>G6*Assumptions!$B$21*Assumptions!$B$15</f>
        <v>787.5</v>
      </c>
      <c r="H21" s="20">
        <f>H6*Assumptions!$B$21*Assumptions!$B$15</f>
        <v>1050</v>
      </c>
      <c r="I21" s="20">
        <f>I6*Assumptions!$B$21*Assumptions!$B$15</f>
        <v>1350</v>
      </c>
      <c r="J21" s="20">
        <f>J6*Assumptions!$B$21*Assumptions!$B$15</f>
        <v>1687.5</v>
      </c>
      <c r="K21" s="20">
        <f>K6*Assumptions!$B$21*Assumptions!$B$15</f>
        <v>2062.5</v>
      </c>
      <c r="L21" s="20">
        <f>L6*Assumptions!$B$21*Assumptions!$B$15</f>
        <v>2437.5</v>
      </c>
      <c r="M21" s="20">
        <f>M6*Assumptions!$B$21*Assumptions!$B$15</f>
        <v>2812.5</v>
      </c>
      <c r="N21" s="33">
        <f t="shared" si="3"/>
        <v>13500</v>
      </c>
    </row>
    <row r="22" spans="1:14" x14ac:dyDescent="0.25">
      <c r="A22" s="19" t="s">
        <v>141</v>
      </c>
      <c r="B22" s="20">
        <f>B6*Assumptions!$B$22*(Assumptions!$B$13+Assumptions!$B$14)</f>
        <v>18.75</v>
      </c>
      <c r="C22" s="20">
        <f>C6*Assumptions!$B$22*(Assumptions!$B$13+Assumptions!$B$14)</f>
        <v>56.25</v>
      </c>
      <c r="D22" s="20">
        <f>D6*Assumptions!$B$22*(Assumptions!$B$13+Assumptions!$B$14)</f>
        <v>112.5</v>
      </c>
      <c r="E22" s="20">
        <f>E6*Assumptions!$B$22*(Assumptions!$B$13+Assumptions!$B$14)</f>
        <v>187.5</v>
      </c>
      <c r="F22" s="20">
        <f>F6*Assumptions!$B$22*(Assumptions!$B$13+Assumptions!$B$14)</f>
        <v>281.25</v>
      </c>
      <c r="G22" s="20">
        <f>G6*Assumptions!$B$22*(Assumptions!$B$13+Assumptions!$B$14)</f>
        <v>393.75</v>
      </c>
      <c r="H22" s="20">
        <f>H6*Assumptions!$B$22*(Assumptions!$B$13+Assumptions!$B$14)</f>
        <v>525</v>
      </c>
      <c r="I22" s="20">
        <f>I6*Assumptions!$B$22*(Assumptions!$B$13+Assumptions!$B$14)</f>
        <v>675</v>
      </c>
      <c r="J22" s="20">
        <f>J6*Assumptions!$B$22*(Assumptions!$B$13+Assumptions!$B$14)</f>
        <v>843.75</v>
      </c>
      <c r="K22" s="20">
        <f>K6*Assumptions!$B$22*(Assumptions!$B$13+Assumptions!$B$14)</f>
        <v>1031.25</v>
      </c>
      <c r="L22" s="20">
        <f>L6*Assumptions!$B$22*(Assumptions!$B$13+Assumptions!$B$14)</f>
        <v>1218.75</v>
      </c>
      <c r="M22" s="20">
        <f>M6*Assumptions!$B$22*(Assumptions!$B$13+Assumptions!$B$14)</f>
        <v>1406.25</v>
      </c>
      <c r="N22" s="33">
        <f t="shared" si="3"/>
        <v>6750</v>
      </c>
    </row>
    <row r="23" spans="1:14" x14ac:dyDescent="0.25">
      <c r="A23" s="19" t="s">
        <v>142</v>
      </c>
      <c r="B23" s="20">
        <f>B6*Assumptions!$B$23*Assumptions!$B$14</f>
        <v>10</v>
      </c>
      <c r="C23" s="20">
        <f>C6*Assumptions!$B$23*Assumptions!$B$14</f>
        <v>30</v>
      </c>
      <c r="D23" s="20">
        <f>D6*Assumptions!$B$23*Assumptions!$B$14</f>
        <v>60</v>
      </c>
      <c r="E23" s="20">
        <f>E6*Assumptions!$B$23*Assumptions!$B$14</f>
        <v>100</v>
      </c>
      <c r="F23" s="20">
        <f>F6*Assumptions!$B$23*Assumptions!$B$14</f>
        <v>150</v>
      </c>
      <c r="G23" s="20">
        <f>G6*Assumptions!$B$23*Assumptions!$B$14</f>
        <v>210</v>
      </c>
      <c r="H23" s="20">
        <f>H6*Assumptions!$B$23*Assumptions!$B$14</f>
        <v>280</v>
      </c>
      <c r="I23" s="20">
        <f>I6*Assumptions!$B$23*Assumptions!$B$14</f>
        <v>360</v>
      </c>
      <c r="J23" s="20">
        <f>J6*Assumptions!$B$23*Assumptions!$B$14</f>
        <v>450</v>
      </c>
      <c r="K23" s="20">
        <f>K6*Assumptions!$B$23*Assumptions!$B$14</f>
        <v>550</v>
      </c>
      <c r="L23" s="20">
        <f>L6*Assumptions!$B$23*Assumptions!$B$14</f>
        <v>650</v>
      </c>
      <c r="M23" s="20">
        <f>M6*Assumptions!$B$23*Assumptions!$B$14</f>
        <v>750</v>
      </c>
      <c r="N23" s="33">
        <f t="shared" si="3"/>
        <v>3600</v>
      </c>
    </row>
    <row r="24" spans="1:14" x14ac:dyDescent="0.25">
      <c r="A24" s="19" t="s">
        <v>143</v>
      </c>
      <c r="B24" s="20">
        <f>B6*Assumptions!$B$24*0.05</f>
        <v>125</v>
      </c>
      <c r="C24" s="20">
        <f>C6*Assumptions!$B$24*0.05</f>
        <v>375</v>
      </c>
      <c r="D24" s="20">
        <f>D6*Assumptions!$B$24*0.05</f>
        <v>750</v>
      </c>
      <c r="E24" s="20">
        <f>E6*Assumptions!$B$24*0.05</f>
        <v>1250</v>
      </c>
      <c r="F24" s="20">
        <f>F6*Assumptions!$B$24*0.05</f>
        <v>1875</v>
      </c>
      <c r="G24" s="20">
        <f>G6*Assumptions!$B$24*0.05</f>
        <v>2625</v>
      </c>
      <c r="H24" s="20">
        <f>H6*Assumptions!$B$24*0.05</f>
        <v>3500</v>
      </c>
      <c r="I24" s="20">
        <f>I6*Assumptions!$B$24*0.05</f>
        <v>4500</v>
      </c>
      <c r="J24" s="20">
        <f>J6*Assumptions!$B$24*0.05</f>
        <v>5625</v>
      </c>
      <c r="K24" s="20">
        <f>K6*Assumptions!$B$24*0.05</f>
        <v>6875</v>
      </c>
      <c r="L24" s="20">
        <f>L6*Assumptions!$B$24*0.05</f>
        <v>8125</v>
      </c>
      <c r="M24" s="20">
        <f>M6*Assumptions!$B$24*0.05</f>
        <v>9375</v>
      </c>
      <c r="N24" s="33">
        <f t="shared" si="3"/>
        <v>45000</v>
      </c>
    </row>
    <row r="25" spans="1:14" x14ac:dyDescent="0.25">
      <c r="A25" s="19" t="s">
        <v>144</v>
      </c>
      <c r="B25" s="20">
        <f>B5*0.1*Assumptions!$B$16</f>
        <v>3</v>
      </c>
      <c r="C25" s="20">
        <f>C5*0.1*Assumptions!$B$16</f>
        <v>6</v>
      </c>
      <c r="D25" s="20">
        <f>D5*0.1*Assumptions!$B$16</f>
        <v>9</v>
      </c>
      <c r="E25" s="20">
        <f>E5*0.1*Assumptions!$B$16</f>
        <v>12</v>
      </c>
      <c r="F25" s="20">
        <f>F5*0.1*Assumptions!$B$16</f>
        <v>15</v>
      </c>
      <c r="G25" s="20">
        <f>G5*0.1*Assumptions!$B$16</f>
        <v>18</v>
      </c>
      <c r="H25" s="20">
        <f>H5*0.1*Assumptions!$B$16</f>
        <v>21</v>
      </c>
      <c r="I25" s="20">
        <f>I5*0.1*Assumptions!$B$16</f>
        <v>24</v>
      </c>
      <c r="J25" s="20">
        <f>J5*0.1*Assumptions!$B$16</f>
        <v>27</v>
      </c>
      <c r="K25" s="20">
        <f>K5*0.1*Assumptions!$B$16</f>
        <v>30</v>
      </c>
      <c r="L25" s="20">
        <f>L5*0.1*Assumptions!$B$16</f>
        <v>30</v>
      </c>
      <c r="M25" s="20">
        <f>M5*0.1*Assumptions!$B$16</f>
        <v>30</v>
      </c>
      <c r="N25" s="33">
        <f t="shared" si="3"/>
        <v>225</v>
      </c>
    </row>
    <row r="26" spans="1:14" x14ac:dyDescent="0.25">
      <c r="A26" s="38" t="s">
        <v>145</v>
      </c>
      <c r="B26" s="33">
        <f t="shared" ref="B26:N26" si="4">SUM(B19:B25)</f>
        <v>293.25</v>
      </c>
      <c r="C26" s="33">
        <f t="shared" si="4"/>
        <v>876.75</v>
      </c>
      <c r="D26" s="33">
        <f t="shared" si="4"/>
        <v>1750.5</v>
      </c>
      <c r="E26" s="33">
        <f t="shared" si="4"/>
        <v>2914.5</v>
      </c>
      <c r="F26" s="33">
        <f t="shared" si="4"/>
        <v>4368.75</v>
      </c>
      <c r="G26" s="33">
        <f t="shared" si="4"/>
        <v>6113.25</v>
      </c>
      <c r="H26" s="33">
        <f t="shared" si="4"/>
        <v>8148</v>
      </c>
      <c r="I26" s="33">
        <f t="shared" si="4"/>
        <v>10473</v>
      </c>
      <c r="J26" s="33">
        <f t="shared" si="4"/>
        <v>13088.25</v>
      </c>
      <c r="K26" s="33">
        <f t="shared" si="4"/>
        <v>15993.75</v>
      </c>
      <c r="L26" s="33">
        <f t="shared" si="4"/>
        <v>18896.25</v>
      </c>
      <c r="M26" s="33">
        <f t="shared" si="4"/>
        <v>21798.75</v>
      </c>
      <c r="N26" s="33">
        <f t="shared" si="4"/>
        <v>104715</v>
      </c>
    </row>
    <row r="28" spans="1:14" ht="15.75" x14ac:dyDescent="0.25">
      <c r="A28" s="36" t="s">
        <v>146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</row>
    <row r="29" spans="1:14" x14ac:dyDescent="0.25">
      <c r="A29" s="19" t="s">
        <v>147</v>
      </c>
      <c r="B29" s="20">
        <f>ROUNDUP(B6/Assumptions!$B$34,0)*Assumptions!$B$33</f>
        <v>1000</v>
      </c>
      <c r="C29" s="20">
        <f>ROUNDUP(C6/Assumptions!$B$34,0)*Assumptions!$B$33</f>
        <v>2000</v>
      </c>
      <c r="D29" s="20">
        <f>ROUNDUP(D6/Assumptions!$B$34,0)*Assumptions!$B$33</f>
        <v>3000</v>
      </c>
      <c r="E29" s="20">
        <f>ROUNDUP(E6/Assumptions!$B$34,0)*Assumptions!$B$33</f>
        <v>5000</v>
      </c>
      <c r="F29" s="20">
        <f>ROUNDUP(F6/Assumptions!$B$34,0)*Assumptions!$B$33</f>
        <v>8000</v>
      </c>
      <c r="G29" s="20">
        <f>ROUNDUP(G6/Assumptions!$B$34,0)*Assumptions!$B$33</f>
        <v>11000</v>
      </c>
      <c r="H29" s="20">
        <f>ROUNDUP(H6/Assumptions!$B$34,0)*Assumptions!$B$33</f>
        <v>14000</v>
      </c>
      <c r="I29" s="20">
        <f>ROUNDUP(I6/Assumptions!$B$34,0)*Assumptions!$B$33</f>
        <v>18000</v>
      </c>
      <c r="J29" s="20">
        <f>ROUNDUP(J6/Assumptions!$B$34,0)*Assumptions!$B$33</f>
        <v>23000</v>
      </c>
      <c r="K29" s="20">
        <f>ROUNDUP(K6/Assumptions!$B$34,0)*Assumptions!$B$33</f>
        <v>28000</v>
      </c>
      <c r="L29" s="20">
        <f>ROUNDUP(L6/Assumptions!$B$34,0)*Assumptions!$B$33</f>
        <v>33000</v>
      </c>
      <c r="M29" s="20">
        <f>ROUNDUP(M6/Assumptions!$B$34,0)*Assumptions!$B$33</f>
        <v>38000</v>
      </c>
      <c r="N29" s="33">
        <f>SUM(B29:M29)</f>
        <v>184000</v>
      </c>
    </row>
    <row r="30" spans="1:14" x14ac:dyDescent="0.25">
      <c r="A30" s="19" t="s">
        <v>148</v>
      </c>
      <c r="B30" s="20">
        <f>MAX(0,ROUNDUP(B6/Assumptions!$B$34,0)-0)*Assumptions!$B$35</f>
        <v>500</v>
      </c>
      <c r="C30" s="20">
        <f>MAX(0,ROUNDUP(C6/Assumptions!$B$34,0)-ROUNDUP(B6/Assumptions!$B$34,0))*Assumptions!$B$35</f>
        <v>500</v>
      </c>
      <c r="D30" s="20">
        <f>MAX(0,ROUNDUP(D6/Assumptions!$B$34,0)-ROUNDUP(C6/Assumptions!$B$34,0))*Assumptions!$B$35</f>
        <v>500</v>
      </c>
      <c r="E30" s="20">
        <f>MAX(0,ROUNDUP(E6/Assumptions!$B$34,0)-ROUNDUP(D6/Assumptions!$B$34,0))*Assumptions!$B$35</f>
        <v>1000</v>
      </c>
      <c r="F30" s="20">
        <f>MAX(0,ROUNDUP(F6/Assumptions!$B$34,0)-ROUNDUP(E6/Assumptions!$B$34,0))*Assumptions!$B$35</f>
        <v>1500</v>
      </c>
      <c r="G30" s="20">
        <f>MAX(0,ROUNDUP(G6/Assumptions!$B$34,0)-ROUNDUP(F6/Assumptions!$B$34,0))*Assumptions!$B$35</f>
        <v>1500</v>
      </c>
      <c r="H30" s="20">
        <f>MAX(0,ROUNDUP(H6/Assumptions!$B$34,0)-ROUNDUP(G6/Assumptions!$B$34,0))*Assumptions!$B$35</f>
        <v>1500</v>
      </c>
      <c r="I30" s="20">
        <f>MAX(0,ROUNDUP(I6/Assumptions!$B$34,0)-ROUNDUP(H6/Assumptions!$B$34,0))*Assumptions!$B$35</f>
        <v>2000</v>
      </c>
      <c r="J30" s="20">
        <f>MAX(0,ROUNDUP(J6/Assumptions!$B$34,0)-ROUNDUP(I6/Assumptions!$B$34,0))*Assumptions!$B$35</f>
        <v>2500</v>
      </c>
      <c r="K30" s="20">
        <f>MAX(0,ROUNDUP(K6/Assumptions!$B$34,0)-ROUNDUP(J6/Assumptions!$B$34,0))*Assumptions!$B$35</f>
        <v>2500</v>
      </c>
      <c r="L30" s="20">
        <f>MAX(0,ROUNDUP(L6/Assumptions!$B$34,0)-ROUNDUP(K6/Assumptions!$B$34,0))*Assumptions!$B$35</f>
        <v>2500</v>
      </c>
      <c r="M30" s="20">
        <f>MAX(0,ROUNDUP(M6/Assumptions!$B$34,0)-ROUNDUP(L6/Assumptions!$B$34,0))*Assumptions!$B$35</f>
        <v>2500</v>
      </c>
      <c r="N30" s="33">
        <f>SUM(B30:M30)</f>
        <v>19000</v>
      </c>
    </row>
    <row r="31" spans="1:14" x14ac:dyDescent="0.25">
      <c r="A31" s="38" t="s">
        <v>149</v>
      </c>
      <c r="B31" s="33">
        <f t="shared" ref="B31:N31" si="5">SUM(B29:B30)</f>
        <v>1500</v>
      </c>
      <c r="C31" s="33">
        <f t="shared" si="5"/>
        <v>2500</v>
      </c>
      <c r="D31" s="33">
        <f t="shared" si="5"/>
        <v>3500</v>
      </c>
      <c r="E31" s="33">
        <f t="shared" si="5"/>
        <v>6000</v>
      </c>
      <c r="F31" s="33">
        <f t="shared" si="5"/>
        <v>9500</v>
      </c>
      <c r="G31" s="33">
        <f t="shared" si="5"/>
        <v>12500</v>
      </c>
      <c r="H31" s="33">
        <f t="shared" si="5"/>
        <v>15500</v>
      </c>
      <c r="I31" s="33">
        <f t="shared" si="5"/>
        <v>20000</v>
      </c>
      <c r="J31" s="33">
        <f t="shared" si="5"/>
        <v>25500</v>
      </c>
      <c r="K31" s="33">
        <f t="shared" si="5"/>
        <v>30500</v>
      </c>
      <c r="L31" s="33">
        <f t="shared" si="5"/>
        <v>35500</v>
      </c>
      <c r="M31" s="33">
        <f t="shared" si="5"/>
        <v>40500</v>
      </c>
      <c r="N31" s="33">
        <f t="shared" si="5"/>
        <v>203000</v>
      </c>
    </row>
    <row r="33" spans="1:14" ht="15.75" x14ac:dyDescent="0.25">
      <c r="A33" s="17" t="s">
        <v>150</v>
      </c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</row>
    <row r="34" spans="1:14" x14ac:dyDescent="0.25">
      <c r="A34" s="19" t="s">
        <v>151</v>
      </c>
      <c r="B34" s="20">
        <f>B5*0.5/Assumptions!$B$44*Assumptions!$B$46</f>
        <v>4400</v>
      </c>
      <c r="C34" s="20">
        <f>C5*0.5/Assumptions!$B$44*Assumptions!$B$46</f>
        <v>8800</v>
      </c>
      <c r="D34" s="20">
        <f>D5*0.5/Assumptions!$B$44*Assumptions!$B$46</f>
        <v>13200</v>
      </c>
      <c r="E34" s="20">
        <f>E5*0.5/Assumptions!$B$44*Assumptions!$B$46</f>
        <v>17600</v>
      </c>
      <c r="F34" s="20">
        <f>F5*0.5/Assumptions!$B$44*Assumptions!$B$46</f>
        <v>22000</v>
      </c>
      <c r="G34" s="20">
        <f>G5*0.5/Assumptions!$B$44*Assumptions!$B$46</f>
        <v>26400</v>
      </c>
      <c r="H34" s="20">
        <f>H5*0.5/Assumptions!$B$44*Assumptions!$B$46</f>
        <v>30800</v>
      </c>
      <c r="I34" s="20">
        <f>I5*0.5/Assumptions!$B$44*Assumptions!$B$46</f>
        <v>35200</v>
      </c>
      <c r="J34" s="20">
        <f>J5*0.5/Assumptions!$B$44*Assumptions!$B$46</f>
        <v>39600</v>
      </c>
      <c r="K34" s="20">
        <f>K5*0.5/Assumptions!$B$44*Assumptions!$B$46</f>
        <v>44000</v>
      </c>
      <c r="L34" s="20">
        <f>L5*0.5/Assumptions!$B$44*Assumptions!$B$46</f>
        <v>44000</v>
      </c>
      <c r="M34" s="20">
        <f>M5*0.5/Assumptions!$B$44*Assumptions!$B$46</f>
        <v>44000</v>
      </c>
      <c r="N34" s="33">
        <f>SUM(B34:M34)</f>
        <v>330000</v>
      </c>
    </row>
    <row r="35" spans="1:14" x14ac:dyDescent="0.25">
      <c r="A35" s="19" t="s">
        <v>152</v>
      </c>
      <c r="B35" s="20">
        <f>B5*0.3*Assumptions!$B$47</f>
        <v>300</v>
      </c>
      <c r="C35" s="20">
        <f>C5*0.3*Assumptions!$B$47</f>
        <v>600</v>
      </c>
      <c r="D35" s="20">
        <f>D5*0.3*Assumptions!$B$47</f>
        <v>900</v>
      </c>
      <c r="E35" s="20">
        <f>E5*0.3*Assumptions!$B$47</f>
        <v>1200</v>
      </c>
      <c r="F35" s="20">
        <f>F5*0.3*Assumptions!$B$47</f>
        <v>1500</v>
      </c>
      <c r="G35" s="20">
        <f>G5*0.3*Assumptions!$B$47</f>
        <v>1800</v>
      </c>
      <c r="H35" s="20">
        <f>H5*0.3*Assumptions!$B$47</f>
        <v>2100</v>
      </c>
      <c r="I35" s="20">
        <f>I5*0.3*Assumptions!$B$47</f>
        <v>2400</v>
      </c>
      <c r="J35" s="20">
        <f>J5*0.3*Assumptions!$B$47</f>
        <v>2700</v>
      </c>
      <c r="K35" s="20">
        <f>K5*0.3*Assumptions!$B$47</f>
        <v>3000</v>
      </c>
      <c r="L35" s="20">
        <f>L5*0.3*Assumptions!$B$47</f>
        <v>3000</v>
      </c>
      <c r="M35" s="20">
        <f>M5*0.3*Assumptions!$B$47</f>
        <v>3000</v>
      </c>
      <c r="N35" s="33">
        <f>SUM(B35:M35)</f>
        <v>22500</v>
      </c>
    </row>
    <row r="36" spans="1:14" x14ac:dyDescent="0.25">
      <c r="A36" s="19" t="s">
        <v>153</v>
      </c>
      <c r="B36" s="20">
        <f>B5*0.2/Assumptions!$B$44*10</f>
        <v>800</v>
      </c>
      <c r="C36" s="20">
        <f>C5*0.2/Assumptions!$B$44*10</f>
        <v>1600</v>
      </c>
      <c r="D36" s="20">
        <f>D5*0.2/Assumptions!$B$44*10</f>
        <v>2400</v>
      </c>
      <c r="E36" s="20">
        <f>E5*0.2/Assumptions!$B$44*10</f>
        <v>3200</v>
      </c>
      <c r="F36" s="20">
        <f>F5*0.2/Assumptions!$B$44*10</f>
        <v>4000</v>
      </c>
      <c r="G36" s="20">
        <f>G5*0.2/Assumptions!$B$44*10</f>
        <v>4800</v>
      </c>
      <c r="H36" s="20">
        <f>H5*0.2/Assumptions!$B$44*10</f>
        <v>5600</v>
      </c>
      <c r="I36" s="20">
        <f>I5*0.2/Assumptions!$B$44*10</f>
        <v>6400</v>
      </c>
      <c r="J36" s="20">
        <f>J5*0.2/Assumptions!$B$44*10</f>
        <v>7200</v>
      </c>
      <c r="K36" s="20">
        <f>K5*0.2/Assumptions!$B$44*10</f>
        <v>8000</v>
      </c>
      <c r="L36" s="20">
        <f>L5*0.2/Assumptions!$B$44*10</f>
        <v>8000</v>
      </c>
      <c r="M36" s="20">
        <f>M5*0.2/Assumptions!$B$44*10</f>
        <v>8000</v>
      </c>
      <c r="N36" s="33">
        <f>SUM(B36:M36)</f>
        <v>60000</v>
      </c>
    </row>
    <row r="37" spans="1:14" x14ac:dyDescent="0.25">
      <c r="A37" s="40" t="s">
        <v>154</v>
      </c>
      <c r="B37" s="41">
        <f t="shared" ref="B37:N37" si="6">SUM(B34:B36)</f>
        <v>5500</v>
      </c>
      <c r="C37" s="41">
        <f t="shared" si="6"/>
        <v>11000</v>
      </c>
      <c r="D37" s="41">
        <f t="shared" si="6"/>
        <v>16500</v>
      </c>
      <c r="E37" s="41">
        <f t="shared" si="6"/>
        <v>22000</v>
      </c>
      <c r="F37" s="41">
        <f t="shared" si="6"/>
        <v>27500</v>
      </c>
      <c r="G37" s="41">
        <f t="shared" si="6"/>
        <v>33000</v>
      </c>
      <c r="H37" s="41">
        <f t="shared" si="6"/>
        <v>38500</v>
      </c>
      <c r="I37" s="41">
        <f t="shared" si="6"/>
        <v>44000</v>
      </c>
      <c r="J37" s="41">
        <f t="shared" si="6"/>
        <v>49500</v>
      </c>
      <c r="K37" s="41">
        <f t="shared" si="6"/>
        <v>55000</v>
      </c>
      <c r="L37" s="41">
        <f t="shared" si="6"/>
        <v>55000</v>
      </c>
      <c r="M37" s="41">
        <f t="shared" si="6"/>
        <v>55000</v>
      </c>
      <c r="N37" s="41">
        <f t="shared" si="6"/>
        <v>412500</v>
      </c>
    </row>
    <row r="39" spans="1:14" ht="15.75" x14ac:dyDescent="0.25">
      <c r="A39" s="36" t="s">
        <v>155</v>
      </c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</row>
    <row r="40" spans="1:14" x14ac:dyDescent="0.25">
      <c r="A40" s="19" t="s">
        <v>156</v>
      </c>
      <c r="B40" s="20">
        <f>B6*Assumptions!$B$20*Assumptions!$B$27*Assumptions!$B$30</f>
        <v>288</v>
      </c>
      <c r="C40" s="20">
        <f>C6*Assumptions!$B$20*Assumptions!$B$27*Assumptions!$B$30</f>
        <v>864</v>
      </c>
      <c r="D40" s="20">
        <f>D6*Assumptions!$B$20*Assumptions!$B$27*Assumptions!$B$30</f>
        <v>1728</v>
      </c>
      <c r="E40" s="20">
        <f>E6*Assumptions!$B$20*Assumptions!$B$27*Assumptions!$B$30</f>
        <v>2880</v>
      </c>
      <c r="F40" s="20">
        <f>F6*Assumptions!$B$20*Assumptions!$B$27*Assumptions!$B$30</f>
        <v>4320</v>
      </c>
      <c r="G40" s="20">
        <f>G6*Assumptions!$B$20*Assumptions!$B$27*Assumptions!$B$30</f>
        <v>6048</v>
      </c>
      <c r="H40" s="20">
        <f>H6*Assumptions!$B$20*Assumptions!$B$27*Assumptions!$B$30</f>
        <v>8064</v>
      </c>
      <c r="I40" s="20">
        <f>I6*Assumptions!$B$20*Assumptions!$B$27*Assumptions!$B$30</f>
        <v>10368</v>
      </c>
      <c r="J40" s="20">
        <f>J6*Assumptions!$B$20*Assumptions!$B$27*Assumptions!$B$30</f>
        <v>12960</v>
      </c>
      <c r="K40" s="20">
        <f>K6*Assumptions!$B$20*Assumptions!$B$27*Assumptions!$B$30</f>
        <v>15840</v>
      </c>
      <c r="L40" s="20">
        <f>L6*Assumptions!$B$20*Assumptions!$B$27*Assumptions!$B$30</f>
        <v>18720</v>
      </c>
      <c r="M40" s="20">
        <f>M6*Assumptions!$B$20*Assumptions!$B$27*Assumptions!$B$30</f>
        <v>21600</v>
      </c>
      <c r="N40" s="33">
        <f>SUM(B40:M40)</f>
        <v>103680</v>
      </c>
    </row>
    <row r="41" spans="1:14" x14ac:dyDescent="0.25">
      <c r="A41" s="19" t="s">
        <v>53</v>
      </c>
      <c r="B41" s="20">
        <f>Assumptions!$B$38</f>
        <v>1500</v>
      </c>
      <c r="C41" s="20">
        <f>Assumptions!$B$38</f>
        <v>1500</v>
      </c>
      <c r="D41" s="20">
        <f>Assumptions!$B$38</f>
        <v>1500</v>
      </c>
      <c r="E41" s="20">
        <f>Assumptions!$B$38</f>
        <v>1500</v>
      </c>
      <c r="F41" s="20">
        <f>Assumptions!$B$38</f>
        <v>1500</v>
      </c>
      <c r="G41" s="20">
        <f>Assumptions!$B$38</f>
        <v>1500</v>
      </c>
      <c r="H41" s="20">
        <f>Assumptions!$B$38</f>
        <v>1500</v>
      </c>
      <c r="I41" s="20">
        <f>Assumptions!$B$38</f>
        <v>1500</v>
      </c>
      <c r="J41" s="20">
        <f>Assumptions!$B$38</f>
        <v>1500</v>
      </c>
      <c r="K41" s="20">
        <f>Assumptions!$B$38</f>
        <v>1500</v>
      </c>
      <c r="L41" s="20">
        <f>Assumptions!$B$38</f>
        <v>1500</v>
      </c>
      <c r="M41" s="20">
        <f>Assumptions!$B$38</f>
        <v>1500</v>
      </c>
      <c r="N41" s="33">
        <f>SUM(B41:M41)</f>
        <v>18000</v>
      </c>
    </row>
    <row r="42" spans="1:14" x14ac:dyDescent="0.25">
      <c r="A42" s="19" t="s">
        <v>55</v>
      </c>
      <c r="B42" s="20">
        <f>Assumptions!$B$39</f>
        <v>500</v>
      </c>
      <c r="C42" s="20">
        <f>Assumptions!$B$39</f>
        <v>500</v>
      </c>
      <c r="D42" s="20">
        <f>Assumptions!$B$39</f>
        <v>500</v>
      </c>
      <c r="E42" s="20">
        <f>Assumptions!$B$39</f>
        <v>500</v>
      </c>
      <c r="F42" s="20">
        <f>Assumptions!$B$39</f>
        <v>500</v>
      </c>
      <c r="G42" s="20">
        <f>Assumptions!$B$39</f>
        <v>500</v>
      </c>
      <c r="H42" s="20">
        <f>Assumptions!$B$39</f>
        <v>500</v>
      </c>
      <c r="I42" s="20">
        <f>Assumptions!$B$39</f>
        <v>500</v>
      </c>
      <c r="J42" s="20">
        <f>Assumptions!$B$39</f>
        <v>500</v>
      </c>
      <c r="K42" s="20">
        <f>Assumptions!$B$39</f>
        <v>500</v>
      </c>
      <c r="L42" s="20">
        <f>Assumptions!$B$39</f>
        <v>500</v>
      </c>
      <c r="M42" s="20">
        <f>Assumptions!$B$39</f>
        <v>500</v>
      </c>
      <c r="N42" s="33">
        <f>SUM(B42:M42)</f>
        <v>6000</v>
      </c>
    </row>
    <row r="43" spans="1:14" x14ac:dyDescent="0.25">
      <c r="A43" s="19" t="s">
        <v>157</v>
      </c>
      <c r="B43" s="20">
        <f>Assumptions!$B$40</f>
        <v>300</v>
      </c>
      <c r="C43" s="20">
        <f>Assumptions!$B$40</f>
        <v>300</v>
      </c>
      <c r="D43" s="20">
        <f>Assumptions!$B$40</f>
        <v>300</v>
      </c>
      <c r="E43" s="20">
        <f>Assumptions!$B$40</f>
        <v>300</v>
      </c>
      <c r="F43" s="20">
        <f>Assumptions!$B$40</f>
        <v>300</v>
      </c>
      <c r="G43" s="20">
        <f>Assumptions!$B$40</f>
        <v>300</v>
      </c>
      <c r="H43" s="20">
        <f>Assumptions!$B$40</f>
        <v>300</v>
      </c>
      <c r="I43" s="20">
        <f>Assumptions!$B$40</f>
        <v>300</v>
      </c>
      <c r="J43" s="20">
        <f>Assumptions!$B$40</f>
        <v>300</v>
      </c>
      <c r="K43" s="20">
        <f>Assumptions!$B$40</f>
        <v>300</v>
      </c>
      <c r="L43" s="20">
        <f>Assumptions!$B$40</f>
        <v>300</v>
      </c>
      <c r="M43" s="20">
        <f>Assumptions!$B$40</f>
        <v>300</v>
      </c>
      <c r="N43" s="33">
        <f>SUM(B43:M43)</f>
        <v>3600</v>
      </c>
    </row>
    <row r="44" spans="1:14" x14ac:dyDescent="0.25">
      <c r="A44" s="38" t="s">
        <v>158</v>
      </c>
      <c r="B44" s="33">
        <f t="shared" ref="B44:N44" si="7">SUM(B40:B43)</f>
        <v>2588</v>
      </c>
      <c r="C44" s="33">
        <f t="shared" si="7"/>
        <v>3164</v>
      </c>
      <c r="D44" s="33">
        <f t="shared" si="7"/>
        <v>4028</v>
      </c>
      <c r="E44" s="33">
        <f t="shared" si="7"/>
        <v>5180</v>
      </c>
      <c r="F44" s="33">
        <f t="shared" si="7"/>
        <v>6620</v>
      </c>
      <c r="G44" s="33">
        <f t="shared" si="7"/>
        <v>8348</v>
      </c>
      <c r="H44" s="33">
        <f t="shared" si="7"/>
        <v>10364</v>
      </c>
      <c r="I44" s="33">
        <f t="shared" si="7"/>
        <v>12668</v>
      </c>
      <c r="J44" s="33">
        <f t="shared" si="7"/>
        <v>15260</v>
      </c>
      <c r="K44" s="33">
        <f t="shared" si="7"/>
        <v>18140</v>
      </c>
      <c r="L44" s="33">
        <f t="shared" si="7"/>
        <v>21020</v>
      </c>
      <c r="M44" s="33">
        <f t="shared" si="7"/>
        <v>23900</v>
      </c>
      <c r="N44" s="33">
        <f t="shared" si="7"/>
        <v>131280</v>
      </c>
    </row>
    <row r="46" spans="1:14" x14ac:dyDescent="0.25">
      <c r="A46" s="42" t="s">
        <v>159</v>
      </c>
      <c r="B46" s="43">
        <f t="shared" ref="B46:N46" si="8">B26+B31+B37+B44</f>
        <v>9881.25</v>
      </c>
      <c r="C46" s="43">
        <f t="shared" si="8"/>
        <v>17540.75</v>
      </c>
      <c r="D46" s="43">
        <f t="shared" si="8"/>
        <v>25778.5</v>
      </c>
      <c r="E46" s="43">
        <f t="shared" si="8"/>
        <v>36094.5</v>
      </c>
      <c r="F46" s="43">
        <f t="shared" si="8"/>
        <v>47988.75</v>
      </c>
      <c r="G46" s="43">
        <f t="shared" si="8"/>
        <v>59961.25</v>
      </c>
      <c r="H46" s="43">
        <f t="shared" si="8"/>
        <v>72512</v>
      </c>
      <c r="I46" s="43">
        <f t="shared" si="8"/>
        <v>87141</v>
      </c>
      <c r="J46" s="43">
        <f t="shared" si="8"/>
        <v>103348.25</v>
      </c>
      <c r="K46" s="43">
        <f t="shared" si="8"/>
        <v>119633.75</v>
      </c>
      <c r="L46" s="43">
        <f t="shared" si="8"/>
        <v>130416.25</v>
      </c>
      <c r="M46" s="43">
        <f t="shared" si="8"/>
        <v>141198.75</v>
      </c>
      <c r="N46" s="43">
        <f t="shared" si="8"/>
        <v>851495</v>
      </c>
    </row>
    <row r="48" spans="1:14" ht="16.5" x14ac:dyDescent="0.25">
      <c r="A48" s="44" t="s">
        <v>160</v>
      </c>
      <c r="B48" s="45">
        <f t="shared" ref="B48:N48" si="9">B16-B46</f>
        <v>-7710.4808219178085</v>
      </c>
      <c r="C48" s="45">
        <f t="shared" si="9"/>
        <v>-11028.442465753425</v>
      </c>
      <c r="D48" s="45">
        <f t="shared" si="9"/>
        <v>-12753.884931506849</v>
      </c>
      <c r="E48" s="45">
        <f t="shared" si="9"/>
        <v>-14386.808219178081</v>
      </c>
      <c r="F48" s="45">
        <f t="shared" si="9"/>
        <v>-15427.212328767124</v>
      </c>
      <c r="G48" s="45">
        <f t="shared" si="9"/>
        <v>-14375.097260273971</v>
      </c>
      <c r="H48" s="45">
        <f t="shared" si="9"/>
        <v>-11730.463013698631</v>
      </c>
      <c r="I48" s="45">
        <f t="shared" si="9"/>
        <v>-8993.3095890410914</v>
      </c>
      <c r="J48" s="45">
        <f t="shared" si="9"/>
        <v>-5663.6369863013679</v>
      </c>
      <c r="K48" s="45">
        <f t="shared" si="9"/>
        <v>-241.44520547945285</v>
      </c>
      <c r="L48" s="45">
        <f t="shared" si="9"/>
        <v>10683.746575342491</v>
      </c>
      <c r="M48" s="45">
        <f t="shared" si="9"/>
        <v>21608.938356164377</v>
      </c>
      <c r="N48" s="45">
        <f t="shared" si="9"/>
        <v>-70018.095890410943</v>
      </c>
    </row>
    <row r="49" spans="1:14" x14ac:dyDescent="0.25">
      <c r="A49" s="38" t="s">
        <v>161</v>
      </c>
      <c r="B49" s="46">
        <f t="shared" ref="B49:N49" si="10">IF(B16&gt;0,B48/B16,0)</f>
        <v>-3.5519579418065002</v>
      </c>
      <c r="C49" s="46">
        <f t="shared" si="10"/>
        <v>-1.6934769139445029</v>
      </c>
      <c r="D49" s="46">
        <f t="shared" si="10"/>
        <v>-0.97921396251922987</v>
      </c>
      <c r="E49" s="46">
        <f t="shared" si="10"/>
        <v>-0.66275163497062295</v>
      </c>
      <c r="F49" s="46">
        <f t="shared" si="10"/>
        <v>-0.4737863575280904</v>
      </c>
      <c r="G49" s="46">
        <f t="shared" si="10"/>
        <v>-0.31533911936698267</v>
      </c>
      <c r="H49" s="46">
        <f t="shared" si="10"/>
        <v>-0.19299385299095648</v>
      </c>
      <c r="I49" s="46">
        <f t="shared" si="10"/>
        <v>-0.11508093894710841</v>
      </c>
      <c r="J49" s="46">
        <f t="shared" si="10"/>
        <v>-5.7978803534873377E-2</v>
      </c>
      <c r="K49" s="46">
        <f t="shared" si="10"/>
        <v>-2.022284483870135E-3</v>
      </c>
      <c r="L49" s="46">
        <f t="shared" si="10"/>
        <v>7.5717553753714958E-2</v>
      </c>
      <c r="M49" s="46">
        <f t="shared" si="10"/>
        <v>0.13272676846127704</v>
      </c>
      <c r="N49" s="46">
        <f t="shared" si="10"/>
        <v>-8.9597140391742242E-2</v>
      </c>
    </row>
    <row r="51" spans="1:14" x14ac:dyDescent="0.25">
      <c r="A51" s="47" t="s">
        <v>162</v>
      </c>
      <c r="B51" s="48">
        <f>B48</f>
        <v>-7710.4808219178085</v>
      </c>
      <c r="C51" s="48">
        <f t="shared" ref="C51:M51" si="11">B51+C48</f>
        <v>-18738.923287671234</v>
      </c>
      <c r="D51" s="48">
        <f t="shared" si="11"/>
        <v>-31492.808219178085</v>
      </c>
      <c r="E51" s="48">
        <f t="shared" si="11"/>
        <v>-45879.61643835617</v>
      </c>
      <c r="F51" s="48">
        <f t="shared" si="11"/>
        <v>-61306.828767123297</v>
      </c>
      <c r="G51" s="48">
        <f t="shared" si="11"/>
        <v>-75681.926027397276</v>
      </c>
      <c r="H51" s="48">
        <f t="shared" si="11"/>
        <v>-87412.389041095914</v>
      </c>
      <c r="I51" s="48">
        <f t="shared" si="11"/>
        <v>-96405.698630137005</v>
      </c>
      <c r="J51" s="48">
        <f t="shared" si="11"/>
        <v>-102069.33561643837</v>
      </c>
      <c r="K51" s="48">
        <f t="shared" si="11"/>
        <v>-102310.78082191783</v>
      </c>
      <c r="L51" s="48">
        <f t="shared" si="11"/>
        <v>-91627.034246575335</v>
      </c>
      <c r="M51" s="48">
        <f t="shared" si="11"/>
        <v>-70018.095890410958</v>
      </c>
      <c r="N51" s="49">
        <f>M51</f>
        <v>-70018.095890410958</v>
      </c>
    </row>
  </sheetData>
  <mergeCells count="1">
    <mergeCell ref="A1:O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2"/>
  <sheetViews>
    <sheetView tabSelected="1" zoomScaleNormal="100" workbookViewId="0">
      <selection sqref="A1:E1"/>
    </sheetView>
  </sheetViews>
  <sheetFormatPr defaultColWidth="8.7109375" defaultRowHeight="15" x14ac:dyDescent="0.25"/>
  <cols>
    <col min="1" max="1" width="25" customWidth="1"/>
    <col min="2" max="2" width="15" customWidth="1"/>
    <col min="3" max="3" width="21.85546875" customWidth="1"/>
  </cols>
  <sheetData>
    <row r="1" spans="1:5" ht="20.25" x14ac:dyDescent="0.3">
      <c r="A1" s="2" t="s">
        <v>163</v>
      </c>
      <c r="B1" s="2"/>
      <c r="C1" s="2"/>
      <c r="D1" s="2"/>
      <c r="E1" s="2"/>
    </row>
    <row r="2" spans="1:5" x14ac:dyDescent="0.25">
      <c r="A2" s="10" t="s">
        <v>164</v>
      </c>
    </row>
    <row r="5" spans="1:5" x14ac:dyDescent="0.25">
      <c r="A5" s="50" t="s">
        <v>165</v>
      </c>
      <c r="B5" s="50" t="s">
        <v>166</v>
      </c>
      <c r="C5" s="50" t="s">
        <v>167</v>
      </c>
    </row>
    <row r="6" spans="1:5" x14ac:dyDescent="0.25">
      <c r="A6" t="s">
        <v>168</v>
      </c>
      <c r="B6" s="24">
        <f>'12-Month P&amp;L'!N48</f>
        <v>-70018.095890410943</v>
      </c>
      <c r="C6" s="51">
        <f>B6/'12-Month P&amp;L'!N16*100</f>
        <v>-8.9597140391742247</v>
      </c>
    </row>
    <row r="7" spans="1:5" x14ac:dyDescent="0.25">
      <c r="A7" t="s">
        <v>169</v>
      </c>
      <c r="B7" s="24">
        <f>'12-Month P&amp;L'!N37</f>
        <v>412500</v>
      </c>
      <c r="C7" s="51">
        <f>B7/'12-Month P&amp;L'!N16*100</f>
        <v>52.784669365245087</v>
      </c>
    </row>
    <row r="8" spans="1:5" x14ac:dyDescent="0.25">
      <c r="A8" t="s">
        <v>170</v>
      </c>
      <c r="B8" s="24">
        <f>'12-Month P&amp;L'!N31</f>
        <v>203000</v>
      </c>
      <c r="C8" s="51">
        <f>B8/'12-Month P&amp;L'!N16*100</f>
        <v>25.976455469441827</v>
      </c>
    </row>
    <row r="9" spans="1:5" x14ac:dyDescent="0.25">
      <c r="A9" t="s">
        <v>171</v>
      </c>
      <c r="B9" s="24">
        <f>'12-Month P&amp;L'!N26</f>
        <v>104715</v>
      </c>
      <c r="C9" s="51">
        <f>B9/'12-Month P&amp;L'!N16*100</f>
        <v>13.399628248682763</v>
      </c>
    </row>
    <row r="10" spans="1:5" x14ac:dyDescent="0.25">
      <c r="A10" t="s">
        <v>172</v>
      </c>
      <c r="B10" s="24">
        <f>'12-Month P&amp;L'!N40</f>
        <v>103680</v>
      </c>
      <c r="C10" s="51">
        <f>B10/'12-Month P&amp;L'!N16*100</f>
        <v>13.267186714639056</v>
      </c>
    </row>
    <row r="11" spans="1:5" x14ac:dyDescent="0.25">
      <c r="A11" t="s">
        <v>173</v>
      </c>
      <c r="B11" s="24">
        <f>'12-Month P&amp;L'!N41+'12-Month P&amp;L'!N42+'12-Month P&amp;L'!N43</f>
        <v>27600</v>
      </c>
      <c r="C11" s="51">
        <f>B11/'12-Month P&amp;L'!N16*100</f>
        <v>3.5317742411654898</v>
      </c>
    </row>
    <row r="14" spans="1:5" ht="15.75" x14ac:dyDescent="0.25">
      <c r="A14" s="8" t="s">
        <v>174</v>
      </c>
    </row>
    <row r="16" spans="1:5" x14ac:dyDescent="0.25">
      <c r="A16" t="s">
        <v>175</v>
      </c>
      <c r="B16" s="24">
        <f>'12-Month P&amp;L'!N16</f>
        <v>781476.90410958906</v>
      </c>
    </row>
    <row r="17" spans="1:2" x14ac:dyDescent="0.25">
      <c r="A17" t="s">
        <v>176</v>
      </c>
      <c r="B17" s="24">
        <f>'12-Month P&amp;L'!N46</f>
        <v>851495</v>
      </c>
    </row>
    <row r="18" spans="1:2" ht="18" x14ac:dyDescent="0.25">
      <c r="A18" t="s">
        <v>177</v>
      </c>
      <c r="B18" s="52">
        <f>'12-Month P&amp;L'!N48</f>
        <v>-70018.095890410943</v>
      </c>
    </row>
    <row r="19" spans="1:2" x14ac:dyDescent="0.25">
      <c r="A19" t="s">
        <v>161</v>
      </c>
      <c r="B19" s="53">
        <f>'12-Month P&amp;L'!N49</f>
        <v>-8.9597140391742242E-2</v>
      </c>
    </row>
    <row r="21" spans="1:2" x14ac:dyDescent="0.25">
      <c r="A21" t="s">
        <v>178</v>
      </c>
      <c r="B21" s="54">
        <f>'12-Month P&amp;L'!N37/SUM('12-Month P&amp;L'!B5:M5)</f>
        <v>55</v>
      </c>
    </row>
    <row r="22" spans="1:2" x14ac:dyDescent="0.25">
      <c r="A22" t="s">
        <v>179</v>
      </c>
      <c r="B22" s="29">
        <f>SUM('12-Month P&amp;L'!B5:M5)</f>
        <v>7500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9"/>
  <sheetViews>
    <sheetView zoomScaleNormal="100" workbookViewId="0">
      <selection sqref="A1:D1"/>
    </sheetView>
  </sheetViews>
  <sheetFormatPr defaultColWidth="8.7109375" defaultRowHeight="15" x14ac:dyDescent="0.25"/>
  <cols>
    <col min="1" max="1" width="30" customWidth="1"/>
    <col min="2" max="2" width="18" customWidth="1"/>
    <col min="3" max="3" width="12" customWidth="1"/>
    <col min="4" max="4" width="20" customWidth="1"/>
  </cols>
  <sheetData>
    <row r="1" spans="1:4" ht="22.5" x14ac:dyDescent="0.3">
      <c r="A1" s="1" t="s">
        <v>180</v>
      </c>
      <c r="B1" s="1"/>
      <c r="C1" s="1"/>
      <c r="D1" s="1"/>
    </row>
    <row r="2" spans="1:4" x14ac:dyDescent="0.25">
      <c r="A2" s="10" t="s">
        <v>181</v>
      </c>
    </row>
    <row r="4" spans="1:4" ht="15.75" x14ac:dyDescent="0.25">
      <c r="A4" s="5" t="s">
        <v>182</v>
      </c>
      <c r="B4" s="5"/>
      <c r="C4" s="5"/>
      <c r="D4" s="5"/>
    </row>
    <row r="6" spans="1:4" x14ac:dyDescent="0.25">
      <c r="A6" t="s">
        <v>175</v>
      </c>
      <c r="B6" s="24">
        <f>'12-Month P&amp;L'!N16</f>
        <v>781476.90410958906</v>
      </c>
    </row>
    <row r="7" spans="1:4" x14ac:dyDescent="0.25">
      <c r="A7" t="s">
        <v>176</v>
      </c>
      <c r="B7" s="24">
        <f>'12-Month P&amp;L'!N46</f>
        <v>851495</v>
      </c>
    </row>
    <row r="8" spans="1:4" ht="18" x14ac:dyDescent="0.25">
      <c r="A8" s="55" t="s">
        <v>177</v>
      </c>
      <c r="B8" s="56">
        <f>'12-Month P&amp;L'!N48</f>
        <v>-70018.095890410943</v>
      </c>
    </row>
    <row r="9" spans="1:4" x14ac:dyDescent="0.25">
      <c r="A9" t="s">
        <v>161</v>
      </c>
      <c r="B9" s="57">
        <f>'12-Month P&amp;L'!N49</f>
        <v>-8.9597140391742242E-2</v>
      </c>
    </row>
    <row r="11" spans="1:4" x14ac:dyDescent="0.25">
      <c r="A11" t="s">
        <v>183</v>
      </c>
      <c r="B11" s="29">
        <f>SUM('12-Month P&amp;L'!B5:M5)</f>
        <v>7500</v>
      </c>
    </row>
    <row r="12" spans="1:4" x14ac:dyDescent="0.25">
      <c r="A12" t="s">
        <v>184</v>
      </c>
      <c r="B12" s="29">
        <f>'12-Month P&amp;L'!M6</f>
        <v>7500</v>
      </c>
    </row>
    <row r="14" spans="1:4" ht="15.75" x14ac:dyDescent="0.25">
      <c r="A14" s="5" t="s">
        <v>185</v>
      </c>
      <c r="B14" s="5"/>
      <c r="C14" s="5"/>
      <c r="D14" s="5"/>
    </row>
    <row r="15" spans="1:4" x14ac:dyDescent="0.25">
      <c r="A15" t="s">
        <v>169</v>
      </c>
      <c r="B15" s="24">
        <f>'12-Month P&amp;L'!N37</f>
        <v>412500</v>
      </c>
      <c r="C15" s="57">
        <f>'12-Month P&amp;L'!N37/'12-Month P&amp;L'!N46</f>
        <v>0.48444206953652108</v>
      </c>
    </row>
    <row r="16" spans="1:4" x14ac:dyDescent="0.25">
      <c r="A16" t="s">
        <v>170</v>
      </c>
      <c r="B16" s="24">
        <f>'12-Month P&amp;L'!N31</f>
        <v>203000</v>
      </c>
      <c r="C16" s="57">
        <f>'12-Month P&amp;L'!N31/'12-Month P&amp;L'!N46</f>
        <v>0.23840421846282128</v>
      </c>
    </row>
    <row r="17" spans="1:4" x14ac:dyDescent="0.25">
      <c r="A17" t="s">
        <v>171</v>
      </c>
      <c r="B17" s="24">
        <f>'12-Month P&amp;L'!N26</f>
        <v>104715</v>
      </c>
      <c r="C17" s="57">
        <f>'12-Month P&amp;L'!N26/'12-Month P&amp;L'!N46</f>
        <v>0.12297782136125286</v>
      </c>
    </row>
    <row r="18" spans="1:4" x14ac:dyDescent="0.25">
      <c r="A18" t="s">
        <v>172</v>
      </c>
      <c r="B18" s="24">
        <f>'12-Month P&amp;L'!N40</f>
        <v>103680</v>
      </c>
      <c r="C18" s="57">
        <f>'12-Month P&amp;L'!N40/'12-Month P&amp;L'!N46</f>
        <v>0.12176231216859758</v>
      </c>
    </row>
    <row r="19" spans="1:4" x14ac:dyDescent="0.25">
      <c r="A19" t="s">
        <v>173</v>
      </c>
      <c r="B19" s="24">
        <f>'12-Month P&amp;L'!N41+'12-Month P&amp;L'!N42+'12-Month P&amp;L'!N43</f>
        <v>27600</v>
      </c>
      <c r="C19" s="57">
        <f>('12-Month P&amp;L'!N41+'12-Month P&amp;L'!N42+'12-Month P&amp;L'!N43)/'12-Month P&amp;L'!N46</f>
        <v>3.2413578470807225E-2</v>
      </c>
    </row>
    <row r="21" spans="1:4" ht="15.75" x14ac:dyDescent="0.25">
      <c r="A21" s="5" t="s">
        <v>186</v>
      </c>
      <c r="B21" s="5"/>
      <c r="C21" s="5"/>
      <c r="D21" s="5"/>
    </row>
    <row r="22" spans="1:4" x14ac:dyDescent="0.25">
      <c r="A22" t="s">
        <v>178</v>
      </c>
      <c r="B22" s="54">
        <f>'12-Month P&amp;L'!N37/SUM('12-Month P&amp;L'!B5:M5)</f>
        <v>55</v>
      </c>
    </row>
    <row r="23" spans="1:4" x14ac:dyDescent="0.25">
      <c r="A23" t="s">
        <v>187</v>
      </c>
      <c r="B23" s="24">
        <f>'12-Month P&amp;L'!N16/'12-Month P&amp;L'!M6</f>
        <v>104.19692054794521</v>
      </c>
    </row>
    <row r="24" spans="1:4" x14ac:dyDescent="0.25">
      <c r="A24" t="s">
        <v>188</v>
      </c>
      <c r="B24" s="24">
        <f>'12-Month P&amp;L'!N46/'12-Month P&amp;L'!M6</f>
        <v>113.53266666666667</v>
      </c>
    </row>
    <row r="25" spans="1:4" x14ac:dyDescent="0.25">
      <c r="A25" t="s">
        <v>189</v>
      </c>
      <c r="B25" s="58">
        <f>'12-Month P&amp;L'!N48/'12-Month P&amp;L'!M6</f>
        <v>-9.3357461187214597</v>
      </c>
    </row>
    <row r="28" spans="1:4" ht="15.75" x14ac:dyDescent="0.25">
      <c r="A28" s="5" t="s">
        <v>190</v>
      </c>
      <c r="B28" s="5"/>
      <c r="C28" s="5"/>
      <c r="D28" s="5"/>
    </row>
    <row r="29" spans="1:4" ht="18" x14ac:dyDescent="0.25">
      <c r="A29" s="59" t="s">
        <v>191</v>
      </c>
      <c r="B29" s="59" t="str">
        <f>IF('12-Month P&amp;L'!N48&gt;0,"YES - PROFITABLE","NO - LOSS")</f>
        <v>NO - LOSS</v>
      </c>
    </row>
  </sheetData>
  <mergeCells count="5">
    <mergeCell ref="A1:D1"/>
    <mergeCell ref="A4:D4"/>
    <mergeCell ref="A14:D14"/>
    <mergeCell ref="A21:D21"/>
    <mergeCell ref="A28:D2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Assumptions</vt:lpstr>
      <vt:lpstr>Lead Gen Options</vt:lpstr>
      <vt:lpstr>12-Month P&amp;L</vt:lpstr>
      <vt:lpstr>Cost Breakdown Chart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Tim Latimer</cp:lastModifiedBy>
  <cp:revision>1</cp:revision>
  <dcterms:created xsi:type="dcterms:W3CDTF">2025-12-11T23:04:06Z</dcterms:created>
  <dcterms:modified xsi:type="dcterms:W3CDTF">2025-12-11T23:14:11Z</dcterms:modified>
  <dc:language>en-US</dc:language>
</cp:coreProperties>
</file>