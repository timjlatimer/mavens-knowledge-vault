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cashcoloans-my.sharepoint.com/personal/tim_businessasaforceforgood_ca/Documents/Desktop/Cashco post Nov 1 2025/"/>
    </mc:Choice>
  </mc:AlternateContent>
  <xr:revisionPtr revIDLastSave="8" documentId="8_{FC5F786B-9052-4616-B879-5FE7ABECF265}" xr6:coauthVersionLast="47" xr6:coauthVersionMax="47" xr10:uidLastSave="{47F4A3A0-8596-457E-957D-F45114F0B87B}"/>
  <bookViews>
    <workbookView xWindow="-120" yWindow="-120" windowWidth="29040" windowHeight="15720" tabRatio="500" activeTab="2" xr2:uid="{00000000-000D-0000-FFFF-FFFF00000000}"/>
  </bookViews>
  <sheets>
    <sheet name="Assumptions" sheetId="1" r:id="rId1"/>
    <sheet name="12-Month P&amp;L" sheetId="2" r:id="rId2"/>
    <sheet name="Summa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8" i="3" l="1"/>
  <c r="B26" i="3"/>
  <c r="B25" i="3"/>
  <c r="M36" i="2"/>
  <c r="L36" i="2"/>
  <c r="K36" i="2"/>
  <c r="H36" i="2"/>
  <c r="G36" i="2"/>
  <c r="F36" i="2"/>
  <c r="M35" i="2"/>
  <c r="L35" i="2"/>
  <c r="K35" i="2"/>
  <c r="J35" i="2"/>
  <c r="I35" i="2"/>
  <c r="H35" i="2"/>
  <c r="G35" i="2"/>
  <c r="F35" i="2"/>
  <c r="E35" i="2"/>
  <c r="D35" i="2"/>
  <c r="C35" i="2"/>
  <c r="B35" i="2"/>
  <c r="N35" i="2" s="1"/>
  <c r="M34" i="2"/>
  <c r="L34" i="2"/>
  <c r="K34" i="2"/>
  <c r="J34" i="2"/>
  <c r="I34" i="2"/>
  <c r="H34" i="2"/>
  <c r="G34" i="2"/>
  <c r="F34" i="2"/>
  <c r="E34" i="2"/>
  <c r="D34" i="2"/>
  <c r="C34" i="2"/>
  <c r="B34" i="2"/>
  <c r="N34" i="2" s="1"/>
  <c r="M33" i="2"/>
  <c r="L33" i="2"/>
  <c r="K33" i="2"/>
  <c r="J33" i="2"/>
  <c r="I33" i="2"/>
  <c r="I36" i="2" s="1"/>
  <c r="H33" i="2"/>
  <c r="G33" i="2"/>
  <c r="F33" i="2"/>
  <c r="E33" i="2"/>
  <c r="D33" i="2"/>
  <c r="C33" i="2"/>
  <c r="N33" i="2" s="1"/>
  <c r="B33" i="2"/>
  <c r="M32" i="2"/>
  <c r="L32" i="2"/>
  <c r="K32" i="2"/>
  <c r="J32" i="2"/>
  <c r="I32" i="2"/>
  <c r="H32" i="2"/>
  <c r="G32" i="2"/>
  <c r="F32" i="2"/>
  <c r="E32" i="2"/>
  <c r="D32" i="2"/>
  <c r="C32" i="2"/>
  <c r="B32" i="2"/>
  <c r="N32" i="2" s="1"/>
  <c r="M31" i="2"/>
  <c r="L31" i="2"/>
  <c r="K31" i="2"/>
  <c r="J31" i="2"/>
  <c r="J36" i="2" s="1"/>
  <c r="I31" i="2"/>
  <c r="H31" i="2"/>
  <c r="G31" i="2"/>
  <c r="F31" i="2"/>
  <c r="E31" i="2"/>
  <c r="E36" i="2" s="1"/>
  <c r="D31" i="2"/>
  <c r="D36" i="2" s="1"/>
  <c r="C31" i="2"/>
  <c r="C36" i="2" s="1"/>
  <c r="B31" i="2"/>
  <c r="N31" i="2" s="1"/>
  <c r="K28" i="2"/>
  <c r="G28" i="2"/>
  <c r="F28" i="2"/>
  <c r="E28" i="2"/>
  <c r="M27" i="2"/>
  <c r="L27" i="2"/>
  <c r="K27" i="2"/>
  <c r="J27" i="2"/>
  <c r="I27" i="2"/>
  <c r="H27" i="2"/>
  <c r="G27" i="2"/>
  <c r="F27" i="2"/>
  <c r="E27" i="2"/>
  <c r="D27" i="2"/>
  <c r="C27" i="2"/>
  <c r="N27" i="2" s="1"/>
  <c r="B27" i="2"/>
  <c r="M26" i="2"/>
  <c r="M28" i="2" s="1"/>
  <c r="L26" i="2"/>
  <c r="L28" i="2" s="1"/>
  <c r="K26" i="2"/>
  <c r="J26" i="2"/>
  <c r="J28" i="2" s="1"/>
  <c r="I26" i="2"/>
  <c r="I28" i="2" s="1"/>
  <c r="H26" i="2"/>
  <c r="H28" i="2" s="1"/>
  <c r="G26" i="2"/>
  <c r="F26" i="2"/>
  <c r="E26" i="2"/>
  <c r="D26" i="2"/>
  <c r="D28" i="2" s="1"/>
  <c r="C26" i="2"/>
  <c r="C28" i="2" s="1"/>
  <c r="B26" i="2"/>
  <c r="B28" i="2" s="1"/>
  <c r="L23" i="2"/>
  <c r="L38" i="2" s="1"/>
  <c r="K23" i="2"/>
  <c r="K38" i="2" s="1"/>
  <c r="C23" i="2"/>
  <c r="B23" i="2"/>
  <c r="M22" i="2"/>
  <c r="L22" i="2"/>
  <c r="K22" i="2"/>
  <c r="J22" i="2"/>
  <c r="N22" i="2" s="1"/>
  <c r="I22" i="2"/>
  <c r="H22" i="2"/>
  <c r="G22" i="2"/>
  <c r="F22" i="2"/>
  <c r="E22" i="2"/>
  <c r="D22" i="2"/>
  <c r="C22" i="2"/>
  <c r="B22" i="2"/>
  <c r="M21" i="2"/>
  <c r="M23" i="2" s="1"/>
  <c r="M38" i="2" s="1"/>
  <c r="L21" i="2"/>
  <c r="K21" i="2"/>
  <c r="J21" i="2"/>
  <c r="I21" i="2"/>
  <c r="N21" i="2" s="1"/>
  <c r="H21" i="2"/>
  <c r="G21" i="2"/>
  <c r="F21" i="2"/>
  <c r="E21" i="2"/>
  <c r="D21" i="2"/>
  <c r="C21" i="2"/>
  <c r="B21" i="2"/>
  <c r="M20" i="2"/>
  <c r="L20" i="2"/>
  <c r="K20" i="2"/>
  <c r="J20" i="2"/>
  <c r="I20" i="2"/>
  <c r="H20" i="2"/>
  <c r="N20" i="2" s="1"/>
  <c r="G20" i="2"/>
  <c r="F20" i="2"/>
  <c r="E20" i="2"/>
  <c r="D20" i="2"/>
  <c r="C20" i="2"/>
  <c r="B20" i="2"/>
  <c r="M19" i="2"/>
  <c r="L19" i="2"/>
  <c r="K19" i="2"/>
  <c r="J19" i="2"/>
  <c r="I19" i="2"/>
  <c r="H19" i="2"/>
  <c r="G19" i="2"/>
  <c r="F19" i="2"/>
  <c r="E19" i="2"/>
  <c r="D19" i="2"/>
  <c r="C19" i="2"/>
  <c r="N19" i="2" s="1"/>
  <c r="B19" i="2"/>
  <c r="M18" i="2"/>
  <c r="L18" i="2"/>
  <c r="K18" i="2"/>
  <c r="J18" i="2"/>
  <c r="I18" i="2"/>
  <c r="H18" i="2"/>
  <c r="G18" i="2"/>
  <c r="F18" i="2"/>
  <c r="E18" i="2"/>
  <c r="D18" i="2"/>
  <c r="C18" i="2"/>
  <c r="B18" i="2"/>
  <c r="N18" i="2" s="1"/>
  <c r="M17" i="2"/>
  <c r="L17" i="2"/>
  <c r="K17" i="2"/>
  <c r="J17" i="2"/>
  <c r="I17" i="2"/>
  <c r="H17" i="2"/>
  <c r="G17" i="2"/>
  <c r="F17" i="2"/>
  <c r="E17" i="2"/>
  <c r="D17" i="2"/>
  <c r="C17" i="2"/>
  <c r="B17" i="2"/>
  <c r="N17" i="2" s="1"/>
  <c r="M16" i="2"/>
  <c r="L16" i="2"/>
  <c r="K16" i="2"/>
  <c r="J16" i="2"/>
  <c r="J23" i="2" s="1"/>
  <c r="J38" i="2" s="1"/>
  <c r="I16" i="2"/>
  <c r="I23" i="2" s="1"/>
  <c r="I38" i="2" s="1"/>
  <c r="H16" i="2"/>
  <c r="H23" i="2" s="1"/>
  <c r="H38" i="2" s="1"/>
  <c r="G16" i="2"/>
  <c r="G23" i="2" s="1"/>
  <c r="G38" i="2" s="1"/>
  <c r="F16" i="2"/>
  <c r="F23" i="2" s="1"/>
  <c r="F38" i="2" s="1"/>
  <c r="E16" i="2"/>
  <c r="E23" i="2" s="1"/>
  <c r="E38" i="2" s="1"/>
  <c r="D16" i="2"/>
  <c r="N16" i="2" s="1"/>
  <c r="C16" i="2"/>
  <c r="B16" i="2"/>
  <c r="I13" i="2"/>
  <c r="H13" i="2"/>
  <c r="G13" i="2"/>
  <c r="E13" i="2"/>
  <c r="D13" i="2"/>
  <c r="C13" i="2"/>
  <c r="M12" i="2"/>
  <c r="L12" i="2"/>
  <c r="K12" i="2"/>
  <c r="J12" i="2"/>
  <c r="I12" i="2"/>
  <c r="H12" i="2"/>
  <c r="G12" i="2"/>
  <c r="F12" i="2"/>
  <c r="E12" i="2"/>
  <c r="D12" i="2"/>
  <c r="C12" i="2"/>
  <c r="B12" i="2"/>
  <c r="N12" i="2" s="1"/>
  <c r="M11" i="2"/>
  <c r="L11" i="2"/>
  <c r="K11" i="2"/>
  <c r="J11" i="2"/>
  <c r="I11" i="2"/>
  <c r="H11" i="2"/>
  <c r="G11" i="2"/>
  <c r="F11" i="2"/>
  <c r="F13" i="2" s="1"/>
  <c r="E11" i="2"/>
  <c r="D11" i="2"/>
  <c r="C11" i="2"/>
  <c r="B11" i="2"/>
  <c r="N11" i="2" s="1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M9" i="2"/>
  <c r="N9" i="2" s="1"/>
  <c r="L9" i="2"/>
  <c r="K9" i="2"/>
  <c r="J9" i="2"/>
  <c r="I9" i="2"/>
  <c r="H9" i="2"/>
  <c r="G9" i="2"/>
  <c r="F9" i="2"/>
  <c r="E9" i="2"/>
  <c r="D9" i="2"/>
  <c r="C9" i="2"/>
  <c r="B9" i="2"/>
  <c r="M8" i="2"/>
  <c r="L8" i="2"/>
  <c r="N8" i="2" s="1"/>
  <c r="K8" i="2"/>
  <c r="J8" i="2"/>
  <c r="I8" i="2"/>
  <c r="H8" i="2"/>
  <c r="G8" i="2"/>
  <c r="F8" i="2"/>
  <c r="E8" i="2"/>
  <c r="D8" i="2"/>
  <c r="C8" i="2"/>
  <c r="B8" i="2"/>
  <c r="M7" i="2"/>
  <c r="L7" i="2"/>
  <c r="K7" i="2"/>
  <c r="J7" i="2"/>
  <c r="I7" i="2"/>
  <c r="H7" i="2"/>
  <c r="G7" i="2"/>
  <c r="F7" i="2"/>
  <c r="E7" i="2"/>
  <c r="D7" i="2"/>
  <c r="C7" i="2"/>
  <c r="B7" i="2"/>
  <c r="N7" i="2" s="1"/>
  <c r="M6" i="2"/>
  <c r="M13" i="2" s="1"/>
  <c r="L6" i="2"/>
  <c r="L13" i="2" s="1"/>
  <c r="K6" i="2"/>
  <c r="K13" i="2" s="1"/>
  <c r="J6" i="2"/>
  <c r="N6" i="2" s="1"/>
  <c r="I6" i="2"/>
  <c r="H6" i="2"/>
  <c r="G6" i="2"/>
  <c r="F6" i="2"/>
  <c r="E6" i="2"/>
  <c r="D6" i="2"/>
  <c r="C6" i="2"/>
  <c r="B6" i="2"/>
  <c r="B13" i="2" s="1"/>
  <c r="H40" i="2" l="1"/>
  <c r="I40" i="2"/>
  <c r="L40" i="2"/>
  <c r="L41" i="2" s="1"/>
  <c r="M40" i="2"/>
  <c r="M41" i="2" s="1"/>
  <c r="N36" i="2"/>
  <c r="C41" i="2"/>
  <c r="E40" i="2"/>
  <c r="G40" i="2"/>
  <c r="G41" i="2" s="1"/>
  <c r="N13" i="2"/>
  <c r="C38" i="2"/>
  <c r="K40" i="2"/>
  <c r="K41" i="2"/>
  <c r="F40" i="2"/>
  <c r="F41" i="2" s="1"/>
  <c r="N23" i="2"/>
  <c r="J13" i="2"/>
  <c r="D23" i="2"/>
  <c r="D38" i="2" s="1"/>
  <c r="D40" i="2" s="1"/>
  <c r="D41" i="2" s="1"/>
  <c r="C40" i="2"/>
  <c r="B36" i="2"/>
  <c r="B38" i="2" s="1"/>
  <c r="B40" i="2" s="1"/>
  <c r="E41" i="2"/>
  <c r="H41" i="2"/>
  <c r="I41" i="2"/>
  <c r="N26" i="2"/>
  <c r="N28" i="2" s="1"/>
  <c r="B43" i="2" l="1"/>
  <c r="C43" i="2" s="1"/>
  <c r="D43" i="2" s="1"/>
  <c r="E43" i="2" s="1"/>
  <c r="F43" i="2" s="1"/>
  <c r="G43" i="2" s="1"/>
  <c r="H43" i="2" s="1"/>
  <c r="I43" i="2" s="1"/>
  <c r="B41" i="2"/>
  <c r="J40" i="2"/>
  <c r="J41" i="2" s="1"/>
  <c r="B19" i="3"/>
  <c r="N38" i="2"/>
  <c r="B22" i="3"/>
  <c r="B20" i="3"/>
  <c r="B27" i="3"/>
  <c r="N40" i="2"/>
  <c r="N41" i="2"/>
  <c r="B8" i="3" s="1"/>
  <c r="B5" i="3"/>
  <c r="B14" i="3"/>
  <c r="B32" i="3" l="1"/>
  <c r="B16" i="3"/>
  <c r="B10" i="3"/>
  <c r="B7" i="3"/>
  <c r="B6" i="3"/>
  <c r="B15" i="3"/>
  <c r="B21" i="3"/>
  <c r="J43" i="2"/>
  <c r="K43" i="2" s="1"/>
  <c r="L43" i="2" s="1"/>
  <c r="M43" i="2" s="1"/>
  <c r="N43" i="2" s="1"/>
  <c r="B11" i="3" s="1"/>
</calcChain>
</file>

<file path=xl/sharedStrings.xml><?xml version="1.0" encoding="utf-8"?>
<sst xmlns="http://schemas.openxmlformats.org/spreadsheetml/2006/main" count="134" uniqueCount="128">
  <si>
    <t>THE GUARDIAN MVP - 12 MONTH MODEL (1,000 MEMBERS)</t>
  </si>
  <si>
    <t>BLUE CELLS = INPUTS YOU CAN CHANGE</t>
  </si>
  <si>
    <t>MEMBER ASSUMPTIONS</t>
  </si>
  <si>
    <t>Total Members</t>
  </si>
  <si>
    <t>Target member count for MVP</t>
  </si>
  <si>
    <t>Basic Tier %</t>
  </si>
  <si>
    <t>70% at $3.75/week</t>
  </si>
  <si>
    <t>Elite Tier %</t>
  </si>
  <si>
    <t>30% at $5.95/week</t>
  </si>
  <si>
    <t>Basic Weekly Rate ($)</t>
  </si>
  <si>
    <t>Weekly subscription</t>
  </si>
  <si>
    <t>Elite Weekly Rate ($)</t>
  </si>
  <si>
    <t>Weeks per Month</t>
  </si>
  <si>
    <t>Average</t>
  </si>
  <si>
    <t>ZŪM RAILS COSTS (per transaction)</t>
  </si>
  <si>
    <t>EFT Success</t>
  </si>
  <si>
    <t>Debit pull for repayments</t>
  </si>
  <si>
    <t>Interac Send</t>
  </si>
  <si>
    <t>e-Transfer out (disbursements)</t>
  </si>
  <si>
    <t>Interac ANR (Instant)</t>
  </si>
  <si>
    <t>Instant rails for Payroll Accelerator</t>
  </si>
  <si>
    <t>Aggregation New User</t>
  </si>
  <si>
    <t>Bank connection for Shield</t>
  </si>
  <si>
    <t>SERVICE USAGE (per member per month)</t>
  </si>
  <si>
    <t>Shield Saves Needed</t>
  </si>
  <si>
    <t>80% need NSF protection</t>
  </si>
  <si>
    <t>Milk Money Uses</t>
  </si>
  <si>
    <t>60% use micro-loans</t>
  </si>
  <si>
    <t>Payroll Accelerator Uses</t>
  </si>
  <si>
    <t>30% use early pay</t>
  </si>
  <si>
    <t>Check Bridge Uses</t>
  </si>
  <si>
    <t>15% use deposit release</t>
  </si>
  <si>
    <t>Lifeline Link Gifts</t>
  </si>
  <si>
    <t>10% give to neighbors</t>
  </si>
  <si>
    <t>Avg Transactions/Member</t>
  </si>
  <si>
    <t>For Nickel Millionaire pool</t>
  </si>
  <si>
    <t>MILK MONEY PARAMETERS</t>
  </si>
  <si>
    <t>Average Loan Amount</t>
  </si>
  <si>
    <t>Avg micro-loan size</t>
  </si>
  <si>
    <t>APR</t>
  </si>
  <si>
    <t>9.95% annual rate</t>
  </si>
  <si>
    <t>Avg Days Outstanding</t>
  </si>
  <si>
    <t>Two week average</t>
  </si>
  <si>
    <t>Bad Debt Rate</t>
  </si>
  <si>
    <t>8% default rate</t>
  </si>
  <si>
    <t>PRIVATE BANKER (PHILIPPINES)</t>
  </si>
  <si>
    <t>Monthly Cost per Agent</t>
  </si>
  <si>
    <t>Full-loaded (salary+benefits+tools)</t>
  </si>
  <si>
    <t>Members per Agent</t>
  </si>
  <si>
    <t>Caseload capacity</t>
  </si>
  <si>
    <t>Training Cost (one-time)</t>
  </si>
  <si>
    <t>Per agent onboarding</t>
  </si>
  <si>
    <t>OTHER MONTHLY COSTS</t>
  </si>
  <si>
    <t>Tech Infrastructure</t>
  </si>
  <si>
    <t>Servers, APIs, software</t>
  </si>
  <si>
    <t>Compliance &amp; Legal</t>
  </si>
  <si>
    <t>Regulatory reserve</t>
  </si>
  <si>
    <t>Customer Support Buffer</t>
  </si>
  <si>
    <t>Escalations, edge cases</t>
  </si>
  <si>
    <t>Marketing/Acquisition</t>
  </si>
  <si>
    <t>Member acquisition</t>
  </si>
  <si>
    <t>THE GUARDIAN - 12-MONTH PROFIT &amp; LOSS</t>
  </si>
  <si>
    <t>1,000 Members | All figures in CAD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</si>
  <si>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</si>
  <si>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</si>
  <si>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</si>
  <si>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</si>
  <si>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</si>
  <si>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</si>
  <si>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</si>
  <si>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</si>
  <si>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</si>
  <si>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</si>
  <si>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</si>
  <si>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</si>
  <si>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YEAR 1</t>
  </si>
  <si>
    <t>REVENUE</t>
  </si>
  <si>
    <t>Basic Subscriptions</t>
  </si>
  <si>
    <t>Elite Subscriptions</t>
  </si>
  <si>
    <t>Payroll Accelerator ($2.50 fee)</t>
  </si>
  <si>
    <t>Check Bridge ($2.50 fee)</t>
  </si>
  <si>
    <t>Milk Money Interest</t>
  </si>
  <si>
    <t>Lifeline Link Net ($1/gift)</t>
  </si>
  <si>
    <t>Nickel Millionaire Pool</t>
  </si>
  <si>
    <t>TOTAL REVENUE</t>
  </si>
  <si>
    <t>ZŪM RAILS COSTS</t>
  </si>
  <si>
    <t>Shield Aggregation</t>
  </si>
  <si>
    <t>Milk Money (EFT+Interac)</t>
  </si>
  <si>
    <t>Payroll Accelerator (ANR)</t>
  </si>
  <si>
    <t>Check Bridge (EFT+Interac)</t>
  </si>
  <si>
    <t>Lifeline Link (Interac)</t>
  </si>
  <si>
    <t>Nickel Millionaire (pool)</t>
  </si>
  <si>
    <t>New User Aggregation (M1)</t>
  </si>
  <si>
    <t>TOTAL ZŪM RAILS</t>
  </si>
  <si>
    <t>PRIVATE BANKER COSTS</t>
  </si>
  <si>
    <t>Agent Salaries</t>
  </si>
  <si>
    <t>Agent Training (M1 only)</t>
  </si>
  <si>
    <t>TOTAL PRIVATE BANKER</t>
  </si>
  <si>
    <t>OTHER OPERATING COSTS</t>
  </si>
  <si>
    <t>Milk Money Bad Debt</t>
  </si>
  <si>
    <t>Customer Support</t>
  </si>
  <si>
    <t>TOTAL OTHER COSTS</t>
  </si>
  <si>
    <t>TOTAL COSTS</t>
  </si>
  <si>
    <t>NET OPERATING INCOME</t>
  </si>
  <si>
    <t>Operating Margin</t>
  </si>
  <si>
    <t>Cumulative NOI</t>
  </si>
  <si>
    <t>THE GUARDIAN MVP - DOES IT MAKE MONEY?</t>
  </si>
  <si>
    <t>THE BOTTOM LINE (12-Month Totals)</t>
  </si>
  <si>
    <t>Total Revenue</t>
  </si>
  <si>
    <t>Total Costs</t>
  </si>
  <si>
    <t>Net Operating Income</t>
  </si>
  <si>
    <t>Average Monthly NOI</t>
  </si>
  <si>
    <t>Year 1 Cumulative</t>
  </si>
  <si>
    <t>PER MEMBER ECONOMICS</t>
  </si>
  <si>
    <t>Annual Revenue per Member</t>
  </si>
  <si>
    <t>Annual Cost per Member</t>
  </si>
  <si>
    <t>Annual Profit per Member</t>
  </si>
  <si>
    <t>COST BREAKDOWN (% of Total)</t>
  </si>
  <si>
    <t>Zūm Rails</t>
  </si>
  <si>
    <t>Private Bankers</t>
  </si>
  <si>
    <t>Bad Debt</t>
  </si>
  <si>
    <t>Other Operating</t>
  </si>
  <si>
    <t>PRIVATE BANKER DETAILS</t>
  </si>
  <si>
    <t>Required Agents</t>
  </si>
  <si>
    <t>Annual Revenue per Agent</t>
  </si>
  <si>
    <t>Annual Cost per Agent</t>
  </si>
  <si>
    <t>VERDICT</t>
  </si>
  <si>
    <t>Is MVP Profitable?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</si>
</sst>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"/>
    <numFmt numFmtId="166" formatCode="0.0%"/>
  </numFmts>
  <fonts count="14" x14ac:knownFonts="1">
    <font>
      <sz val="11"/>
      <color theme="1"/>
      <name val="Calibri"/>
      <family val="2"/>
      <charset val="1"/>
    </font>
    <font>
      <b/>
      <sz val="14"/>
      <color rgb="FF2C3E50"/>
      <name val="Cambria"/>
      <charset val="1"/>
    </font>
    <font>
      <b/>
      <i/>
      <sz val="11"/>
      <color rgb="FF0000FF"/>
      <name val="Cambria"/>
      <charset val="1"/>
    </font>
    <font>
      <b/>
      <sz val="12"/>
      <color rgb="FFFFFFFF"/>
      <name val="Cambria"/>
      <charset val="1"/>
    </font>
    <font>
      <sz val="11"/>
      <color rgb="FF0000FF"/>
      <name val="Cambria"/>
      <charset val="1"/>
    </font>
    <font>
      <i/>
      <sz val="11"/>
      <color rgb="FF666666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  <font>
      <b/>
      <sz val="13"/>
      <name val="Cambria"/>
      <charset val="1"/>
    </font>
    <font>
      <b/>
      <sz val="18"/>
      <color rgb="FF2C3E50"/>
      <name val="Cambria"/>
      <charset val="1"/>
    </font>
    <font>
      <b/>
      <sz val="12"/>
      <name val="Cambria"/>
      <charset val="1"/>
    </font>
    <font>
      <b/>
      <sz val="14"/>
      <color rgb="FF006400"/>
      <name val="Cambria"/>
      <charset val="1"/>
    </font>
    <font>
      <b/>
      <sz val="11"/>
      <color rgb="FF006400"/>
      <name val="Cambria"/>
      <charset val="1"/>
    </font>
    <font>
      <b/>
      <sz val="14"/>
      <name val="Cambria"/>
      <charset val="1"/>
    </font>
  </fonts>
  <fills count="8">
    <fill>
      <patternFill patternType="none"/>
    </fill>
    <fill>
      <patternFill patternType="gray125"/>
    </fill>
    <fill>
      <patternFill patternType="solid">
        <fgColor rgb="FF7CB394"/>
        <bgColor rgb="FF808080"/>
      </patternFill>
    </fill>
    <fill>
      <patternFill patternType="solid">
        <fgColor rgb="FFE3F2FD"/>
        <bgColor rgb="FFD4EDDA"/>
      </patternFill>
    </fill>
    <fill>
      <patternFill patternType="solid">
        <fgColor rgb="FF2C3E50"/>
        <bgColor rgb="FF333399"/>
      </patternFill>
    </fill>
    <fill>
      <patternFill patternType="solid">
        <fgColor rgb="FFD4EDDA"/>
        <bgColor rgb="FFE3F2FD"/>
      </patternFill>
    </fill>
    <fill>
      <patternFill patternType="solid">
        <fgColor rgb="FFF8D7DA"/>
        <bgColor rgb="FFCCCCCC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9" fillId="0" borderId="0" xfId="0" applyFont="1"/>
    <xf numFmtId="0" fontId="3" fillId="2" borderId="0" xfId="0" applyFont="1" applyFill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3" borderId="0" xfId="0" applyFont="1" applyFill="1"/>
    <xf numFmtId="9" fontId="4" fillId="3" borderId="0" xfId="0" applyNumberFormat="1" applyFont="1" applyFill="1"/>
    <xf numFmtId="164" fontId="4" fillId="3" borderId="0" xfId="0" applyNumberFormat="1" applyFont="1" applyFill="1"/>
    <xf numFmtId="165" fontId="4" fillId="3" borderId="0" xfId="0" applyNumberFormat="1" applyFont="1" applyFill="1"/>
    <xf numFmtId="10" fontId="4" fillId="3" borderId="0" xfId="0" applyNumberFormat="1" applyFont="1" applyFill="1"/>
    <xf numFmtId="0" fontId="5" fillId="0" borderId="0" xfId="0" applyFont="1"/>
    <xf numFmtId="0" fontId="6" fillId="4" borderId="1" xfId="0" applyFont="1" applyFill="1" applyBorder="1" applyAlignment="1">
      <alignment horizontal="center"/>
    </xf>
    <xf numFmtId="0" fontId="0" fillId="2" borderId="0" xfId="0" applyFill="1"/>
    <xf numFmtId="0" fontId="0" fillId="0" borderId="1" xfId="0" applyBorder="1"/>
    <xf numFmtId="165" fontId="0" fillId="0" borderId="1" xfId="0" applyNumberFormat="1" applyBorder="1"/>
    <xf numFmtId="165" fontId="7" fillId="0" borderId="1" xfId="0" applyNumberFormat="1" applyFont="1" applyBorder="1"/>
    <xf numFmtId="0" fontId="7" fillId="5" borderId="1" xfId="0" applyFont="1" applyFill="1" applyBorder="1"/>
    <xf numFmtId="165" fontId="7" fillId="5" borderId="1" xfId="0" applyNumberFormat="1" applyFont="1" applyFill="1" applyBorder="1"/>
    <xf numFmtId="0" fontId="3" fillId="4" borderId="0" xfId="0" applyFont="1" applyFill="1"/>
    <xf numFmtId="0" fontId="0" fillId="4" borderId="0" xfId="0" applyFill="1"/>
    <xf numFmtId="0" fontId="7" fillId="0" borderId="1" xfId="0" applyFont="1" applyBorder="1"/>
    <xf numFmtId="0" fontId="7" fillId="6" borderId="1" xfId="0" applyFont="1" applyFill="1" applyBorder="1"/>
    <xf numFmtId="165" fontId="7" fillId="6" borderId="1" xfId="0" applyNumberFormat="1" applyFont="1" applyFill="1" applyBorder="1"/>
    <xf numFmtId="0" fontId="8" fillId="7" borderId="1" xfId="0" applyFont="1" applyFill="1" applyBorder="1"/>
    <xf numFmtId="165" fontId="8" fillId="7" borderId="1" xfId="0" applyNumberFormat="1" applyFont="1" applyFill="1" applyBorder="1"/>
    <xf numFmtId="166" fontId="7" fillId="0" borderId="1" xfId="0" applyNumberFormat="1" applyFont="1" applyBorder="1"/>
    <xf numFmtId="0" fontId="7" fillId="7" borderId="1" xfId="0" applyFont="1" applyFill="1" applyBorder="1"/>
    <xf numFmtId="165" fontId="0" fillId="7" borderId="1" xfId="0" applyNumberFormat="1" applyFill="1" applyBorder="1"/>
    <xf numFmtId="165" fontId="7" fillId="7" borderId="1" xfId="0" applyNumberFormat="1" applyFont="1" applyFill="1" applyBorder="1"/>
    <xf numFmtId="165" fontId="0" fillId="0" borderId="0" xfId="0" applyNumberFormat="1"/>
    <xf numFmtId="0" fontId="10" fillId="0" borderId="0" xfId="0" applyFont="1"/>
    <xf numFmtId="165" fontId="11" fillId="7" borderId="0" xfId="0" applyNumberFormat="1" applyFont="1" applyFill="1"/>
    <xf numFmtId="166" fontId="0" fillId="0" borderId="0" xfId="0" applyNumberFormat="1"/>
    <xf numFmtId="165" fontId="12" fillId="0" borderId="0" xfId="0" applyNumberFormat="1" applyFont="1"/>
    <xf numFmtId="3" fontId="0" fillId="0" borderId="0" xfId="0" applyNumberFormat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C4"/>
      <rgbColor rgb="FFE3F2F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66"/>
      <rgbColor rgb="FF7CB394"/>
      <rgbColor rgb="FF003366"/>
      <rgbColor rgb="FF339966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41"/>
  <sheetViews>
    <sheetView zoomScaleNormal="100" workbookViewId="0">
      <selection sqref="A1:E1"/>
    </sheetView>
  </sheetViews>
  <sheetFormatPr defaultColWidth="8.7109375" defaultRowHeight="15" x14ac:dyDescent="0.25"/>
  <cols>
    <col min="1" max="1" width="30" customWidth="1"/>
    <col min="2" max="2" width="15" customWidth="1"/>
    <col min="3" max="3" width="3" customWidth="1"/>
    <col min="4" max="4" width="40" customWidth="1"/>
    <col min="5" max="5" width="5" customWidth="1"/>
  </cols>
  <sheetData>
    <row r="1" spans="1:5" ht="18" x14ac:dyDescent="0.25">
      <c r="A1" s="3" t="s">
        <v>0</v>
      </c>
      <c r="B1" s="3"/>
      <c r="C1" s="3"/>
      <c r="D1" s="3"/>
      <c r="E1" s="3"/>
    </row>
    <row r="2" spans="1:5" x14ac:dyDescent="0.25">
      <c r="A2" s="4" t="s">
        <v>1</v>
      </c>
    </row>
    <row r="4" spans="1:5" ht="15.75" x14ac:dyDescent="0.25">
      <c r="A4" s="2" t="s">
        <v>2</v>
      </c>
      <c r="B4" s="2"/>
      <c r="C4" s="2"/>
      <c r="D4" s="2"/>
      <c r="E4" s="2"/>
    </row>
    <row r="5" spans="1:5" x14ac:dyDescent="0.25">
      <c r="A5" t="s">
        <v>3</v>
      </c>
      <c r="B5" s="6">
        <v>1000</v>
      </c>
      <c r="D5" t="s">
        <v>4</v>
      </c>
    </row>
    <row r="6" spans="1:5" x14ac:dyDescent="0.25">
      <c r="A6" t="s">
        <v>5</v>
      </c>
      <c r="B6" s="7">
        <v>0.7</v>
      </c>
      <c r="D6" t="s">
        <v>6</v>
      </c>
    </row>
    <row r="7" spans="1:5" x14ac:dyDescent="0.25">
      <c r="A7" t="s">
        <v>7</v>
      </c>
      <c r="B7" s="7">
        <v>0.3</v>
      </c>
      <c r="D7" t="s">
        <v>8</v>
      </c>
    </row>
    <row r="8" spans="1:5" x14ac:dyDescent="0.25">
      <c r="A8" t="s">
        <v>9</v>
      </c>
      <c r="B8" s="8">
        <v>3.75</v>
      </c>
      <c r="D8" t="s">
        <v>10</v>
      </c>
    </row>
    <row r="9" spans="1:5" x14ac:dyDescent="0.25">
      <c r="A9" t="s">
        <v>11</v>
      </c>
      <c r="B9" s="8">
        <v>5.95</v>
      </c>
      <c r="D9" t="s">
        <v>10</v>
      </c>
    </row>
    <row r="10" spans="1:5" x14ac:dyDescent="0.25">
      <c r="A10" t="s">
        <v>12</v>
      </c>
      <c r="B10" s="6">
        <v>4.33</v>
      </c>
      <c r="D10" t="s">
        <v>13</v>
      </c>
    </row>
    <row r="12" spans="1:5" ht="15.75" x14ac:dyDescent="0.25">
      <c r="A12" s="2" t="s">
        <v>14</v>
      </c>
      <c r="B12" s="2"/>
      <c r="C12" s="2"/>
      <c r="D12" s="2"/>
      <c r="E12" s="2"/>
    </row>
    <row r="13" spans="1:5" x14ac:dyDescent="0.25">
      <c r="A13" t="s">
        <v>15</v>
      </c>
      <c r="B13" s="8">
        <v>0.25</v>
      </c>
      <c r="D13" t="s">
        <v>16</v>
      </c>
    </row>
    <row r="14" spans="1:5" x14ac:dyDescent="0.25">
      <c r="A14" t="s">
        <v>17</v>
      </c>
      <c r="B14" s="8">
        <v>1</v>
      </c>
      <c r="D14" t="s">
        <v>18</v>
      </c>
    </row>
    <row r="15" spans="1:5" x14ac:dyDescent="0.25">
      <c r="A15" t="s">
        <v>19</v>
      </c>
      <c r="B15" s="8">
        <v>1.25</v>
      </c>
      <c r="D15" t="s">
        <v>20</v>
      </c>
    </row>
    <row r="16" spans="1:5" x14ac:dyDescent="0.25">
      <c r="A16" t="s">
        <v>21</v>
      </c>
      <c r="B16" s="8">
        <v>0.3</v>
      </c>
      <c r="D16" t="s">
        <v>22</v>
      </c>
    </row>
    <row r="18" spans="1:5" ht="15.75" x14ac:dyDescent="0.25">
      <c r="A18" s="2" t="s">
        <v>23</v>
      </c>
      <c r="B18" s="2"/>
      <c r="C18" s="2"/>
      <c r="D18" s="2"/>
      <c r="E18" s="2"/>
    </row>
    <row r="19" spans="1:5" x14ac:dyDescent="0.25">
      <c r="A19" t="s">
        <v>24</v>
      </c>
      <c r="B19" s="7">
        <v>0.8</v>
      </c>
      <c r="D19" t="s">
        <v>25</v>
      </c>
    </row>
    <row r="20" spans="1:5" x14ac:dyDescent="0.25">
      <c r="A20" t="s">
        <v>26</v>
      </c>
      <c r="B20" s="7">
        <v>0.6</v>
      </c>
      <c r="D20" t="s">
        <v>27</v>
      </c>
    </row>
    <row r="21" spans="1:5" x14ac:dyDescent="0.25">
      <c r="A21" t="s">
        <v>28</v>
      </c>
      <c r="B21" s="7">
        <v>0.3</v>
      </c>
      <c r="D21" t="s">
        <v>29</v>
      </c>
    </row>
    <row r="22" spans="1:5" x14ac:dyDescent="0.25">
      <c r="A22" t="s">
        <v>30</v>
      </c>
      <c r="B22" s="7">
        <v>0.15</v>
      </c>
      <c r="D22" t="s">
        <v>31</v>
      </c>
    </row>
    <row r="23" spans="1:5" x14ac:dyDescent="0.25">
      <c r="A23" t="s">
        <v>32</v>
      </c>
      <c r="B23" s="7">
        <v>0.1</v>
      </c>
      <c r="D23" t="s">
        <v>33</v>
      </c>
    </row>
    <row r="24" spans="1:5" x14ac:dyDescent="0.25">
      <c r="A24" t="s">
        <v>34</v>
      </c>
      <c r="B24" s="6">
        <v>25</v>
      </c>
      <c r="D24" t="s">
        <v>35</v>
      </c>
    </row>
    <row r="26" spans="1:5" ht="15.75" x14ac:dyDescent="0.25">
      <c r="A26" s="2" t="s">
        <v>36</v>
      </c>
      <c r="B26" s="2"/>
      <c r="C26" s="2"/>
      <c r="D26" s="2"/>
      <c r="E26" s="2"/>
    </row>
    <row r="27" spans="1:5" x14ac:dyDescent="0.25">
      <c r="A27" t="s">
        <v>37</v>
      </c>
      <c r="B27" s="9">
        <v>60</v>
      </c>
      <c r="D27" t="s">
        <v>38</v>
      </c>
    </row>
    <row r="28" spans="1:5" x14ac:dyDescent="0.25">
      <c r="A28" t="s">
        <v>39</v>
      </c>
      <c r="B28" s="10">
        <v>9.9500000000000005E-2</v>
      </c>
      <c r="D28" t="s">
        <v>40</v>
      </c>
    </row>
    <row r="29" spans="1:5" x14ac:dyDescent="0.25">
      <c r="A29" t="s">
        <v>41</v>
      </c>
      <c r="B29" s="6">
        <v>14</v>
      </c>
      <c r="D29" t="s">
        <v>42</v>
      </c>
    </row>
    <row r="30" spans="1:5" x14ac:dyDescent="0.25">
      <c r="A30" t="s">
        <v>43</v>
      </c>
      <c r="B30" s="7">
        <v>0.08</v>
      </c>
      <c r="D30" t="s">
        <v>44</v>
      </c>
    </row>
    <row r="32" spans="1:5" ht="15.75" x14ac:dyDescent="0.25">
      <c r="A32" s="2" t="s">
        <v>45</v>
      </c>
      <c r="B32" s="2"/>
      <c r="C32" s="2"/>
      <c r="D32" s="2"/>
      <c r="E32" s="2"/>
    </row>
    <row r="33" spans="1:5" x14ac:dyDescent="0.25">
      <c r="A33" t="s">
        <v>46</v>
      </c>
      <c r="B33" s="9">
        <v>1000</v>
      </c>
      <c r="D33" t="s">
        <v>47</v>
      </c>
    </row>
    <row r="34" spans="1:5" x14ac:dyDescent="0.25">
      <c r="A34" t="s">
        <v>48</v>
      </c>
      <c r="B34" s="6">
        <v>200</v>
      </c>
      <c r="D34" t="s">
        <v>49</v>
      </c>
    </row>
    <row r="35" spans="1:5" x14ac:dyDescent="0.25">
      <c r="A35" t="s">
        <v>50</v>
      </c>
      <c r="B35" s="9">
        <v>500</v>
      </c>
      <c r="D35" t="s">
        <v>51</v>
      </c>
    </row>
    <row r="37" spans="1:5" ht="15.75" x14ac:dyDescent="0.25">
      <c r="A37" s="2" t="s">
        <v>52</v>
      </c>
      <c r="B37" s="2"/>
      <c r="C37" s="2"/>
      <c r="D37" s="2"/>
      <c r="E37" s="2"/>
    </row>
    <row r="38" spans="1:5" x14ac:dyDescent="0.25">
      <c r="A38" t="s">
        <v>53</v>
      </c>
      <c r="B38" s="9">
        <v>1500</v>
      </c>
      <c r="D38" t="s">
        <v>54</v>
      </c>
    </row>
    <row r="39" spans="1:5" x14ac:dyDescent="0.25">
      <c r="A39" t="s">
        <v>55</v>
      </c>
      <c r="B39" s="9">
        <v>500</v>
      </c>
      <c r="D39" t="s">
        <v>56</v>
      </c>
    </row>
    <row r="40" spans="1:5" x14ac:dyDescent="0.25">
      <c r="A40" t="s">
        <v>57</v>
      </c>
      <c r="B40" s="9">
        <v>300</v>
      </c>
      <c r="D40" t="s">
        <v>58</v>
      </c>
    </row>
    <row r="41" spans="1:5" x14ac:dyDescent="0.25">
      <c r="A41" t="s">
        <v>59</v>
      </c>
      <c r="B41" s="9">
        <v>500</v>
      </c>
      <c r="D41" t="s">
        <v>60</v>
      </c>
    </row>
  </sheetData>
  <mergeCells count="7">
    <mergeCell ref="A32:E32"/>
    <mergeCell ref="A37:E37"/>
    <mergeCell ref="A1:E1"/>
    <mergeCell ref="A4:E4"/>
    <mergeCell ref="A12:E12"/>
    <mergeCell ref="A18:E18"/>
    <mergeCell ref="A26:E26"/>
  </mergeCells>
  <pageMargins left="0.75" right="0.75" top="1" bottom="1" header="0.511811023622047" footer="0.511811023622047"/>
  <pageSetup paperSize="9" scale="7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43"/>
  <sheetViews>
    <sheetView topLeftCell="A12" zoomScaleNormal="100" workbookViewId="0">
      <selection sqref="A1:O1"/>
    </sheetView>
  </sheetViews>
  <sheetFormatPr defaultColWidth="8.7109375" defaultRowHeight="15" x14ac:dyDescent="0.25"/>
  <cols>
    <col min="1" max="1" width="30" customWidth="1"/>
    <col min="2" max="14" width="11" customWidth="1"/>
  </cols>
  <sheetData>
    <row r="1" spans="1:15" ht="18" x14ac:dyDescent="0.25">
      <c r="A1" s="3" t="s">
        <v>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x14ac:dyDescent="0.25">
      <c r="A2" s="11" t="s">
        <v>62</v>
      </c>
    </row>
    <row r="4" spans="1:15" x14ac:dyDescent="0.25">
      <c r="A4" s="12"/>
      <c r="B4" s="12" t="s">
        <v>63</v>
      </c>
      <c r="C4" s="12" t="s">
        <v>64</v>
      </c>
      <c r="D4" s="12" t="s">
        <v>65</v>
      </c>
      <c r="E4" s="12" t="s">
        <v>66</v>
      </c>
      <c r="F4" s="12" t="s">
        <v>67</v>
      </c>
      <c r="G4" s="12" t="s">
        <v>68</v>
      </c>
      <c r="H4" s="12" t="s">
        <v>69</v>
      </c>
      <c r="I4" s="12" t="s">
        <v>70</v>
      </c>
      <c r="J4" s="12" t="s">
        <v>71</v>
      </c>
      <c r="K4" s="12" t="s">
        <v>72</v>
      </c>
      <c r="L4" s="12" t="s">
        <v>73</v>
      </c>
      <c r="M4" s="12" t="s">
        <v>74</v>
      </c>
      <c r="N4" s="12" t="s">
        <v>75</v>
      </c>
    </row>
    <row r="5" spans="1:15" ht="15.75" x14ac:dyDescent="0.25">
      <c r="A5" s="5" t="s">
        <v>76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</row>
    <row r="6" spans="1:15" x14ac:dyDescent="0.25">
      <c r="A6" s="14" t="s">
        <v>77</v>
      </c>
      <c r="B6" s="15">
        <f>Assumptions!$B$5*Assumptions!$B$6*Assumptions!$B$8*Assumptions!$B$10</f>
        <v>11366.25</v>
      </c>
      <c r="C6" s="15">
        <f>Assumptions!$B$5*Assumptions!$B$6*Assumptions!$B$8*Assumptions!$B$10</f>
        <v>11366.25</v>
      </c>
      <c r="D6" s="15">
        <f>Assumptions!$B$5*Assumptions!$B$6*Assumptions!$B$8*Assumptions!$B$10</f>
        <v>11366.25</v>
      </c>
      <c r="E6" s="15">
        <f>Assumptions!$B$5*Assumptions!$B$6*Assumptions!$B$8*Assumptions!$B$10</f>
        <v>11366.25</v>
      </c>
      <c r="F6" s="15">
        <f>Assumptions!$B$5*Assumptions!$B$6*Assumptions!$B$8*Assumptions!$B$10</f>
        <v>11366.25</v>
      </c>
      <c r="G6" s="15">
        <f>Assumptions!$B$5*Assumptions!$B$6*Assumptions!$B$8*Assumptions!$B$10</f>
        <v>11366.25</v>
      </c>
      <c r="H6" s="15">
        <f>Assumptions!$B$5*Assumptions!$B$6*Assumptions!$B$8*Assumptions!$B$10</f>
        <v>11366.25</v>
      </c>
      <c r="I6" s="15">
        <f>Assumptions!$B$5*Assumptions!$B$6*Assumptions!$B$8*Assumptions!$B$10</f>
        <v>11366.25</v>
      </c>
      <c r="J6" s="15">
        <f>Assumptions!$B$5*Assumptions!$B$6*Assumptions!$B$8*Assumptions!$B$10</f>
        <v>11366.25</v>
      </c>
      <c r="K6" s="15">
        <f>Assumptions!$B$5*Assumptions!$B$6*Assumptions!$B$8*Assumptions!$B$10</f>
        <v>11366.25</v>
      </c>
      <c r="L6" s="15">
        <f>Assumptions!$B$5*Assumptions!$B$6*Assumptions!$B$8*Assumptions!$B$10</f>
        <v>11366.25</v>
      </c>
      <c r="M6" s="15">
        <f>Assumptions!$B$5*Assumptions!$B$6*Assumptions!$B$8*Assumptions!$B$10</f>
        <v>11366.25</v>
      </c>
      <c r="N6" s="16">
        <f t="shared" ref="N6:N12" si="0">SUM(B6:M6)</f>
        <v>136395</v>
      </c>
    </row>
    <row r="7" spans="1:15" x14ac:dyDescent="0.25">
      <c r="A7" s="14" t="s">
        <v>78</v>
      </c>
      <c r="B7" s="15">
        <f>Assumptions!$B$5*Assumptions!$B$7*Assumptions!$B$9*Assumptions!$B$10</f>
        <v>7729.05</v>
      </c>
      <c r="C7" s="15">
        <f>Assumptions!$B$5*Assumptions!$B$7*Assumptions!$B$9*Assumptions!$B$10</f>
        <v>7729.05</v>
      </c>
      <c r="D7" s="15">
        <f>Assumptions!$B$5*Assumptions!$B$7*Assumptions!$B$9*Assumptions!$B$10</f>
        <v>7729.05</v>
      </c>
      <c r="E7" s="15">
        <f>Assumptions!$B$5*Assumptions!$B$7*Assumptions!$B$9*Assumptions!$B$10</f>
        <v>7729.05</v>
      </c>
      <c r="F7" s="15">
        <f>Assumptions!$B$5*Assumptions!$B$7*Assumptions!$B$9*Assumptions!$B$10</f>
        <v>7729.05</v>
      </c>
      <c r="G7" s="15">
        <f>Assumptions!$B$5*Assumptions!$B$7*Assumptions!$B$9*Assumptions!$B$10</f>
        <v>7729.05</v>
      </c>
      <c r="H7" s="15">
        <f>Assumptions!$B$5*Assumptions!$B$7*Assumptions!$B$9*Assumptions!$B$10</f>
        <v>7729.05</v>
      </c>
      <c r="I7" s="15">
        <f>Assumptions!$B$5*Assumptions!$B$7*Assumptions!$B$9*Assumptions!$B$10</f>
        <v>7729.05</v>
      </c>
      <c r="J7" s="15">
        <f>Assumptions!$B$5*Assumptions!$B$7*Assumptions!$B$9*Assumptions!$B$10</f>
        <v>7729.05</v>
      </c>
      <c r="K7" s="15">
        <f>Assumptions!$B$5*Assumptions!$B$7*Assumptions!$B$9*Assumptions!$B$10</f>
        <v>7729.05</v>
      </c>
      <c r="L7" s="15">
        <f>Assumptions!$B$5*Assumptions!$B$7*Assumptions!$B$9*Assumptions!$B$10</f>
        <v>7729.05</v>
      </c>
      <c r="M7" s="15">
        <f>Assumptions!$B$5*Assumptions!$B$7*Assumptions!$B$9*Assumptions!$B$10</f>
        <v>7729.05</v>
      </c>
      <c r="N7" s="16">
        <f t="shared" si="0"/>
        <v>92748.60000000002</v>
      </c>
    </row>
    <row r="8" spans="1:15" x14ac:dyDescent="0.25">
      <c r="A8" s="14" t="s">
        <v>79</v>
      </c>
      <c r="B8" s="15">
        <f>Assumptions!$B$5*Assumptions!$B$21*2.5</f>
        <v>750</v>
      </c>
      <c r="C8" s="15">
        <f>Assumptions!$B$5*Assumptions!$B$21*2.5</f>
        <v>750</v>
      </c>
      <c r="D8" s="15">
        <f>Assumptions!$B$5*Assumptions!$B$21*2.5</f>
        <v>750</v>
      </c>
      <c r="E8" s="15">
        <f>Assumptions!$B$5*Assumptions!$B$21*2.5</f>
        <v>750</v>
      </c>
      <c r="F8" s="15">
        <f>Assumptions!$B$5*Assumptions!$B$21*2.5</f>
        <v>750</v>
      </c>
      <c r="G8" s="15">
        <f>Assumptions!$B$5*Assumptions!$B$21*2.5</f>
        <v>750</v>
      </c>
      <c r="H8" s="15">
        <f>Assumptions!$B$5*Assumptions!$B$21*2.5</f>
        <v>750</v>
      </c>
      <c r="I8" s="15">
        <f>Assumptions!$B$5*Assumptions!$B$21*2.5</f>
        <v>750</v>
      </c>
      <c r="J8" s="15">
        <f>Assumptions!$B$5*Assumptions!$B$21*2.5</f>
        <v>750</v>
      </c>
      <c r="K8" s="15">
        <f>Assumptions!$B$5*Assumptions!$B$21*2.5</f>
        <v>750</v>
      </c>
      <c r="L8" s="15">
        <f>Assumptions!$B$5*Assumptions!$B$21*2.5</f>
        <v>750</v>
      </c>
      <c r="M8" s="15">
        <f>Assumptions!$B$5*Assumptions!$B$21*2.5</f>
        <v>750</v>
      </c>
      <c r="N8" s="16">
        <f t="shared" si="0"/>
        <v>9000</v>
      </c>
    </row>
    <row r="9" spans="1:15" x14ac:dyDescent="0.25">
      <c r="A9" s="14" t="s">
        <v>80</v>
      </c>
      <c r="B9" s="15">
        <f>Assumptions!$B$5*Assumptions!$B$22*2.5</f>
        <v>375</v>
      </c>
      <c r="C9" s="15">
        <f>Assumptions!$B$5*Assumptions!$B$22*2.5</f>
        <v>375</v>
      </c>
      <c r="D9" s="15">
        <f>Assumptions!$B$5*Assumptions!$B$22*2.5</f>
        <v>375</v>
      </c>
      <c r="E9" s="15">
        <f>Assumptions!$B$5*Assumptions!$B$22*2.5</f>
        <v>375</v>
      </c>
      <c r="F9" s="15">
        <f>Assumptions!$B$5*Assumptions!$B$22*2.5</f>
        <v>375</v>
      </c>
      <c r="G9" s="15">
        <f>Assumptions!$B$5*Assumptions!$B$22*2.5</f>
        <v>375</v>
      </c>
      <c r="H9" s="15">
        <f>Assumptions!$B$5*Assumptions!$B$22*2.5</f>
        <v>375</v>
      </c>
      <c r="I9" s="15">
        <f>Assumptions!$B$5*Assumptions!$B$22*2.5</f>
        <v>375</v>
      </c>
      <c r="J9" s="15">
        <f>Assumptions!$B$5*Assumptions!$B$22*2.5</f>
        <v>375</v>
      </c>
      <c r="K9" s="15">
        <f>Assumptions!$B$5*Assumptions!$B$22*2.5</f>
        <v>375</v>
      </c>
      <c r="L9" s="15">
        <f>Assumptions!$B$5*Assumptions!$B$22*2.5</f>
        <v>375</v>
      </c>
      <c r="M9" s="15">
        <f>Assumptions!$B$5*Assumptions!$B$22*2.5</f>
        <v>375</v>
      </c>
      <c r="N9" s="16">
        <f t="shared" si="0"/>
        <v>4500</v>
      </c>
    </row>
    <row r="10" spans="1:15" x14ac:dyDescent="0.25">
      <c r="A10" s="14" t="s">
        <v>81</v>
      </c>
      <c r="B10" s="15">
        <f>Assumptions!$B$5*Assumptions!$B$20*Assumptions!$B$27*Assumptions!$B$28*(Assumptions!$B$29/365)</f>
        <v>137.39178082191782</v>
      </c>
      <c r="C10" s="15">
        <f>Assumptions!$B$5*Assumptions!$B$20*Assumptions!$B$27*Assumptions!$B$28*(Assumptions!$B$29/365)</f>
        <v>137.39178082191782</v>
      </c>
      <c r="D10" s="15">
        <f>Assumptions!$B$5*Assumptions!$B$20*Assumptions!$B$27*Assumptions!$B$28*(Assumptions!$B$29/365)</f>
        <v>137.39178082191782</v>
      </c>
      <c r="E10" s="15">
        <f>Assumptions!$B$5*Assumptions!$B$20*Assumptions!$B$27*Assumptions!$B$28*(Assumptions!$B$29/365)</f>
        <v>137.39178082191782</v>
      </c>
      <c r="F10" s="15">
        <f>Assumptions!$B$5*Assumptions!$B$20*Assumptions!$B$27*Assumptions!$B$28*(Assumptions!$B$29/365)</f>
        <v>137.39178082191782</v>
      </c>
      <c r="G10" s="15">
        <f>Assumptions!$B$5*Assumptions!$B$20*Assumptions!$B$27*Assumptions!$B$28*(Assumptions!$B$29/365)</f>
        <v>137.39178082191782</v>
      </c>
      <c r="H10" s="15">
        <f>Assumptions!$B$5*Assumptions!$B$20*Assumptions!$B$27*Assumptions!$B$28*(Assumptions!$B$29/365)</f>
        <v>137.39178082191782</v>
      </c>
      <c r="I10" s="15">
        <f>Assumptions!$B$5*Assumptions!$B$20*Assumptions!$B$27*Assumptions!$B$28*(Assumptions!$B$29/365)</f>
        <v>137.39178082191782</v>
      </c>
      <c r="J10" s="15">
        <f>Assumptions!$B$5*Assumptions!$B$20*Assumptions!$B$27*Assumptions!$B$28*(Assumptions!$B$29/365)</f>
        <v>137.39178082191782</v>
      </c>
      <c r="K10" s="15">
        <f>Assumptions!$B$5*Assumptions!$B$20*Assumptions!$B$27*Assumptions!$B$28*(Assumptions!$B$29/365)</f>
        <v>137.39178082191782</v>
      </c>
      <c r="L10" s="15">
        <f>Assumptions!$B$5*Assumptions!$B$20*Assumptions!$B$27*Assumptions!$B$28*(Assumptions!$B$29/365)</f>
        <v>137.39178082191782</v>
      </c>
      <c r="M10" s="15">
        <f>Assumptions!$B$5*Assumptions!$B$20*Assumptions!$B$27*Assumptions!$B$28*(Assumptions!$B$29/365)</f>
        <v>137.39178082191782</v>
      </c>
      <c r="N10" s="16">
        <f t="shared" si="0"/>
        <v>1648.7013698630137</v>
      </c>
    </row>
    <row r="11" spans="1:15" x14ac:dyDescent="0.25">
      <c r="A11" s="14" t="s">
        <v>82</v>
      </c>
      <c r="B11" s="15">
        <f>Assumptions!$B$5*Assumptions!$B$23*1</f>
        <v>100</v>
      </c>
      <c r="C11" s="15">
        <f>Assumptions!$B$5*Assumptions!$B$23*1</f>
        <v>100</v>
      </c>
      <c r="D11" s="15">
        <f>Assumptions!$B$5*Assumptions!$B$23*1</f>
        <v>100</v>
      </c>
      <c r="E11" s="15">
        <f>Assumptions!$B$5*Assumptions!$B$23*1</f>
        <v>100</v>
      </c>
      <c r="F11" s="15">
        <f>Assumptions!$B$5*Assumptions!$B$23*1</f>
        <v>100</v>
      </c>
      <c r="G11" s="15">
        <f>Assumptions!$B$5*Assumptions!$B$23*1</f>
        <v>100</v>
      </c>
      <c r="H11" s="15">
        <f>Assumptions!$B$5*Assumptions!$B$23*1</f>
        <v>100</v>
      </c>
      <c r="I11" s="15">
        <f>Assumptions!$B$5*Assumptions!$B$23*1</f>
        <v>100</v>
      </c>
      <c r="J11" s="15">
        <f>Assumptions!$B$5*Assumptions!$B$23*1</f>
        <v>100</v>
      </c>
      <c r="K11" s="15">
        <f>Assumptions!$B$5*Assumptions!$B$23*1</f>
        <v>100</v>
      </c>
      <c r="L11" s="15">
        <f>Assumptions!$B$5*Assumptions!$B$23*1</f>
        <v>100</v>
      </c>
      <c r="M11" s="15">
        <f>Assumptions!$B$5*Assumptions!$B$23*1</f>
        <v>100</v>
      </c>
      <c r="N11" s="16">
        <f t="shared" si="0"/>
        <v>1200</v>
      </c>
    </row>
    <row r="12" spans="1:15" x14ac:dyDescent="0.25">
      <c r="A12" s="14" t="s">
        <v>83</v>
      </c>
      <c r="B12" s="15">
        <f>Assumptions!$B$5*Assumptions!$B$24*0.05</f>
        <v>1250</v>
      </c>
      <c r="C12" s="15">
        <f>Assumptions!$B$5*Assumptions!$B$24*0.05</f>
        <v>1250</v>
      </c>
      <c r="D12" s="15">
        <f>Assumptions!$B$5*Assumptions!$B$24*0.05</f>
        <v>1250</v>
      </c>
      <c r="E12" s="15">
        <f>Assumptions!$B$5*Assumptions!$B$24*0.05</f>
        <v>1250</v>
      </c>
      <c r="F12" s="15">
        <f>Assumptions!$B$5*Assumptions!$B$24*0.05</f>
        <v>1250</v>
      </c>
      <c r="G12" s="15">
        <f>Assumptions!$B$5*Assumptions!$B$24*0.05</f>
        <v>1250</v>
      </c>
      <c r="H12" s="15">
        <f>Assumptions!$B$5*Assumptions!$B$24*0.05</f>
        <v>1250</v>
      </c>
      <c r="I12" s="15">
        <f>Assumptions!$B$5*Assumptions!$B$24*0.05</f>
        <v>1250</v>
      </c>
      <c r="J12" s="15">
        <f>Assumptions!$B$5*Assumptions!$B$24*0.05</f>
        <v>1250</v>
      </c>
      <c r="K12" s="15">
        <f>Assumptions!$B$5*Assumptions!$B$24*0.05</f>
        <v>1250</v>
      </c>
      <c r="L12" s="15">
        <f>Assumptions!$B$5*Assumptions!$B$24*0.05</f>
        <v>1250</v>
      </c>
      <c r="M12" s="15">
        <f>Assumptions!$B$5*Assumptions!$B$24*0.05</f>
        <v>1250</v>
      </c>
      <c r="N12" s="16">
        <f t="shared" si="0"/>
        <v>15000</v>
      </c>
    </row>
    <row r="13" spans="1:15" x14ac:dyDescent="0.25">
      <c r="A13" s="17" t="s">
        <v>84</v>
      </c>
      <c r="B13" s="18">
        <f t="shared" ref="B13:N13" si="1">SUM(B6:B12)</f>
        <v>21707.691780821919</v>
      </c>
      <c r="C13" s="18">
        <f t="shared" si="1"/>
        <v>21707.691780821919</v>
      </c>
      <c r="D13" s="18">
        <f t="shared" si="1"/>
        <v>21707.691780821919</v>
      </c>
      <c r="E13" s="18">
        <f t="shared" si="1"/>
        <v>21707.691780821919</v>
      </c>
      <c r="F13" s="18">
        <f t="shared" si="1"/>
        <v>21707.691780821919</v>
      </c>
      <c r="G13" s="18">
        <f t="shared" si="1"/>
        <v>21707.691780821919</v>
      </c>
      <c r="H13" s="18">
        <f t="shared" si="1"/>
        <v>21707.691780821919</v>
      </c>
      <c r="I13" s="18">
        <f t="shared" si="1"/>
        <v>21707.691780821919</v>
      </c>
      <c r="J13" s="18">
        <f t="shared" si="1"/>
        <v>21707.691780821919</v>
      </c>
      <c r="K13" s="18">
        <f t="shared" si="1"/>
        <v>21707.691780821919</v>
      </c>
      <c r="L13" s="18">
        <f t="shared" si="1"/>
        <v>21707.691780821919</v>
      </c>
      <c r="M13" s="18">
        <f t="shared" si="1"/>
        <v>21707.691780821919</v>
      </c>
      <c r="N13" s="18">
        <f t="shared" si="1"/>
        <v>260492.30136986304</v>
      </c>
    </row>
    <row r="15" spans="1:15" ht="15.75" x14ac:dyDescent="0.25">
      <c r="A15" s="19" t="s">
        <v>85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</row>
    <row r="16" spans="1:15" x14ac:dyDescent="0.25">
      <c r="A16" s="14" t="s">
        <v>86</v>
      </c>
      <c r="B16" s="15">
        <f>Assumptions!$B$5*Assumptions!$B$19*Assumptions!$B$16</f>
        <v>240</v>
      </c>
      <c r="C16" s="15">
        <f>Assumptions!$B$5*Assumptions!$B$19*Assumptions!$B$16</f>
        <v>240</v>
      </c>
      <c r="D16" s="15">
        <f>Assumptions!$B$5*Assumptions!$B$19*Assumptions!$B$16</f>
        <v>240</v>
      </c>
      <c r="E16" s="15">
        <f>Assumptions!$B$5*Assumptions!$B$19*Assumptions!$B$16</f>
        <v>240</v>
      </c>
      <c r="F16" s="15">
        <f>Assumptions!$B$5*Assumptions!$B$19*Assumptions!$B$16</f>
        <v>240</v>
      </c>
      <c r="G16" s="15">
        <f>Assumptions!$B$5*Assumptions!$B$19*Assumptions!$B$16</f>
        <v>240</v>
      </c>
      <c r="H16" s="15">
        <f>Assumptions!$B$5*Assumptions!$B$19*Assumptions!$B$16</f>
        <v>240</v>
      </c>
      <c r="I16" s="15">
        <f>Assumptions!$B$5*Assumptions!$B$19*Assumptions!$B$16</f>
        <v>240</v>
      </c>
      <c r="J16" s="15">
        <f>Assumptions!$B$5*Assumptions!$B$19*Assumptions!$B$16</f>
        <v>240</v>
      </c>
      <c r="K16" s="15">
        <f>Assumptions!$B$5*Assumptions!$B$19*Assumptions!$B$16</f>
        <v>240</v>
      </c>
      <c r="L16" s="15">
        <f>Assumptions!$B$5*Assumptions!$B$19*Assumptions!$B$16</f>
        <v>240</v>
      </c>
      <c r="M16" s="15">
        <f>Assumptions!$B$5*Assumptions!$B$19*Assumptions!$B$16</f>
        <v>240</v>
      </c>
      <c r="N16" s="16">
        <f t="shared" ref="N16:N22" si="2">SUM(B16:M16)</f>
        <v>2880</v>
      </c>
    </row>
    <row r="17" spans="1:14" x14ac:dyDescent="0.25">
      <c r="A17" s="14" t="s">
        <v>87</v>
      </c>
      <c r="B17" s="15">
        <f>Assumptions!$B$5*Assumptions!$B$20*(Assumptions!$B$13+Assumptions!$B$14)</f>
        <v>750</v>
      </c>
      <c r="C17" s="15">
        <f>Assumptions!$B$5*Assumptions!$B$20*(Assumptions!$B$13+Assumptions!$B$14)</f>
        <v>750</v>
      </c>
      <c r="D17" s="15">
        <f>Assumptions!$B$5*Assumptions!$B$20*(Assumptions!$B$13+Assumptions!$B$14)</f>
        <v>750</v>
      </c>
      <c r="E17" s="15">
        <f>Assumptions!$B$5*Assumptions!$B$20*(Assumptions!$B$13+Assumptions!$B$14)</f>
        <v>750</v>
      </c>
      <c r="F17" s="15">
        <f>Assumptions!$B$5*Assumptions!$B$20*(Assumptions!$B$13+Assumptions!$B$14)</f>
        <v>750</v>
      </c>
      <c r="G17" s="15">
        <f>Assumptions!$B$5*Assumptions!$B$20*(Assumptions!$B$13+Assumptions!$B$14)</f>
        <v>750</v>
      </c>
      <c r="H17" s="15">
        <f>Assumptions!$B$5*Assumptions!$B$20*(Assumptions!$B$13+Assumptions!$B$14)</f>
        <v>750</v>
      </c>
      <c r="I17" s="15">
        <f>Assumptions!$B$5*Assumptions!$B$20*(Assumptions!$B$13+Assumptions!$B$14)</f>
        <v>750</v>
      </c>
      <c r="J17" s="15">
        <f>Assumptions!$B$5*Assumptions!$B$20*(Assumptions!$B$13+Assumptions!$B$14)</f>
        <v>750</v>
      </c>
      <c r="K17" s="15">
        <f>Assumptions!$B$5*Assumptions!$B$20*(Assumptions!$B$13+Assumptions!$B$14)</f>
        <v>750</v>
      </c>
      <c r="L17" s="15">
        <f>Assumptions!$B$5*Assumptions!$B$20*(Assumptions!$B$13+Assumptions!$B$14)</f>
        <v>750</v>
      </c>
      <c r="M17" s="15">
        <f>Assumptions!$B$5*Assumptions!$B$20*(Assumptions!$B$13+Assumptions!$B$14)</f>
        <v>750</v>
      </c>
      <c r="N17" s="16">
        <f t="shared" si="2"/>
        <v>9000</v>
      </c>
    </row>
    <row r="18" spans="1:14" x14ac:dyDescent="0.25">
      <c r="A18" s="14" t="s">
        <v>88</v>
      </c>
      <c r="B18" s="15">
        <f>Assumptions!$B$5*Assumptions!$B$21*Assumptions!$B$15</f>
        <v>375</v>
      </c>
      <c r="C18" s="15">
        <f>Assumptions!$B$5*Assumptions!$B$21*Assumptions!$B$15</f>
        <v>375</v>
      </c>
      <c r="D18" s="15">
        <f>Assumptions!$B$5*Assumptions!$B$21*Assumptions!$B$15</f>
        <v>375</v>
      </c>
      <c r="E18" s="15">
        <f>Assumptions!$B$5*Assumptions!$B$21*Assumptions!$B$15</f>
        <v>375</v>
      </c>
      <c r="F18" s="15">
        <f>Assumptions!$B$5*Assumptions!$B$21*Assumptions!$B$15</f>
        <v>375</v>
      </c>
      <c r="G18" s="15">
        <f>Assumptions!$B$5*Assumptions!$B$21*Assumptions!$B$15</f>
        <v>375</v>
      </c>
      <c r="H18" s="15">
        <f>Assumptions!$B$5*Assumptions!$B$21*Assumptions!$B$15</f>
        <v>375</v>
      </c>
      <c r="I18" s="15">
        <f>Assumptions!$B$5*Assumptions!$B$21*Assumptions!$B$15</f>
        <v>375</v>
      </c>
      <c r="J18" s="15">
        <f>Assumptions!$B$5*Assumptions!$B$21*Assumptions!$B$15</f>
        <v>375</v>
      </c>
      <c r="K18" s="15">
        <f>Assumptions!$B$5*Assumptions!$B$21*Assumptions!$B$15</f>
        <v>375</v>
      </c>
      <c r="L18" s="15">
        <f>Assumptions!$B$5*Assumptions!$B$21*Assumptions!$B$15</f>
        <v>375</v>
      </c>
      <c r="M18" s="15">
        <f>Assumptions!$B$5*Assumptions!$B$21*Assumptions!$B$15</f>
        <v>375</v>
      </c>
      <c r="N18" s="16">
        <f t="shared" si="2"/>
        <v>4500</v>
      </c>
    </row>
    <row r="19" spans="1:14" x14ac:dyDescent="0.25">
      <c r="A19" s="14" t="s">
        <v>89</v>
      </c>
      <c r="B19" s="15">
        <f>Assumptions!$B$5*Assumptions!$B$22*(Assumptions!$B$13+Assumptions!$B$14)</f>
        <v>187.5</v>
      </c>
      <c r="C19" s="15">
        <f>Assumptions!$B$5*Assumptions!$B$22*(Assumptions!$B$13+Assumptions!$B$14)</f>
        <v>187.5</v>
      </c>
      <c r="D19" s="15">
        <f>Assumptions!$B$5*Assumptions!$B$22*(Assumptions!$B$13+Assumptions!$B$14)</f>
        <v>187.5</v>
      </c>
      <c r="E19" s="15">
        <f>Assumptions!$B$5*Assumptions!$B$22*(Assumptions!$B$13+Assumptions!$B$14)</f>
        <v>187.5</v>
      </c>
      <c r="F19" s="15">
        <f>Assumptions!$B$5*Assumptions!$B$22*(Assumptions!$B$13+Assumptions!$B$14)</f>
        <v>187.5</v>
      </c>
      <c r="G19" s="15">
        <f>Assumptions!$B$5*Assumptions!$B$22*(Assumptions!$B$13+Assumptions!$B$14)</f>
        <v>187.5</v>
      </c>
      <c r="H19" s="15">
        <f>Assumptions!$B$5*Assumptions!$B$22*(Assumptions!$B$13+Assumptions!$B$14)</f>
        <v>187.5</v>
      </c>
      <c r="I19" s="15">
        <f>Assumptions!$B$5*Assumptions!$B$22*(Assumptions!$B$13+Assumptions!$B$14)</f>
        <v>187.5</v>
      </c>
      <c r="J19" s="15">
        <f>Assumptions!$B$5*Assumptions!$B$22*(Assumptions!$B$13+Assumptions!$B$14)</f>
        <v>187.5</v>
      </c>
      <c r="K19" s="15">
        <f>Assumptions!$B$5*Assumptions!$B$22*(Assumptions!$B$13+Assumptions!$B$14)</f>
        <v>187.5</v>
      </c>
      <c r="L19" s="15">
        <f>Assumptions!$B$5*Assumptions!$B$22*(Assumptions!$B$13+Assumptions!$B$14)</f>
        <v>187.5</v>
      </c>
      <c r="M19" s="15">
        <f>Assumptions!$B$5*Assumptions!$B$22*(Assumptions!$B$13+Assumptions!$B$14)</f>
        <v>187.5</v>
      </c>
      <c r="N19" s="16">
        <f t="shared" si="2"/>
        <v>2250</v>
      </c>
    </row>
    <row r="20" spans="1:14" x14ac:dyDescent="0.25">
      <c r="A20" s="14" t="s">
        <v>90</v>
      </c>
      <c r="B20" s="15">
        <f>Assumptions!$B$5*Assumptions!$B$23*Assumptions!$B$14</f>
        <v>100</v>
      </c>
      <c r="C20" s="15">
        <f>Assumptions!$B$5*Assumptions!$B$23*Assumptions!$B$14</f>
        <v>100</v>
      </c>
      <c r="D20" s="15">
        <f>Assumptions!$B$5*Assumptions!$B$23*Assumptions!$B$14</f>
        <v>100</v>
      </c>
      <c r="E20" s="15">
        <f>Assumptions!$B$5*Assumptions!$B$23*Assumptions!$B$14</f>
        <v>100</v>
      </c>
      <c r="F20" s="15">
        <f>Assumptions!$B$5*Assumptions!$B$23*Assumptions!$B$14</f>
        <v>100</v>
      </c>
      <c r="G20" s="15">
        <f>Assumptions!$B$5*Assumptions!$B$23*Assumptions!$B$14</f>
        <v>100</v>
      </c>
      <c r="H20" s="15">
        <f>Assumptions!$B$5*Assumptions!$B$23*Assumptions!$B$14</f>
        <v>100</v>
      </c>
      <c r="I20" s="15">
        <f>Assumptions!$B$5*Assumptions!$B$23*Assumptions!$B$14</f>
        <v>100</v>
      </c>
      <c r="J20" s="15">
        <f>Assumptions!$B$5*Assumptions!$B$23*Assumptions!$B$14</f>
        <v>100</v>
      </c>
      <c r="K20" s="15">
        <f>Assumptions!$B$5*Assumptions!$B$23*Assumptions!$B$14</f>
        <v>100</v>
      </c>
      <c r="L20" s="15">
        <f>Assumptions!$B$5*Assumptions!$B$23*Assumptions!$B$14</f>
        <v>100</v>
      </c>
      <c r="M20" s="15">
        <f>Assumptions!$B$5*Assumptions!$B$23*Assumptions!$B$14</f>
        <v>100</v>
      </c>
      <c r="N20" s="16">
        <f t="shared" si="2"/>
        <v>1200</v>
      </c>
    </row>
    <row r="21" spans="1:14" x14ac:dyDescent="0.25">
      <c r="A21" s="14" t="s">
        <v>91</v>
      </c>
      <c r="B21" s="15">
        <f>Assumptions!$B$5*Assumptions!$B$24*0.05</f>
        <v>1250</v>
      </c>
      <c r="C21" s="15">
        <f>Assumptions!$B$5*Assumptions!$B$24*0.05</f>
        <v>1250</v>
      </c>
      <c r="D21" s="15">
        <f>Assumptions!$B$5*Assumptions!$B$24*0.05</f>
        <v>1250</v>
      </c>
      <c r="E21" s="15">
        <f>Assumptions!$B$5*Assumptions!$B$24*0.05</f>
        <v>1250</v>
      </c>
      <c r="F21" s="15">
        <f>Assumptions!$B$5*Assumptions!$B$24*0.05</f>
        <v>1250</v>
      </c>
      <c r="G21" s="15">
        <f>Assumptions!$B$5*Assumptions!$B$24*0.05</f>
        <v>1250</v>
      </c>
      <c r="H21" s="15">
        <f>Assumptions!$B$5*Assumptions!$B$24*0.05</f>
        <v>1250</v>
      </c>
      <c r="I21" s="15">
        <f>Assumptions!$B$5*Assumptions!$B$24*0.05</f>
        <v>1250</v>
      </c>
      <c r="J21" s="15">
        <f>Assumptions!$B$5*Assumptions!$B$24*0.05</f>
        <v>1250</v>
      </c>
      <c r="K21" s="15">
        <f>Assumptions!$B$5*Assumptions!$B$24*0.05</f>
        <v>1250</v>
      </c>
      <c r="L21" s="15">
        <f>Assumptions!$B$5*Assumptions!$B$24*0.05</f>
        <v>1250</v>
      </c>
      <c r="M21" s="15">
        <f>Assumptions!$B$5*Assumptions!$B$24*0.05</f>
        <v>1250</v>
      </c>
      <c r="N21" s="16">
        <f t="shared" si="2"/>
        <v>15000</v>
      </c>
    </row>
    <row r="22" spans="1:14" x14ac:dyDescent="0.25">
      <c r="A22" s="14" t="s">
        <v>92</v>
      </c>
      <c r="B22" s="15">
        <f>IF(COLUMN()-1=1,Assumptions!$B$5*0.1*Assumptions!$B$16,0)</f>
        <v>30</v>
      </c>
      <c r="C22" s="15">
        <f>IF(COLUMN()-1=1,Assumptions!$B$5*0.1*Assumptions!$B$16,0)</f>
        <v>0</v>
      </c>
      <c r="D22" s="15">
        <f>IF(COLUMN()-1=1,Assumptions!$B$5*0.1*Assumptions!$B$16,0)</f>
        <v>0</v>
      </c>
      <c r="E22" s="15">
        <f>IF(COLUMN()-1=1,Assumptions!$B$5*0.1*Assumptions!$B$16,0)</f>
        <v>0</v>
      </c>
      <c r="F22" s="15">
        <f>IF(COLUMN()-1=1,Assumptions!$B$5*0.1*Assumptions!$B$16,0)</f>
        <v>0</v>
      </c>
      <c r="G22" s="15">
        <f>IF(COLUMN()-1=1,Assumptions!$B$5*0.1*Assumptions!$B$16,0)</f>
        <v>0</v>
      </c>
      <c r="H22" s="15">
        <f>IF(COLUMN()-1=1,Assumptions!$B$5*0.1*Assumptions!$B$16,0)</f>
        <v>0</v>
      </c>
      <c r="I22" s="15">
        <f>IF(COLUMN()-1=1,Assumptions!$B$5*0.1*Assumptions!$B$16,0)</f>
        <v>0</v>
      </c>
      <c r="J22" s="15">
        <f>IF(COLUMN()-1=1,Assumptions!$B$5*0.1*Assumptions!$B$16,0)</f>
        <v>0</v>
      </c>
      <c r="K22" s="15">
        <f>IF(COLUMN()-1=1,Assumptions!$B$5*0.1*Assumptions!$B$16,0)</f>
        <v>0</v>
      </c>
      <c r="L22" s="15">
        <f>IF(COLUMN()-1=1,Assumptions!$B$5*0.1*Assumptions!$B$16,0)</f>
        <v>0</v>
      </c>
      <c r="M22" s="15">
        <f>IF(COLUMN()-1=1,Assumptions!$B$5*0.1*Assumptions!$B$16,0)</f>
        <v>0</v>
      </c>
      <c r="N22" s="16">
        <f t="shared" si="2"/>
        <v>30</v>
      </c>
    </row>
    <row r="23" spans="1:14" x14ac:dyDescent="0.25">
      <c r="A23" s="21" t="s">
        <v>93</v>
      </c>
      <c r="B23" s="16">
        <f t="shared" ref="B23:N23" si="3">SUM(B16:B22)</f>
        <v>2932.5</v>
      </c>
      <c r="C23" s="16">
        <f t="shared" si="3"/>
        <v>2902.5</v>
      </c>
      <c r="D23" s="16">
        <f t="shared" si="3"/>
        <v>2902.5</v>
      </c>
      <c r="E23" s="16">
        <f t="shared" si="3"/>
        <v>2902.5</v>
      </c>
      <c r="F23" s="16">
        <f t="shared" si="3"/>
        <v>2902.5</v>
      </c>
      <c r="G23" s="16">
        <f t="shared" si="3"/>
        <v>2902.5</v>
      </c>
      <c r="H23" s="16">
        <f t="shared" si="3"/>
        <v>2902.5</v>
      </c>
      <c r="I23" s="16">
        <f t="shared" si="3"/>
        <v>2902.5</v>
      </c>
      <c r="J23" s="16">
        <f t="shared" si="3"/>
        <v>2902.5</v>
      </c>
      <c r="K23" s="16">
        <f t="shared" si="3"/>
        <v>2902.5</v>
      </c>
      <c r="L23" s="16">
        <f t="shared" si="3"/>
        <v>2902.5</v>
      </c>
      <c r="M23" s="16">
        <f t="shared" si="3"/>
        <v>2902.5</v>
      </c>
      <c r="N23" s="16">
        <f t="shared" si="3"/>
        <v>34860</v>
      </c>
    </row>
    <row r="25" spans="1:14" ht="15.75" x14ac:dyDescent="0.25">
      <c r="A25" s="19" t="s">
        <v>94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</row>
    <row r="26" spans="1:14" x14ac:dyDescent="0.25">
      <c r="A26" s="14" t="s">
        <v>95</v>
      </c>
      <c r="B26" s="15">
        <f>ROUNDUP(Assumptions!$B$5/Assumptions!$B$34,0)*Assumptions!$B$33</f>
        <v>5000</v>
      </c>
      <c r="C26" s="15">
        <f>ROUNDUP(Assumptions!$B$5/Assumptions!$B$34,0)*Assumptions!$B$33</f>
        <v>5000</v>
      </c>
      <c r="D26" s="15">
        <f>ROUNDUP(Assumptions!$B$5/Assumptions!$B$34,0)*Assumptions!$B$33</f>
        <v>5000</v>
      </c>
      <c r="E26" s="15">
        <f>ROUNDUP(Assumptions!$B$5/Assumptions!$B$34,0)*Assumptions!$B$33</f>
        <v>5000</v>
      </c>
      <c r="F26" s="15">
        <f>ROUNDUP(Assumptions!$B$5/Assumptions!$B$34,0)*Assumptions!$B$33</f>
        <v>5000</v>
      </c>
      <c r="G26" s="15">
        <f>ROUNDUP(Assumptions!$B$5/Assumptions!$B$34,0)*Assumptions!$B$33</f>
        <v>5000</v>
      </c>
      <c r="H26" s="15">
        <f>ROUNDUP(Assumptions!$B$5/Assumptions!$B$34,0)*Assumptions!$B$33</f>
        <v>5000</v>
      </c>
      <c r="I26" s="15">
        <f>ROUNDUP(Assumptions!$B$5/Assumptions!$B$34,0)*Assumptions!$B$33</f>
        <v>5000</v>
      </c>
      <c r="J26" s="15">
        <f>ROUNDUP(Assumptions!$B$5/Assumptions!$B$34,0)*Assumptions!$B$33</f>
        <v>5000</v>
      </c>
      <c r="K26" s="15">
        <f>ROUNDUP(Assumptions!$B$5/Assumptions!$B$34,0)*Assumptions!$B$33</f>
        <v>5000</v>
      </c>
      <c r="L26" s="15">
        <f>ROUNDUP(Assumptions!$B$5/Assumptions!$B$34,0)*Assumptions!$B$33</f>
        <v>5000</v>
      </c>
      <c r="M26" s="15">
        <f>ROUNDUP(Assumptions!$B$5/Assumptions!$B$34,0)*Assumptions!$B$33</f>
        <v>5000</v>
      </c>
      <c r="N26" s="16">
        <f>SUM(B26:M26)</f>
        <v>60000</v>
      </c>
    </row>
    <row r="27" spans="1:14" x14ac:dyDescent="0.25">
      <c r="A27" s="14" t="s">
        <v>96</v>
      </c>
      <c r="B27" s="15">
        <f>IF(COLUMN()-1=1,ROUNDUP(Assumptions!$B$5/Assumptions!$B$34,0)*Assumptions!$B$35,0)</f>
        <v>2500</v>
      </c>
      <c r="C27" s="15">
        <f>IF(COLUMN()-1=1,ROUNDUP(Assumptions!$B$5/Assumptions!$B$34,0)*Assumptions!$B$35,0)</f>
        <v>0</v>
      </c>
      <c r="D27" s="15">
        <f>IF(COLUMN()-1=1,ROUNDUP(Assumptions!$B$5/Assumptions!$B$34,0)*Assumptions!$B$35,0)</f>
        <v>0</v>
      </c>
      <c r="E27" s="15">
        <f>IF(COLUMN()-1=1,ROUNDUP(Assumptions!$B$5/Assumptions!$B$34,0)*Assumptions!$B$35,0)</f>
        <v>0</v>
      </c>
      <c r="F27" s="15">
        <f>IF(COLUMN()-1=1,ROUNDUP(Assumptions!$B$5/Assumptions!$B$34,0)*Assumptions!$B$35,0)</f>
        <v>0</v>
      </c>
      <c r="G27" s="15">
        <f>IF(COLUMN()-1=1,ROUNDUP(Assumptions!$B$5/Assumptions!$B$34,0)*Assumptions!$B$35,0)</f>
        <v>0</v>
      </c>
      <c r="H27" s="15">
        <f>IF(COLUMN()-1=1,ROUNDUP(Assumptions!$B$5/Assumptions!$B$34,0)*Assumptions!$B$35,0)</f>
        <v>0</v>
      </c>
      <c r="I27" s="15">
        <f>IF(COLUMN()-1=1,ROUNDUP(Assumptions!$B$5/Assumptions!$B$34,0)*Assumptions!$B$35,0)</f>
        <v>0</v>
      </c>
      <c r="J27" s="15">
        <f>IF(COLUMN()-1=1,ROUNDUP(Assumptions!$B$5/Assumptions!$B$34,0)*Assumptions!$B$35,0)</f>
        <v>0</v>
      </c>
      <c r="K27" s="15">
        <f>IF(COLUMN()-1=1,ROUNDUP(Assumptions!$B$5/Assumptions!$B$34,0)*Assumptions!$B$35,0)</f>
        <v>0</v>
      </c>
      <c r="L27" s="15">
        <f>IF(COLUMN()-1=1,ROUNDUP(Assumptions!$B$5/Assumptions!$B$34,0)*Assumptions!$B$35,0)</f>
        <v>0</v>
      </c>
      <c r="M27" s="15">
        <f>IF(COLUMN()-1=1,ROUNDUP(Assumptions!$B$5/Assumptions!$B$34,0)*Assumptions!$B$35,0)</f>
        <v>0</v>
      </c>
      <c r="N27" s="16">
        <f>SUM(B27:M27)</f>
        <v>2500</v>
      </c>
    </row>
    <row r="28" spans="1:14" x14ac:dyDescent="0.25">
      <c r="A28" s="21" t="s">
        <v>97</v>
      </c>
      <c r="B28" s="16">
        <f t="shared" ref="B28:N28" si="4">SUM(B26:B27)</f>
        <v>7500</v>
      </c>
      <c r="C28" s="16">
        <f t="shared" si="4"/>
        <v>5000</v>
      </c>
      <c r="D28" s="16">
        <f t="shared" si="4"/>
        <v>5000</v>
      </c>
      <c r="E28" s="16">
        <f t="shared" si="4"/>
        <v>5000</v>
      </c>
      <c r="F28" s="16">
        <f t="shared" si="4"/>
        <v>5000</v>
      </c>
      <c r="G28" s="16">
        <f t="shared" si="4"/>
        <v>5000</v>
      </c>
      <c r="H28" s="16">
        <f t="shared" si="4"/>
        <v>5000</v>
      </c>
      <c r="I28" s="16">
        <f t="shared" si="4"/>
        <v>5000</v>
      </c>
      <c r="J28" s="16">
        <f t="shared" si="4"/>
        <v>5000</v>
      </c>
      <c r="K28" s="16">
        <f t="shared" si="4"/>
        <v>5000</v>
      </c>
      <c r="L28" s="16">
        <f t="shared" si="4"/>
        <v>5000</v>
      </c>
      <c r="M28" s="16">
        <f t="shared" si="4"/>
        <v>5000</v>
      </c>
      <c r="N28" s="16">
        <f t="shared" si="4"/>
        <v>62500</v>
      </c>
    </row>
    <row r="30" spans="1:14" ht="15.75" x14ac:dyDescent="0.25">
      <c r="A30" s="19" t="s">
        <v>98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</row>
    <row r="31" spans="1:14" x14ac:dyDescent="0.25">
      <c r="A31" s="14" t="s">
        <v>99</v>
      </c>
      <c r="B31" s="15">
        <f>Assumptions!$B$5*Assumptions!$B$20*Assumptions!$B$27*Assumptions!$B$30</f>
        <v>2880</v>
      </c>
      <c r="C31" s="15">
        <f>Assumptions!$B$5*Assumptions!$B$20*Assumptions!$B$27*Assumptions!$B$30</f>
        <v>2880</v>
      </c>
      <c r="D31" s="15">
        <f>Assumptions!$B$5*Assumptions!$B$20*Assumptions!$B$27*Assumptions!$B$30</f>
        <v>2880</v>
      </c>
      <c r="E31" s="15">
        <f>Assumptions!$B$5*Assumptions!$B$20*Assumptions!$B$27*Assumptions!$B$30</f>
        <v>2880</v>
      </c>
      <c r="F31" s="15">
        <f>Assumptions!$B$5*Assumptions!$B$20*Assumptions!$B$27*Assumptions!$B$30</f>
        <v>2880</v>
      </c>
      <c r="G31" s="15">
        <f>Assumptions!$B$5*Assumptions!$B$20*Assumptions!$B$27*Assumptions!$B$30</f>
        <v>2880</v>
      </c>
      <c r="H31" s="15">
        <f>Assumptions!$B$5*Assumptions!$B$20*Assumptions!$B$27*Assumptions!$B$30</f>
        <v>2880</v>
      </c>
      <c r="I31" s="15">
        <f>Assumptions!$B$5*Assumptions!$B$20*Assumptions!$B$27*Assumptions!$B$30</f>
        <v>2880</v>
      </c>
      <c r="J31" s="15">
        <f>Assumptions!$B$5*Assumptions!$B$20*Assumptions!$B$27*Assumptions!$B$30</f>
        <v>2880</v>
      </c>
      <c r="K31" s="15">
        <f>Assumptions!$B$5*Assumptions!$B$20*Assumptions!$B$27*Assumptions!$B$30</f>
        <v>2880</v>
      </c>
      <c r="L31" s="15">
        <f>Assumptions!$B$5*Assumptions!$B$20*Assumptions!$B$27*Assumptions!$B$30</f>
        <v>2880</v>
      </c>
      <c r="M31" s="15">
        <f>Assumptions!$B$5*Assumptions!$B$20*Assumptions!$B$27*Assumptions!$B$30</f>
        <v>2880</v>
      </c>
      <c r="N31" s="16">
        <f>SUM(B31:M31)</f>
        <v>34560</v>
      </c>
    </row>
    <row r="32" spans="1:14" x14ac:dyDescent="0.25">
      <c r="A32" s="14" t="s">
        <v>53</v>
      </c>
      <c r="B32" s="15">
        <f>Assumptions!$B$38</f>
        <v>1500</v>
      </c>
      <c r="C32" s="15">
        <f>Assumptions!$B$38</f>
        <v>1500</v>
      </c>
      <c r="D32" s="15">
        <f>Assumptions!$B$38</f>
        <v>1500</v>
      </c>
      <c r="E32" s="15">
        <f>Assumptions!$B$38</f>
        <v>1500</v>
      </c>
      <c r="F32" s="15">
        <f>Assumptions!$B$38</f>
        <v>1500</v>
      </c>
      <c r="G32" s="15">
        <f>Assumptions!$B$38</f>
        <v>1500</v>
      </c>
      <c r="H32" s="15">
        <f>Assumptions!$B$38</f>
        <v>1500</v>
      </c>
      <c r="I32" s="15">
        <f>Assumptions!$B$38</f>
        <v>1500</v>
      </c>
      <c r="J32" s="15">
        <f>Assumptions!$B$38</f>
        <v>1500</v>
      </c>
      <c r="K32" s="15">
        <f>Assumptions!$B$38</f>
        <v>1500</v>
      </c>
      <c r="L32" s="15">
        <f>Assumptions!$B$38</f>
        <v>1500</v>
      </c>
      <c r="M32" s="15">
        <f>Assumptions!$B$38</f>
        <v>1500</v>
      </c>
      <c r="N32" s="16">
        <f>SUM(B32:M32)</f>
        <v>18000</v>
      </c>
    </row>
    <row r="33" spans="1:14" x14ac:dyDescent="0.25">
      <c r="A33" s="14" t="s">
        <v>55</v>
      </c>
      <c r="B33" s="15">
        <f>Assumptions!$B$39</f>
        <v>500</v>
      </c>
      <c r="C33" s="15">
        <f>Assumptions!$B$39</f>
        <v>500</v>
      </c>
      <c r="D33" s="15">
        <f>Assumptions!$B$39</f>
        <v>500</v>
      </c>
      <c r="E33" s="15">
        <f>Assumptions!$B$39</f>
        <v>500</v>
      </c>
      <c r="F33" s="15">
        <f>Assumptions!$B$39</f>
        <v>500</v>
      </c>
      <c r="G33" s="15">
        <f>Assumptions!$B$39</f>
        <v>500</v>
      </c>
      <c r="H33" s="15">
        <f>Assumptions!$B$39</f>
        <v>500</v>
      </c>
      <c r="I33" s="15">
        <f>Assumptions!$B$39</f>
        <v>500</v>
      </c>
      <c r="J33" s="15">
        <f>Assumptions!$B$39</f>
        <v>500</v>
      </c>
      <c r="K33" s="15">
        <f>Assumptions!$B$39</f>
        <v>500</v>
      </c>
      <c r="L33" s="15">
        <f>Assumptions!$B$39</f>
        <v>500</v>
      </c>
      <c r="M33" s="15">
        <f>Assumptions!$B$39</f>
        <v>500</v>
      </c>
      <c r="N33" s="16">
        <f>SUM(B33:M33)</f>
        <v>6000</v>
      </c>
    </row>
    <row r="34" spans="1:14" x14ac:dyDescent="0.25">
      <c r="A34" s="14" t="s">
        <v>100</v>
      </c>
      <c r="B34" s="15">
        <f>Assumptions!$B$40</f>
        <v>300</v>
      </c>
      <c r="C34" s="15">
        <f>Assumptions!$B$40</f>
        <v>300</v>
      </c>
      <c r="D34" s="15">
        <f>Assumptions!$B$40</f>
        <v>300</v>
      </c>
      <c r="E34" s="15">
        <f>Assumptions!$B$40</f>
        <v>300</v>
      </c>
      <c r="F34" s="15">
        <f>Assumptions!$B$40</f>
        <v>300</v>
      </c>
      <c r="G34" s="15">
        <f>Assumptions!$B$40</f>
        <v>300</v>
      </c>
      <c r="H34" s="15">
        <f>Assumptions!$B$40</f>
        <v>300</v>
      </c>
      <c r="I34" s="15">
        <f>Assumptions!$B$40</f>
        <v>300</v>
      </c>
      <c r="J34" s="15">
        <f>Assumptions!$B$40</f>
        <v>300</v>
      </c>
      <c r="K34" s="15">
        <f>Assumptions!$B$40</f>
        <v>300</v>
      </c>
      <c r="L34" s="15">
        <f>Assumptions!$B$40</f>
        <v>300</v>
      </c>
      <c r="M34" s="15">
        <f>Assumptions!$B$40</f>
        <v>300</v>
      </c>
      <c r="N34" s="16">
        <f>SUM(B34:M34)</f>
        <v>3600</v>
      </c>
    </row>
    <row r="35" spans="1:14" x14ac:dyDescent="0.25">
      <c r="A35" s="14" t="s">
        <v>59</v>
      </c>
      <c r="B35" s="15">
        <f>Assumptions!$B$41</f>
        <v>500</v>
      </c>
      <c r="C35" s="15">
        <f>Assumptions!$B$41</f>
        <v>500</v>
      </c>
      <c r="D35" s="15">
        <f>Assumptions!$B$41</f>
        <v>500</v>
      </c>
      <c r="E35" s="15">
        <f>Assumptions!$B$41</f>
        <v>500</v>
      </c>
      <c r="F35" s="15">
        <f>Assumptions!$B$41</f>
        <v>500</v>
      </c>
      <c r="G35" s="15">
        <f>Assumptions!$B$41</f>
        <v>500</v>
      </c>
      <c r="H35" s="15">
        <f>Assumptions!$B$41</f>
        <v>500</v>
      </c>
      <c r="I35" s="15">
        <f>Assumptions!$B$41</f>
        <v>500</v>
      </c>
      <c r="J35" s="15">
        <f>Assumptions!$B$41</f>
        <v>500</v>
      </c>
      <c r="K35" s="15">
        <f>Assumptions!$B$41</f>
        <v>500</v>
      </c>
      <c r="L35" s="15">
        <f>Assumptions!$B$41</f>
        <v>500</v>
      </c>
      <c r="M35" s="15">
        <f>Assumptions!$B$41</f>
        <v>500</v>
      </c>
      <c r="N35" s="16">
        <f>SUM(B35:M35)</f>
        <v>6000</v>
      </c>
    </row>
    <row r="36" spans="1:14" x14ac:dyDescent="0.25">
      <c r="A36" s="21" t="s">
        <v>101</v>
      </c>
      <c r="B36" s="16">
        <f t="shared" ref="B36:N36" si="5">SUM(B31:B35)</f>
        <v>5680</v>
      </c>
      <c r="C36" s="16">
        <f t="shared" si="5"/>
        <v>5680</v>
      </c>
      <c r="D36" s="16">
        <f t="shared" si="5"/>
        <v>5680</v>
      </c>
      <c r="E36" s="16">
        <f t="shared" si="5"/>
        <v>5680</v>
      </c>
      <c r="F36" s="16">
        <f t="shared" si="5"/>
        <v>5680</v>
      </c>
      <c r="G36" s="16">
        <f t="shared" si="5"/>
        <v>5680</v>
      </c>
      <c r="H36" s="16">
        <f t="shared" si="5"/>
        <v>5680</v>
      </c>
      <c r="I36" s="16">
        <f t="shared" si="5"/>
        <v>5680</v>
      </c>
      <c r="J36" s="16">
        <f t="shared" si="5"/>
        <v>5680</v>
      </c>
      <c r="K36" s="16">
        <f t="shared" si="5"/>
        <v>5680</v>
      </c>
      <c r="L36" s="16">
        <f t="shared" si="5"/>
        <v>5680</v>
      </c>
      <c r="M36" s="16">
        <f t="shared" si="5"/>
        <v>5680</v>
      </c>
      <c r="N36" s="16">
        <f t="shared" si="5"/>
        <v>68160</v>
      </c>
    </row>
    <row r="38" spans="1:14" x14ac:dyDescent="0.25">
      <c r="A38" s="22" t="s">
        <v>102</v>
      </c>
      <c r="B38" s="23">
        <f t="shared" ref="B38:N38" si="6">B23+B28+B36</f>
        <v>16112.5</v>
      </c>
      <c r="C38" s="23">
        <f t="shared" si="6"/>
        <v>13582.5</v>
      </c>
      <c r="D38" s="23">
        <f t="shared" si="6"/>
        <v>13582.5</v>
      </c>
      <c r="E38" s="23">
        <f t="shared" si="6"/>
        <v>13582.5</v>
      </c>
      <c r="F38" s="23">
        <f t="shared" si="6"/>
        <v>13582.5</v>
      </c>
      <c r="G38" s="23">
        <f t="shared" si="6"/>
        <v>13582.5</v>
      </c>
      <c r="H38" s="23">
        <f t="shared" si="6"/>
        <v>13582.5</v>
      </c>
      <c r="I38" s="23">
        <f t="shared" si="6"/>
        <v>13582.5</v>
      </c>
      <c r="J38" s="23">
        <f t="shared" si="6"/>
        <v>13582.5</v>
      </c>
      <c r="K38" s="23">
        <f t="shared" si="6"/>
        <v>13582.5</v>
      </c>
      <c r="L38" s="23">
        <f t="shared" si="6"/>
        <v>13582.5</v>
      </c>
      <c r="M38" s="23">
        <f t="shared" si="6"/>
        <v>13582.5</v>
      </c>
      <c r="N38" s="23">
        <f t="shared" si="6"/>
        <v>165520</v>
      </c>
    </row>
    <row r="40" spans="1:14" ht="16.5" x14ac:dyDescent="0.25">
      <c r="A40" s="24" t="s">
        <v>103</v>
      </c>
      <c r="B40" s="25">
        <f t="shared" ref="B40:N40" si="7">B13-B38</f>
        <v>5595.1917808219187</v>
      </c>
      <c r="C40" s="25">
        <f t="shared" si="7"/>
        <v>8125.1917808219187</v>
      </c>
      <c r="D40" s="25">
        <f t="shared" si="7"/>
        <v>8125.1917808219187</v>
      </c>
      <c r="E40" s="25">
        <f t="shared" si="7"/>
        <v>8125.1917808219187</v>
      </c>
      <c r="F40" s="25">
        <f t="shared" si="7"/>
        <v>8125.1917808219187</v>
      </c>
      <c r="G40" s="25">
        <f t="shared" si="7"/>
        <v>8125.1917808219187</v>
      </c>
      <c r="H40" s="25">
        <f t="shared" si="7"/>
        <v>8125.1917808219187</v>
      </c>
      <c r="I40" s="25">
        <f t="shared" si="7"/>
        <v>8125.1917808219187</v>
      </c>
      <c r="J40" s="25">
        <f t="shared" si="7"/>
        <v>8125.1917808219187</v>
      </c>
      <c r="K40" s="25">
        <f t="shared" si="7"/>
        <v>8125.1917808219187</v>
      </c>
      <c r="L40" s="25">
        <f t="shared" si="7"/>
        <v>8125.1917808219187</v>
      </c>
      <c r="M40" s="25">
        <f t="shared" si="7"/>
        <v>8125.1917808219187</v>
      </c>
      <c r="N40" s="25">
        <f t="shared" si="7"/>
        <v>94972.301369863038</v>
      </c>
    </row>
    <row r="41" spans="1:14" x14ac:dyDescent="0.25">
      <c r="A41" s="21" t="s">
        <v>104</v>
      </c>
      <c r="B41" s="26">
        <f t="shared" ref="B41:N41" si="8">IF(B13&gt;0,B40/B13,0)</f>
        <v>0.25775157659853543</v>
      </c>
      <c r="C41" s="26">
        <f t="shared" si="8"/>
        <v>0.37430012655699657</v>
      </c>
      <c r="D41" s="26">
        <f t="shared" si="8"/>
        <v>0.37430012655699657</v>
      </c>
      <c r="E41" s="26">
        <f t="shared" si="8"/>
        <v>0.37430012655699657</v>
      </c>
      <c r="F41" s="26">
        <f t="shared" si="8"/>
        <v>0.37430012655699657</v>
      </c>
      <c r="G41" s="26">
        <f t="shared" si="8"/>
        <v>0.37430012655699657</v>
      </c>
      <c r="H41" s="26">
        <f t="shared" si="8"/>
        <v>0.37430012655699657</v>
      </c>
      <c r="I41" s="26">
        <f t="shared" si="8"/>
        <v>0.37430012655699657</v>
      </c>
      <c r="J41" s="26">
        <f t="shared" si="8"/>
        <v>0.37430012655699657</v>
      </c>
      <c r="K41" s="26">
        <f t="shared" si="8"/>
        <v>0.37430012655699657</v>
      </c>
      <c r="L41" s="26">
        <f t="shared" si="8"/>
        <v>0.37430012655699657</v>
      </c>
      <c r="M41" s="26">
        <f t="shared" si="8"/>
        <v>0.37430012655699657</v>
      </c>
      <c r="N41" s="26">
        <f t="shared" si="8"/>
        <v>0.36458774739379152</v>
      </c>
    </row>
    <row r="43" spans="1:14" x14ac:dyDescent="0.25">
      <c r="A43" s="27" t="s">
        <v>105</v>
      </c>
      <c r="B43" s="28">
        <f>B40</f>
        <v>5595.1917808219187</v>
      </c>
      <c r="C43" s="28">
        <f t="shared" ref="C43:M43" si="9">B43+C40</f>
        <v>13720.383561643837</v>
      </c>
      <c r="D43" s="28">
        <f t="shared" si="9"/>
        <v>21845.575342465756</v>
      </c>
      <c r="E43" s="28">
        <f t="shared" si="9"/>
        <v>29970.767123287675</v>
      </c>
      <c r="F43" s="28">
        <f t="shared" si="9"/>
        <v>38095.95890410959</v>
      </c>
      <c r="G43" s="28">
        <f t="shared" si="9"/>
        <v>46221.150684931505</v>
      </c>
      <c r="H43" s="28">
        <f t="shared" si="9"/>
        <v>54346.34246575342</v>
      </c>
      <c r="I43" s="28">
        <f t="shared" si="9"/>
        <v>62471.534246575335</v>
      </c>
      <c r="J43" s="28">
        <f t="shared" si="9"/>
        <v>70596.72602739725</v>
      </c>
      <c r="K43" s="28">
        <f t="shared" si="9"/>
        <v>78721.917808219165</v>
      </c>
      <c r="L43" s="28">
        <f t="shared" si="9"/>
        <v>86847.10958904108</v>
      </c>
      <c r="M43" s="28">
        <f t="shared" si="9"/>
        <v>94972.301369862995</v>
      </c>
      <c r="N43" s="29">
        <f>M43</f>
        <v>94972.301369862995</v>
      </c>
    </row>
  </sheetData>
  <mergeCells count="1">
    <mergeCell ref="A1:O1"/>
  </mergeCells>
  <pageMargins left="0.75" right="0.75" top="1" bottom="1" header="0.511811023622047" footer="0.511811023622047"/>
  <pageSetup paperSize="9" scale="71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2"/>
  <sheetViews>
    <sheetView tabSelected="1" topLeftCell="A6" zoomScaleNormal="100" workbookViewId="0">
      <selection activeCell="A10" sqref="A10"/>
    </sheetView>
  </sheetViews>
  <sheetFormatPr defaultColWidth="8.7109375" defaultRowHeight="15" x14ac:dyDescent="0.25"/>
  <cols>
    <col min="1" max="1" width="30" customWidth="1"/>
    <col min="2" max="2" width="20" customWidth="1"/>
    <col min="3" max="3" width="5" customWidth="1"/>
    <col min="4" max="4" width="30" customWidth="1"/>
  </cols>
  <sheetData>
    <row r="1" spans="1:4" ht="22.5" x14ac:dyDescent="0.3">
      <c r="A1" s="1" t="s">
        <v>106</v>
      </c>
      <c r="B1" s="1"/>
      <c r="C1" s="1"/>
      <c r="D1" s="1"/>
    </row>
    <row r="3" spans="1:4" ht="15.75" x14ac:dyDescent="0.25">
      <c r="A3" s="2" t="s">
        <v>107</v>
      </c>
      <c r="B3" s="2"/>
      <c r="C3" s="2"/>
      <c r="D3" s="2"/>
    </row>
    <row r="5" spans="1:4" x14ac:dyDescent="0.25">
      <c r="A5" t="s">
        <v>108</v>
      </c>
      <c r="B5" s="30">
        <f>'12-Month P&amp;L'!N13</f>
        <v>260492.30136986304</v>
      </c>
    </row>
    <row r="6" spans="1:4" x14ac:dyDescent="0.25">
      <c r="A6" t="s">
        <v>109</v>
      </c>
      <c r="B6" s="30">
        <f>'12-Month P&amp;L'!N38</f>
        <v>165520</v>
      </c>
    </row>
    <row r="7" spans="1:4" ht="18" x14ac:dyDescent="0.25">
      <c r="A7" s="31" t="s">
        <v>110</v>
      </c>
      <c r="B7" s="32">
        <f>'12-Month P&amp;L'!N40</f>
        <v>94972.301369863038</v>
      </c>
    </row>
    <row r="8" spans="1:4" x14ac:dyDescent="0.25">
      <c r="A8" t="s">
        <v>104</v>
      </c>
      <c r="B8" s="33">
        <f>'12-Month P&amp;L'!N41</f>
        <v>0.36458774739379152</v>
      </c>
    </row>
    <row r="10" spans="1:4" ht="18" x14ac:dyDescent="0.25">
      <c r="A10" s="31" t="s">
        <v>111</v>
      </c>
      <c r="B10" s="32">
        <f>'12-Month P&amp;L'!N40/12</f>
        <v>7914.3584474885865</v>
      </c>
    </row>
    <row r="11" spans="1:4" x14ac:dyDescent="0.25">
      <c r="A11" t="s">
        <v>112</v>
      </c>
      <c r="B11" s="30">
        <f>'12-Month P&amp;L'!N43</f>
        <v>94972.301369862995</v>
      </c>
    </row>
    <row r="13" spans="1:4" ht="15.75" x14ac:dyDescent="0.25">
      <c r="A13" s="2" t="s">
        <v>113</v>
      </c>
      <c r="B13" s="2"/>
      <c r="C13" s="2"/>
      <c r="D13" s="2"/>
    </row>
    <row r="14" spans="1:4" x14ac:dyDescent="0.25">
      <c r="A14" t="s">
        <v>114</v>
      </c>
      <c r="B14" s="30">
        <f>'12-Month P&amp;L'!N13/Assumptions!B5</f>
        <v>260.49230136986301</v>
      </c>
    </row>
    <row r="15" spans="1:4" x14ac:dyDescent="0.25">
      <c r="A15" t="s">
        <v>115</v>
      </c>
      <c r="B15" s="30">
        <f>'12-Month P&amp;L'!N38/Assumptions!B5</f>
        <v>165.52</v>
      </c>
    </row>
    <row r="16" spans="1:4" x14ac:dyDescent="0.25">
      <c r="A16" t="s">
        <v>116</v>
      </c>
      <c r="B16" s="34">
        <f>'12-Month P&amp;L'!N40/Assumptions!B5</f>
        <v>94.972301369863033</v>
      </c>
    </row>
    <row r="18" spans="1:4" ht="15.75" x14ac:dyDescent="0.25">
      <c r="A18" s="2" t="s">
        <v>117</v>
      </c>
      <c r="B18" s="2"/>
      <c r="C18" s="2"/>
      <c r="D18" s="2"/>
    </row>
    <row r="19" spans="1:4" x14ac:dyDescent="0.25">
      <c r="A19" t="s">
        <v>118</v>
      </c>
      <c r="B19" s="33">
        <f>'12-Month P&amp;L'!N23/'12-Month P&amp;L'!N38</f>
        <v>0.21060898985016915</v>
      </c>
    </row>
    <row r="20" spans="1:4" x14ac:dyDescent="0.25">
      <c r="A20" t="s">
        <v>119</v>
      </c>
      <c r="B20" s="33">
        <f>'12-Month P&amp;L'!N28/'12-Month P&amp;L'!N38</f>
        <v>0.3775978733687772</v>
      </c>
    </row>
    <row r="21" spans="1:4" x14ac:dyDescent="0.25">
      <c r="A21" t="s">
        <v>120</v>
      </c>
      <c r="B21" s="33">
        <f>'12-Month P&amp;L'!N31/'12-Month P&amp;L'!N38</f>
        <v>0.20879652005799904</v>
      </c>
    </row>
    <row r="22" spans="1:4" x14ac:dyDescent="0.25">
      <c r="A22" t="s">
        <v>121</v>
      </c>
      <c r="B22" s="33">
        <f>('12-Month P&amp;L'!N36-'12-Month P&amp;L'!N31)/'12-Month P&amp;L'!N38</f>
        <v>0.20299661672305461</v>
      </c>
    </row>
    <row r="24" spans="1:4" ht="15.75" x14ac:dyDescent="0.25">
      <c r="A24" s="2" t="s">
        <v>122</v>
      </c>
      <c r="B24" s="2"/>
      <c r="C24" s="2"/>
      <c r="D24" s="2"/>
    </row>
    <row r="25" spans="1:4" x14ac:dyDescent="0.25">
      <c r="A25" t="s">
        <v>123</v>
      </c>
      <c r="B25" s="35">
        <f>ROUNDUP(Assumptions!B5/Assumptions!B34,0)</f>
        <v>5</v>
      </c>
    </row>
    <row r="26" spans="1:4" x14ac:dyDescent="0.25">
      <c r="A26" t="s">
        <v>48</v>
      </c>
      <c r="B26" s="35">
        <f>Assumptions!B34</f>
        <v>200</v>
      </c>
    </row>
    <row r="27" spans="1:4" x14ac:dyDescent="0.25">
      <c r="A27" t="s">
        <v>124</v>
      </c>
      <c r="B27" s="30">
        <f>'12-Month P&amp;L'!N13/ROUNDUP(Assumptions!B5/Assumptions!B34,0)</f>
        <v>52098.460273972611</v>
      </c>
    </row>
    <row r="28" spans="1:4" x14ac:dyDescent="0.25">
      <c r="A28" t="s">
        <v>125</v>
      </c>
      <c r="B28" s="30">
        <f>Assumptions!B33*12+Assumptions!B35</f>
        <v>12500</v>
      </c>
    </row>
    <row r="31" spans="1:4" ht="15.75" x14ac:dyDescent="0.25">
      <c r="A31" s="2" t="s">
        <v>126</v>
      </c>
      <c r="B31" s="2"/>
      <c r="C31" s="2"/>
      <c r="D31" s="2"/>
    </row>
    <row r="32" spans="1:4" ht="18" x14ac:dyDescent="0.25">
      <c r="A32" s="36" t="s">
        <v>127</v>
      </c>
      <c r="B32" s="36" t="str">
        <f>IF('12-Month P&amp;L'!N40&gt;0,"YES - PROFITABLE","NO - LOSS")</f>
        <v>YES - PROFITABLE</v>
      </c>
    </row>
  </sheetData>
  <mergeCells count="6">
    <mergeCell ref="A31:D31"/>
    <mergeCell ref="A1:D1"/>
    <mergeCell ref="A3:D3"/>
    <mergeCell ref="A13:D13"/>
    <mergeCell ref="A18:D18"/>
    <mergeCell ref="A24:D24"/>
  </mergeCells>
  <pageMargins left="0.75" right="0.75" top="1" bottom="1" header="0.511811023622047" footer="0.511811023622047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12-Month P&amp;L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Tim Latimer</cp:lastModifiedBy>
  <cp:revision>0</cp:revision>
  <cp:lastPrinted>2025-12-11T22:26:14Z</cp:lastPrinted>
  <dcterms:created xsi:type="dcterms:W3CDTF">2025-12-11T21:36:31Z</dcterms:created>
  <dcterms:modified xsi:type="dcterms:W3CDTF">2025-12-11T22:26:15Z</dcterms:modified>
  <dc:language>en-US</dc:language>
</cp:coreProperties>
</file>